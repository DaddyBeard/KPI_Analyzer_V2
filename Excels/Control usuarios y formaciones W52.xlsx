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11. IMPUTACION &amp; USUARIOS Y LOGINES\"/>
    </mc:Choice>
  </mc:AlternateContent>
  <xr:revisionPtr revIDLastSave="0" documentId="8_{5CA19FF8-5695-474F-9DAD-843AEDE36D2F}" xr6:coauthVersionLast="47" xr6:coauthVersionMax="47" xr10:uidLastSave="{00000000-0000-0000-0000-000000000000}"/>
  <bookViews>
    <workbookView xWindow="-110" yWindow="-110" windowWidth="19420" windowHeight="10300" tabRatio="565" activeTab="1" xr2:uid="{00000000-000D-0000-FFFF-FFFF00000000}"/>
  </bookViews>
  <sheets>
    <sheet name="DATOS AGENTE" sheetId="2" r:id="rId1"/>
    <sheet name="BBDD" sheetId="1" r:id="rId2"/>
    <sheet name="CAMBIAR USB" sheetId="3" state="hidden" r:id="rId3"/>
  </sheets>
  <definedNames>
    <definedName name="_xlnm._FilterDatabase" localSheetId="1" hidden="1">BBDD!$A$1:$CE$696</definedName>
    <definedName name="_xlnm._FilterDatabase" localSheetId="2" hidden="1">'CAMBIAR USB'!$A$1:$G$266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8" i="2" l="1"/>
  <c r="F12" i="2" l="1"/>
  <c r="AC18" i="2"/>
  <c r="AC10" i="2"/>
  <c r="AC26" i="2"/>
  <c r="AC20" i="2"/>
  <c r="AC6" i="2"/>
  <c r="AC16" i="2"/>
  <c r="AC14" i="2"/>
  <c r="AC12" i="2"/>
  <c r="W56" i="2"/>
  <c r="AC24" i="2"/>
  <c r="AC22" i="2"/>
  <c r="W54" i="2"/>
  <c r="W52" i="2"/>
  <c r="AE18" i="2"/>
  <c r="AE24" i="2" l="1"/>
  <c r="Y52" i="2"/>
  <c r="Y56" i="2"/>
  <c r="AE20" i="2"/>
  <c r="AE6" i="2"/>
  <c r="AE10" i="2"/>
  <c r="AE22" i="2"/>
  <c r="AE26" i="2"/>
  <c r="AE16" i="2"/>
  <c r="AE14" i="2"/>
  <c r="AE12" i="2"/>
  <c r="AE8" i="2"/>
  <c r="Y14" i="2"/>
  <c r="Y54" i="2"/>
  <c r="Y50" i="2"/>
  <c r="W50" i="2"/>
  <c r="Y48" i="2" l="1"/>
  <c r="W48" i="2"/>
  <c r="W6" i="2" l="1"/>
  <c r="L4" i="2" l="1"/>
  <c r="Y46" i="2" l="1"/>
  <c r="W46" i="2"/>
  <c r="Y44" i="2"/>
  <c r="Y42" i="2"/>
  <c r="Y40" i="2"/>
  <c r="Y38" i="2"/>
  <c r="Y36" i="2"/>
  <c r="Y34" i="2"/>
  <c r="Y32" i="2"/>
  <c r="Y30" i="2"/>
  <c r="Y28" i="2"/>
  <c r="Y26" i="2"/>
  <c r="Y24" i="2"/>
  <c r="Y22" i="2"/>
  <c r="Y20" i="2"/>
  <c r="Y18" i="2"/>
  <c r="Y16" i="2"/>
  <c r="Y12" i="2"/>
  <c r="Y10" i="2"/>
  <c r="Y8" i="2"/>
  <c r="Y6" i="2"/>
  <c r="W44" i="2"/>
  <c r="W42" i="2"/>
  <c r="W40" i="2"/>
  <c r="W38" i="2"/>
  <c r="W36" i="2"/>
  <c r="W34" i="2"/>
  <c r="W32" i="2"/>
  <c r="W30" i="2"/>
  <c r="W28" i="2"/>
  <c r="W26" i="2"/>
  <c r="W24" i="2"/>
  <c r="W22" i="2"/>
  <c r="W20" i="2"/>
  <c r="W18" i="2"/>
  <c r="W16" i="2"/>
  <c r="W14" i="2"/>
  <c r="W12" i="2"/>
  <c r="W10" i="2"/>
  <c r="W8" i="2"/>
  <c r="L6" i="2" l="1"/>
  <c r="R6" i="2"/>
  <c r="L5" i="2"/>
  <c r="L20" i="2" l="1"/>
  <c r="F28" i="2"/>
  <c r="F26" i="2"/>
  <c r="L24" i="2"/>
  <c r="F24" i="2"/>
  <c r="L22" i="2"/>
  <c r="F22" i="2"/>
  <c r="F20" i="2"/>
  <c r="L18" i="2"/>
  <c r="F18" i="2"/>
  <c r="L16" i="2"/>
  <c r="F16" i="2"/>
  <c r="L14" i="2"/>
  <c r="F14" i="2"/>
  <c r="L12" i="2"/>
  <c r="R5" i="2"/>
  <c r="R4" i="2"/>
</calcChain>
</file>

<file path=xl/sharedStrings.xml><?xml version="1.0" encoding="utf-8"?>
<sst xmlns="http://schemas.openxmlformats.org/spreadsheetml/2006/main" count="18459" uniqueCount="7707">
  <si>
    <t>ID_EMPL</t>
  </si>
  <si>
    <t>ID_BOOST</t>
  </si>
  <si>
    <t>DNI</t>
  </si>
  <si>
    <t>NOMBRE</t>
  </si>
  <si>
    <t>TLF</t>
  </si>
  <si>
    <t>ILT/MAT/EXC</t>
  </si>
  <si>
    <t>SERVICIO</t>
  </si>
  <si>
    <t>CATEGORIA</t>
  </si>
  <si>
    <t>SEGMENTO</t>
  </si>
  <si>
    <t>IDIOMA 1</t>
  </si>
  <si>
    <t>TM</t>
  </si>
  <si>
    <t>EMEA</t>
  </si>
  <si>
    <t>CORREO</t>
  </si>
  <si>
    <t>LOGIN</t>
  </si>
  <si>
    <t>EXTENSION</t>
  </si>
  <si>
    <t>USER SITEL</t>
  </si>
  <si>
    <t>DOMINIO</t>
  </si>
  <si>
    <t>CALLCENTER</t>
  </si>
  <si>
    <t>RESIBER</t>
  </si>
  <si>
    <t>AMADEUS</t>
  </si>
  <si>
    <t>USER SYR</t>
  </si>
  <si>
    <t>VIP</t>
  </si>
  <si>
    <t>RPM</t>
  </si>
  <si>
    <t>FUTUROS VUELOS</t>
  </si>
  <si>
    <t>INCIDENCIA DE PAGOS</t>
  </si>
  <si>
    <t>TRAIN ESTANDAR</t>
  </si>
  <si>
    <t>TRAIN JURIDICO</t>
  </si>
  <si>
    <t>28X159</t>
  </si>
  <si>
    <t>41A276</t>
  </si>
  <si>
    <t>41A574</t>
  </si>
  <si>
    <t>41A679</t>
  </si>
  <si>
    <t>41A680</t>
  </si>
  <si>
    <t>41A683</t>
  </si>
  <si>
    <t>41A692</t>
  </si>
  <si>
    <t>41A705</t>
  </si>
  <si>
    <t>41B074</t>
  </si>
  <si>
    <t>41B193</t>
  </si>
  <si>
    <t>41B496</t>
  </si>
  <si>
    <t>41B707</t>
  </si>
  <si>
    <t>41B736</t>
  </si>
  <si>
    <t>41C110</t>
  </si>
  <si>
    <t>41C230</t>
  </si>
  <si>
    <t>41C486</t>
  </si>
  <si>
    <t>41C523</t>
  </si>
  <si>
    <t>41C606</t>
  </si>
  <si>
    <t>41D409</t>
  </si>
  <si>
    <t>41D719</t>
  </si>
  <si>
    <t>41D721</t>
  </si>
  <si>
    <t>41E123</t>
  </si>
  <si>
    <t>41E127</t>
  </si>
  <si>
    <t>41E140</t>
  </si>
  <si>
    <t>41E377</t>
  </si>
  <si>
    <t>41E589</t>
  </si>
  <si>
    <t>41E597</t>
  </si>
  <si>
    <t>41E599</t>
  </si>
  <si>
    <t>41E602</t>
  </si>
  <si>
    <t>41E751</t>
  </si>
  <si>
    <t>41E905</t>
  </si>
  <si>
    <t>41E917</t>
  </si>
  <si>
    <t>41E989</t>
  </si>
  <si>
    <t>41E998</t>
  </si>
  <si>
    <t>41E999</t>
  </si>
  <si>
    <t>41F006</t>
  </si>
  <si>
    <t>41F007</t>
  </si>
  <si>
    <t>41F013</t>
  </si>
  <si>
    <t>41F031</t>
  </si>
  <si>
    <t>41F096</t>
  </si>
  <si>
    <t>41F098</t>
  </si>
  <si>
    <t>41F115</t>
  </si>
  <si>
    <t>41F991</t>
  </si>
  <si>
    <t>41F992</t>
  </si>
  <si>
    <t>41F993</t>
  </si>
  <si>
    <t>41F998</t>
  </si>
  <si>
    <t>41F999</t>
  </si>
  <si>
    <t>41G001</t>
  </si>
  <si>
    <t>41G006</t>
  </si>
  <si>
    <t>41G013</t>
  </si>
  <si>
    <t>41G015</t>
  </si>
  <si>
    <t>41G211</t>
  </si>
  <si>
    <t>41G214</t>
  </si>
  <si>
    <t>41G216</t>
  </si>
  <si>
    <t>41G262</t>
  </si>
  <si>
    <t>41G546</t>
  </si>
  <si>
    <t>41G557</t>
  </si>
  <si>
    <t>41G584</t>
  </si>
  <si>
    <t>41G606</t>
  </si>
  <si>
    <t>41G617</t>
  </si>
  <si>
    <t>41G632</t>
  </si>
  <si>
    <t>41G642</t>
  </si>
  <si>
    <t>41H110</t>
  </si>
  <si>
    <t>41H193</t>
  </si>
  <si>
    <t>41H194</t>
  </si>
  <si>
    <t>41H195</t>
  </si>
  <si>
    <t>41H196</t>
  </si>
  <si>
    <t>41H197</t>
  </si>
  <si>
    <t>41H198</t>
  </si>
  <si>
    <t>41H199</t>
  </si>
  <si>
    <t>41H201</t>
  </si>
  <si>
    <t>41H203</t>
  </si>
  <si>
    <t>41H212</t>
  </si>
  <si>
    <t>41H328</t>
  </si>
  <si>
    <t>41H363</t>
  </si>
  <si>
    <t>41H365</t>
  </si>
  <si>
    <t>41H366</t>
  </si>
  <si>
    <t>41H369</t>
  </si>
  <si>
    <t>41H839</t>
  </si>
  <si>
    <t>41I117</t>
  </si>
  <si>
    <t>41I120</t>
  </si>
  <si>
    <t>41I121</t>
  </si>
  <si>
    <t>41I123</t>
  </si>
  <si>
    <t>41I124</t>
  </si>
  <si>
    <t>41I125</t>
  </si>
  <si>
    <t>41I128</t>
  </si>
  <si>
    <t>41I925</t>
  </si>
  <si>
    <t>41I927</t>
  </si>
  <si>
    <t>41I933</t>
  </si>
  <si>
    <t>41I940</t>
  </si>
  <si>
    <t>41I942</t>
  </si>
  <si>
    <t>41J030</t>
  </si>
  <si>
    <t>41J711</t>
  </si>
  <si>
    <t>41J728</t>
  </si>
  <si>
    <t>41J732</t>
  </si>
  <si>
    <t>41J734</t>
  </si>
  <si>
    <t>41J753</t>
  </si>
  <si>
    <t>41J755</t>
  </si>
  <si>
    <t>41J757</t>
  </si>
  <si>
    <t>41J762</t>
  </si>
  <si>
    <t>41J768</t>
  </si>
  <si>
    <t>41J769</t>
  </si>
  <si>
    <t>41J770</t>
  </si>
  <si>
    <t>41J771</t>
  </si>
  <si>
    <t>41J789</t>
  </si>
  <si>
    <t>41J793</t>
  </si>
  <si>
    <t>41K016</t>
  </si>
  <si>
    <t>41K022</t>
  </si>
  <si>
    <t>41K037</t>
  </si>
  <si>
    <t>41K039</t>
  </si>
  <si>
    <t>41K126</t>
  </si>
  <si>
    <t>41K243</t>
  </si>
  <si>
    <t>41K247</t>
  </si>
  <si>
    <t>41K255</t>
  </si>
  <si>
    <t>41K257</t>
  </si>
  <si>
    <t>41K338</t>
  </si>
  <si>
    <t>41K391</t>
  </si>
  <si>
    <t>41K392</t>
  </si>
  <si>
    <t>41K405</t>
  </si>
  <si>
    <t>41K408</t>
  </si>
  <si>
    <t>41K415</t>
  </si>
  <si>
    <t>41K425</t>
  </si>
  <si>
    <t>41K428</t>
  </si>
  <si>
    <t>41K434</t>
  </si>
  <si>
    <t>41K435</t>
  </si>
  <si>
    <t>41K443</t>
  </si>
  <si>
    <t>41K449</t>
  </si>
  <si>
    <t>41K451</t>
  </si>
  <si>
    <t>41K457</t>
  </si>
  <si>
    <t>41K458</t>
  </si>
  <si>
    <t>41K462</t>
  </si>
  <si>
    <t>41L040</t>
  </si>
  <si>
    <t>41L118</t>
  </si>
  <si>
    <t>41L291</t>
  </si>
  <si>
    <t>41L373</t>
  </si>
  <si>
    <t>41L375</t>
  </si>
  <si>
    <t>41L435</t>
  </si>
  <si>
    <t>41L456</t>
  </si>
  <si>
    <t>41M117</t>
  </si>
  <si>
    <t>41M382</t>
  </si>
  <si>
    <t>41M386</t>
  </si>
  <si>
    <t>41M397</t>
  </si>
  <si>
    <t>41M613</t>
  </si>
  <si>
    <t>41M623</t>
  </si>
  <si>
    <t>41M625</t>
  </si>
  <si>
    <t>41W001</t>
  </si>
  <si>
    <t>41B458</t>
  </si>
  <si>
    <t>41C256</t>
  </si>
  <si>
    <t>41E361</t>
  </si>
  <si>
    <t>41B304</t>
  </si>
  <si>
    <t>41E344</t>
  </si>
  <si>
    <t>PEDRO SEQUEIRA DASILVA</t>
  </si>
  <si>
    <t>SYR_PORTUGUES_WH</t>
  </si>
  <si>
    <t>AGENT</t>
  </si>
  <si>
    <t>LUNA MORILLO FUENTES</t>
  </si>
  <si>
    <t>09_17</t>
  </si>
  <si>
    <t>LIBRA</t>
  </si>
  <si>
    <t>09_16</t>
  </si>
  <si>
    <t>spedr013</t>
  </si>
  <si>
    <t>spedr013@ec.sitel.com</t>
  </si>
  <si>
    <t>7888PM</t>
  </si>
  <si>
    <t>27320458T</t>
  </si>
  <si>
    <t>MARIA JACOME FERNANDEZ DE LA PUENTE</t>
  </si>
  <si>
    <t>SI</t>
  </si>
  <si>
    <t>SYR_INGLES_WH</t>
  </si>
  <si>
    <t>JOGREG HENRIQUEZ AELLOS</t>
  </si>
  <si>
    <t>mjaco023</t>
  </si>
  <si>
    <t>mjaco023@ec.sitel.com</t>
  </si>
  <si>
    <t>7813MF</t>
  </si>
  <si>
    <t>28703800F</t>
  </si>
  <si>
    <t>MARIA CARMEN MEGIAS BARBERO</t>
  </si>
  <si>
    <t>SYR_ESPAÑOL</t>
  </si>
  <si>
    <t>ESPAÑOL</t>
  </si>
  <si>
    <t>PATRICIA MORENO VARGAS</t>
  </si>
  <si>
    <t>10_16</t>
  </si>
  <si>
    <t>mmegi001</t>
  </si>
  <si>
    <t>mmegi001@ec.sitel.com</t>
  </si>
  <si>
    <t>7084MM</t>
  </si>
  <si>
    <t>28585919R</t>
  </si>
  <si>
    <t>ANA MARIA GAVIRA MUÑOZ</t>
  </si>
  <si>
    <t>SYR_JURIDICO_ESPAÑOL_WH</t>
  </si>
  <si>
    <t>JOSE RAMON PEREZ RUIZ</t>
  </si>
  <si>
    <t>SYR_ESPAÑOL_WH</t>
  </si>
  <si>
    <t>FREDWAR ALBERTO SEQUERA OLIVEROS</t>
  </si>
  <si>
    <t>48810489G</t>
  </si>
  <si>
    <t>SARA ISABEL LACRUZ CABALLERO</t>
  </si>
  <si>
    <t>MARIA EMILIA ALEMAN NOCEA</t>
  </si>
  <si>
    <t>21665989N</t>
  </si>
  <si>
    <t>MARIA JESUS COLOMER GRAU</t>
  </si>
  <si>
    <t>SYR_JURIDICO_LATAM_WH</t>
  </si>
  <si>
    <t>79193069K</t>
  </si>
  <si>
    <t>SORAYA PAEZ SANCHEZ</t>
  </si>
  <si>
    <t>SYR_REEMBOLSOS_WH</t>
  </si>
  <si>
    <t>spaez004@ec.sitel.com</t>
  </si>
  <si>
    <t>5087SP</t>
  </si>
  <si>
    <t>ROSA MARIA QUIJADA ARTS</t>
  </si>
  <si>
    <t>ELIMINADO RGDP</t>
  </si>
  <si>
    <t>ANA VILLENA JOYA</t>
  </si>
  <si>
    <t>08_15</t>
  </si>
  <si>
    <t>08_16</t>
  </si>
  <si>
    <t>rquij001</t>
  </si>
  <si>
    <t>rquij001@ec.sitel.com</t>
  </si>
  <si>
    <t>4114RQ</t>
  </si>
  <si>
    <t>28725909J</t>
  </si>
  <si>
    <t>ISABEL MARIA CUENCA CHARNECO</t>
  </si>
  <si>
    <t>954413436 / 657480829</t>
  </si>
  <si>
    <t>28487890K</t>
  </si>
  <si>
    <t>EVA MARIA LAVADO GALLARDO</t>
  </si>
  <si>
    <t>elava003</t>
  </si>
  <si>
    <t>elava003@ec.sitel.com</t>
  </si>
  <si>
    <t>5170EL</t>
  </si>
  <si>
    <t>28493024A</t>
  </si>
  <si>
    <t>EVA MARIA GARCIA HUESO</t>
  </si>
  <si>
    <t>egarc079</t>
  </si>
  <si>
    <t>egarc079@ec.sitel.com</t>
  </si>
  <si>
    <t>70348363B</t>
  </si>
  <si>
    <t>ESPERANZA HERNANDEZ RODRIGUEZ</t>
  </si>
  <si>
    <t>52266429X</t>
  </si>
  <si>
    <t>OLGA CARMONA RUBIO</t>
  </si>
  <si>
    <t>07_15</t>
  </si>
  <si>
    <t>ocarm001</t>
  </si>
  <si>
    <t>ocarm001@ec.sitel.com</t>
  </si>
  <si>
    <t>FORMADOR</t>
  </si>
  <si>
    <t>EVA MARIA CAMPILLO DIAZ</t>
  </si>
  <si>
    <t>28476420M</t>
  </si>
  <si>
    <t>SOLEDAD PAVO MORAN</t>
  </si>
  <si>
    <t>JOSE ANTONIO CAMACHO ROMANO</t>
  </si>
  <si>
    <t>28720394H</t>
  </si>
  <si>
    <t>JUANA MARIA PARIENTE RUIZ</t>
  </si>
  <si>
    <t>ROCIO LEAL HURTADO</t>
  </si>
  <si>
    <t>07_14</t>
  </si>
  <si>
    <t>34009449Q</t>
  </si>
  <si>
    <t>PATRICIA SELVATICO MANGANO</t>
  </si>
  <si>
    <t>Pselv001</t>
  </si>
  <si>
    <t>pselv001@ec.sitel.com</t>
  </si>
  <si>
    <t>44208708V</t>
  </si>
  <si>
    <t>GLORIA RODRIGUEZ CUESTA</t>
  </si>
  <si>
    <t>954904094 / 635523174</t>
  </si>
  <si>
    <t>grodr004</t>
  </si>
  <si>
    <t>grodr004@ec.sitel.com</t>
  </si>
  <si>
    <t>4229GR</t>
  </si>
  <si>
    <t>34058162S</t>
  </si>
  <si>
    <t>MARIA OLIVER GIMENEZ</t>
  </si>
  <si>
    <t>JESUS DENIZ PRADOS</t>
  </si>
  <si>
    <t>28927825N</t>
  </si>
  <si>
    <t>ROSA MARIA MORENO SANCHEZ</t>
  </si>
  <si>
    <t>rmore020@ec.sitel.com</t>
  </si>
  <si>
    <t>MARIA DEL ROCIO PUERTO CASCALES</t>
  </si>
  <si>
    <t>mpuer011</t>
  </si>
  <si>
    <t>mpuer011@ec.sitel.com</t>
  </si>
  <si>
    <t>28897605Z</t>
  </si>
  <si>
    <t>CRISTOBAL GUZMAN BORREGO</t>
  </si>
  <si>
    <t>cguzm037</t>
  </si>
  <si>
    <t>cguzm037@ec.sitel.com</t>
  </si>
  <si>
    <t>28772671Q</t>
  </si>
  <si>
    <t>DESIREE CONTRERAS PORRAS</t>
  </si>
  <si>
    <t>954423809 / 650271944</t>
  </si>
  <si>
    <t>CRISTIAN JOSE MORENO BERLANGA</t>
  </si>
  <si>
    <t>15_22</t>
  </si>
  <si>
    <t>14_21</t>
  </si>
  <si>
    <t>30229550Y</t>
  </si>
  <si>
    <t>ROCIO HINESTROSA MORENO</t>
  </si>
  <si>
    <t>rhine002</t>
  </si>
  <si>
    <t>rhine002@ec.sitel.com</t>
  </si>
  <si>
    <t>4333RH</t>
  </si>
  <si>
    <t>X7128152S</t>
  </si>
  <si>
    <t>VICTOR HUGO SILVA CASTRO</t>
  </si>
  <si>
    <t>SYR_JURIDICO_PORTUGUES_WH</t>
  </si>
  <si>
    <t>vsilv029</t>
  </si>
  <si>
    <t>vsilv029@ec.sitel.com</t>
  </si>
  <si>
    <t>0555VS</t>
  </si>
  <si>
    <t>48879467M</t>
  </si>
  <si>
    <t>PATRICIA DEL TORO LEON</t>
  </si>
  <si>
    <t>pdel001</t>
  </si>
  <si>
    <t>pdel001@ec.sitel.com</t>
  </si>
  <si>
    <t>46591691Q</t>
  </si>
  <si>
    <t>HORTENSIA FERNANDEZ GARCIA</t>
  </si>
  <si>
    <t>SYR_ITALIANO_WH</t>
  </si>
  <si>
    <t>ITALIANO</t>
  </si>
  <si>
    <t>X6258875T</t>
  </si>
  <si>
    <t xml:space="preserve">RACHID PROOST </t>
  </si>
  <si>
    <t>28603443E</t>
  </si>
  <si>
    <t>FRANCISCO JAVIER GONZALEZ GUTIERREZ</t>
  </si>
  <si>
    <t>15_23</t>
  </si>
  <si>
    <t> fgonz005</t>
  </si>
  <si>
    <t>fgonz005@ec.sitel.com</t>
  </si>
  <si>
    <t>5248FG</t>
  </si>
  <si>
    <t>28924252G</t>
  </si>
  <si>
    <t>YOLANDA GRANADO GALVEZ</t>
  </si>
  <si>
    <t>29579555z</t>
  </si>
  <si>
    <t>MARCIAL JESUS MEZA FABIAN</t>
  </si>
  <si>
    <t>mmeza024</t>
  </si>
  <si>
    <t>mmeza024@ec.sitel.com</t>
  </si>
  <si>
    <t>X6041688W</t>
  </si>
  <si>
    <t>MONICA BIRRENTO SIMOES</t>
  </si>
  <si>
    <t>SYR_JURIDICO_INGLES_WH</t>
  </si>
  <si>
    <t>mbirr002</t>
  </si>
  <si>
    <t>mbirr002@ec.sitel.com</t>
  </si>
  <si>
    <t xml:space="preserve">5110MB </t>
  </si>
  <si>
    <t>77821798X</t>
  </si>
  <si>
    <t>MARIA DE LOS REYES MARTINEZ FALCON</t>
  </si>
  <si>
    <t>SYR_JURIDICO_ALEMAN_WH</t>
  </si>
  <si>
    <t>IVAN BAEZA AGUILERA</t>
  </si>
  <si>
    <t>09_15</t>
  </si>
  <si>
    <t>75750813Z</t>
  </si>
  <si>
    <t>MARIA DEL PILAR MARTINEZ LEAL</t>
  </si>
  <si>
    <t>52288528Y</t>
  </si>
  <si>
    <t>AGUASANTA ORTEGA GOMEZ</t>
  </si>
  <si>
    <t>X7288983F</t>
  </si>
  <si>
    <t xml:space="preserve">LIA ROSA </t>
  </si>
  <si>
    <t>SYR_JURIDICO_ITALIANO_WH</t>
  </si>
  <si>
    <t>53771477F</t>
  </si>
  <si>
    <t>CRISTINA ROSADO CRUZ</t>
  </si>
  <si>
    <t>crosa004</t>
  </si>
  <si>
    <t>crosa004@ec.sitel.com</t>
  </si>
  <si>
    <t>52665913F</t>
  </si>
  <si>
    <t>ROSA MARIA PEREZ AGUILAR</t>
  </si>
  <si>
    <t>09_1530</t>
  </si>
  <si>
    <t>ragui052</t>
  </si>
  <si>
    <t>ragui052@ec.sitel.com</t>
  </si>
  <si>
    <t>77806635G</t>
  </si>
  <si>
    <t>JOSE MANUEL CABRERA ALVAREZ</t>
  </si>
  <si>
    <t>JESUS NICOLAS BECERRA BARBA</t>
  </si>
  <si>
    <t>jcabr005</t>
  </si>
  <si>
    <t>jcabr005@ec.sitel.com</t>
  </si>
  <si>
    <t>TEAM MANAGER</t>
  </si>
  <si>
    <t>44609991L</t>
  </si>
  <si>
    <t>JOSE ROMAN FRANCO RIEGO</t>
  </si>
  <si>
    <t>jfran009</t>
  </si>
  <si>
    <t>jfran009@ec.sitel.com</t>
  </si>
  <si>
    <t>4153JF</t>
  </si>
  <si>
    <t>47502431W</t>
  </si>
  <si>
    <t>CARLOS MARTOS PEREZ</t>
  </si>
  <si>
    <t>28898494Y</t>
  </si>
  <si>
    <t>JESUS MANUEL BOBI ORTEGA</t>
  </si>
  <si>
    <t>jbobi003</t>
  </si>
  <si>
    <t>jbobi003@ec.sitel.com</t>
  </si>
  <si>
    <t>4232JB</t>
  </si>
  <si>
    <t>27321899S</t>
  </si>
  <si>
    <t>IGNACIO DE LA CASA JEREZ</t>
  </si>
  <si>
    <t>10_17</t>
  </si>
  <si>
    <t>idela002</t>
  </si>
  <si>
    <t>idela002@ec.sitel.com</t>
  </si>
  <si>
    <t>5251ID</t>
  </si>
  <si>
    <t>VICTOR MANUEL GARCIA OSUNA</t>
  </si>
  <si>
    <t>48807499G</t>
  </si>
  <si>
    <t>ROSA MARIA CASTILLA GONZALEZ</t>
  </si>
  <si>
    <t>rcast018</t>
  </si>
  <si>
    <t>rcast018@ec.sitel.com</t>
  </si>
  <si>
    <t>4360RC</t>
  </si>
  <si>
    <t>48956129P</t>
  </si>
  <si>
    <t>MACARENA HIDALGO MACHUCA</t>
  </si>
  <si>
    <t>mhida002</t>
  </si>
  <si>
    <t>mhida002@ec.sitel.com</t>
  </si>
  <si>
    <t>5220MH</t>
  </si>
  <si>
    <t xml:space="preserve">78284791J </t>
  </si>
  <si>
    <t>MARIA ALEJANDRA PUCHULO DE MONT</t>
  </si>
  <si>
    <t>mpuch001</t>
  </si>
  <si>
    <t>mpuch001@ec.sitel.com</t>
  </si>
  <si>
    <t>28822984H</t>
  </si>
  <si>
    <t>PABLO JESUS ALVAREZ JIMENEZ</t>
  </si>
  <si>
    <t>palva018</t>
  </si>
  <si>
    <t>palva018@ec.sitel.com</t>
  </si>
  <si>
    <t>28815370G</t>
  </si>
  <si>
    <t>MARIA PURIFICACION MUÑOZ DE LOS SANTOS</t>
  </si>
  <si>
    <t>mmuno052</t>
  </si>
  <si>
    <t>mmuno052@ec.sitel.com</t>
  </si>
  <si>
    <t>4361MM</t>
  </si>
  <si>
    <t>28813217J</t>
  </si>
  <si>
    <t>MARIA DEL CARMEN CENTENO AVILES</t>
  </si>
  <si>
    <t>X8862124V</t>
  </si>
  <si>
    <t>SOFIA HELENA ANDRADE SILVA</t>
  </si>
  <si>
    <t>SYR_FRANCES_WH</t>
  </si>
  <si>
    <t>FRANCES</t>
  </si>
  <si>
    <t>sandr005</t>
  </si>
  <si>
    <t>sandr005@ec.sitel.com</t>
  </si>
  <si>
    <t>X1899899F</t>
  </si>
  <si>
    <t xml:space="preserve">OUM KALTOUM LOUAKFAOUI </t>
  </si>
  <si>
    <t>SYR_JURIDICO_FRANCES_WH</t>
  </si>
  <si>
    <t>oloua002@ec.sitel.com</t>
  </si>
  <si>
    <t xml:space="preserve">5151OL    </t>
  </si>
  <si>
    <t>28844386V</t>
  </si>
  <si>
    <t>ANA MARIA RODRIGUEZ GAVIRA</t>
  </si>
  <si>
    <t>LUIS MIGUEL ENCARNACAO CORTES</t>
  </si>
  <si>
    <t>arodr136 </t>
  </si>
  <si>
    <t>arodr136@ec.sitel.com</t>
  </si>
  <si>
    <t>26971152H</t>
  </si>
  <si>
    <t>LOURDES ORTIZ CORDOBA</t>
  </si>
  <si>
    <t>lorti021</t>
  </si>
  <si>
    <t>lorti021@ec.sitel.com</t>
  </si>
  <si>
    <t>77809929D</t>
  </si>
  <si>
    <t>MARIA CATALINA ALBELDA GIL</t>
  </si>
  <si>
    <t>28783684N</t>
  </si>
  <si>
    <t>DOLORES ARENAS HERRERA</t>
  </si>
  <si>
    <t>28827301K</t>
  </si>
  <si>
    <t>JANINE GANDERT GOMEZ</t>
  </si>
  <si>
    <t>FRANCISCO JAVIER JIMENEZ HERNANDEZ</t>
  </si>
  <si>
    <t>48824475Y</t>
  </si>
  <si>
    <t>FRANCISCO JOSE ARAGON ALARCON</t>
  </si>
  <si>
    <t>28930891L</t>
  </si>
  <si>
    <t>MANUEL MARTOS CORPAS</t>
  </si>
  <si>
    <t>mmart036</t>
  </si>
  <si>
    <t>mmart036@ec.sitel.com</t>
  </si>
  <si>
    <t>52697985V</t>
  </si>
  <si>
    <t>SUSANA RUIZ MONTERO</t>
  </si>
  <si>
    <t>sruiz022</t>
  </si>
  <si>
    <t>sruiz022@ec.sitel.com</t>
  </si>
  <si>
    <t>28787210L</t>
  </si>
  <si>
    <t>MARIA DEL CARMEN BARBOSA ANAYA</t>
  </si>
  <si>
    <t>mbarb005</t>
  </si>
  <si>
    <t>mbarb005@ec.sitel.com</t>
  </si>
  <si>
    <t>28486448M</t>
  </si>
  <si>
    <t>MONTSERRAT BATISTE ALVAREZ</t>
  </si>
  <si>
    <t>mbati003</t>
  </si>
  <si>
    <t>mbati003@ec.sitel.com</t>
  </si>
  <si>
    <t>4337MB</t>
  </si>
  <si>
    <t>48807000B</t>
  </si>
  <si>
    <t>MARIA DEL PILAR CABRERA MARQUEZ</t>
  </si>
  <si>
    <t>mcabr005</t>
  </si>
  <si>
    <t>mcabr005@ec.sitel.com</t>
  </si>
  <si>
    <t>4338MC</t>
  </si>
  <si>
    <t>28767333Z</t>
  </si>
  <si>
    <t>LUCIA MARQUEZ SOLANO</t>
  </si>
  <si>
    <t>lmarq016</t>
  </si>
  <si>
    <t>lmarq016@ec.sitel.com</t>
  </si>
  <si>
    <t>4339LM</t>
  </si>
  <si>
    <t>28627003F</t>
  </si>
  <si>
    <t>MARIA DEL MAR TEJADA GARCIA</t>
  </si>
  <si>
    <t>28639950M</t>
  </si>
  <si>
    <t>JUAN RODRIGUEZ MENDEZ</t>
  </si>
  <si>
    <t>54183069Z</t>
  </si>
  <si>
    <t>MARYLENA LUNA CARDOZO</t>
  </si>
  <si>
    <t>08_14</t>
  </si>
  <si>
    <t>mluna006</t>
  </si>
  <si>
    <t>mluna006@ec.sitel.com</t>
  </si>
  <si>
    <t>28749467L</t>
  </si>
  <si>
    <t>MARIA CARMEN ORDOÑEZ FALCON</t>
  </si>
  <si>
    <t>mordo004</t>
  </si>
  <si>
    <t>mordo004@ec.sitel.com</t>
  </si>
  <si>
    <t>7527MO</t>
  </si>
  <si>
    <t>28484059P</t>
  </si>
  <si>
    <t>JOSE FERNANDO VIERA PEREZ</t>
  </si>
  <si>
    <t>16_21</t>
  </si>
  <si>
    <t>jvier002</t>
  </si>
  <si>
    <t>jvier002@ec.sitel.com</t>
  </si>
  <si>
    <t>4220JV</t>
  </si>
  <si>
    <t>28792591H</t>
  </si>
  <si>
    <t>JOSE ANTONIO VIVAR PADILLA</t>
  </si>
  <si>
    <t>jviva209</t>
  </si>
  <si>
    <t>27314774C</t>
  </si>
  <si>
    <t>RAUL CAMPOS LEON</t>
  </si>
  <si>
    <t>17_00</t>
  </si>
  <si>
    <t>45659548V</t>
  </si>
  <si>
    <t>FERNANDO GARCIA TORRES</t>
  </si>
  <si>
    <t>28806099W</t>
  </si>
  <si>
    <t>pmore009</t>
  </si>
  <si>
    <t>53283626D</t>
  </si>
  <si>
    <t>rleal006</t>
  </si>
  <si>
    <t>28643414L</t>
  </si>
  <si>
    <t>EDUARDO GARCIA  LUENGO</t>
  </si>
  <si>
    <t>egarc222</t>
  </si>
  <si>
    <t>egarc222@ec.sitel.com</t>
  </si>
  <si>
    <t>Y3045805K</t>
  </si>
  <si>
    <t>CARLOS ALBERTO DE JESUS BOATTINI</t>
  </si>
  <si>
    <t>ANTONIO MANUEL VARGAS HERRERA</t>
  </si>
  <si>
    <t>27317518G</t>
  </si>
  <si>
    <t>ANA BELEN FERNANDEZ CASERO</t>
  </si>
  <si>
    <t>28821149X</t>
  </si>
  <si>
    <t>MARIA VICTORIA MUÑIZ AZANZA</t>
  </si>
  <si>
    <t>mmuni028</t>
  </si>
  <si>
    <t>mmuni028@ec.sitel.com</t>
  </si>
  <si>
    <t>9001186</t>
  </si>
  <si>
    <t>28841288R</t>
  </si>
  <si>
    <t>CARLOS GARCIA MORENO</t>
  </si>
  <si>
    <t>15_20</t>
  </si>
  <si>
    <t>cgarc114</t>
  </si>
  <si>
    <t>cgarc114@ec.sitel.com</t>
  </si>
  <si>
    <t>9001189</t>
  </si>
  <si>
    <t>52226161S</t>
  </si>
  <si>
    <t>REYES MILL GARCIA</t>
  </si>
  <si>
    <t>rmill031</t>
  </si>
  <si>
    <t>rmill031@ec.sitel.com</t>
  </si>
  <si>
    <t>5370RM</t>
  </si>
  <si>
    <t>28612595C</t>
  </si>
  <si>
    <t>SORAYA RAMOS PAREDES</t>
  </si>
  <si>
    <t>sramo047</t>
  </si>
  <si>
    <t>9001205</t>
  </si>
  <si>
    <t>77804098C</t>
  </si>
  <si>
    <t>CARLOS SANCHEZ ORTEGA</t>
  </si>
  <si>
    <t>csanc055 </t>
  </si>
  <si>
    <t>csanc055@ec.sitel.com</t>
  </si>
  <si>
    <t>28483146S</t>
  </si>
  <si>
    <t>SOFIA OTERO FERNANDEZ</t>
  </si>
  <si>
    <t>soter001</t>
  </si>
  <si>
    <t>soter001@ec.sitel.com</t>
  </si>
  <si>
    <t>4178SO</t>
  </si>
  <si>
    <t>Y2162018D</t>
  </si>
  <si>
    <t>MABEL LIMA MAGALHAES</t>
  </si>
  <si>
    <t>SYR_JURIDICO_BRASIL_WH</t>
  </si>
  <si>
    <t>45807951R</t>
  </si>
  <si>
    <t>SILVIA POZO COBALEA</t>
  </si>
  <si>
    <t>30248166S</t>
  </si>
  <si>
    <t>ROCIO SALAS CARO</t>
  </si>
  <si>
    <t>rsala025</t>
  </si>
  <si>
    <t>rsala025@ec.sitel.com</t>
  </si>
  <si>
    <t>5589RS</t>
  </si>
  <si>
    <t>X9555115H</t>
  </si>
  <si>
    <t xml:space="preserve">GUALTIERO TESSARI </t>
  </si>
  <si>
    <t>28744014V</t>
  </si>
  <si>
    <t>JOSEFINA CINTAS SANCHEZ</t>
  </si>
  <si>
    <t>75906059X</t>
  </si>
  <si>
    <t>YAIZA ANDRADE LEIVA</t>
  </si>
  <si>
    <t>yandr003</t>
  </si>
  <si>
    <t>yandr003@ec.sitel.com</t>
  </si>
  <si>
    <t>sitel.yandrade</t>
  </si>
  <si>
    <t>3095YA</t>
  </si>
  <si>
    <t>28827302E</t>
  </si>
  <si>
    <t>TAMY GANDERT GOMEZ</t>
  </si>
  <si>
    <t>SYR_ALEMAN_WH</t>
  </si>
  <si>
    <t>tgand002</t>
  </si>
  <si>
    <t>tgand002@ec.sitel.com</t>
  </si>
  <si>
    <t>39734132E</t>
  </si>
  <si>
    <t>MARTA RUBIO GARCIAPONS</t>
  </si>
  <si>
    <t>mrubi030</t>
  </si>
  <si>
    <t>mrubi030@ec.sitel.com</t>
  </si>
  <si>
    <t>4054MR</t>
  </si>
  <si>
    <t>28594373Z</t>
  </si>
  <si>
    <t>ANA MATEO SANCHEZ</t>
  </si>
  <si>
    <t>28491239N</t>
  </si>
  <si>
    <t>MARIA ISABEL GAMERO ESQUINA</t>
  </si>
  <si>
    <t>13_20</t>
  </si>
  <si>
    <t>52267296A</t>
  </si>
  <si>
    <t>RAFAEL CHAVES MARTIN</t>
  </si>
  <si>
    <t>rchav030</t>
  </si>
  <si>
    <t>rchav030@ec.sitel.com</t>
  </si>
  <si>
    <t>5848RC</t>
  </si>
  <si>
    <t>28767706L</t>
  </si>
  <si>
    <t>EVA MARIA GALLEGO DE SA</t>
  </si>
  <si>
    <t>Y0786151W</t>
  </si>
  <si>
    <t>KACIANE FERNANDEZ ESPINOZA</t>
  </si>
  <si>
    <t>00_07/23_00</t>
  </si>
  <si>
    <t>00_07</t>
  </si>
  <si>
    <t>kfern016</t>
  </si>
  <si>
    <t>kfern016@ec.sitel.com</t>
  </si>
  <si>
    <t>sitel.kfernandez</t>
  </si>
  <si>
    <t>5860KF</t>
  </si>
  <si>
    <t>77811374M</t>
  </si>
  <si>
    <t>ISRAEL GONZALEZ FERNANDEZ</t>
  </si>
  <si>
    <t>igonz034</t>
  </si>
  <si>
    <t>igonz034@ec.sitel.com</t>
  </si>
  <si>
    <t>sitel.igonzalez</t>
  </si>
  <si>
    <t>48818927R</t>
  </si>
  <si>
    <t>SONIA BOLIVAR MARTIN</t>
  </si>
  <si>
    <t>sboli005</t>
  </si>
  <si>
    <t>sboli005@ec.sitel.com</t>
  </si>
  <si>
    <t>sitel.sbolivar</t>
  </si>
  <si>
    <t>45806583J</t>
  </si>
  <si>
    <t>BEATRIZ CARMONA FUENTES</t>
  </si>
  <si>
    <t>15_21</t>
  </si>
  <si>
    <t>25593929N</t>
  </si>
  <si>
    <t>ALEJANDRO MORENO SANCHEZ</t>
  </si>
  <si>
    <t>X7277758Y</t>
  </si>
  <si>
    <t xml:space="preserve">ANDREA MARIA ACQUALAGNA </t>
  </si>
  <si>
    <t>30252629Q</t>
  </si>
  <si>
    <t>MARIA AGUILAR BLANES</t>
  </si>
  <si>
    <t>75817974S</t>
  </si>
  <si>
    <t>BEATRIZ ARCE CAILLAUD</t>
  </si>
  <si>
    <t>48460863R</t>
  </si>
  <si>
    <t>ALICIA LOPEZ LOPEZ</t>
  </si>
  <si>
    <t>48805890M</t>
  </si>
  <si>
    <t>PATRICIA MARTINEZ ALONSO</t>
  </si>
  <si>
    <t>pmart073</t>
  </si>
  <si>
    <t>2172PM</t>
  </si>
  <si>
    <t>X9562468B</t>
  </si>
  <si>
    <t>GRAZIELLA OTERO AMUEDO</t>
  </si>
  <si>
    <t>Y0113442C</t>
  </si>
  <si>
    <t>ALETHEIA ROSA LUCIO</t>
  </si>
  <si>
    <t>Y2825407D</t>
  </si>
  <si>
    <t>JOEL GUERRA CALDERON</t>
  </si>
  <si>
    <t>640 231 513</t>
  </si>
  <si>
    <t>12_20</t>
  </si>
  <si>
    <t>Jguer046</t>
  </si>
  <si>
    <t>sitel.jguerra</t>
  </si>
  <si>
    <t>2195JG</t>
  </si>
  <si>
    <t>X7403569F</t>
  </si>
  <si>
    <t>SARAH SCHULTE AM HULSE</t>
  </si>
  <si>
    <t>666 317 922</t>
  </si>
  <si>
    <t>47266718Q</t>
  </si>
  <si>
    <t>ERIKA PAULA GUEDES ORTIZ</t>
  </si>
  <si>
    <t>egued001</t>
  </si>
  <si>
    <t>egued001@ec.sitel.com</t>
  </si>
  <si>
    <t xml:space="preserve">77807534Y </t>
  </si>
  <si>
    <t>MAYRA LINARES GUARNIDO</t>
  </si>
  <si>
    <t>75774126M</t>
  </si>
  <si>
    <t>PAULA LUNAR BLANCO</t>
  </si>
  <si>
    <t>pluna002</t>
  </si>
  <si>
    <t>pluna002@ec.sitel.com</t>
  </si>
  <si>
    <t>4085PL</t>
  </si>
  <si>
    <t>Y3116780H</t>
  </si>
  <si>
    <t>ROCIO PENG WANG</t>
  </si>
  <si>
    <t>SYR_CHINO_WH</t>
  </si>
  <si>
    <t>02_10</t>
  </si>
  <si>
    <t>rpeng001</t>
  </si>
  <si>
    <t>rpeng001@ec.sitel.com</t>
  </si>
  <si>
    <t>5675RP</t>
  </si>
  <si>
    <t>X6038758Q</t>
  </si>
  <si>
    <t xml:space="preserve">NDEYE YATA GAYE </t>
  </si>
  <si>
    <t>X7509257X</t>
  </si>
  <si>
    <t xml:space="preserve">VERA LEMOS </t>
  </si>
  <si>
    <t>vlemo003</t>
  </si>
  <si>
    <t>vlemo003@ec.sitel.com</t>
  </si>
  <si>
    <t>52268336P</t>
  </si>
  <si>
    <t>MARIA LIBERTAD PEREZ ZAMORA</t>
  </si>
  <si>
    <t>73010243D</t>
  </si>
  <si>
    <t>ALEJANDRA CENTRON BROCO</t>
  </si>
  <si>
    <t>acent007</t>
  </si>
  <si>
    <t>acent007@ec.sitel.com</t>
  </si>
  <si>
    <t>7703AC</t>
  </si>
  <si>
    <t>28629782A</t>
  </si>
  <si>
    <t>DAVID NAVAJAS JIMENEZ</t>
  </si>
  <si>
    <t>dnava021</t>
  </si>
  <si>
    <t>dnava021@ec.sitel.com</t>
  </si>
  <si>
    <t>sitel.dnavajas</t>
  </si>
  <si>
    <t>4020DN</t>
  </si>
  <si>
    <t>28865924G</t>
  </si>
  <si>
    <t>ANTONIO JESUS DEL CUETO MUÑOZ</t>
  </si>
  <si>
    <t>28469866Y</t>
  </si>
  <si>
    <t>MARIA DOLORES SANCHEZ AREVALO TORRES</t>
  </si>
  <si>
    <t>28825785T</t>
  </si>
  <si>
    <t>JOSE MIGUEL DOMINGUEZ JIMENEZ</t>
  </si>
  <si>
    <t>SYR_JAPONES_WH</t>
  </si>
  <si>
    <t>28817053P</t>
  </si>
  <si>
    <t>ANA INFANTE ZUMER</t>
  </si>
  <si>
    <t>Y1736508E</t>
  </si>
  <si>
    <t>CAMILA MALLET COSTA</t>
  </si>
  <si>
    <t>28598182M</t>
  </si>
  <si>
    <t>MARIA DEL ROSARIO MEDINA GALAN</t>
  </si>
  <si>
    <t>28708643C</t>
  </si>
  <si>
    <t>RAFAEL MORENO ROJAS</t>
  </si>
  <si>
    <t>rmore048</t>
  </si>
  <si>
    <t>rmore048@ec.sitel.com</t>
  </si>
  <si>
    <t>4113RM</t>
  </si>
  <si>
    <t>28615647J</t>
  </si>
  <si>
    <t>ANA ISABEL MUÑOZ GARCIA</t>
  </si>
  <si>
    <t>Y4836243R</t>
  </si>
  <si>
    <t>mpieg002</t>
  </si>
  <si>
    <t>mpieg002@ec.sitel.com</t>
  </si>
  <si>
    <t>7943ML</t>
  </si>
  <si>
    <t>28827260A</t>
  </si>
  <si>
    <t>ALEJANDRO SANZ ZAMBRANO</t>
  </si>
  <si>
    <t>48963042K</t>
  </si>
  <si>
    <t>CRISTINA VELASCO ROMAN</t>
  </si>
  <si>
    <t>X6410592D</t>
  </si>
  <si>
    <t xml:space="preserve">ELISA AVENTAGGIATO </t>
  </si>
  <si>
    <t>43819354F</t>
  </si>
  <si>
    <t>MARIA JOSE CABRERA SANCHEZ</t>
  </si>
  <si>
    <t>mcabr038</t>
  </si>
  <si>
    <t>mcabr038@ec.sitel.com</t>
  </si>
  <si>
    <t>49026209F</t>
  </si>
  <si>
    <t>VANESA TORRES VILLALON</t>
  </si>
  <si>
    <t>627663394</t>
  </si>
  <si>
    <t>vtorr033</t>
  </si>
  <si>
    <t>vtorr033@ec.sitel.com</t>
  </si>
  <si>
    <t>48875523V</t>
  </si>
  <si>
    <t>ALONSO MONTOYA NAVARRO</t>
  </si>
  <si>
    <t>80087062G</t>
  </si>
  <si>
    <t>MARIA MURILLO GUERRERO</t>
  </si>
  <si>
    <t>16_23</t>
  </si>
  <si>
    <t>49033120H</t>
  </si>
  <si>
    <t>JAIME NAVARRO GOMEZ</t>
  </si>
  <si>
    <t>28923874V</t>
  </si>
  <si>
    <t>MARINA PAÑO VAZQUEZ</t>
  </si>
  <si>
    <t>mpano001</t>
  </si>
  <si>
    <t>mpano001@ec.sitel.com</t>
  </si>
  <si>
    <t>4280MP</t>
  </si>
  <si>
    <t>48618953N</t>
  </si>
  <si>
    <t>ANA BEJARANO CORDERO</t>
  </si>
  <si>
    <t>47792018L</t>
  </si>
  <si>
    <t>YASMINE ABOITIZ GOMEZ</t>
  </si>
  <si>
    <t>yaboi001</t>
  </si>
  <si>
    <t>yaboi001@ec.sitel.com</t>
  </si>
  <si>
    <t>4135YA</t>
  </si>
  <si>
    <t>44954311Y</t>
  </si>
  <si>
    <t>ANGELES MARIA CARMONA MARQUEZ</t>
  </si>
  <si>
    <t>acarm020</t>
  </si>
  <si>
    <t>acarm020@ec.sitel.com</t>
  </si>
  <si>
    <t>28708258A</t>
  </si>
  <si>
    <t>MARIA ANGELES CARRILLO GARCIA</t>
  </si>
  <si>
    <t>X5979294F</t>
  </si>
  <si>
    <t xml:space="preserve">YULIA KIRILLOVA </t>
  </si>
  <si>
    <t>54187626V</t>
  </si>
  <si>
    <t>NADEZDA KOSTINA KOSTINA</t>
  </si>
  <si>
    <t>nkost003@ec.sitel.com</t>
  </si>
  <si>
    <t>4094NK</t>
  </si>
  <si>
    <t>X4227102R</t>
  </si>
  <si>
    <t xml:space="preserve">OLESYA LIIVINOVA </t>
  </si>
  <si>
    <t>oliiv001</t>
  </si>
  <si>
    <t>oliiv001@ec.sitel.com</t>
  </si>
  <si>
    <t>sitel.oliivinova</t>
  </si>
  <si>
    <t>4155OL</t>
  </si>
  <si>
    <t>Y5050405X</t>
  </si>
  <si>
    <t xml:space="preserve">NIKOLAY NAZAROV </t>
  </si>
  <si>
    <t>nnaza004</t>
  </si>
  <si>
    <t>4097NN</t>
  </si>
  <si>
    <t>X1941215S</t>
  </si>
  <si>
    <t xml:space="preserve">ALDO GUARINI </t>
  </si>
  <si>
    <t>Y3757118J</t>
  </si>
  <si>
    <t xml:space="preserve">MARTINA MANUCCI </t>
  </si>
  <si>
    <t>53269526P</t>
  </si>
  <si>
    <t>MARIA ISABEL PLAZA SANCHEZ</t>
  </si>
  <si>
    <t>Y5522456D</t>
  </si>
  <si>
    <t>CALEBE SIMOES DE SOUZA</t>
  </si>
  <si>
    <t>30258995B</t>
  </si>
  <si>
    <t>CRISTINA VAZQUEZ MATEO</t>
  </si>
  <si>
    <t>28825874C</t>
  </si>
  <si>
    <t>JUAN MANUEL CONTRERAS REYES</t>
  </si>
  <si>
    <t>jcont052@ec.sitel.com</t>
  </si>
  <si>
    <t>sitel.jmcontrera</t>
  </si>
  <si>
    <t>7738JC</t>
  </si>
  <si>
    <t>53280484H</t>
  </si>
  <si>
    <t>ALICIA LEON PIRSON</t>
  </si>
  <si>
    <t>aleon039</t>
  </si>
  <si>
    <t>sitel.amleon</t>
  </si>
  <si>
    <t>53284706P</t>
  </si>
  <si>
    <t>MARTA SANCHEZ-NIEVA ESPEJO</t>
  </si>
  <si>
    <t>X2785072W</t>
  </si>
  <si>
    <t xml:space="preserve">VALERIE TYSSAEN </t>
  </si>
  <si>
    <t>679271780</t>
  </si>
  <si>
    <t>74226319Y</t>
  </si>
  <si>
    <t>VERONICA ROS GORDON</t>
  </si>
  <si>
    <t>vros001</t>
  </si>
  <si>
    <t>vros001@ec.sitel.com</t>
  </si>
  <si>
    <t>sitel.vgordon</t>
  </si>
  <si>
    <t>77814122Q</t>
  </si>
  <si>
    <t>ANA MARIA CORRO CARRERA</t>
  </si>
  <si>
    <t>30241759W</t>
  </si>
  <si>
    <t>CRISTINA DELGADO RUIZ</t>
  </si>
  <si>
    <t>cdelg024</t>
  </si>
  <si>
    <t>cdelg024@ec.sitel.com</t>
  </si>
  <si>
    <t>53294281S</t>
  </si>
  <si>
    <t>CARLA FERNANDEZ GOMEZ</t>
  </si>
  <si>
    <t>Y4967998Y</t>
  </si>
  <si>
    <t>XAVIER HERNANDEZ DOMINGUEZ</t>
  </si>
  <si>
    <t>696407176</t>
  </si>
  <si>
    <t>xhern001</t>
  </si>
  <si>
    <t>xhern001@ec.sitel.com</t>
  </si>
  <si>
    <t>7969XH</t>
  </si>
  <si>
    <t>Y5381165F</t>
  </si>
  <si>
    <t xml:space="preserve">SERENA MONACO </t>
  </si>
  <si>
    <t>26496355X</t>
  </si>
  <si>
    <t>CARLOS ANTONIO PAEZ CUBA</t>
  </si>
  <si>
    <t>cpaez005</t>
  </si>
  <si>
    <t>cpaez005@ec.sitel.com</t>
  </si>
  <si>
    <t>7859CP</t>
  </si>
  <si>
    <t>X7707199Z</t>
  </si>
  <si>
    <t>MARIA RODRIGUEZ MARTIN</t>
  </si>
  <si>
    <t>mrodr337</t>
  </si>
  <si>
    <t>mrodr337@ec.sitel.com</t>
  </si>
  <si>
    <t>7811MR</t>
  </si>
  <si>
    <t>15439801Q</t>
  </si>
  <si>
    <t>CRISTINA ROSADO AGUILAR</t>
  </si>
  <si>
    <t>30270221J</t>
  </si>
  <si>
    <t>ROCIO GONZALEZ OCAÑA</t>
  </si>
  <si>
    <t>rgonz173</t>
  </si>
  <si>
    <t>rgonz173@ec.sitel.com</t>
  </si>
  <si>
    <t>7775RG</t>
  </si>
  <si>
    <t>28816013A</t>
  </si>
  <si>
    <t>LAURA TOME CZOP</t>
  </si>
  <si>
    <t>77850480B</t>
  </si>
  <si>
    <t>JOSE LUIS RAMOS LOPEZ</t>
  </si>
  <si>
    <t>jramo200</t>
  </si>
  <si>
    <t>47568315Z</t>
  </si>
  <si>
    <t>LOUBNA ZEKARI AMRANI</t>
  </si>
  <si>
    <t>Y4787033B</t>
  </si>
  <si>
    <t>MARCUS VINICIUS REIS SILVA</t>
  </si>
  <si>
    <t>28844967T</t>
  </si>
  <si>
    <t>MARTA VILA PLIEGO</t>
  </si>
  <si>
    <t>mvila006</t>
  </si>
  <si>
    <t>mvila006@ec.sitel.com</t>
  </si>
  <si>
    <t>49031766K</t>
  </si>
  <si>
    <t>BLANCA REY LOPEZ</t>
  </si>
  <si>
    <t>brey002</t>
  </si>
  <si>
    <t>brey002@ec.sitel.com</t>
  </si>
  <si>
    <t>7829BR</t>
  </si>
  <si>
    <t>14620244H</t>
  </si>
  <si>
    <t>MARIA DOLORES TORRES WIC</t>
  </si>
  <si>
    <t>14_22</t>
  </si>
  <si>
    <t>Y2259824L</t>
  </si>
  <si>
    <t xml:space="preserve">CAIO CESAR DA SILVA </t>
  </si>
  <si>
    <t>cdasi014</t>
  </si>
  <si>
    <t>cdasi014@ec.sitel.com</t>
  </si>
  <si>
    <t>4249CD</t>
  </si>
  <si>
    <t>78235793M</t>
  </si>
  <si>
    <t>THIAGO JOSE RIBEIRO DOS SANTOS</t>
  </si>
  <si>
    <t>tribe008 </t>
  </si>
  <si>
    <t>tribe008@ec.sitel.com</t>
  </si>
  <si>
    <t>77591544D</t>
  </si>
  <si>
    <t>DIEGO SANCHEZ GARCIA</t>
  </si>
  <si>
    <t>77847956V</t>
  </si>
  <si>
    <t>JULIA VAS CANO</t>
  </si>
  <si>
    <t>52230435B</t>
  </si>
  <si>
    <t>CELINE EMMA BENITEZ SAUREL</t>
  </si>
  <si>
    <t>cbeni010</t>
  </si>
  <si>
    <t>cbeni010@ec.sitel.com</t>
  </si>
  <si>
    <t>X3276882A</t>
  </si>
  <si>
    <t>ANGELA DANIELA CABRAL LOUSADA</t>
  </si>
  <si>
    <t>43228172V</t>
  </si>
  <si>
    <t>VICTORIA PRAT MUNTANER</t>
  </si>
  <si>
    <t>vprat002</t>
  </si>
  <si>
    <t>vprat002@ec.sitel.com</t>
  </si>
  <si>
    <t>X9608384L</t>
  </si>
  <si>
    <t xml:space="preserve">MARCO TOGNONI </t>
  </si>
  <si>
    <t>mtogn001</t>
  </si>
  <si>
    <t>4132MT</t>
  </si>
  <si>
    <t>29593903X</t>
  </si>
  <si>
    <t>MERYEM AANIBA SEBBAR</t>
  </si>
  <si>
    <t>maani002</t>
  </si>
  <si>
    <t>maani002@ec.sitel.com</t>
  </si>
  <si>
    <t>4317MA</t>
  </si>
  <si>
    <t>Y4842543E</t>
  </si>
  <si>
    <t>CAROLINE DE MORAIS SANTOS ARAUJO</t>
  </si>
  <si>
    <t>Y4874805S</t>
  </si>
  <si>
    <t>LUCAS WELLINGTON DOS SANTOS CORREA</t>
  </si>
  <si>
    <t>ldoss016</t>
  </si>
  <si>
    <t>ldoss016@ec.sitel.com</t>
  </si>
  <si>
    <t>sitel.lwdossanto</t>
  </si>
  <si>
    <t>28836522L</t>
  </si>
  <si>
    <t>ANA KLEISCH CASCAJO</t>
  </si>
  <si>
    <t>X1525022F</t>
  </si>
  <si>
    <t xml:space="preserve">MONIKA KÖNIG </t>
  </si>
  <si>
    <t>mkoni010@ec.sitel.com</t>
  </si>
  <si>
    <t>4318MK</t>
  </si>
  <si>
    <t>30235487D</t>
  </si>
  <si>
    <t>ABEL ANDRES PARRA FUENTES</t>
  </si>
  <si>
    <t>Y2008191Y</t>
  </si>
  <si>
    <t xml:space="preserve">NICOLAS SMITH </t>
  </si>
  <si>
    <t>nsmit083</t>
  </si>
  <si>
    <t>nsmit083@ec.sitel.com</t>
  </si>
  <si>
    <t>sitel.nsmith</t>
  </si>
  <si>
    <t>4045SN</t>
  </si>
  <si>
    <t>43178654H</t>
  </si>
  <si>
    <t>CRISTINA TRILLO MARTIN</t>
  </si>
  <si>
    <t>ctril002</t>
  </si>
  <si>
    <t>ctril002@ec.sitel.com</t>
  </si>
  <si>
    <t>sitel.ctrillo</t>
  </si>
  <si>
    <t>44607972R</t>
  </si>
  <si>
    <t>FRANCISCA FERNANDEZ PULIDO</t>
  </si>
  <si>
    <t>ffern044</t>
  </si>
  <si>
    <t>ffern044@ec.sitel.com</t>
  </si>
  <si>
    <t>48879973M</t>
  </si>
  <si>
    <t>JOSEFA FERNANDEZ PULIDO</t>
  </si>
  <si>
    <t>75761290A</t>
  </si>
  <si>
    <t>FRANCISCO JOSE ROMERO LINERO</t>
  </si>
  <si>
    <t>Y5321858V</t>
  </si>
  <si>
    <t>PRISCILA MADRUGA QUINTANA</t>
  </si>
  <si>
    <t>76089736D</t>
  </si>
  <si>
    <t>DANIEL GARCIA SOSA</t>
  </si>
  <si>
    <t>JAPONES</t>
  </si>
  <si>
    <t>dgarc146</t>
  </si>
  <si>
    <t>dgarc146@ec.sitel.com</t>
  </si>
  <si>
    <t>4024DG</t>
  </si>
  <si>
    <t>49072709R</t>
  </si>
  <si>
    <t>MARIA LUISA MARIN VIRUES</t>
  </si>
  <si>
    <t>ANTONIO VELASCO ROMAN</t>
  </si>
  <si>
    <t>X7308410E</t>
  </si>
  <si>
    <t>DENNIS JOSE DE CASTRO</t>
  </si>
  <si>
    <t>50765533W</t>
  </si>
  <si>
    <t>VICTOR MANUEL MOTILLA ZANON</t>
  </si>
  <si>
    <t>vmoti001</t>
  </si>
  <si>
    <t>vmoti001@ec.sitel.com</t>
  </si>
  <si>
    <t>4240VM</t>
  </si>
  <si>
    <t>29559037N</t>
  </si>
  <si>
    <t>MARCIA LUZ FIGUEROA PARRAGA</t>
  </si>
  <si>
    <t>mfigu027</t>
  </si>
  <si>
    <t>mfigu027@ec.sitel.com</t>
  </si>
  <si>
    <t>4299MF</t>
  </si>
  <si>
    <t>Y3818633A</t>
  </si>
  <si>
    <t>MAYRA REEVES TONG</t>
  </si>
  <si>
    <t>mreev003</t>
  </si>
  <si>
    <t>mreev003@ec.sitel.com</t>
  </si>
  <si>
    <t>Y2636302X</t>
  </si>
  <si>
    <t xml:space="preserve">XIAOXIAO ZHANG </t>
  </si>
  <si>
    <t>CHINO</t>
  </si>
  <si>
    <t>xzhan005</t>
  </si>
  <si>
    <t>xzhan005@ec.sitel.com</t>
  </si>
  <si>
    <t>20091236T</t>
  </si>
  <si>
    <t>MIGUEL BENITEZ GARCIA</t>
  </si>
  <si>
    <t>mbeni020</t>
  </si>
  <si>
    <t>sitel.mbenitez</t>
  </si>
  <si>
    <t>4293MB</t>
  </si>
  <si>
    <t>X4788781C</t>
  </si>
  <si>
    <t xml:space="preserve">MARIO DIECKE </t>
  </si>
  <si>
    <t>77823967V</t>
  </si>
  <si>
    <t>FRANCISCO ANTONIO SANCHEZ DE LILLO</t>
  </si>
  <si>
    <t>30564186S</t>
  </si>
  <si>
    <t>MERCEDES BORGA GARCIA</t>
  </si>
  <si>
    <t>mborg013</t>
  </si>
  <si>
    <t>mborg013@ec.sitel.com</t>
  </si>
  <si>
    <t>Y7719202W</t>
  </si>
  <si>
    <t xml:space="preserve">KEVIN LESEILLE </t>
  </si>
  <si>
    <t>33659969017 / 625947387</t>
  </si>
  <si>
    <t>30241761G</t>
  </si>
  <si>
    <t>ALVARO PEINADO RUIZ</t>
  </si>
  <si>
    <t>apein002</t>
  </si>
  <si>
    <t>4357AP</t>
  </si>
  <si>
    <t>Y5055589L</t>
  </si>
  <si>
    <t>ABNER JOSE TEHN MUTTACH</t>
  </si>
  <si>
    <t>53275666F</t>
  </si>
  <si>
    <t>ANGEL RODRIGUEZ FORERO</t>
  </si>
  <si>
    <t>arodr067</t>
  </si>
  <si>
    <t>arodr067@ec.sitel.com</t>
  </si>
  <si>
    <t>arodrigue2</t>
  </si>
  <si>
    <t>4251AR</t>
  </si>
  <si>
    <t>47010711E</t>
  </si>
  <si>
    <t>JOSE JAVIER RUEDA RUIZ</t>
  </si>
  <si>
    <t>jrued002</t>
  </si>
  <si>
    <t>jrued002@ec.sitel.com</t>
  </si>
  <si>
    <t>jrueda</t>
  </si>
  <si>
    <t>28886501L</t>
  </si>
  <si>
    <t>MONTSERRAT DELGADO BAUTISTA</t>
  </si>
  <si>
    <t>mdelg004</t>
  </si>
  <si>
    <t>mdelg004@ec.sitel.com</t>
  </si>
  <si>
    <t>mdelgado</t>
  </si>
  <si>
    <t>4261MD</t>
  </si>
  <si>
    <t>Y8584938H</t>
  </si>
  <si>
    <t>cmarg013</t>
  </si>
  <si>
    <t>03193728V</t>
  </si>
  <si>
    <t>CINTIA DA SILVA PINA</t>
  </si>
  <si>
    <t>cdasi036</t>
  </si>
  <si>
    <t>cdasi036@ec.sitel.com</t>
  </si>
  <si>
    <t>X9687254E</t>
  </si>
  <si>
    <t>DANIELA FERREIRA DAMASCENO</t>
  </si>
  <si>
    <t>Y8915937R</t>
  </si>
  <si>
    <t>SILAS RAMOS GOMES</t>
  </si>
  <si>
    <t>25663398K</t>
  </si>
  <si>
    <t>pmarq001</t>
  </si>
  <si>
    <t>pmarq001@ec.sitel.com</t>
  </si>
  <si>
    <t>52666573T</t>
  </si>
  <si>
    <t>53277480G</t>
  </si>
  <si>
    <t>74921058F</t>
  </si>
  <si>
    <t>jgonz190</t>
  </si>
  <si>
    <t>jgonz190@ec.sitel.com</t>
  </si>
  <si>
    <t>4166JG</t>
  </si>
  <si>
    <t>29438801C</t>
  </si>
  <si>
    <t>DOLORES PILAR FERNANDEZ SANCHEZ</t>
  </si>
  <si>
    <t>dfern004</t>
  </si>
  <si>
    <t>dfern004@ec.sitel.com</t>
  </si>
  <si>
    <t>4177DF</t>
  </si>
  <si>
    <t>53277511N</t>
  </si>
  <si>
    <t>CRISTINA PAZ LOPEZ</t>
  </si>
  <si>
    <t>cpaz001</t>
  </si>
  <si>
    <t>cpaz001@ec.sitel.com</t>
  </si>
  <si>
    <t>28932447B</t>
  </si>
  <si>
    <t>LIDIA ROJAS RODRIGUEZ</t>
  </si>
  <si>
    <t>lroja012</t>
  </si>
  <si>
    <t>lroja012@ec.sitel.com</t>
  </si>
  <si>
    <t>28823921E</t>
  </si>
  <si>
    <t>VICTOR JOSE BASTIDA RODRIGUEZ</t>
  </si>
  <si>
    <t>vbast003</t>
  </si>
  <si>
    <t>IDIOMA</t>
  </si>
  <si>
    <t>EXTENSIÓN</t>
  </si>
  <si>
    <t>TELÉFONO</t>
  </si>
  <si>
    <t>COORDINADOR</t>
  </si>
  <si>
    <t>LUNES</t>
  </si>
  <si>
    <t>MARTES</t>
  </si>
  <si>
    <t>MIÉRCOLES</t>
  </si>
  <si>
    <t>JUEVES</t>
  </si>
  <si>
    <t>VIERNES</t>
  </si>
  <si>
    <t>SÁBADO</t>
  </si>
  <si>
    <t>DOMINGO</t>
  </si>
  <si>
    <t>DATOS DE LOGIN Y HERRAMIENTAS</t>
  </si>
  <si>
    <t>41Q218</t>
  </si>
  <si>
    <t>41Q216</t>
  </si>
  <si>
    <t>41Q221</t>
  </si>
  <si>
    <t>41Q219</t>
  </si>
  <si>
    <t>ID EMPL</t>
  </si>
  <si>
    <t>ID BOOST</t>
  </si>
  <si>
    <t>NO</t>
  </si>
  <si>
    <t>PDTE</t>
  </si>
  <si>
    <t>652466140</t>
  </si>
  <si>
    <t>16_00</t>
  </si>
  <si>
    <t>665426506</t>
  </si>
  <si>
    <t>14_20</t>
  </si>
  <si>
    <t>678236026</t>
  </si>
  <si>
    <t>687042287</t>
  </si>
  <si>
    <t>rmore020</t>
  </si>
  <si>
    <t>ILT_09_16</t>
  </si>
  <si>
    <t>FORMACIÓN ESTANDAR</t>
  </si>
  <si>
    <t>FORMACIÓN JURIDICO</t>
  </si>
  <si>
    <t>28775169F</t>
  </si>
  <si>
    <t>MARIA ISABEL RODRIGUEZ MANRIQUE</t>
  </si>
  <si>
    <t>41G967</t>
  </si>
  <si>
    <t>30260063K</t>
  </si>
  <si>
    <t>SOFIA MATEO FERNANDEZ</t>
  </si>
  <si>
    <t>smate009</t>
  </si>
  <si>
    <t>smate009@ec.sitel.com</t>
  </si>
  <si>
    <t>41L070</t>
  </si>
  <si>
    <t>54186320E</t>
  </si>
  <si>
    <t xml:space="preserve">MARTA STASCZEVSKI </t>
  </si>
  <si>
    <t>mstas010</t>
  </si>
  <si>
    <t>mstas010@ec.sitel.com</t>
  </si>
  <si>
    <t>SYR_INGLES</t>
  </si>
  <si>
    <t>41M192</t>
  </si>
  <si>
    <t>30251704B</t>
  </si>
  <si>
    <t>MARIA ANGELES CARRASCO SEDA</t>
  </si>
  <si>
    <t>41M617</t>
  </si>
  <si>
    <t>47564441G</t>
  </si>
  <si>
    <t>BELEN DE LUQUE JIMENEZ</t>
  </si>
  <si>
    <t>41M620</t>
  </si>
  <si>
    <t>29510153A</t>
  </si>
  <si>
    <t>MARTA GALLARDO ALVAREZ</t>
  </si>
  <si>
    <t>mgall124</t>
  </si>
  <si>
    <t>41M621</t>
  </si>
  <si>
    <t>29494859G</t>
  </si>
  <si>
    <t>ROCIO GARCIA GARZON</t>
  </si>
  <si>
    <t>rgarc238</t>
  </si>
  <si>
    <t>rgarc238@ec.sitel.com</t>
  </si>
  <si>
    <t>41M619</t>
  </si>
  <si>
    <t>28787606R</t>
  </si>
  <si>
    <t>SILVIA FUENTES BERNAL</t>
  </si>
  <si>
    <t>41L372</t>
  </si>
  <si>
    <t>28493823C</t>
  </si>
  <si>
    <t>MARIA AMPARO GONZALEZ NUÑEZ</t>
  </si>
  <si>
    <t>mgonz417</t>
  </si>
  <si>
    <t>mgonz417@ec.sitel.com</t>
  </si>
  <si>
    <t>41J067</t>
  </si>
  <si>
    <t>53285638C</t>
  </si>
  <si>
    <t>PATRICIA SANCHEZ VEGA</t>
  </si>
  <si>
    <t>psanc053</t>
  </si>
  <si>
    <t>4306RP</t>
  </si>
  <si>
    <t>rocio.leal@sitel.com</t>
  </si>
  <si>
    <t>PURIFICACION MARQUEZ PERALTA</t>
  </si>
  <si>
    <t>oloua002</t>
  </si>
  <si>
    <t>TANIA CACERES DROGUET</t>
  </si>
  <si>
    <t>7537LR</t>
  </si>
  <si>
    <t>JUAN MANUEL GONZALEZ JIMENEZ</t>
  </si>
  <si>
    <t>JOSE ANTONIO GARCIA PAREJA</t>
  </si>
  <si>
    <t>CARLO MARGOTTO SOARES</t>
  </si>
  <si>
    <t>ALEJANDRA CABEZAS PEDRAZA</t>
  </si>
  <si>
    <t>41P283</t>
  </si>
  <si>
    <t>30267248F</t>
  </si>
  <si>
    <t>ANA RODRIGUEZ RIASCO</t>
  </si>
  <si>
    <t>arodr608</t>
  </si>
  <si>
    <t>arodr608@ec.sitel.com</t>
  </si>
  <si>
    <t>4270AR</t>
  </si>
  <si>
    <t>41P284</t>
  </si>
  <si>
    <t>30229907H</t>
  </si>
  <si>
    <t>ELISABET VERDU REINA</t>
  </si>
  <si>
    <t>41P282</t>
  </si>
  <si>
    <t>32072193G</t>
  </si>
  <si>
    <t>MARIA LARA CASTRILLON</t>
  </si>
  <si>
    <t>41P593</t>
  </si>
  <si>
    <t>30248129R</t>
  </si>
  <si>
    <t>MARIA DEL PILAR MARTIN BERNALDEZ</t>
  </si>
  <si>
    <t>mmart710</t>
  </si>
  <si>
    <t>4277MM</t>
  </si>
  <si>
    <t>41P277</t>
  </si>
  <si>
    <t>28845235S</t>
  </si>
  <si>
    <t>PAULA CARMONA PIREZ</t>
  </si>
  <si>
    <t>41M193</t>
  </si>
  <si>
    <t>49135277D</t>
  </si>
  <si>
    <t>PAULA GREYCE MEDINA GOMES</t>
  </si>
  <si>
    <t>41P280</t>
  </si>
  <si>
    <t>35635725P</t>
  </si>
  <si>
    <t>VALERIA BRASELINA GOMEZ HERNANDEZ</t>
  </si>
  <si>
    <t>41P276</t>
  </si>
  <si>
    <t>73597214C</t>
  </si>
  <si>
    <t>YOLANDA BARROSO CHAIB</t>
  </si>
  <si>
    <t>ybarr033</t>
  </si>
  <si>
    <t>ybarr033@ec.sitel.com</t>
  </si>
  <si>
    <t>4301YB</t>
  </si>
  <si>
    <t>41P278</t>
  </si>
  <si>
    <t>X8262698V</t>
  </si>
  <si>
    <t xml:space="preserve">SAMIHA EL IDRISSI </t>
  </si>
  <si>
    <t>selid008</t>
  </si>
  <si>
    <t>selid008@ec.sitel.com</t>
  </si>
  <si>
    <t>4297SE</t>
  </si>
  <si>
    <t>41K917</t>
  </si>
  <si>
    <t>tcace002</t>
  </si>
  <si>
    <t>9001622</t>
  </si>
  <si>
    <t>9003411</t>
  </si>
  <si>
    <t>9002263</t>
  </si>
  <si>
    <t>mrodriguezma</t>
  </si>
  <si>
    <t>9002262</t>
  </si>
  <si>
    <t>capaezc</t>
  </si>
  <si>
    <t>9002253</t>
  </si>
  <si>
    <t>cdelgado</t>
  </si>
  <si>
    <t>9002261</t>
  </si>
  <si>
    <t>9002626</t>
  </si>
  <si>
    <t>vgordon</t>
  </si>
  <si>
    <t>9002636</t>
  </si>
  <si>
    <t>jlramos</t>
  </si>
  <si>
    <t>9002019</t>
  </si>
  <si>
    <t>breyl</t>
  </si>
  <si>
    <t>9002829</t>
  </si>
  <si>
    <t>ctrillo</t>
  </si>
  <si>
    <t>9002158</t>
  </si>
  <si>
    <t>ffernandezp</t>
  </si>
  <si>
    <t>9000697</t>
  </si>
  <si>
    <t>x7295371r</t>
  </si>
  <si>
    <t>pmmoura</t>
  </si>
  <si>
    <t>9001274</t>
  </si>
  <si>
    <t>jmcabrera</t>
  </si>
  <si>
    <t>9000989</t>
  </si>
  <si>
    <t>9001892</t>
  </si>
  <si>
    <t>javivarp</t>
  </si>
  <si>
    <t>9000650</t>
  </si>
  <si>
    <t>mapuchulo</t>
  </si>
  <si>
    <t>9003442</t>
  </si>
  <si>
    <t>eguedes</t>
  </si>
  <si>
    <t>csanchez</t>
  </si>
  <si>
    <t>9003538</t>
  </si>
  <si>
    <t>rchavesm</t>
  </si>
  <si>
    <t>9003557</t>
  </si>
  <si>
    <t>9002547</t>
  </si>
  <si>
    <t>9003871</t>
  </si>
  <si>
    <t>9002003</t>
  </si>
  <si>
    <t>9002096</t>
  </si>
  <si>
    <t>9002932</t>
  </si>
  <si>
    <t>SYR_ESTRUCTURA_WH</t>
  </si>
  <si>
    <t>9003039</t>
  </si>
  <si>
    <t>jguzmanb</t>
  </si>
  <si>
    <t>9001758</t>
  </si>
  <si>
    <t>9000456</t>
  </si>
  <si>
    <t>9001200</t>
  </si>
  <si>
    <t>pdeltorol</t>
  </si>
  <si>
    <t>9000793</t>
  </si>
  <si>
    <t>9000561</t>
  </si>
  <si>
    <t>idelacasa</t>
  </si>
  <si>
    <t>cgarciam</t>
  </si>
  <si>
    <t>sramos</t>
  </si>
  <si>
    <t>9003164</t>
  </si>
  <si>
    <t>acentronbr</t>
  </si>
  <si>
    <t>9000967</t>
  </si>
  <si>
    <t>sruizmo</t>
  </si>
  <si>
    <t>4147SR</t>
  </si>
  <si>
    <t>9002342</t>
  </si>
  <si>
    <t>oliivinova</t>
  </si>
  <si>
    <t>9002251</t>
  </si>
  <si>
    <t>9003876</t>
  </si>
  <si>
    <t>malufipa</t>
  </si>
  <si>
    <t>rlealh</t>
  </si>
  <si>
    <t>10_18</t>
  </si>
  <si>
    <t>9001832</t>
  </si>
  <si>
    <t>mpcabrera</t>
  </si>
  <si>
    <t>9000616</t>
  </si>
  <si>
    <t>ssilvo</t>
  </si>
  <si>
    <t>9003543</t>
  </si>
  <si>
    <t>tgandertg</t>
  </si>
  <si>
    <t>9003136</t>
  </si>
  <si>
    <t>pmartinezal</t>
  </si>
  <si>
    <t>9003168</t>
  </si>
  <si>
    <t>dnavajasj</t>
  </si>
  <si>
    <t>9002718</t>
  </si>
  <si>
    <t>jcont052</t>
  </si>
  <si>
    <t>jmcontreras</t>
  </si>
  <si>
    <t>9002828</t>
  </si>
  <si>
    <t>nicsmith</t>
  </si>
  <si>
    <t>9002821</t>
  </si>
  <si>
    <t>9004627</t>
  </si>
  <si>
    <t>9005250</t>
  </si>
  <si>
    <t>mborgar</t>
  </si>
  <si>
    <t>9001113</t>
  </si>
  <si>
    <t>mbatiste</t>
  </si>
  <si>
    <t>9000590</t>
  </si>
  <si>
    <t>9000478</t>
  </si>
  <si>
    <t>mbirrentos</t>
  </si>
  <si>
    <t>9000494</t>
  </si>
  <si>
    <t>9003470</t>
  </si>
  <si>
    <t>9001197</t>
  </si>
  <si>
    <t>sotero</t>
  </si>
  <si>
    <t>9003134</t>
  </si>
  <si>
    <t>9002337</t>
  </si>
  <si>
    <t>acarmona</t>
  </si>
  <si>
    <t>9002340</t>
  </si>
  <si>
    <t>9002341</t>
  </si>
  <si>
    <t>nkost003</t>
  </si>
  <si>
    <t>nkostina</t>
  </si>
  <si>
    <t>9000380</t>
  </si>
  <si>
    <t>9000486</t>
  </si>
  <si>
    <t>9003034</t>
  </si>
  <si>
    <t>9003010</t>
  </si>
  <si>
    <t>9003108</t>
  </si>
  <si>
    <t>9002543</t>
  </si>
  <si>
    <t>9002222</t>
  </si>
  <si>
    <t>9003916</t>
  </si>
  <si>
    <t>mreeves</t>
  </si>
  <si>
    <t>9001546</t>
  </si>
  <si>
    <t>9000809</t>
  </si>
  <si>
    <t>vhsilvac</t>
  </si>
  <si>
    <t>9000075</t>
  </si>
  <si>
    <t>9000710</t>
  </si>
  <si>
    <t>9003138</t>
  </si>
  <si>
    <t>9003132</t>
  </si>
  <si>
    <t>9003445</t>
  </si>
  <si>
    <t>plunarb</t>
  </si>
  <si>
    <t>9003459</t>
  </si>
  <si>
    <t>mjcabreras</t>
  </si>
  <si>
    <t>9003113</t>
  </si>
  <si>
    <t>9002338</t>
  </si>
  <si>
    <t>9002542</t>
  </si>
  <si>
    <t>9004616</t>
  </si>
  <si>
    <t>9005232</t>
  </si>
  <si>
    <t>9000560</t>
  </si>
  <si>
    <t>jmbobio</t>
  </si>
  <si>
    <t>9000898</t>
  </si>
  <si>
    <t>mmartosc</t>
  </si>
  <si>
    <t>9003076</t>
  </si>
  <si>
    <t>pselvaticom</t>
  </si>
  <si>
    <t>SOLICITADO</t>
  </si>
  <si>
    <t>9000777</t>
  </si>
  <si>
    <t>jrfranco</t>
  </si>
  <si>
    <t>9001590</t>
  </si>
  <si>
    <t>jmgonzalez</t>
  </si>
  <si>
    <t>9003026</t>
  </si>
  <si>
    <t>kfernandeze</t>
  </si>
  <si>
    <t>9003133</t>
  </si>
  <si>
    <t>9003105</t>
  </si>
  <si>
    <t>9002826</t>
  </si>
  <si>
    <t>9004133</t>
  </si>
  <si>
    <t>xixizhan</t>
  </si>
  <si>
    <t>9001068</t>
  </si>
  <si>
    <t>lortizc</t>
  </si>
  <si>
    <t>9001813</t>
  </si>
  <si>
    <t>9001448</t>
  </si>
  <si>
    <t>fjgonzalez</t>
  </si>
  <si>
    <t>9000803</t>
  </si>
  <si>
    <t>mhidalgo</t>
  </si>
  <si>
    <t>9001587</t>
  </si>
  <si>
    <t>vjbastida</t>
  </si>
  <si>
    <t>9003137</t>
  </si>
  <si>
    <t>9003508</t>
  </si>
  <si>
    <t>jguer046@ec.sitel.com</t>
  </si>
  <si>
    <t>jguerraca</t>
  </si>
  <si>
    <t>9001305</t>
  </si>
  <si>
    <t>9003553</t>
  </si>
  <si>
    <t>mbenitez</t>
  </si>
  <si>
    <t>9000519</t>
  </si>
  <si>
    <t>rhinestros</t>
  </si>
  <si>
    <t>9000813</t>
  </si>
  <si>
    <t>mjmeza</t>
  </si>
  <si>
    <t>9001957</t>
  </si>
  <si>
    <t>fjviera</t>
  </si>
  <si>
    <t>9001686</t>
  </si>
  <si>
    <t>9001381</t>
  </si>
  <si>
    <t>egarcialuengo</t>
  </si>
  <si>
    <t>9001699</t>
  </si>
  <si>
    <t>9003273</t>
  </si>
  <si>
    <t>9000568</t>
  </si>
  <si>
    <t>rpereza</t>
  </si>
  <si>
    <t>9003114</t>
  </si>
  <si>
    <t>9002290</t>
  </si>
  <si>
    <t>mjacof</t>
  </si>
  <si>
    <t>9002127</t>
  </si>
  <si>
    <t>9002302</t>
  </si>
  <si>
    <t>9002100</t>
  </si>
  <si>
    <t>vpratmun</t>
  </si>
  <si>
    <t>9002101</t>
  </si>
  <si>
    <t>mtognoni</t>
  </si>
  <si>
    <t>9002159</t>
  </si>
  <si>
    <t>9000323</t>
  </si>
  <si>
    <t>egarciah</t>
  </si>
  <si>
    <t>9001501</t>
  </si>
  <si>
    <t>28794718Y</t>
  </si>
  <si>
    <t>rpuerto</t>
  </si>
  <si>
    <t>9000597</t>
  </si>
  <si>
    <t>9000802</t>
  </si>
  <si>
    <t>rmcastilla</t>
  </si>
  <si>
    <t>9001066</t>
  </si>
  <si>
    <t>pjalvarez</t>
  </si>
  <si>
    <t>9003620</t>
  </si>
  <si>
    <t>mpmunoz</t>
  </si>
  <si>
    <t>9000915</t>
  </si>
  <si>
    <t>lmarquez</t>
  </si>
  <si>
    <t>9000086</t>
  </si>
  <si>
    <t>mcmegias</t>
  </si>
  <si>
    <t>9000252</t>
  </si>
  <si>
    <t>spaez</t>
  </si>
  <si>
    <t>9001272</t>
  </si>
  <si>
    <t>lrrodriguez</t>
  </si>
  <si>
    <t>9000411</t>
  </si>
  <si>
    <t>elavadog</t>
  </si>
  <si>
    <t>9000522</t>
  </si>
  <si>
    <t>grodriguezc</t>
  </si>
  <si>
    <t>9003392</t>
  </si>
  <si>
    <t>pmorenov</t>
  </si>
  <si>
    <t>9000223</t>
  </si>
  <si>
    <t>rmquijada</t>
  </si>
  <si>
    <t>9001449</t>
  </si>
  <si>
    <t>crosadoc</t>
  </si>
  <si>
    <t>9000922</t>
  </si>
  <si>
    <t>9001787</t>
  </si>
  <si>
    <t>mcordonezf</t>
  </si>
  <si>
    <t>9000343</t>
  </si>
  <si>
    <t>ocarmonar</t>
  </si>
  <si>
    <t>9000542</t>
  </si>
  <si>
    <t>rmorenos</t>
  </si>
  <si>
    <t>9001872</t>
  </si>
  <si>
    <t>cpaz</t>
  </si>
  <si>
    <t>7974CP</t>
  </si>
  <si>
    <t>9003554</t>
  </si>
  <si>
    <t>rmorenor</t>
  </si>
  <si>
    <t>9003551</t>
  </si>
  <si>
    <t>9003558</t>
  </si>
  <si>
    <t>9003643</t>
  </si>
  <si>
    <t>mpanov</t>
  </si>
  <si>
    <t>9005234</t>
  </si>
  <si>
    <t>apeinador</t>
  </si>
  <si>
    <t>9000159</t>
  </si>
  <si>
    <t>9001413</t>
  </si>
  <si>
    <t>9001428</t>
  </si>
  <si>
    <t>rmill</t>
  </si>
  <si>
    <t>9003539</t>
  </si>
  <si>
    <t>9003540</t>
  </si>
  <si>
    <t>9001309</t>
  </si>
  <si>
    <t>vclemosd</t>
  </si>
  <si>
    <t>4308VL</t>
  </si>
  <si>
    <t>9003115</t>
  </si>
  <si>
    <t>9002548</t>
  </si>
  <si>
    <t>9002545</t>
  </si>
  <si>
    <t>9000982</t>
  </si>
  <si>
    <t>9003661</t>
  </si>
  <si>
    <t>9003011</t>
  </si>
  <si>
    <t>igonzalezf</t>
  </si>
  <si>
    <t>9003386</t>
  </si>
  <si>
    <t>rpengw</t>
  </si>
  <si>
    <t>9003483</t>
  </si>
  <si>
    <t>9001983</t>
  </si>
  <si>
    <t>cdasilva</t>
  </si>
  <si>
    <t>9002818</t>
  </si>
  <si>
    <t>ldossantos</t>
  </si>
  <si>
    <t>9003744</t>
  </si>
  <si>
    <t>maaniba</t>
  </si>
  <si>
    <t>9002360</t>
  </si>
  <si>
    <t>dgarcia</t>
  </si>
  <si>
    <t>9003808</t>
  </si>
  <si>
    <t>9000523</t>
  </si>
  <si>
    <t>9000658</t>
  </si>
  <si>
    <t>9002255</t>
  </si>
  <si>
    <t>9002345</t>
  </si>
  <si>
    <t>ninazarov</t>
  </si>
  <si>
    <t>9002259</t>
  </si>
  <si>
    <t>xhernandez</t>
  </si>
  <si>
    <t>9002264</t>
  </si>
  <si>
    <t>9002625</t>
  </si>
  <si>
    <t>9002114</t>
  </si>
  <si>
    <t>9000017</t>
  </si>
  <si>
    <t>9002113</t>
  </si>
  <si>
    <t>rgonzalezo</t>
  </si>
  <si>
    <t>9002161</t>
  </si>
  <si>
    <t>9003541</t>
  </si>
  <si>
    <t>mrubiog</t>
  </si>
  <si>
    <t>9003509</t>
  </si>
  <si>
    <t>9000280</t>
  </si>
  <si>
    <t>9000469</t>
  </si>
  <si>
    <t>9001696</t>
  </si>
  <si>
    <t>9003556</t>
  </si>
  <si>
    <t>mlisp</t>
  </si>
  <si>
    <t>9001429</t>
  </si>
  <si>
    <t>mvmuñiz</t>
  </si>
  <si>
    <t>4084MM</t>
  </si>
  <si>
    <t>53735951Q</t>
  </si>
  <si>
    <t>tania.caceresdroguet@sitel.com</t>
  </si>
  <si>
    <t>sitel.tcaceres</t>
  </si>
  <si>
    <t>tcaceres</t>
  </si>
  <si>
    <t>7762TC</t>
  </si>
  <si>
    <t>9000554</t>
  </si>
  <si>
    <t>pmarquez</t>
  </si>
  <si>
    <t>4082PM</t>
  </si>
  <si>
    <t>9000618</t>
  </si>
  <si>
    <t>olouakfaoui</t>
  </si>
  <si>
    <t>9003022</t>
  </si>
  <si>
    <t>9001359</t>
  </si>
  <si>
    <t>9003135</t>
  </si>
  <si>
    <t>9000822</t>
  </si>
  <si>
    <t>9001579</t>
  </si>
  <si>
    <t>9001580</t>
  </si>
  <si>
    <t>rsalasc</t>
  </si>
  <si>
    <t>9003552</t>
  </si>
  <si>
    <t>9000872</t>
  </si>
  <si>
    <t>mlunac</t>
  </si>
  <si>
    <t>9002364</t>
  </si>
  <si>
    <t>mstascz</t>
  </si>
  <si>
    <t>4260MS</t>
  </si>
  <si>
    <t>9003807</t>
  </si>
  <si>
    <t>magonzun</t>
  </si>
  <si>
    <t>4194MG</t>
  </si>
  <si>
    <t>9004372</t>
  </si>
  <si>
    <t>9005251</t>
  </si>
  <si>
    <t>9005229</t>
  </si>
  <si>
    <t>mgallalv</t>
  </si>
  <si>
    <t>9005230</t>
  </si>
  <si>
    <t>rgarcigar</t>
  </si>
  <si>
    <t>4305RG</t>
  </si>
  <si>
    <t>9005252</t>
  </si>
  <si>
    <t>9001025</t>
  </si>
  <si>
    <t>9003027</t>
  </si>
  <si>
    <t>9003555</t>
  </si>
  <si>
    <t>9003064</t>
  </si>
  <si>
    <t>vtorres</t>
  </si>
  <si>
    <t>9002335</t>
  </si>
  <si>
    <t>yaboitiz</t>
  </si>
  <si>
    <t>9002001</t>
  </si>
  <si>
    <t>tjribeiro</t>
  </si>
  <si>
    <t>9003009</t>
  </si>
  <si>
    <t>sbolivarm</t>
  </si>
  <si>
    <t>9003390</t>
  </si>
  <si>
    <t>9003810</t>
  </si>
  <si>
    <t>vmotzano</t>
  </si>
  <si>
    <t>9001577</t>
  </si>
  <si>
    <t>9002622</t>
  </si>
  <si>
    <t>9002129</t>
  </si>
  <si>
    <t>mvilap</t>
  </si>
  <si>
    <t>9001040</t>
  </si>
  <si>
    <t>9000230</t>
  </si>
  <si>
    <t>9000454</t>
  </si>
  <si>
    <t>dfernandezs</t>
  </si>
  <si>
    <t>9002095</t>
  </si>
  <si>
    <t>cbenitez</t>
  </si>
  <si>
    <t>9000908</t>
  </si>
  <si>
    <t>mcbarbosa</t>
  </si>
  <si>
    <t>9002610</t>
  </si>
  <si>
    <t>aleonp</t>
  </si>
  <si>
    <t>9000625</t>
  </si>
  <si>
    <t>9003443</t>
  </si>
  <si>
    <t>9002816</t>
  </si>
  <si>
    <t>9002822</t>
  </si>
  <si>
    <t>mkoni010</t>
  </si>
  <si>
    <t>monkonig</t>
  </si>
  <si>
    <t>9005259</t>
  </si>
  <si>
    <t>1345817</t>
  </si>
  <si>
    <t>mpmartin</t>
  </si>
  <si>
    <t>1543517</t>
  </si>
  <si>
    <t>1543529</t>
  </si>
  <si>
    <t>arodrigue3</t>
  </si>
  <si>
    <t>1543531</t>
  </si>
  <si>
    <t>ybarroso</t>
  </si>
  <si>
    <t>1543537</t>
  </si>
  <si>
    <t>1543521</t>
  </si>
  <si>
    <t>selidrissi</t>
  </si>
  <si>
    <t>1543527</t>
  </si>
  <si>
    <t>9001011</t>
  </si>
  <si>
    <t>amrodriguez</t>
  </si>
  <si>
    <t>9003025</t>
  </si>
  <si>
    <t>yandradel</t>
  </si>
  <si>
    <t>9000572</t>
  </si>
  <si>
    <t>28883994L</t>
  </si>
  <si>
    <t>ANTONIA MUÑOZ LUNA</t>
  </si>
  <si>
    <t>amuno030</t>
  </si>
  <si>
    <t>amuno030@ec.sitel.com</t>
  </si>
  <si>
    <t>ANA MARIA DIAZ PURA</t>
  </si>
  <si>
    <t>41G583</t>
  </si>
  <si>
    <t>9003410</t>
  </si>
  <si>
    <t>28602947D</t>
  </si>
  <si>
    <t>ROCIO ORTIZ RITE</t>
  </si>
  <si>
    <t>rorti021</t>
  </si>
  <si>
    <t>rorti021@ec.sitel.com</t>
  </si>
  <si>
    <t>rortizrite</t>
  </si>
  <si>
    <t>41H124</t>
  </si>
  <si>
    <t>9003487</t>
  </si>
  <si>
    <t>15410141A</t>
  </si>
  <si>
    <t>ROCIO RAMOS BLANCO</t>
  </si>
  <si>
    <t>41J710</t>
  </si>
  <si>
    <t>9002298</t>
  </si>
  <si>
    <t>X3722128S</t>
  </si>
  <si>
    <t xml:space="preserve">MARTINA GIACAZ </t>
  </si>
  <si>
    <t>41J724</t>
  </si>
  <si>
    <t>9002618</t>
  </si>
  <si>
    <t>28832465X</t>
  </si>
  <si>
    <t>ADRIANA ROBLES ARCOS</t>
  </si>
  <si>
    <t>9000938</t>
  </si>
  <si>
    <t>78978419F</t>
  </si>
  <si>
    <t>ROSA MARIA DOMINGUEZ DEL RIO</t>
  </si>
  <si>
    <t>41K416</t>
  </si>
  <si>
    <t>9002815</t>
  </si>
  <si>
    <t>77591511E</t>
  </si>
  <si>
    <t>MARIA BERTA AGUILAR GARCIA</t>
  </si>
  <si>
    <t>magui110</t>
  </si>
  <si>
    <t>magui110@ec.sitel.com</t>
  </si>
  <si>
    <t>sitel.mbaguilar</t>
  </si>
  <si>
    <t>mbaguilarg</t>
  </si>
  <si>
    <t>9000476</t>
  </si>
  <si>
    <t>28647017B</t>
  </si>
  <si>
    <t>MARCIAL HURTADO SOTO</t>
  </si>
  <si>
    <t>mhurt003</t>
  </si>
  <si>
    <t>mhurt003@ec.sitel.com</t>
  </si>
  <si>
    <t>9000779</t>
  </si>
  <si>
    <t>48879350A</t>
  </si>
  <si>
    <t>SILVIA VIÑA GAGO</t>
  </si>
  <si>
    <t>svina008</t>
  </si>
  <si>
    <t>svina008@ec.sitel.com</t>
  </si>
  <si>
    <t>9001101</t>
  </si>
  <si>
    <t>53351822X</t>
  </si>
  <si>
    <t>ADRIAN LOPEZ MAYA</t>
  </si>
  <si>
    <t>alope091</t>
  </si>
  <si>
    <t>9000724</t>
  </si>
  <si>
    <t>20799486B</t>
  </si>
  <si>
    <t>ELIZABETH GARCIA OCHERA</t>
  </si>
  <si>
    <t>egarc011</t>
  </si>
  <si>
    <t>egarc011@ec.sitel.com</t>
  </si>
  <si>
    <t>9000742</t>
  </si>
  <si>
    <t>44954151F</t>
  </si>
  <si>
    <t>JUAN MANUEL VERGARA JIMENEZ</t>
  </si>
  <si>
    <t>jjime004</t>
  </si>
  <si>
    <t>jjime004@ec.sitel.com</t>
  </si>
  <si>
    <t>9001091</t>
  </si>
  <si>
    <t>47005294X</t>
  </si>
  <si>
    <t>VICTOR LUIS PUERTO GARCIA</t>
  </si>
  <si>
    <t>vpuer001</t>
  </si>
  <si>
    <t>vpuer001@ec.sitel.com</t>
  </si>
  <si>
    <t>41A690</t>
  </si>
  <si>
    <t>9001121</t>
  </si>
  <si>
    <t>48879224S</t>
  </si>
  <si>
    <t>MARIA ANGELES LOPEZ AVELLANEDA</t>
  </si>
  <si>
    <t>mlope031</t>
  </si>
  <si>
    <t>mlope031@ec.sitel.com</t>
  </si>
  <si>
    <t>41C813</t>
  </si>
  <si>
    <t>9001627</t>
  </si>
  <si>
    <t>28629172Z</t>
  </si>
  <si>
    <t>DAVID SILVA MANZANO</t>
  </si>
  <si>
    <t>dsilv017</t>
  </si>
  <si>
    <t>41D585</t>
  </si>
  <si>
    <t>9001418</t>
  </si>
  <si>
    <t>47338166A</t>
  </si>
  <si>
    <t>LUCIA DIAZ ESCLAPEZ</t>
  </si>
  <si>
    <t>ldiaz029</t>
  </si>
  <si>
    <t>ldiaz029@ec.sitel.com</t>
  </si>
  <si>
    <t>41D784</t>
  </si>
  <si>
    <t>9001165</t>
  </si>
  <si>
    <t>34034897A</t>
  </si>
  <si>
    <t>EVA MARIA CARRASCO SANCHEZ</t>
  </si>
  <si>
    <t>ecarr076</t>
  </si>
  <si>
    <t>ecarr076@ec.sitel.com</t>
  </si>
  <si>
    <t>9002847</t>
  </si>
  <si>
    <t>1529909</t>
  </si>
  <si>
    <t>cmargotto</t>
  </si>
  <si>
    <t>1529910</t>
  </si>
  <si>
    <t>cdasilva2</t>
  </si>
  <si>
    <t>1529911</t>
  </si>
  <si>
    <t>1529912</t>
  </si>
  <si>
    <t>41H324</t>
  </si>
  <si>
    <t>9003266</t>
  </si>
  <si>
    <t>31909691C</t>
  </si>
  <si>
    <t>DANA DANKO TKACOVA</t>
  </si>
  <si>
    <t>dberm004</t>
  </si>
  <si>
    <t>41I148</t>
  </si>
  <si>
    <t>47539836D</t>
  </si>
  <si>
    <t>NOELIA AIBAR MORENO</t>
  </si>
  <si>
    <t>naiba002</t>
  </si>
  <si>
    <t>41K441</t>
  </si>
  <si>
    <t>9002825</t>
  </si>
  <si>
    <t>53932513C</t>
  </si>
  <si>
    <t>MARIA OCAÑA MARTINEZ</t>
  </si>
  <si>
    <t>mocan002</t>
  </si>
  <si>
    <t>mocan002@ec.sitel.com</t>
  </si>
  <si>
    <t>9000451</t>
  </si>
  <si>
    <t>9003524</t>
  </si>
  <si>
    <t>smateo</t>
  </si>
  <si>
    <t>41H111</t>
  </si>
  <si>
    <t>9003648</t>
  </si>
  <si>
    <t>B03838293</t>
  </si>
  <si>
    <t>ROXANA MARIA ESCOBAR DE VALENCIA</t>
  </si>
  <si>
    <t>9002569</t>
  </si>
  <si>
    <t>MHURTADO</t>
  </si>
  <si>
    <t>4346MH</t>
  </si>
  <si>
    <t>JMVERJI</t>
  </si>
  <si>
    <t>9002671</t>
  </si>
  <si>
    <t>MOCAMAR</t>
  </si>
  <si>
    <t>28711736P</t>
  </si>
  <si>
    <t>PSANCHE</t>
  </si>
  <si>
    <t>DSILVAM</t>
  </si>
  <si>
    <t>SILVINA</t>
  </si>
  <si>
    <t>4350SV</t>
  </si>
  <si>
    <t>MALOPEZ</t>
  </si>
  <si>
    <t>4352ML</t>
  </si>
  <si>
    <t>EGARCI</t>
  </si>
  <si>
    <t>4340EG</t>
  </si>
  <si>
    <t>VPUERTO</t>
  </si>
  <si>
    <t>4351VP</t>
  </si>
  <si>
    <t>LUDIES</t>
  </si>
  <si>
    <t>4342LD</t>
  </si>
  <si>
    <t>ALOPEZ</t>
  </si>
  <si>
    <t>4326Al</t>
  </si>
  <si>
    <t>AMUNO</t>
  </si>
  <si>
    <t>4328AM</t>
  </si>
  <si>
    <t>EMACAR</t>
  </si>
  <si>
    <t>680851685/626071262</t>
  </si>
  <si>
    <t>ASIGNACION IDIOMA</t>
  </si>
  <si>
    <t>TRAMITACION IDIOMA</t>
  </si>
  <si>
    <t>4368MR</t>
  </si>
  <si>
    <t>DDANKO</t>
  </si>
  <si>
    <t>4354DD</t>
  </si>
  <si>
    <t>sitel.naibar</t>
  </si>
  <si>
    <t>NAIBAR</t>
  </si>
  <si>
    <t>4364NA</t>
  </si>
  <si>
    <t>4356mo</t>
  </si>
  <si>
    <t>1543539</t>
  </si>
  <si>
    <t>4377ML</t>
  </si>
  <si>
    <t>41J076</t>
  </si>
  <si>
    <t>9002297</t>
  </si>
  <si>
    <t>ELENA CANO CONESA</t>
  </si>
  <si>
    <t>ecano008</t>
  </si>
  <si>
    <t>ecano008@ec.sitel.com</t>
  </si>
  <si>
    <t>sitel.ecano</t>
  </si>
  <si>
    <t>ecano</t>
  </si>
  <si>
    <t>41J011</t>
  </si>
  <si>
    <t>9002332</t>
  </si>
  <si>
    <t>SARAY MUÑOZ ALBENCAS</t>
  </si>
  <si>
    <t>smuno017</t>
  </si>
  <si>
    <t>smuno017@ec.sitel.com</t>
  </si>
  <si>
    <t>smunoza</t>
  </si>
  <si>
    <t>9000555</t>
  </si>
  <si>
    <t>CARMEN MUÑOZ MATEO</t>
  </si>
  <si>
    <t>cmuno047</t>
  </si>
  <si>
    <t>cmuno047@ec.sitel.com</t>
  </si>
  <si>
    <t>cmunozm</t>
  </si>
  <si>
    <t>41G551</t>
  </si>
  <si>
    <t>9001307</t>
  </si>
  <si>
    <t>JUAN MANUEL MARQUEZ ROSADO</t>
  </si>
  <si>
    <t>jmarq061</t>
  </si>
  <si>
    <t>jmarq061@ec.sitel.com</t>
  </si>
  <si>
    <t>41J774</t>
  </si>
  <si>
    <t>9002267</t>
  </si>
  <si>
    <t>ELENA TORRALBO AUGUSTO</t>
  </si>
  <si>
    <t>41J068</t>
  </si>
  <si>
    <t>9002848</t>
  </si>
  <si>
    <t xml:space="preserve">INNA VODOREZOVA </t>
  </si>
  <si>
    <t>41J058</t>
  </si>
  <si>
    <t>9002844</t>
  </si>
  <si>
    <t xml:space="preserve">FABIO GREGORI </t>
  </si>
  <si>
    <t xml:space="preserve">fgreg005 </t>
  </si>
  <si>
    <t>fgregori</t>
  </si>
  <si>
    <t>7264FG</t>
  </si>
  <si>
    <t>41H112</t>
  </si>
  <si>
    <t>9003484</t>
  </si>
  <si>
    <t xml:space="preserve">STEFANIA FIGLIAMONTI </t>
  </si>
  <si>
    <t>sfigl001</t>
  </si>
  <si>
    <t>sfigl001@ec.sitel.com</t>
  </si>
  <si>
    <t>sitel.sfigliamon</t>
  </si>
  <si>
    <t>sfigliamon</t>
  </si>
  <si>
    <t>41H187</t>
  </si>
  <si>
    <t>9003422</t>
  </si>
  <si>
    <t>MARINA AMORES RODRIGUEZ</t>
  </si>
  <si>
    <t>mamor017</t>
  </si>
  <si>
    <t>mamor017@ec.sitel.com</t>
  </si>
  <si>
    <t>ANTIGÜEDAD</t>
  </si>
  <si>
    <t>SALESFORCE</t>
  </si>
  <si>
    <t>49030315L</t>
  </si>
  <si>
    <t>7177EC</t>
  </si>
  <si>
    <t>28844867S</t>
  </si>
  <si>
    <t>sitel.smunoza</t>
  </si>
  <si>
    <t>7878SM</t>
  </si>
  <si>
    <t>28882370M</t>
  </si>
  <si>
    <t>7405CM</t>
  </si>
  <si>
    <t>77591158Z</t>
  </si>
  <si>
    <t>7239JM</t>
  </si>
  <si>
    <t>45813007C</t>
  </si>
  <si>
    <t>Y1784158Q</t>
  </si>
  <si>
    <t>Y3194945Y</t>
  </si>
  <si>
    <t>Y2939785P</t>
  </si>
  <si>
    <t>28820275X</t>
  </si>
  <si>
    <t>SYR_ITALIANO</t>
  </si>
  <si>
    <t>4387MC</t>
  </si>
  <si>
    <t>MAMORESR</t>
  </si>
  <si>
    <t xml:space="preserve">MIRNA LIS PIEGARI </t>
  </si>
  <si>
    <t>41J722</t>
  </si>
  <si>
    <t>9002616</t>
  </si>
  <si>
    <t>Y1206437D</t>
  </si>
  <si>
    <t>DANIELA PROCOPIO .</t>
  </si>
  <si>
    <t>dproc004</t>
  </si>
  <si>
    <t>dproc004@ec.sitel.com</t>
  </si>
  <si>
    <t>DPROCOPIO</t>
  </si>
  <si>
    <t>41j716</t>
  </si>
  <si>
    <t>9002614</t>
  </si>
  <si>
    <t>28806007W</t>
  </si>
  <si>
    <t>DOMENICA MARVULLI LOPEZ</t>
  </si>
  <si>
    <t>dmarv001</t>
  </si>
  <si>
    <t>dmarv001@ec.sitel.com</t>
  </si>
  <si>
    <t>SYR_ALEMAN</t>
  </si>
  <si>
    <t>JMROSADO</t>
  </si>
  <si>
    <t>4395JV</t>
  </si>
  <si>
    <t>ENTREGADO</t>
  </si>
  <si>
    <t>TRABAJA DESDE EL SITE</t>
  </si>
  <si>
    <t>ILT_09_17</t>
  </si>
  <si>
    <t>DMARVULLI</t>
  </si>
  <si>
    <t>LORENZO BENITO CALPE</t>
  </si>
  <si>
    <t>41L043</t>
  </si>
  <si>
    <t>X2778356W</t>
  </si>
  <si>
    <t xml:space="preserve">RITA DE CASSIA OLIVEIRA </t>
  </si>
  <si>
    <t>roliv056</t>
  </si>
  <si>
    <t>41Q487</t>
  </si>
  <si>
    <t>Y9548166Y</t>
  </si>
  <si>
    <t xml:space="preserve">VIRGINIA ANTONIAZZI </t>
  </si>
  <si>
    <t>654 157 132</t>
  </si>
  <si>
    <t>vanto013</t>
  </si>
  <si>
    <t>VANTONIAZZI</t>
  </si>
  <si>
    <t>41Q491</t>
  </si>
  <si>
    <t>Y6575562Z</t>
  </si>
  <si>
    <t xml:space="preserve">ROSELEI SANT ANA </t>
  </si>
  <si>
    <t>rsant309</t>
  </si>
  <si>
    <t>rsant309@ec.sitel.com</t>
  </si>
  <si>
    <t>RSANTANA</t>
  </si>
  <si>
    <t>4400RS</t>
  </si>
  <si>
    <t>41Q494</t>
  </si>
  <si>
    <t>05306854H</t>
  </si>
  <si>
    <t>LAURA PEREZ CANAL</t>
  </si>
  <si>
    <t>lpere230</t>
  </si>
  <si>
    <t>lpere230@ec.sitel.com</t>
  </si>
  <si>
    <t>LPEREZC</t>
  </si>
  <si>
    <t>4404LP</t>
  </si>
  <si>
    <t>41G947</t>
  </si>
  <si>
    <t>41M406</t>
  </si>
  <si>
    <t>41M694</t>
  </si>
  <si>
    <t>41M708</t>
  </si>
  <si>
    <t>41C733</t>
  </si>
  <si>
    <t>41A258</t>
  </si>
  <si>
    <t>soraya.ramosparedes@sitel.com</t>
  </si>
  <si>
    <t>14615194M</t>
  </si>
  <si>
    <t>ANTONIO MACIAS SEDEÑO</t>
  </si>
  <si>
    <t>amaci025</t>
  </si>
  <si>
    <t>amaci025@ec.sitel.com</t>
  </si>
  <si>
    <t>AMACIAS</t>
  </si>
  <si>
    <t>4433AM</t>
  </si>
  <si>
    <t>79075580Q</t>
  </si>
  <si>
    <t>LAZARO AHMED DAUD CORBELLE</t>
  </si>
  <si>
    <t>ldaud002</t>
  </si>
  <si>
    <t>ldaud002@ec.sitel.com</t>
  </si>
  <si>
    <t>LAHMED</t>
  </si>
  <si>
    <t>4434LD</t>
  </si>
  <si>
    <t>28803738X</t>
  </si>
  <si>
    <t>MARIA ELISA DOMINGO OLIVAR</t>
  </si>
  <si>
    <t>mdomi111</t>
  </si>
  <si>
    <t>mdomi111@ec.sitel.com</t>
  </si>
  <si>
    <t>MDOMINGO</t>
  </si>
  <si>
    <t>4435MD</t>
  </si>
  <si>
    <t>53771459N</t>
  </si>
  <si>
    <t>ALEXANDRA CRUZ NAVAS</t>
  </si>
  <si>
    <t>ocruz002</t>
  </si>
  <si>
    <t>ocruz002@ec.sitel.com</t>
  </si>
  <si>
    <t>ACRUZN</t>
  </si>
  <si>
    <t>X8400041G</t>
  </si>
  <si>
    <t xml:space="preserve">ANA MARIA VLADA </t>
  </si>
  <si>
    <t>avlad002</t>
  </si>
  <si>
    <t>avlad002@ec.sitel.com</t>
  </si>
  <si>
    <t>AVLADA</t>
  </si>
  <si>
    <t>4415AV</t>
  </si>
  <si>
    <t>28896366V</t>
  </si>
  <si>
    <t>MARIA CONCEPCION REVUELTA BELLIDO</t>
  </si>
  <si>
    <t>mrevu002</t>
  </si>
  <si>
    <t>mrevu002@ec.sitel.com</t>
  </si>
  <si>
    <t>CREVUELT</t>
  </si>
  <si>
    <t>4417MR</t>
  </si>
  <si>
    <t>28768921S</t>
  </si>
  <si>
    <t>VANESSA RINCON LOPEZ</t>
  </si>
  <si>
    <t>vrinc001</t>
  </si>
  <si>
    <t>vrinc001@ec.sitel.com</t>
  </si>
  <si>
    <t>VRINCON</t>
  </si>
  <si>
    <t>4418VR</t>
  </si>
  <si>
    <t>48814016N</t>
  </si>
  <si>
    <t>ARANZAZU ARREVOLA MATEOS</t>
  </si>
  <si>
    <t>aarre013</t>
  </si>
  <si>
    <t>aarre013@ec.sitel.com</t>
  </si>
  <si>
    <t>AAREVOLA</t>
  </si>
  <si>
    <t>4419AA</t>
  </si>
  <si>
    <t>11429584X</t>
  </si>
  <si>
    <t>ISABEL TORAL POZO</t>
  </si>
  <si>
    <t>itora002</t>
  </si>
  <si>
    <t>itora002@ec.sitel.com</t>
  </si>
  <si>
    <t>ITORAL</t>
  </si>
  <si>
    <t>4428IT</t>
  </si>
  <si>
    <t>OW/AJB</t>
  </si>
  <si>
    <t>ATENCION PERSONAL/FELICITACIONES/SUGERENCIA/AGRADECIMIENTO</t>
  </si>
  <si>
    <t>PMR/LESIONADOS/INTOX</t>
  </si>
  <si>
    <t>TASAS CHILE</t>
  </si>
  <si>
    <t>BONOS</t>
  </si>
  <si>
    <t>ANAC</t>
  </si>
  <si>
    <t>EBONOS</t>
  </si>
  <si>
    <t>41B195</t>
  </si>
  <si>
    <t>41B837</t>
  </si>
  <si>
    <t>41E756</t>
  </si>
  <si>
    <t>41G614</t>
  </si>
  <si>
    <t>41F126</t>
  </si>
  <si>
    <t>41H094</t>
  </si>
  <si>
    <t>41I922</t>
  </si>
  <si>
    <t>41J039</t>
  </si>
  <si>
    <t>28W616</t>
  </si>
  <si>
    <t>41H106</t>
  </si>
  <si>
    <t>malbe004</t>
  </si>
  <si>
    <t>malbe004@ec.sitel.com</t>
  </si>
  <si>
    <t>mcalbeldag</t>
  </si>
  <si>
    <t>28782300P</t>
  </si>
  <si>
    <t>jpere006</t>
  </si>
  <si>
    <t>jrperezr</t>
  </si>
  <si>
    <t>4112JP</t>
  </si>
  <si>
    <t>29494791M</t>
  </si>
  <si>
    <t>cmore006</t>
  </si>
  <si>
    <t>cristianjose.moreno@sitel.com</t>
  </si>
  <si>
    <t>cjmorenob</t>
  </si>
  <si>
    <t>29802846K</t>
  </si>
  <si>
    <t>jdeni002</t>
  </si>
  <si>
    <t>jesus.denizprados@sitel.com</t>
  </si>
  <si>
    <t>jdeniz</t>
  </si>
  <si>
    <t>28735033Y</t>
  </si>
  <si>
    <t>ANTONIO GUERRERO PAYAN</t>
  </si>
  <si>
    <t>aguer022</t>
  </si>
  <si>
    <t>aguerrerop</t>
  </si>
  <si>
    <t>5511AG</t>
  </si>
  <si>
    <t>30267304V</t>
  </si>
  <si>
    <t>ibaez001</t>
  </si>
  <si>
    <t>ivan.baeza@sitel.com</t>
  </si>
  <si>
    <t>ibaezaa</t>
  </si>
  <si>
    <t>lrosa003</t>
  </si>
  <si>
    <t>lrosa003@ec.sitel.com</t>
  </si>
  <si>
    <t>lrosa</t>
  </si>
  <si>
    <t>4184LR</t>
  </si>
  <si>
    <t>mcent011</t>
  </si>
  <si>
    <t>mcent011@ec.sitel.com</t>
  </si>
  <si>
    <t>mccenteno</t>
  </si>
  <si>
    <t>4226MC</t>
  </si>
  <si>
    <t>dcont001</t>
  </si>
  <si>
    <t>dcont001@ec.sitel.com</t>
  </si>
  <si>
    <t>dcontrerasp</t>
  </si>
  <si>
    <t>5048DC</t>
  </si>
  <si>
    <t>aorte003</t>
  </si>
  <si>
    <t>aorte003@ec.sitel.com</t>
  </si>
  <si>
    <t>aortega</t>
  </si>
  <si>
    <t>5040AO</t>
  </si>
  <si>
    <t>mgame005</t>
  </si>
  <si>
    <t>mgame005@ec.sitel.com</t>
  </si>
  <si>
    <t>migameroe</t>
  </si>
  <si>
    <t>bcarm006</t>
  </si>
  <si>
    <t>bcarm006@ec.sitel.com</t>
  </si>
  <si>
    <t>bcarmonaf</t>
  </si>
  <si>
    <t>5156BC</t>
  </si>
  <si>
    <t>eaven003</t>
  </si>
  <si>
    <t>eaven003@ec.sitel.com</t>
  </si>
  <si>
    <t>eaventa</t>
  </si>
  <si>
    <t>4090EA</t>
  </si>
  <si>
    <t>mtorr137</t>
  </si>
  <si>
    <t>mtorr137@ec.sitel.com</t>
  </si>
  <si>
    <t>mdtorres</t>
  </si>
  <si>
    <t>4267MT</t>
  </si>
  <si>
    <t>mcolo012</t>
  </si>
  <si>
    <t>mcolo012@ec.sitel.com</t>
  </si>
  <si>
    <t>mjcolomerg</t>
  </si>
  <si>
    <t xml:space="preserve">4316MC </t>
  </si>
  <si>
    <t>agavi006</t>
  </si>
  <si>
    <t>agavi006@ec.sitel.com</t>
  </si>
  <si>
    <t>amgavira</t>
  </si>
  <si>
    <t>5063AG</t>
  </si>
  <si>
    <t>mmart049</t>
  </si>
  <si>
    <t>mmart049@ec.sitel.com</t>
  </si>
  <si>
    <t>mpmartinez</t>
  </si>
  <si>
    <t>4204MM</t>
  </si>
  <si>
    <t>arosa027</t>
  </si>
  <si>
    <t>arosa027@ec.sitel.com</t>
  </si>
  <si>
    <t>arosalu</t>
  </si>
  <si>
    <t>aacqu002</t>
  </si>
  <si>
    <t>aacqu002@ec.sitel.com</t>
  </si>
  <si>
    <t>aacqualagna</t>
  </si>
  <si>
    <t>2160AA</t>
  </si>
  <si>
    <t>amont141</t>
  </si>
  <si>
    <t>amontoya</t>
  </si>
  <si>
    <t>4290AM</t>
  </si>
  <si>
    <t>mcarr109</t>
  </si>
  <si>
    <t>mcarr109@ec.sitel.com</t>
  </si>
  <si>
    <t>acarrillo</t>
  </si>
  <si>
    <t>4080MC</t>
  </si>
  <si>
    <t>aguar018</t>
  </si>
  <si>
    <t>sitel.aguarini</t>
  </si>
  <si>
    <t>aguarini</t>
  </si>
  <si>
    <t>klese003</t>
  </si>
  <si>
    <t>klese003@ec.sitel.com</t>
  </si>
  <si>
    <t>kleseille</t>
  </si>
  <si>
    <t>4234KL</t>
  </si>
  <si>
    <t>30229164B</t>
  </si>
  <si>
    <t>avill090</t>
  </si>
  <si>
    <t>ana.villena@sitel.com</t>
  </si>
  <si>
    <t>avillena</t>
  </si>
  <si>
    <t>30244114B</t>
  </si>
  <si>
    <t>avarg032</t>
  </si>
  <si>
    <t>antoniomanuel.vargas@sitel.com</t>
  </si>
  <si>
    <t>amvargash</t>
  </si>
  <si>
    <t>5496AV</t>
  </si>
  <si>
    <t>47345935k</t>
  </si>
  <si>
    <t>lmori004</t>
  </si>
  <si>
    <t>luna.morillo@sitel.com</t>
  </si>
  <si>
    <t>lmorillo</t>
  </si>
  <si>
    <t>31729703F</t>
  </si>
  <si>
    <t>janto022</t>
  </si>
  <si>
    <t>joseantonio.camacho@sitel.com</t>
  </si>
  <si>
    <t>JACAMACHOR</t>
  </si>
  <si>
    <t>27311011Y</t>
  </si>
  <si>
    <t>BEATRIZ MORALES TEJADA</t>
  </si>
  <si>
    <t>bmora031</t>
  </si>
  <si>
    <t>beatriz.morales@sitel.com</t>
  </si>
  <si>
    <t>bmorales</t>
  </si>
  <si>
    <t>ehern050</t>
  </si>
  <si>
    <t>ehern050@ec.sitel.com</t>
  </si>
  <si>
    <t>ehernandez</t>
  </si>
  <si>
    <t>egall023</t>
  </si>
  <si>
    <t>egall023@ec.sitel.com</t>
  </si>
  <si>
    <t>sitel.emgallego</t>
  </si>
  <si>
    <t>egallegod</t>
  </si>
  <si>
    <t>5829EG</t>
  </si>
  <si>
    <t>amore062</t>
  </si>
  <si>
    <t>amore062@ec.sitel.com</t>
  </si>
  <si>
    <t>sitel.amoreno</t>
  </si>
  <si>
    <t>amorenos</t>
  </si>
  <si>
    <t>5345AM</t>
  </si>
  <si>
    <t>cvazq011</t>
  </si>
  <si>
    <t>cvazquezm</t>
  </si>
  <si>
    <t>4185CV</t>
  </si>
  <si>
    <t>misab006</t>
  </si>
  <si>
    <t>misab006@ec.sitel.com</t>
  </si>
  <si>
    <t>miplazas</t>
  </si>
  <si>
    <t>4110MP</t>
  </si>
  <si>
    <t>moliv010</t>
  </si>
  <si>
    <t>moliv010@ec.sitel.com</t>
  </si>
  <si>
    <t>moliverg</t>
  </si>
  <si>
    <t>4191MO</t>
  </si>
  <si>
    <t>cmart023</t>
  </si>
  <si>
    <t>cmartosp</t>
  </si>
  <si>
    <t>cfern119</t>
  </si>
  <si>
    <t>cfern119@ec.sitel.com</t>
  </si>
  <si>
    <t>sitel.cfernandez</t>
  </si>
  <si>
    <t>cfernandezg</t>
  </si>
  <si>
    <t>7989CF</t>
  </si>
  <si>
    <t>crosa038</t>
  </si>
  <si>
    <t>crosa038@ec.sitel.com</t>
  </si>
  <si>
    <t>crosadoa</t>
  </si>
  <si>
    <t>7904CR</t>
  </si>
  <si>
    <t>gtess001</t>
  </si>
  <si>
    <t>gtessari</t>
  </si>
  <si>
    <t>alope240</t>
  </si>
  <si>
    <t>alope240@ec.sitel.com</t>
  </si>
  <si>
    <t>alopezlo</t>
  </si>
  <si>
    <t>4118AL</t>
  </si>
  <si>
    <t>Mmart301</t>
  </si>
  <si>
    <t>mmart301@ec.sitel.com</t>
  </si>
  <si>
    <t>mmartinezf</t>
  </si>
  <si>
    <t>4168MM</t>
  </si>
  <si>
    <t>cmall013</t>
  </si>
  <si>
    <t>cmall013@ec.sitel.com</t>
  </si>
  <si>
    <t>sitel.cmallet</t>
  </si>
  <si>
    <t>cmallet</t>
  </si>
  <si>
    <t>daren002</t>
  </si>
  <si>
    <t>daren002@ec.sitel.com</t>
  </si>
  <si>
    <t>darenash</t>
  </si>
  <si>
    <t>4098DA</t>
  </si>
  <si>
    <t>bdelu003</t>
  </si>
  <si>
    <t>beluquej</t>
  </si>
  <si>
    <t>farag001</t>
  </si>
  <si>
    <t>farag001@ec.sitel.com</t>
  </si>
  <si>
    <t>fjaragona</t>
  </si>
  <si>
    <t>4195FA</t>
  </si>
  <si>
    <t>amate008</t>
  </si>
  <si>
    <t>amate008@ec.sitel.com</t>
  </si>
  <si>
    <t>sitel.amateo</t>
  </si>
  <si>
    <t>amateos</t>
  </si>
  <si>
    <t>amuno050</t>
  </si>
  <si>
    <t>amuno050@ec.sitel.com</t>
  </si>
  <si>
    <t>sitel.aimunoz</t>
  </si>
  <si>
    <t>amunozg</t>
  </si>
  <si>
    <t>adel028</t>
  </si>
  <si>
    <t>adel028@ec.sitel.com</t>
  </si>
  <si>
    <t>acuetom</t>
  </si>
  <si>
    <t>4075AD</t>
  </si>
  <si>
    <t>jgand010</t>
  </si>
  <si>
    <t>jgand010@ec.sitel.com</t>
  </si>
  <si>
    <t>jgandertg</t>
  </si>
  <si>
    <t>4019JG</t>
  </si>
  <si>
    <t>cdemo008</t>
  </si>
  <si>
    <t>cdemo008@ec.sitel.com</t>
  </si>
  <si>
    <t>cdmorais</t>
  </si>
  <si>
    <t>4070CD</t>
  </si>
  <si>
    <t>jpari004</t>
  </si>
  <si>
    <t>jpari004@ec.sitel.com</t>
  </si>
  <si>
    <t>jparienter</t>
  </si>
  <si>
    <t>52377426D</t>
  </si>
  <si>
    <t>adiaz061</t>
  </si>
  <si>
    <t>anamaria.diazpura@sitel.com</t>
  </si>
  <si>
    <t>adpura</t>
  </si>
  <si>
    <t>07953642N</t>
  </si>
  <si>
    <t>lbeni007</t>
  </si>
  <si>
    <t>lorenzo.benito@sitel.com</t>
  </si>
  <si>
    <t>LMBENITO</t>
  </si>
  <si>
    <t>everd011</t>
  </si>
  <si>
    <t>everd011@ec.sitel.com</t>
  </si>
  <si>
    <t>everdu</t>
  </si>
  <si>
    <t>4274EV</t>
  </si>
  <si>
    <t>41Q591</t>
  </si>
  <si>
    <t>41C002</t>
  </si>
  <si>
    <t>77810696V</t>
  </si>
  <si>
    <t>CRISTINA CARMONA CABALLERO</t>
  </si>
  <si>
    <t>ccarm008</t>
  </si>
  <si>
    <t>ccarm008@ec.sitel.com</t>
  </si>
  <si>
    <t>41C860</t>
  </si>
  <si>
    <t>27321859K</t>
  </si>
  <si>
    <t>FRANCISCO JAVIER ALMAGRO JIMENEZ</t>
  </si>
  <si>
    <t>falma007</t>
  </si>
  <si>
    <t>falma007@ec.sitel.com</t>
  </si>
  <si>
    <t>41M665</t>
  </si>
  <si>
    <t>28927984X</t>
  </si>
  <si>
    <t>ANTONIO JESUS VELAZQUEZ JIMENEZ</t>
  </si>
  <si>
    <t>avela089</t>
  </si>
  <si>
    <t>avela089@ec.sitel.com</t>
  </si>
  <si>
    <t>44095031Y</t>
  </si>
  <si>
    <t xml:space="preserve">ELISABETH DA FONSECA </t>
  </si>
  <si>
    <t>644 422 094</t>
  </si>
  <si>
    <t>edafo002</t>
  </si>
  <si>
    <t>edafo002@ec.sitel.com</t>
  </si>
  <si>
    <t>sitel.mrodrigue1</t>
  </si>
  <si>
    <t>sitel.mborga</t>
  </si>
  <si>
    <t>sitel.mtorres</t>
  </si>
  <si>
    <t>sitel.lmorillo</t>
  </si>
  <si>
    <t>sitel.dgarcia</t>
  </si>
  <si>
    <t>sitel.xhernandez</t>
  </si>
  <si>
    <t>sitel.vtorres</t>
  </si>
  <si>
    <t>sitel.vmmotilla</t>
  </si>
  <si>
    <t>sitel.mpmartin</t>
  </si>
  <si>
    <t>sitel.psanchez</t>
  </si>
  <si>
    <t>sitel.brey</t>
  </si>
  <si>
    <t>sitel.cmargotto</t>
  </si>
  <si>
    <t>sitel.dprocopio</t>
  </si>
  <si>
    <t>sitel.rcassiao</t>
  </si>
  <si>
    <t>sitel.vantoniazz</t>
  </si>
  <si>
    <t>sitel.ladaud</t>
  </si>
  <si>
    <t>13_21</t>
  </si>
  <si>
    <t>sitel.mcrevuelta</t>
  </si>
  <si>
    <t>sitel.itoral</t>
  </si>
  <si>
    <t>sitel.everdu</t>
  </si>
  <si>
    <t>sitel.ajvelazque</t>
  </si>
  <si>
    <t>sitel.edafonseca</t>
  </si>
  <si>
    <t>EDAFONSECA</t>
  </si>
  <si>
    <t>4444ED</t>
  </si>
  <si>
    <t>41K377</t>
  </si>
  <si>
    <t>29543264V</t>
  </si>
  <si>
    <t>TANYA JASMINA ASSIMI CRUZ</t>
  </si>
  <si>
    <t>681 665 756</t>
  </si>
  <si>
    <t>tassi007</t>
  </si>
  <si>
    <t>sitel.tjassimi</t>
  </si>
  <si>
    <t>02777901F</t>
  </si>
  <si>
    <t>ANGELICA VALVERDE PALOMINO</t>
  </si>
  <si>
    <t>667 351 853</t>
  </si>
  <si>
    <t>avalv008</t>
  </si>
  <si>
    <t>avalv008@ec.sitel.com</t>
  </si>
  <si>
    <t>sitel.avalverde</t>
  </si>
  <si>
    <t>77870934H</t>
  </si>
  <si>
    <t>BELEN RUIZ SANCHEZ</t>
  </si>
  <si>
    <t>656 254 452</t>
  </si>
  <si>
    <t>bruiz031</t>
  </si>
  <si>
    <t>Y9873554J</t>
  </si>
  <si>
    <t xml:space="preserve">CONCETTA POZZOLUNGO </t>
  </si>
  <si>
    <t>621 002 973</t>
  </si>
  <si>
    <t>cpozz003</t>
  </si>
  <si>
    <t>cpozz003@ec.sitel.com</t>
  </si>
  <si>
    <t>sitel.cpozzolung</t>
  </si>
  <si>
    <t>EDUARDO GARCIA LUENGO</t>
  </si>
  <si>
    <t>41Q621</t>
  </si>
  <si>
    <t>41H096</t>
  </si>
  <si>
    <t>44017570D</t>
  </si>
  <si>
    <t>RICARDO GUTIERREZ JAPON</t>
  </si>
  <si>
    <t>rguti059</t>
  </si>
  <si>
    <t>rguti059@ec.sitel.com</t>
  </si>
  <si>
    <t>SITEL.RGUTIERREZ</t>
  </si>
  <si>
    <t>RGUTIERREZ</t>
  </si>
  <si>
    <t>7155RG</t>
  </si>
  <si>
    <t>41B571</t>
  </si>
  <si>
    <t>77810587T</t>
  </si>
  <si>
    <t>MIGUEL ANGEL CERRATO GOMEZ</t>
  </si>
  <si>
    <t>645 538 980</t>
  </si>
  <si>
    <t>mcerr013</t>
  </si>
  <si>
    <t>mcerr013@ec.sitel.com</t>
  </si>
  <si>
    <t>41M689</t>
  </si>
  <si>
    <t>44243029E</t>
  </si>
  <si>
    <t>PEDRO MARTINEZ DOMINGUEZ</t>
  </si>
  <si>
    <t>649 969 587</t>
  </si>
  <si>
    <t>pmart132</t>
  </si>
  <si>
    <t>pmart132@ec.sitel.com</t>
  </si>
  <si>
    <t>7573PM</t>
  </si>
  <si>
    <t>41Q672</t>
  </si>
  <si>
    <t>41Q674</t>
  </si>
  <si>
    <t>41Q671</t>
  </si>
  <si>
    <t>28831805V</t>
  </si>
  <si>
    <t>ALVARO ALCARAZ MARTIN</t>
  </si>
  <si>
    <t>691 785 885</t>
  </si>
  <si>
    <t>aalca063</t>
  </si>
  <si>
    <t>aalca063@ec.sitel.com</t>
  </si>
  <si>
    <t>Y6536950L</t>
  </si>
  <si>
    <t xml:space="preserve">GIUSEPPE BRIGIDA </t>
  </si>
  <si>
    <t>666 284 725</t>
  </si>
  <si>
    <t>gbrig006</t>
  </si>
  <si>
    <t>gbrig006@ec.sitel.com</t>
  </si>
  <si>
    <t>31014901E</t>
  </si>
  <si>
    <t>MARTA GOMEZ MEDRAN</t>
  </si>
  <si>
    <t>661 548 544</t>
  </si>
  <si>
    <t>mgome355</t>
  </si>
  <si>
    <t>77861811A</t>
  </si>
  <si>
    <t>677 364 803</t>
  </si>
  <si>
    <t>jdelt004</t>
  </si>
  <si>
    <t>jdelt004@ec.sitel.com</t>
  </si>
  <si>
    <t>41B950</t>
  </si>
  <si>
    <t>48962939X</t>
  </si>
  <si>
    <t>JOSE CARLOS MUÑOZ BERNAL</t>
  </si>
  <si>
    <t>jmuno247</t>
  </si>
  <si>
    <t>jmuno247@ec.sitel.com</t>
  </si>
  <si>
    <t>JCBERNAL</t>
  </si>
  <si>
    <t>7284JM</t>
  </si>
  <si>
    <t>28744008B</t>
  </si>
  <si>
    <t>CARLOS CIPRIANO VAZQUEZ LLAGA</t>
  </si>
  <si>
    <t>cvazq018</t>
  </si>
  <si>
    <t>cvazq018@ec.sitel.com</t>
  </si>
  <si>
    <t>CVAZQUEZ</t>
  </si>
  <si>
    <t>7947CV</t>
  </si>
  <si>
    <t>28584887G</t>
  </si>
  <si>
    <t>IRENE MARIA RAMOS MOLINI</t>
  </si>
  <si>
    <t>iramo037</t>
  </si>
  <si>
    <t>iramo037@ec.sitel.com</t>
  </si>
  <si>
    <t>IRAMOS</t>
  </si>
  <si>
    <t>41M630</t>
  </si>
  <si>
    <t>30539394V</t>
  </si>
  <si>
    <t>BELEN CARO GODOY</t>
  </si>
  <si>
    <t>bcaro005</t>
  </si>
  <si>
    <t>bcaro005@ec.sitel.com</t>
  </si>
  <si>
    <t>BCARO</t>
  </si>
  <si>
    <t>7618BC</t>
  </si>
  <si>
    <t>28783888D</t>
  </si>
  <si>
    <t>JOSE LUIS TIRADO RAMOS</t>
  </si>
  <si>
    <t>jtira001</t>
  </si>
  <si>
    <t>jtira001@ec.sitel.com</t>
  </si>
  <si>
    <t>JLTIRADO</t>
  </si>
  <si>
    <t>41B787</t>
  </si>
  <si>
    <t>28917294S</t>
  </si>
  <si>
    <t>Mª VICTORIA SANCHEZ LOPEZ</t>
  </si>
  <si>
    <t>msanc329</t>
  </si>
  <si>
    <t>msanc329@ec.sitel.com</t>
  </si>
  <si>
    <t>MVSANCHEZ</t>
  </si>
  <si>
    <t>7710MS</t>
  </si>
  <si>
    <t>REEMBOLSOS JURIDICO</t>
  </si>
  <si>
    <t>patricia.martinez@sitel.com</t>
  </si>
  <si>
    <t>Belen.DeLuqueJimenez@sitel.com</t>
  </si>
  <si>
    <t>FJALMAGRO</t>
  </si>
  <si>
    <t>AJVELAZQUE</t>
  </si>
  <si>
    <t>4101AV</t>
  </si>
  <si>
    <t>AALCARAZM</t>
  </si>
  <si>
    <t>4030AA</t>
  </si>
  <si>
    <t>GBRIGIDA</t>
  </si>
  <si>
    <t>4049GB</t>
  </si>
  <si>
    <t>41Q754</t>
  </si>
  <si>
    <t>MGOMEZM</t>
  </si>
  <si>
    <t>JDELTORO</t>
  </si>
  <si>
    <t>TJASSIMI</t>
  </si>
  <si>
    <t>MACERRATO</t>
  </si>
  <si>
    <t>PMARTINEZD</t>
  </si>
  <si>
    <t>MBRUIZS</t>
  </si>
  <si>
    <t>AVALVERDEP</t>
  </si>
  <si>
    <t>41Q751</t>
  </si>
  <si>
    <t>41Q752</t>
  </si>
  <si>
    <t>41Q753</t>
  </si>
  <si>
    <t>28582174M</t>
  </si>
  <si>
    <t>JUAN MANUEL NARANJO ALFONSO</t>
  </si>
  <si>
    <t>687 004 527</t>
  </si>
  <si>
    <t>jnara001</t>
  </si>
  <si>
    <t>jnara001@ec.sitel.com</t>
  </si>
  <si>
    <t>JMNARANJO</t>
  </si>
  <si>
    <t>34741856B</t>
  </si>
  <si>
    <t>SILVIA GONZALEZ SANCHEZ</t>
  </si>
  <si>
    <t>678 909 068</t>
  </si>
  <si>
    <t>sgonz006</t>
  </si>
  <si>
    <t>sgonz006@ec.sitel.com</t>
  </si>
  <si>
    <t>SGSANCHEZ</t>
  </si>
  <si>
    <t>7271SG</t>
  </si>
  <si>
    <t>41N985</t>
  </si>
  <si>
    <t>52286926Z</t>
  </si>
  <si>
    <t>ANA MARIA BARRERA ESPADA</t>
  </si>
  <si>
    <t>abarr283</t>
  </si>
  <si>
    <t>abarr283@ec.sitel.com</t>
  </si>
  <si>
    <t>Y8182472Y</t>
  </si>
  <si>
    <t xml:space="preserve">LUISSANDRA PINTO </t>
  </si>
  <si>
    <t>lpint023</t>
  </si>
  <si>
    <t>lpint023@ec.sitel.com</t>
  </si>
  <si>
    <t>SITEL.lpinto</t>
  </si>
  <si>
    <t>30271412P</t>
  </si>
  <si>
    <t>LAURA MIFFUT SAAVEDRA</t>
  </si>
  <si>
    <t>674 834 156</t>
  </si>
  <si>
    <t>lmiff002</t>
  </si>
  <si>
    <t>lmiff002@ec.sitel.com</t>
  </si>
  <si>
    <t>SITEL.lmiffut</t>
  </si>
  <si>
    <t>41Q815</t>
  </si>
  <si>
    <t>41Q813</t>
  </si>
  <si>
    <t>41B024</t>
  </si>
  <si>
    <t>41B892</t>
  </si>
  <si>
    <t>41E400</t>
  </si>
  <si>
    <t>41Q850</t>
  </si>
  <si>
    <t>41Q843</t>
  </si>
  <si>
    <t>31-08-22022</t>
  </si>
  <si>
    <t>28743525B</t>
  </si>
  <si>
    <t>CARMEN GUERRERO OYOLA</t>
  </si>
  <si>
    <t>cguer055</t>
  </si>
  <si>
    <t>cguer055@ec.sitel.com</t>
  </si>
  <si>
    <t>45658356H</t>
  </si>
  <si>
    <t>CONCEPCION CESAR MARISCAL</t>
  </si>
  <si>
    <t>ccesa001</t>
  </si>
  <si>
    <t>ccesa001@ec.sitel.com</t>
  </si>
  <si>
    <t>CCESA</t>
  </si>
  <si>
    <t>77804799P</t>
  </si>
  <si>
    <t>FERNANDO RUIZ RODRIGUEZ</t>
  </si>
  <si>
    <t>fruiz002</t>
  </si>
  <si>
    <t>fruiz002@ec.sitel.com</t>
  </si>
  <si>
    <t>FRUIZ</t>
  </si>
  <si>
    <t>28601581T</t>
  </si>
  <si>
    <t>JOSE ANTONIO RIVERO TRIGO</t>
  </si>
  <si>
    <t>jrive193</t>
  </si>
  <si>
    <t>jrive193@ec.sitel.com</t>
  </si>
  <si>
    <t>JARIVERO</t>
  </si>
  <si>
    <t>28735479S</t>
  </si>
  <si>
    <t>JOSE LUIS VIA GARCIA</t>
  </si>
  <si>
    <t>jviag002</t>
  </si>
  <si>
    <t>jviag002@ec.sitel.com</t>
  </si>
  <si>
    <t>JLVIA</t>
  </si>
  <si>
    <t>44609195M</t>
  </si>
  <si>
    <t>MARIA JOSE FERNANDEZ MORENO</t>
  </si>
  <si>
    <t>mfern324</t>
  </si>
  <si>
    <t>mfern324@ec.sitel.com</t>
  </si>
  <si>
    <t>28797649Q</t>
  </si>
  <si>
    <t>ROCIO MAGALLANES ARCENEGUI</t>
  </si>
  <si>
    <t>rmaga027</t>
  </si>
  <si>
    <t>rmaga027@ec.sitel.com</t>
  </si>
  <si>
    <t>RMAGALLANE</t>
  </si>
  <si>
    <t>SORAYA GALLEGO GARRIDO</t>
  </si>
  <si>
    <t>sgall051</t>
  </si>
  <si>
    <t>sgall051@ec.sitel.com</t>
  </si>
  <si>
    <t>31003006H</t>
  </si>
  <si>
    <t>ELISABET MORALES PORTILLO</t>
  </si>
  <si>
    <t>677 889 674</t>
  </si>
  <si>
    <t>emora152</t>
  </si>
  <si>
    <t>emora152@ec.sitel.com</t>
  </si>
  <si>
    <t>SITEL.emorales</t>
  </si>
  <si>
    <t>20185232H</t>
  </si>
  <si>
    <t>NAIARA ALVAREZ ANSEDE</t>
  </si>
  <si>
    <t>649 614 367</t>
  </si>
  <si>
    <t>nalva054</t>
  </si>
  <si>
    <t>nalva054@ec.sitel.com</t>
  </si>
  <si>
    <t>X9006705C</t>
  </si>
  <si>
    <t xml:space="preserve">TETYANA VINNITSKA </t>
  </si>
  <si>
    <t>662 039 277</t>
  </si>
  <si>
    <t>tvinn002</t>
  </si>
  <si>
    <t>tvinn002@ec.sitel.com</t>
  </si>
  <si>
    <t>victorjose.bastida@sitel.com</t>
  </si>
  <si>
    <t>AMBARRERA</t>
  </si>
  <si>
    <t>4460AB</t>
  </si>
  <si>
    <t>LPINTO</t>
  </si>
  <si>
    <t>4375LP</t>
  </si>
  <si>
    <t>LMIFFUT</t>
  </si>
  <si>
    <t>7596FR</t>
  </si>
  <si>
    <t>SITEL.SGALLEGO</t>
  </si>
  <si>
    <t>SGALLEGO</t>
  </si>
  <si>
    <t>EMORALES</t>
  </si>
  <si>
    <t>4235EM</t>
  </si>
  <si>
    <t>NALVAREZ</t>
  </si>
  <si>
    <t>41B665</t>
  </si>
  <si>
    <t>28907299W</t>
  </si>
  <si>
    <t>MONICA CORTELLA BARRA</t>
  </si>
  <si>
    <t>mcort082</t>
  </si>
  <si>
    <t>mcort082@ec.sitel.com</t>
  </si>
  <si>
    <t>41C480</t>
  </si>
  <si>
    <t>30233272W</t>
  </si>
  <si>
    <t>ISABEL CRUZ GARCIA</t>
  </si>
  <si>
    <t>icruz005</t>
  </si>
  <si>
    <t>icruz005@ec.sitel.com</t>
  </si>
  <si>
    <t>ICRUZ</t>
  </si>
  <si>
    <t>7831IC</t>
  </si>
  <si>
    <t>41Q404</t>
  </si>
  <si>
    <t>48994016Z</t>
  </si>
  <si>
    <t>GUIOMAR DELGADO ARRONIZ</t>
  </si>
  <si>
    <t>gdelg023</t>
  </si>
  <si>
    <t>gdelg023@ec.sitel.com</t>
  </si>
  <si>
    <t>41Q402</t>
  </si>
  <si>
    <t>77932854E</t>
  </si>
  <si>
    <t>CARMEN INES CANTADORE VAN STRAAT MUÑOZ</t>
  </si>
  <si>
    <t>ccant050</t>
  </si>
  <si>
    <t>ccant050@ec.sitel.com</t>
  </si>
  <si>
    <t>41Q854</t>
  </si>
  <si>
    <t>TVINNITSKA</t>
  </si>
  <si>
    <t>4359TV</t>
  </si>
  <si>
    <t>41B797</t>
  </si>
  <si>
    <t>44034794Y</t>
  </si>
  <si>
    <t>ANA ROMAN LOPEZ</t>
  </si>
  <si>
    <t>alope260</t>
  </si>
  <si>
    <t>alope260@ec.sitel.com</t>
  </si>
  <si>
    <t>ARLOPEZ</t>
  </si>
  <si>
    <t>7686AR</t>
  </si>
  <si>
    <t>41F040</t>
  </si>
  <si>
    <t>77587637N</t>
  </si>
  <si>
    <t>CRISTINA SALVADOR-ALMEIDA PAVON</t>
  </si>
  <si>
    <t>calme020</t>
  </si>
  <si>
    <t>calme020@ec.sitel.com</t>
  </si>
  <si>
    <t>SITEL.CESALVADOR</t>
  </si>
  <si>
    <t>CALMEIDAP</t>
  </si>
  <si>
    <t>41J064</t>
  </si>
  <si>
    <t>31864420J</t>
  </si>
  <si>
    <t>LUZ PEÑA CANO</t>
  </si>
  <si>
    <t>lpena036</t>
  </si>
  <si>
    <t>LMPENA</t>
  </si>
  <si>
    <t>7911LP</t>
  </si>
  <si>
    <t>41Q658</t>
  </si>
  <si>
    <t>Y861369T</t>
  </si>
  <si>
    <t>BRUNA SERRANA VALLEJO MENDIETA</t>
  </si>
  <si>
    <t>bvall020</t>
  </si>
  <si>
    <t>bvall020@ec.sitel.com</t>
  </si>
  <si>
    <t>BSERRANA</t>
  </si>
  <si>
    <t>41Q867</t>
  </si>
  <si>
    <t>49132212A</t>
  </si>
  <si>
    <t>ANA BELEN UGENA CORNEJO</t>
  </si>
  <si>
    <t>augen002</t>
  </si>
  <si>
    <t>augen002@ec.sitel.com</t>
  </si>
  <si>
    <t>AUGENA</t>
  </si>
  <si>
    <t>4477MP</t>
  </si>
  <si>
    <t>610 215 643</t>
  </si>
  <si>
    <t>4475CC</t>
  </si>
  <si>
    <t>MARIA JOSE SOLDADO RODRIGUEZ</t>
  </si>
  <si>
    <t>msold002</t>
  </si>
  <si>
    <t>msold002@ec.sitel.com</t>
  </si>
  <si>
    <t>mjsoldador</t>
  </si>
  <si>
    <t>ALBERTO LOPEZ RIVERA</t>
  </si>
  <si>
    <t>dberm004@ec.sitel.com</t>
  </si>
  <si>
    <t>41C040</t>
  </si>
  <si>
    <t>PAOLA ANDREA REYES PRIETO</t>
  </si>
  <si>
    <t>preye032</t>
  </si>
  <si>
    <t>preye032@ec.sitel.com</t>
  </si>
  <si>
    <t>PAREYES</t>
  </si>
  <si>
    <t>7688PR</t>
  </si>
  <si>
    <t>41H326</t>
  </si>
  <si>
    <t>30232859A</t>
  </si>
  <si>
    <t>MARIA REYES CARRASCO ROMERO</t>
  </si>
  <si>
    <t>650 645 290</t>
  </si>
  <si>
    <t>mcarr104</t>
  </si>
  <si>
    <t>mcarr104@ec.sitel.com</t>
  </si>
  <si>
    <t>SITEL.mcarrasco</t>
  </si>
  <si>
    <t>MCARRASCO</t>
  </si>
  <si>
    <t>41G215</t>
  </si>
  <si>
    <t>28844761R</t>
  </si>
  <si>
    <t>alope152</t>
  </si>
  <si>
    <t>alberto.lopez@sitel.com</t>
  </si>
  <si>
    <t>ALOPEZRIVE</t>
  </si>
  <si>
    <t>naiba002@ec.sitel.com</t>
  </si>
  <si>
    <t>MCORTELLA</t>
  </si>
  <si>
    <t>GDELGADOA</t>
  </si>
  <si>
    <t>CCANTADORE</t>
  </si>
  <si>
    <t>30695898Y</t>
  </si>
  <si>
    <t>SONIA SEGURA MORILLO</t>
  </si>
  <si>
    <t>624 839 195</t>
  </si>
  <si>
    <t>ssegu013</t>
  </si>
  <si>
    <t>ssegu013@ec.sitel.com</t>
  </si>
  <si>
    <t>47560138W</t>
  </si>
  <si>
    <t>MIGUEL CASTILLO LIMON</t>
  </si>
  <si>
    <t>641 378 722</t>
  </si>
  <si>
    <t>mcast520</t>
  </si>
  <si>
    <t>mcast520@ec.sitel.com</t>
  </si>
  <si>
    <t>4076JP</t>
  </si>
  <si>
    <t>SSEGURAM</t>
  </si>
  <si>
    <t>4487SS</t>
  </si>
  <si>
    <t>MCASTILLOL</t>
  </si>
  <si>
    <t>4490XZ</t>
  </si>
  <si>
    <t>ALVARO.PEINADORUIZ@sitel.com</t>
  </si>
  <si>
    <t>Patricia.Sanchez@sitel.com</t>
  </si>
  <si>
    <t>Carlo.MargottoSoares@sitel.com</t>
  </si>
  <si>
    <t>41R007</t>
  </si>
  <si>
    <t>41R008</t>
  </si>
  <si>
    <t>CGUERREROO</t>
  </si>
  <si>
    <t>28637768P</t>
  </si>
  <si>
    <t>26821611T</t>
  </si>
  <si>
    <t>637 115 052</t>
  </si>
  <si>
    <t>Y9758745C</t>
  </si>
  <si>
    <t>BETANIA COSTA DE OLIVEIRA</t>
  </si>
  <si>
    <t>722 279 913</t>
  </si>
  <si>
    <t>bcost024</t>
  </si>
  <si>
    <t>bcost024@ec.sitel.com</t>
  </si>
  <si>
    <t>SITEL.bcosta</t>
  </si>
  <si>
    <t>BCOSTA</t>
  </si>
  <si>
    <t>Y8871346F</t>
  </si>
  <si>
    <t>ALYSSON VELOZO BACH</t>
  </si>
  <si>
    <t>600 752 982</t>
  </si>
  <si>
    <t>avelo018</t>
  </si>
  <si>
    <t>avelo018@ec.sitel.com</t>
  </si>
  <si>
    <t>AVELOZO</t>
  </si>
  <si>
    <t>Y6525629Z</t>
  </si>
  <si>
    <t xml:space="preserve">LILIAN VIANA </t>
  </si>
  <si>
    <t>633 710 186</t>
  </si>
  <si>
    <t>lvian006</t>
  </si>
  <si>
    <t>lvian006@ec.sitel.com</t>
  </si>
  <si>
    <t>LVIANA</t>
  </si>
  <si>
    <t>4511MS</t>
  </si>
  <si>
    <t>41R091</t>
  </si>
  <si>
    <t>4502BC</t>
  </si>
  <si>
    <t>41R093</t>
  </si>
  <si>
    <t>4508AV</t>
  </si>
  <si>
    <t>41R095</t>
  </si>
  <si>
    <t>4510LV</t>
  </si>
  <si>
    <t>HORARIO</t>
  </si>
  <si>
    <t>Y7121195H</t>
  </si>
  <si>
    <t>643 352 160</t>
  </si>
  <si>
    <t>pserg006</t>
  </si>
  <si>
    <t>pserg006@ec.sitel.com</t>
  </si>
  <si>
    <t>SITEL.PSERGIO</t>
  </si>
  <si>
    <t>PDIMOVICI</t>
  </si>
  <si>
    <t>4519PD</t>
  </si>
  <si>
    <t>X9411835M</t>
  </si>
  <si>
    <t>722 533 966</t>
  </si>
  <si>
    <t>palei003</t>
  </si>
  <si>
    <t>palei003@ec.sitel.com</t>
  </si>
  <si>
    <t>PALEIXO</t>
  </si>
  <si>
    <t>4525PA</t>
  </si>
  <si>
    <t>47393425Q</t>
  </si>
  <si>
    <t>613 514 887</t>
  </si>
  <si>
    <t>mgarc959</t>
  </si>
  <si>
    <t>mgarc959@ec.sitel.com</t>
  </si>
  <si>
    <t>MGARMART</t>
  </si>
  <si>
    <t>4533MG</t>
  </si>
  <si>
    <t>47207481G</t>
  </si>
  <si>
    <t>613 083 731</t>
  </si>
  <si>
    <t>jpimi010</t>
  </si>
  <si>
    <t>jpimi010@ec.sitel.com</t>
  </si>
  <si>
    <t>JPIMIENTA</t>
  </si>
  <si>
    <t>4545MV</t>
  </si>
  <si>
    <t>41R203</t>
  </si>
  <si>
    <t>PRISCILA SERGIO DIMOVICI</t>
  </si>
  <si>
    <t>41R194</t>
  </si>
  <si>
    <t>PAULA CRISTINA ALEIXO RODRIGES</t>
  </si>
  <si>
    <t>41R198</t>
  </si>
  <si>
    <t>MARTA GARCIA MARTIN</t>
  </si>
  <si>
    <t>41R201</t>
  </si>
  <si>
    <t>JOSE MARIA PIMIENTA LORENZO</t>
  </si>
  <si>
    <t>SYR_PORTUGUES</t>
  </si>
  <si>
    <t>41I990</t>
  </si>
  <si>
    <t>MARIA LAURA FERREIRA MIRON</t>
  </si>
  <si>
    <t xml:space="preserve">653 518 993 </t>
  </si>
  <si>
    <t>mferr090</t>
  </si>
  <si>
    <t>MLFERREIRA</t>
  </si>
  <si>
    <t>7550MF</t>
  </si>
  <si>
    <t>49132591Z</t>
  </si>
  <si>
    <t>SITEL.MCABRERA</t>
  </si>
  <si>
    <t>Gualtiero.Tessari@sitel.com</t>
  </si>
  <si>
    <t>689 585 218 / 974 942 946</t>
  </si>
  <si>
    <t>ID</t>
  </si>
  <si>
    <t>4572EG</t>
  </si>
  <si>
    <t>4574IR</t>
  </si>
  <si>
    <t>4575JT</t>
  </si>
  <si>
    <t>4573JN</t>
  </si>
  <si>
    <t>orden</t>
  </si>
  <si>
    <t>SYR_FRANCES</t>
  </si>
  <si>
    <t>CPOZZOL</t>
  </si>
  <si>
    <t>41G619</t>
  </si>
  <si>
    <t>X5986647T</t>
  </si>
  <si>
    <t xml:space="preserve">KEIKO KOBAYASHI </t>
  </si>
  <si>
    <t>kkoba001</t>
  </si>
  <si>
    <t>kkoba001@ec.sitel.com</t>
  </si>
  <si>
    <t>SITEL.kkobayashi</t>
  </si>
  <si>
    <t>KKOBAYASHI</t>
  </si>
  <si>
    <t>7108KK</t>
  </si>
  <si>
    <t>77806022N</t>
  </si>
  <si>
    <t>MARIA ELENA GONZALEZ CONTRERAS</t>
  </si>
  <si>
    <t>mgonz489</t>
  </si>
  <si>
    <t>mgonz489@ec.sitel.com</t>
  </si>
  <si>
    <t>MEGONZALEZ</t>
  </si>
  <si>
    <t>7684MG</t>
  </si>
  <si>
    <t>48886859Z</t>
  </si>
  <si>
    <t>IGNACIO COFRADE ROMERO</t>
  </si>
  <si>
    <t>icofr002</t>
  </si>
  <si>
    <t>icofr002@ec.sitel.com</t>
  </si>
  <si>
    <t>ICOFRADE</t>
  </si>
  <si>
    <t>7083IC</t>
  </si>
  <si>
    <t>28785133N</t>
  </si>
  <si>
    <t>ROCIO BRAVO NUÑEZ</t>
  </si>
  <si>
    <t>RODRIGO FERRER SANTA CRUZ</t>
  </si>
  <si>
    <t>rbrav027</t>
  </si>
  <si>
    <t>rbrav027@ec.sitel.com</t>
  </si>
  <si>
    <t>RBRAVO</t>
  </si>
  <si>
    <t>7581RB</t>
  </si>
  <si>
    <t>28641787W</t>
  </si>
  <si>
    <t>MARIA ROCIO MEJIAS CIFUENTES</t>
  </si>
  <si>
    <t>mmeji045</t>
  </si>
  <si>
    <t>mmeji045@ec.sitel.com</t>
  </si>
  <si>
    <t>MRMEJIAS</t>
  </si>
  <si>
    <t>7032MM</t>
  </si>
  <si>
    <t>28489809B</t>
  </si>
  <si>
    <t>ROSA ANA GALISTEO FERNANDEZ</t>
  </si>
  <si>
    <t>rgali038</t>
  </si>
  <si>
    <t>rgali038@ec.sitel.com</t>
  </si>
  <si>
    <t>RAGALISTEO</t>
  </si>
  <si>
    <t>7047RG</t>
  </si>
  <si>
    <t>28762863Y</t>
  </si>
  <si>
    <t>ROSARIO BORREGO GUERRA</t>
  </si>
  <si>
    <t>rborr003</t>
  </si>
  <si>
    <t>rborr003@ec.sitel.com</t>
  </si>
  <si>
    <t xml:space="preserve">RBORREGO </t>
  </si>
  <si>
    <t>7587RB</t>
  </si>
  <si>
    <t>75903338A</t>
  </si>
  <si>
    <t>NATALIA LOPEZ GARCIA</t>
  </si>
  <si>
    <t>nlope070</t>
  </si>
  <si>
    <t>nlope070@ec.sitel.com</t>
  </si>
  <si>
    <t>NLOPEZG</t>
  </si>
  <si>
    <t>7721NL</t>
  </si>
  <si>
    <t>28777781C</t>
  </si>
  <si>
    <t>JUAN MANUEL SUAREZ GARCIA</t>
  </si>
  <si>
    <t>jsuar067</t>
  </si>
  <si>
    <t>jsuar067@ec.sitel.com</t>
  </si>
  <si>
    <t>JMSUAREZ</t>
  </si>
  <si>
    <t>7687JS</t>
  </si>
  <si>
    <t>41A888</t>
  </si>
  <si>
    <t>28605679G</t>
  </si>
  <si>
    <t>Mª ANGELES GONZALEZ GONZALEZ</t>
  </si>
  <si>
    <t>mgonz153</t>
  </si>
  <si>
    <t>mgonz153@ec.sitel.com</t>
  </si>
  <si>
    <t>MAGONZALE</t>
  </si>
  <si>
    <t>7825MG</t>
  </si>
  <si>
    <t>41B248</t>
  </si>
  <si>
    <t>47504516V</t>
  </si>
  <si>
    <t>LORENA MARQUEZ PULGADA</t>
  </si>
  <si>
    <t>lmarq047</t>
  </si>
  <si>
    <t>lmarq047@ec.sitel.com</t>
  </si>
  <si>
    <t>LMARQUEZP</t>
  </si>
  <si>
    <t>7569LM</t>
  </si>
  <si>
    <t>41B453</t>
  </si>
  <si>
    <t>28732987F</t>
  </si>
  <si>
    <t>JOAQUIN BALTASAR MUÑOZ GARCIA</t>
  </si>
  <si>
    <t>jmuno243</t>
  </si>
  <si>
    <t>jmuno243@ec.sitel.com</t>
  </si>
  <si>
    <t>JBMUNOZ</t>
  </si>
  <si>
    <t>7067JM</t>
  </si>
  <si>
    <t>41C929</t>
  </si>
  <si>
    <t>28832326D</t>
  </si>
  <si>
    <t>MARIA SALAZAR QUESADA</t>
  </si>
  <si>
    <t>msala231</t>
  </si>
  <si>
    <t>msala231@ec.sitel.com</t>
  </si>
  <si>
    <t>MSALAZAR</t>
  </si>
  <si>
    <t>41E526</t>
  </si>
  <si>
    <t>28728851B</t>
  </si>
  <si>
    <t>ANA MARIA DIAZ GONZALEZ</t>
  </si>
  <si>
    <t>adiaz138</t>
  </si>
  <si>
    <t>adiaz138@ec.sitel.com</t>
  </si>
  <si>
    <t>ADIAZ</t>
  </si>
  <si>
    <t>7623AD</t>
  </si>
  <si>
    <t>41E557</t>
  </si>
  <si>
    <t>28833590P</t>
  </si>
  <si>
    <t>JOSE ANTONIO MUÑOZ SEGARRA</t>
  </si>
  <si>
    <t>jmuno245</t>
  </si>
  <si>
    <t>jmuno245@ec.sitel.com</t>
  </si>
  <si>
    <t>JASEGARRA</t>
  </si>
  <si>
    <t>41A386</t>
  </si>
  <si>
    <t>52266446G</t>
  </si>
  <si>
    <t>INMACULADA MORALES GONZALEZ</t>
  </si>
  <si>
    <t>imora024</t>
  </si>
  <si>
    <t>imora024@ec.sitel.com</t>
  </si>
  <si>
    <t>MIMORALES</t>
  </si>
  <si>
    <t>7871MM</t>
  </si>
  <si>
    <t>41C436</t>
  </si>
  <si>
    <t>47212197M</t>
  </si>
  <si>
    <t>EMILIA DEL CARMEN CRUZ TORREJON</t>
  </si>
  <si>
    <t>ecruz028</t>
  </si>
  <si>
    <t>ecruz028@ec.sitel.com</t>
  </si>
  <si>
    <t>ECRUZ</t>
  </si>
  <si>
    <t>41A268</t>
  </si>
  <si>
    <t>77591271N</t>
  </si>
  <si>
    <t>rferr040</t>
  </si>
  <si>
    <t>rodrigo.ferrer@sitel.com</t>
  </si>
  <si>
    <t>RFERRERS</t>
  </si>
  <si>
    <t>7701RF</t>
  </si>
  <si>
    <t>41I220</t>
  </si>
  <si>
    <t>28639022E</t>
  </si>
  <si>
    <t>ROCIO CLAVIJO CRUZ</t>
  </si>
  <si>
    <t>rclav009</t>
  </si>
  <si>
    <t>rclav009@ec.sitel.com</t>
  </si>
  <si>
    <t>sitel.rclavijo</t>
  </si>
  <si>
    <t>RCLAVIJOC</t>
  </si>
  <si>
    <t>7408RC</t>
  </si>
  <si>
    <t>marta.gallardoalvarez@sitel.com</t>
  </si>
  <si>
    <t>amont141@ec.sitel.com</t>
  </si>
  <si>
    <t>4576LB</t>
  </si>
  <si>
    <t>SYR_JURIDICO_INGLES</t>
  </si>
  <si>
    <t>SUDAMERICA ASGNACION</t>
  </si>
  <si>
    <t>VITOR HUGO DA SILVA CASTRO</t>
  </si>
  <si>
    <t>28495006F</t>
  </si>
  <si>
    <t>RAFAEL GARCIA ORTEGA</t>
  </si>
  <si>
    <t>rgarc412</t>
  </si>
  <si>
    <t>rgarc412@ec.sitel.com</t>
  </si>
  <si>
    <t>41L121</t>
  </si>
  <si>
    <t>CRISTINA ELENA CASTRO GARCIA</t>
  </si>
  <si>
    <t>ccast167</t>
  </si>
  <si>
    <t>ccast167@ec.sitel.com</t>
  </si>
  <si>
    <t>cmart023@ec.sitel.com</t>
  </si>
  <si>
    <t>CCARMONAC</t>
  </si>
  <si>
    <t xml:space="preserve">47505351R </t>
  </si>
  <si>
    <t>4607RG</t>
  </si>
  <si>
    <t>53769175M</t>
  </si>
  <si>
    <t>08I388</t>
  </si>
  <si>
    <t>39409296S</t>
  </si>
  <si>
    <t>SARAH WESTPHAL LLORENTE</t>
  </si>
  <si>
    <t>41G257</t>
  </si>
  <si>
    <t>77819947E</t>
  </si>
  <si>
    <t>MARTA CANTO RODRIGUEZ</t>
  </si>
  <si>
    <t>658 844 499</t>
  </si>
  <si>
    <t>mcant025</t>
  </si>
  <si>
    <t>SITEL.mcanto</t>
  </si>
  <si>
    <t>MCANTOR</t>
  </si>
  <si>
    <t>5672MC</t>
  </si>
  <si>
    <t>28844681J</t>
  </si>
  <si>
    <t>JOSE ANTONIO GARCIA GONZALEZ</t>
  </si>
  <si>
    <t>jgarc934</t>
  </si>
  <si>
    <t>jgarc934@ec.sitel.com</t>
  </si>
  <si>
    <t>SITEL.jgarciag</t>
  </si>
  <si>
    <t>4587JG</t>
  </si>
  <si>
    <t>52229100X</t>
  </si>
  <si>
    <t>JOSE ANGEL CARRION ALGABA</t>
  </si>
  <si>
    <t>jcarr286</t>
  </si>
  <si>
    <t>jcarr286@ec.sitel.com</t>
  </si>
  <si>
    <t>4588JC</t>
  </si>
  <si>
    <t>Y9221679G</t>
  </si>
  <si>
    <t>LORENZA TIDDIA TIDDIA</t>
  </si>
  <si>
    <t>ltidd002</t>
  </si>
  <si>
    <t>ltidd002@ec.sitel.com</t>
  </si>
  <si>
    <t>4582LT</t>
  </si>
  <si>
    <t>Y7683921A</t>
  </si>
  <si>
    <t xml:space="preserve">MARCO MINGHELLA </t>
  </si>
  <si>
    <t>mming019</t>
  </si>
  <si>
    <t>ILT_17_00</t>
  </si>
  <si>
    <t>swest078</t>
  </si>
  <si>
    <t>swest078@ec.sitel.com</t>
  </si>
  <si>
    <t>41R516</t>
  </si>
  <si>
    <t>41R515</t>
  </si>
  <si>
    <t>41R348</t>
  </si>
  <si>
    <t>30264701J</t>
  </si>
  <si>
    <t>ALICIA LOPEZ MEDINA</t>
  </si>
  <si>
    <t>alope486</t>
  </si>
  <si>
    <t>alope486@ec.sitel.com</t>
  </si>
  <si>
    <t>41R354</t>
  </si>
  <si>
    <t>55379301Q</t>
  </si>
  <si>
    <t>SAMANTHA SUITO PEDRAZA</t>
  </si>
  <si>
    <t>ssuit002</t>
  </si>
  <si>
    <t>41R523</t>
  </si>
  <si>
    <t>28751086M</t>
  </si>
  <si>
    <t>CONCEPCION SALADO DIAZ</t>
  </si>
  <si>
    <t>csala129</t>
  </si>
  <si>
    <t>csala129@ec.sitel.com</t>
  </si>
  <si>
    <t>41R518</t>
  </si>
  <si>
    <t>28925005K</t>
  </si>
  <si>
    <t>SILVIA DEL CID GIANZO</t>
  </si>
  <si>
    <t>sdelc013</t>
  </si>
  <si>
    <t>sdelc013@ec.sitel.com</t>
  </si>
  <si>
    <t>SITEL.sdelcid</t>
  </si>
  <si>
    <t>4598SD</t>
  </si>
  <si>
    <t>41R522</t>
  </si>
  <si>
    <t>47345918G</t>
  </si>
  <si>
    <t>ANA OROPESA BARRERA</t>
  </si>
  <si>
    <t>aorop006</t>
  </si>
  <si>
    <t>aorop006@ec.sitel.com</t>
  </si>
  <si>
    <t>SITEL.aoropesa</t>
  </si>
  <si>
    <t>4599AO</t>
  </si>
  <si>
    <t>41R520</t>
  </si>
  <si>
    <t>28834826W</t>
  </si>
  <si>
    <t>MAITE MASANET GOMEZ</t>
  </si>
  <si>
    <t>mmana199</t>
  </si>
  <si>
    <t>mmana199@ec.sitel.com</t>
  </si>
  <si>
    <t>sitel.mtmasanet</t>
  </si>
  <si>
    <t>4610MM</t>
  </si>
  <si>
    <t>41R519</t>
  </si>
  <si>
    <t>30284115S</t>
  </si>
  <si>
    <t>SONIA FREIRE LULA</t>
  </si>
  <si>
    <t>sfrei013</t>
  </si>
  <si>
    <t>sfrei013@ec.sitel.com</t>
  </si>
  <si>
    <t>4604SF</t>
  </si>
  <si>
    <t>41K196</t>
  </si>
  <si>
    <t>48668528E</t>
  </si>
  <si>
    <t>CAMINO PEREZ MARTINEZ</t>
  </si>
  <si>
    <t>cpere366</t>
  </si>
  <si>
    <t>cpere366@ec.sitel.com</t>
  </si>
  <si>
    <t>RGARCIA</t>
  </si>
  <si>
    <t>CECASTRO</t>
  </si>
  <si>
    <t>JAGARCIAG</t>
  </si>
  <si>
    <t>JACARRION</t>
  </si>
  <si>
    <t>41R514</t>
  </si>
  <si>
    <t>LTIDDIA</t>
  </si>
  <si>
    <t>41R509</t>
  </si>
  <si>
    <t>MMINGHELLA</t>
  </si>
  <si>
    <t>664 23 36 77</t>
  </si>
  <si>
    <t>666 11 36 19</t>
  </si>
  <si>
    <t>77819894S</t>
  </si>
  <si>
    <t>CESAR DAVID OCAMPO DUQUE</t>
  </si>
  <si>
    <t>661 702 616</t>
  </si>
  <si>
    <t>cocam002</t>
  </si>
  <si>
    <t>cocam002@ec.sitel.com</t>
  </si>
  <si>
    <t>CSALADO</t>
  </si>
  <si>
    <t>SDELCID</t>
  </si>
  <si>
    <t>AOROPESA</t>
  </si>
  <si>
    <t>MMANASET</t>
  </si>
  <si>
    <t>SFREIRE</t>
  </si>
  <si>
    <t>CPEREZMART</t>
  </si>
  <si>
    <t>JoseLuis.Ramos@sitel.com</t>
  </si>
  <si>
    <t>4629MM</t>
  </si>
  <si>
    <t>marco.tognoni@sitel.com</t>
  </si>
  <si>
    <t>MariadelPilar.MartinBernaldez@sitel.com</t>
  </si>
  <si>
    <t>SITEL.ALOPEZME</t>
  </si>
  <si>
    <t>SITEL.SSUITO</t>
  </si>
  <si>
    <t>53347857R</t>
  </si>
  <si>
    <t>MARIA JOSE NIETO MARTIN</t>
  </si>
  <si>
    <t>mniet066</t>
  </si>
  <si>
    <t>mniet066@ec.sitel.com</t>
  </si>
  <si>
    <t>28827855T</t>
  </si>
  <si>
    <t>NOELIA MARIA MEDINA FERNANDEZ</t>
  </si>
  <si>
    <t>nmedi035</t>
  </si>
  <si>
    <t>nmedi035@ec.sitel.com</t>
  </si>
  <si>
    <t>Y0786200M</t>
  </si>
  <si>
    <t>ALEXANDRE HENRIQUE TOLEDO SANTIAGO</t>
  </si>
  <si>
    <t>atole080</t>
  </si>
  <si>
    <t>atole080@ec.sitel.com</t>
  </si>
  <si>
    <t>Y5914993M</t>
  </si>
  <si>
    <t>ANDRESSA GABRIELLE RAMOS DA SILVA</t>
  </si>
  <si>
    <t>agabr033</t>
  </si>
  <si>
    <t>agabr033@ec.sitel.com</t>
  </si>
  <si>
    <t>Y9325142J</t>
  </si>
  <si>
    <t>bmilh002</t>
  </si>
  <si>
    <t>bmilh002@ec.sitel.com</t>
  </si>
  <si>
    <t>41R648</t>
  </si>
  <si>
    <t>41R657</t>
  </si>
  <si>
    <t>41R651</t>
  </si>
  <si>
    <t>41R650</t>
  </si>
  <si>
    <t>41R656</t>
  </si>
  <si>
    <t>ALOPEZMED</t>
  </si>
  <si>
    <t>4000AL</t>
  </si>
  <si>
    <t>SSUITO</t>
  </si>
  <si>
    <t xml:space="preserve">CDOCAMPO </t>
  </si>
  <si>
    <t>SITEL.AGRAMOS</t>
  </si>
  <si>
    <t>SYR_ATENCION_PERSONAL_WH</t>
  </si>
  <si>
    <t>SYR_ATENCION_PERSONAL</t>
  </si>
  <si>
    <t>SWESTPHAL</t>
  </si>
  <si>
    <t>4115SW</t>
  </si>
  <si>
    <t>AGRAMOS</t>
  </si>
  <si>
    <t>4119AR</t>
  </si>
  <si>
    <t>BLMILHOMEM</t>
  </si>
  <si>
    <t>4120BM</t>
  </si>
  <si>
    <t>MAJONIETO</t>
  </si>
  <si>
    <t>NMEDINA</t>
  </si>
  <si>
    <t>4091NM</t>
  </si>
  <si>
    <t>AHTOLEDO</t>
  </si>
  <si>
    <t>4116AT</t>
  </si>
  <si>
    <t>Z09317084Y</t>
  </si>
  <si>
    <t xml:space="preserve">PABLO DIEGO VILLALBA </t>
  </si>
  <si>
    <t>0039 3755424690</t>
  </si>
  <si>
    <t>pdieg003</t>
  </si>
  <si>
    <t>DVILLAL</t>
  </si>
  <si>
    <t>47214358G</t>
  </si>
  <si>
    <t>ANGEL FERMIN MELENDEZ SANCHEZ MALO</t>
  </si>
  <si>
    <t>amele021</t>
  </si>
  <si>
    <t>amele021@ec.sitel.com</t>
  </si>
  <si>
    <t>SITEL.AFMELENDEZ</t>
  </si>
  <si>
    <t>AFMELE</t>
  </si>
  <si>
    <t>4169AM</t>
  </si>
  <si>
    <t>47548445Q</t>
  </si>
  <si>
    <t>DANIELA BORJA FERRARI</t>
  </si>
  <si>
    <t>dborj008</t>
  </si>
  <si>
    <t>dborj008@ec.sitel.com</t>
  </si>
  <si>
    <t>SITEL.DBORJA</t>
  </si>
  <si>
    <t>DBORJA</t>
  </si>
  <si>
    <t>49521368E</t>
  </si>
  <si>
    <t>CRISTINA FERNANDEZ BENITEZ</t>
  </si>
  <si>
    <t>cfern247</t>
  </si>
  <si>
    <t>CFERNA</t>
  </si>
  <si>
    <t>77589763E</t>
  </si>
  <si>
    <t>MARINA GARCIA GONZALEZ GROS</t>
  </si>
  <si>
    <t>mgarc1023</t>
  </si>
  <si>
    <t>mgarc1023@ec.sitel.com</t>
  </si>
  <si>
    <t>MGAGO</t>
  </si>
  <si>
    <t>09102729L</t>
  </si>
  <si>
    <t>JOSE SALVADOR CANUTO LOMILLO</t>
  </si>
  <si>
    <t>jcanu018</t>
  </si>
  <si>
    <t>jcanu018@ec.sitel.com</t>
  </si>
  <si>
    <t>JCANUTO</t>
  </si>
  <si>
    <t>4206JC</t>
  </si>
  <si>
    <t>09789051K</t>
  </si>
  <si>
    <t>EVELIN LOPEZ LORENZANA</t>
  </si>
  <si>
    <t>elope261</t>
  </si>
  <si>
    <t>elope261@ec.sitel.com</t>
  </si>
  <si>
    <t>SITEL.ELOPEZ</t>
  </si>
  <si>
    <t>EVELOPE</t>
  </si>
  <si>
    <t>4214EL</t>
  </si>
  <si>
    <t>X7727532S</t>
  </si>
  <si>
    <t>smadi024</t>
  </si>
  <si>
    <t>smadi024@ec.sitel.com</t>
  </si>
  <si>
    <t>SITEL.SMTMADIA</t>
  </si>
  <si>
    <t>STEFMAD</t>
  </si>
  <si>
    <t>4224SM</t>
  </si>
  <si>
    <t>Y8186962B</t>
  </si>
  <si>
    <t xml:space="preserve">EMILIE ROBERT </t>
  </si>
  <si>
    <t>erobe049</t>
  </si>
  <si>
    <t>erobe049@ec.sitel.com</t>
  </si>
  <si>
    <t>EROBERT</t>
  </si>
  <si>
    <t>4241ER</t>
  </si>
  <si>
    <t>mlima014</t>
  </si>
  <si>
    <t>mlima014@ec.sitel.com</t>
  </si>
  <si>
    <t>sitel.mlima</t>
  </si>
  <si>
    <t>mlimam</t>
  </si>
  <si>
    <t>4021ML</t>
  </si>
  <si>
    <t xml:space="preserve">STEFANIA MADIA </t>
  </si>
  <si>
    <t>41R529</t>
  </si>
  <si>
    <t>Y7117180M</t>
  </si>
  <si>
    <t>KARLA YOLIMAR GUEVARA REQUENA</t>
  </si>
  <si>
    <t>kguev021</t>
  </si>
  <si>
    <t>kguev021@ec.sitel.com</t>
  </si>
  <si>
    <t>KGUEVARA</t>
  </si>
  <si>
    <t>7482KG</t>
  </si>
  <si>
    <t>41R530</t>
  </si>
  <si>
    <t>28844877W</t>
  </si>
  <si>
    <t>VALERIA JIMENEZ LOPEZ</t>
  </si>
  <si>
    <t>vjime043</t>
  </si>
  <si>
    <t>vjime043@ec.sitel.com</t>
  </si>
  <si>
    <t>VJIMENEZ</t>
  </si>
  <si>
    <t>7492VJ</t>
  </si>
  <si>
    <t>41R581</t>
  </si>
  <si>
    <t>29495479A</t>
  </si>
  <si>
    <t>MIRIAM LUQUE ALVAREZ</t>
  </si>
  <si>
    <t>mluqu022</t>
  </si>
  <si>
    <t>mluqu022@ec.sitel.com</t>
  </si>
  <si>
    <t>MLUQUEALVA</t>
  </si>
  <si>
    <t>7351ML</t>
  </si>
  <si>
    <t>41C440</t>
  </si>
  <si>
    <t>28720727Y</t>
  </si>
  <si>
    <t>NICOLAS DOMINGUEZ VARELA</t>
  </si>
  <si>
    <t>ndomi008</t>
  </si>
  <si>
    <t>ndomi008@ec.sitel.com</t>
  </si>
  <si>
    <t>NDOMINGUEZ</t>
  </si>
  <si>
    <t>7843ND</t>
  </si>
  <si>
    <t>41R507</t>
  </si>
  <si>
    <t>ALEMÁN</t>
  </si>
  <si>
    <t>PORTUGUÉS</t>
  </si>
  <si>
    <t>SYR_INC_PAGOS_WH</t>
  </si>
  <si>
    <t>BRASILEÑO</t>
  </si>
  <si>
    <t>41R789</t>
  </si>
  <si>
    <t>41R798</t>
  </si>
  <si>
    <t>41R800</t>
  </si>
  <si>
    <t>41R809</t>
  </si>
  <si>
    <t>41R778</t>
  </si>
  <si>
    <t>41R771</t>
  </si>
  <si>
    <t>41R775</t>
  </si>
  <si>
    <t>41R776</t>
  </si>
  <si>
    <t>41R784</t>
  </si>
  <si>
    <t>41Q810</t>
  </si>
  <si>
    <t>77869164L</t>
  </si>
  <si>
    <t>LUISA BIZCOCHO PALMA</t>
  </si>
  <si>
    <t>lbizc004</t>
  </si>
  <si>
    <t>lbizc004@ec.sitel.com</t>
  </si>
  <si>
    <t>LBIZCOCHO</t>
  </si>
  <si>
    <t>4455LB</t>
  </si>
  <si>
    <t>41Q812</t>
  </si>
  <si>
    <t>47546476W</t>
  </si>
  <si>
    <t>MARIA FALCON REAL</t>
  </si>
  <si>
    <t>mfalc031</t>
  </si>
  <si>
    <t>mfalc031@ec.sitel.com</t>
  </si>
  <si>
    <t>MFALCON</t>
  </si>
  <si>
    <t>4253MF</t>
  </si>
  <si>
    <t>Y7846642E</t>
  </si>
  <si>
    <t>ntest004</t>
  </si>
  <si>
    <t>ntest004@ec.sitel.com</t>
  </si>
  <si>
    <t>NFRANCINE</t>
  </si>
  <si>
    <t>4324NT</t>
  </si>
  <si>
    <t>45997680A</t>
  </si>
  <si>
    <t>JOSE MARIA MONTERO CARNEIRO</t>
  </si>
  <si>
    <t>jmont446</t>
  </si>
  <si>
    <t>JMONTERO</t>
  </si>
  <si>
    <t>4307JM</t>
  </si>
  <si>
    <t>49238027H</t>
  </si>
  <si>
    <t>ALEXIS SANCHEZ ALONSO</t>
  </si>
  <si>
    <t xml:space="preserve"> asanc415</t>
  </si>
  <si>
    <t xml:space="preserve"> asanc415@ec.sitel.com</t>
  </si>
  <si>
    <t>ASANCHEZA</t>
  </si>
  <si>
    <t>4310AS</t>
  </si>
  <si>
    <t>08A819</t>
  </si>
  <si>
    <t>31926736E</t>
  </si>
  <si>
    <t xml:space="preserve">HICHAM EL HARRAK </t>
  </si>
  <si>
    <t>helha005</t>
  </si>
  <si>
    <t>helha005@ec.sitel.com</t>
  </si>
  <si>
    <t>HELHARRAK</t>
  </si>
  <si>
    <t>4272HE</t>
  </si>
  <si>
    <t>09_14</t>
  </si>
  <si>
    <t>41R917</t>
  </si>
  <si>
    <t>41R918</t>
  </si>
  <si>
    <t>41R912</t>
  </si>
  <si>
    <t xml:space="preserve">NATALIA FRANCINE TESTI </t>
  </si>
  <si>
    <t>X7121614D</t>
  </si>
  <si>
    <t>cpala057</t>
  </si>
  <si>
    <t>CPALASANU</t>
  </si>
  <si>
    <t>4341CP</t>
  </si>
  <si>
    <t>41R939</t>
  </si>
  <si>
    <t>49064080C</t>
  </si>
  <si>
    <t>MARIA DEL AMOR CORTES GOMEZ</t>
  </si>
  <si>
    <t>mcort139</t>
  </si>
  <si>
    <t>mcort139@ec.sitel.com</t>
  </si>
  <si>
    <t>MDELAMOR</t>
  </si>
  <si>
    <t>4273MC</t>
  </si>
  <si>
    <t>MACROS</t>
  </si>
  <si>
    <t>28R676</t>
  </si>
  <si>
    <t>4246AU</t>
  </si>
  <si>
    <t>JULIA SOFIA DEL TORO MARTINEZ</t>
  </si>
  <si>
    <t>4001CG</t>
  </si>
  <si>
    <t>marta.canto@sitel.com</t>
  </si>
  <si>
    <t>15408420F</t>
  </si>
  <si>
    <t>ANDRES AARON CASTELLANOS ESPINOSA</t>
  </si>
  <si>
    <t>acast596</t>
  </si>
  <si>
    <t>SITEL.AACASTELLA</t>
  </si>
  <si>
    <t>4008AC</t>
  </si>
  <si>
    <t>48920926H</t>
  </si>
  <si>
    <t>ALVARO MARTIN ORTEGA</t>
  </si>
  <si>
    <t>amart912</t>
  </si>
  <si>
    <t>amart912@ec.sitel.com</t>
  </si>
  <si>
    <t>4176AM</t>
  </si>
  <si>
    <t>52229339L</t>
  </si>
  <si>
    <t>MARTIN RODRIGUEZ MACIAS</t>
  </si>
  <si>
    <t>mrodi011</t>
  </si>
  <si>
    <t>mrodi011@ec.sitel.com</t>
  </si>
  <si>
    <t>4355MR</t>
  </si>
  <si>
    <t>29497224T</t>
  </si>
  <si>
    <t>CARMEN CORRALES PINEDA</t>
  </si>
  <si>
    <t>ccorr080</t>
  </si>
  <si>
    <t>SITEL.CCORRALES</t>
  </si>
  <si>
    <t>4363CC</t>
  </si>
  <si>
    <t>48935059Y</t>
  </si>
  <si>
    <t>FERNANDO GILL DIEZ</t>
  </si>
  <si>
    <t>fgill010</t>
  </si>
  <si>
    <t>fgill010@ec.sitel.com</t>
  </si>
  <si>
    <t>SITEL.FGILL</t>
  </si>
  <si>
    <t>77858381T</t>
  </si>
  <si>
    <t>MARIA ESPAÑA LUQUE</t>
  </si>
  <si>
    <t>mespa037</t>
  </si>
  <si>
    <t>mespa037@ec.sitel.com</t>
  </si>
  <si>
    <t>Y7293080R</t>
  </si>
  <si>
    <t>KENIA CIFUENTES BENAVIDES</t>
  </si>
  <si>
    <t>kcifu003</t>
  </si>
  <si>
    <t>kcifu003@ec.sitel.com</t>
  </si>
  <si>
    <t>SITEL.KFCIFUENTE</t>
  </si>
  <si>
    <t>45814886J</t>
  </si>
  <si>
    <t>VIOLETA PEREZ GARCIA</t>
  </si>
  <si>
    <t>vpere127</t>
  </si>
  <si>
    <t>53349844X</t>
  </si>
  <si>
    <t>INMACULADA RUBIALES DE LA TORRE</t>
  </si>
  <si>
    <t>irubi020</t>
  </si>
  <si>
    <t>irubi020@ec.sitel.com</t>
  </si>
  <si>
    <t>alope091@ec.sitel.com</t>
  </si>
  <si>
    <t>aguer022@ec.sitel.com</t>
  </si>
  <si>
    <t>41S109</t>
  </si>
  <si>
    <t>AMARTINO</t>
  </si>
  <si>
    <t>41S097</t>
  </si>
  <si>
    <t>ACASTELLA</t>
  </si>
  <si>
    <t>41S099</t>
  </si>
  <si>
    <t>CCORRALES</t>
  </si>
  <si>
    <t>41S106</t>
  </si>
  <si>
    <t>FGILL</t>
  </si>
  <si>
    <t>41S114</t>
  </si>
  <si>
    <t>MRODRIM</t>
  </si>
  <si>
    <t>41S115</t>
  </si>
  <si>
    <t>41S098</t>
  </si>
  <si>
    <t>4379KC</t>
  </si>
  <si>
    <t>41S112</t>
  </si>
  <si>
    <t>4394VP</t>
  </si>
  <si>
    <t>41S102</t>
  </si>
  <si>
    <t>4037ME</t>
  </si>
  <si>
    <t>4039CG</t>
  </si>
  <si>
    <t>INMARUB</t>
  </si>
  <si>
    <t>KENCIF</t>
  </si>
  <si>
    <t>VIOPERGAR</t>
  </si>
  <si>
    <t>MESPLUQ</t>
  </si>
  <si>
    <t>27551JR</t>
  </si>
  <si>
    <t>27700MF</t>
  </si>
  <si>
    <t>41S203</t>
  </si>
  <si>
    <t>X9291846F</t>
  </si>
  <si>
    <t>DANIEL PEREIRA DE SOUZA</t>
  </si>
  <si>
    <t xml:space="preserve">604904242 655640688
</t>
  </si>
  <si>
    <t>dpere291</t>
  </si>
  <si>
    <t>DPEREIRA</t>
  </si>
  <si>
    <t>4425DP</t>
  </si>
  <si>
    <t>41S208</t>
  </si>
  <si>
    <t>Z0181950W</t>
  </si>
  <si>
    <t xml:space="preserve">ROMAIN VATTANT </t>
  </si>
  <si>
    <t>rvatt002</t>
  </si>
  <si>
    <t>rvatt002@ec.sitel.com</t>
  </si>
  <si>
    <t>ROMVAT</t>
  </si>
  <si>
    <t>41S207</t>
  </si>
  <si>
    <t>30317650Q</t>
  </si>
  <si>
    <t>CARLA TEIXEIRA LOPEZ MARTINHO</t>
  </si>
  <si>
    <t>cteix019</t>
  </si>
  <si>
    <t>cteix019@ec.sitel.com</t>
  </si>
  <si>
    <t>CARTEIX</t>
  </si>
  <si>
    <t>4422CT</t>
  </si>
  <si>
    <t>41S198</t>
  </si>
  <si>
    <t>48994540D</t>
  </si>
  <si>
    <t>ANGEL ASENCIO MARTAGON</t>
  </si>
  <si>
    <t>aasen010</t>
  </si>
  <si>
    <t>aasen010@ec.sitel.com</t>
  </si>
  <si>
    <t>ANGASEN</t>
  </si>
  <si>
    <t>41S231</t>
  </si>
  <si>
    <t>77815567N</t>
  </si>
  <si>
    <t>DANIEL LUQUE PEREZ</t>
  </si>
  <si>
    <t>dluqu018</t>
  </si>
  <si>
    <t>dluqu018@ec.sitel.com</t>
  </si>
  <si>
    <t>DLUQUE</t>
  </si>
  <si>
    <t>4450DL</t>
  </si>
  <si>
    <t>41S235</t>
  </si>
  <si>
    <t>28815774V</t>
  </si>
  <si>
    <t>IRENE ORTEGA PEREZ</t>
  </si>
  <si>
    <t>iorte011</t>
  </si>
  <si>
    <t>iorte011@ec.sitel.com</t>
  </si>
  <si>
    <t>SITEL.iortega</t>
  </si>
  <si>
    <t>IORTEGA</t>
  </si>
  <si>
    <t>4451IO</t>
  </si>
  <si>
    <t>41S233</t>
  </si>
  <si>
    <t>45603368A</t>
  </si>
  <si>
    <t>VANESA MARTINEZ CRISOL</t>
  </si>
  <si>
    <t>vmart197</t>
  </si>
  <si>
    <t>vmart197@ec.sitel.com</t>
  </si>
  <si>
    <t>VAMARTIN</t>
  </si>
  <si>
    <t>4467VM</t>
  </si>
  <si>
    <t>41S237</t>
  </si>
  <si>
    <t>28843891M</t>
  </si>
  <si>
    <t>CLAUDIA SMITH GUTIERREZ</t>
  </si>
  <si>
    <t>csmit513</t>
  </si>
  <si>
    <t>csmit513@ec.sitel.com</t>
  </si>
  <si>
    <t>CSMITH</t>
  </si>
  <si>
    <t>4468CS</t>
  </si>
  <si>
    <t>EQUIPO DE BUSQUEDA</t>
  </si>
  <si>
    <t>4026SB</t>
  </si>
  <si>
    <t>tanyayasmina.assimicruz@sitel.com</t>
  </si>
  <si>
    <t>4003CP</t>
  </si>
  <si>
    <t>SITEL.NTESTI</t>
  </si>
  <si>
    <t>4033EC</t>
  </si>
  <si>
    <t>4060CC</t>
  </si>
  <si>
    <t>BRENDA LANA MILHOMEM REIS</t>
  </si>
  <si>
    <t>4004PA</t>
  </si>
  <si>
    <t>spaez004</t>
  </si>
  <si>
    <t>ILT_15_22</t>
  </si>
  <si>
    <t>41S466</t>
  </si>
  <si>
    <t>Y8678262P</t>
  </si>
  <si>
    <t>MARGA LISANDRA VALERA RAMOS</t>
  </si>
  <si>
    <t>647 03 19 47</t>
  </si>
  <si>
    <t>mvale227</t>
  </si>
  <si>
    <t>mvale227@ec.sitel.com</t>
  </si>
  <si>
    <t>MARVALERA</t>
  </si>
  <si>
    <t>41S465</t>
  </si>
  <si>
    <t>29498419E</t>
  </si>
  <si>
    <t>TRIANA LEE TOUCHSTONE VELAZQUEZ</t>
  </si>
  <si>
    <t>ttouc005</t>
  </si>
  <si>
    <t>ttouc005@ec.sitel.com</t>
  </si>
  <si>
    <t>SITEL.TLTOUCHSTO</t>
  </si>
  <si>
    <t>TRIANLEE</t>
  </si>
  <si>
    <t>41S468</t>
  </si>
  <si>
    <t>49043531X</t>
  </si>
  <si>
    <t>TANIA VILLANUEVA CHAMORRO</t>
  </si>
  <si>
    <t>tvill060</t>
  </si>
  <si>
    <t>tvill060@ec.sitel.com</t>
  </si>
  <si>
    <t>SITEL.TVILLANUEV</t>
  </si>
  <si>
    <t>TANIVILLA</t>
  </si>
  <si>
    <t>41S467</t>
  </si>
  <si>
    <t>77822888L</t>
  </si>
  <si>
    <t>JAIME VAZQUEZ ALFONSO</t>
  </si>
  <si>
    <t>jvazq043</t>
  </si>
  <si>
    <t>jvazq043@ec.sitel.com</t>
  </si>
  <si>
    <t>SITEL.JVAZQUEZA</t>
  </si>
  <si>
    <t>JAIVAZ</t>
  </si>
  <si>
    <t>52693197J</t>
  </si>
  <si>
    <t>FERNANDO MARIA DE LA ROSA PEREZ</t>
  </si>
  <si>
    <t>fdela066</t>
  </si>
  <si>
    <t>fdela066@ec.sitel.com</t>
  </si>
  <si>
    <t>4262FD</t>
  </si>
  <si>
    <t>77871195A</t>
  </si>
  <si>
    <t>LUCIA BERMEJO OLIVA</t>
  </si>
  <si>
    <t>lberm036</t>
  </si>
  <si>
    <t>lberm036@ec.sitel.com</t>
  </si>
  <si>
    <t>SITEL.lbermejo</t>
  </si>
  <si>
    <t>53931760A</t>
  </si>
  <si>
    <t>LAURA HERRERA RODRIGUEZ</t>
  </si>
  <si>
    <t>lherr089</t>
  </si>
  <si>
    <t>lherr089@ec.sitel.com</t>
  </si>
  <si>
    <t>4555LH</t>
  </si>
  <si>
    <t>70816980A</t>
  </si>
  <si>
    <t>MARIA DE LA VEGA GARCIA BLAZQUEZ</t>
  </si>
  <si>
    <t>mgarc1028</t>
  </si>
  <si>
    <t>mgarc1028@ec.sitel.com</t>
  </si>
  <si>
    <t>SITEL.MVGARCIA</t>
  </si>
  <si>
    <t>4561MD</t>
  </si>
  <si>
    <t>41S518</t>
  </si>
  <si>
    <t>FDELAROSA</t>
  </si>
  <si>
    <t>41S517</t>
  </si>
  <si>
    <t>LBERMEJO</t>
  </si>
  <si>
    <t>41S521</t>
  </si>
  <si>
    <t>LHERRERA</t>
  </si>
  <si>
    <t>41S519</t>
  </si>
  <si>
    <t>VGBLAZQUEZ</t>
  </si>
  <si>
    <t>07_13</t>
  </si>
  <si>
    <t>rdomi045</t>
  </si>
  <si>
    <t>rdomi045@ec.sitel.com</t>
  </si>
  <si>
    <t>rmdominguez</t>
  </si>
  <si>
    <t>4142RD</t>
  </si>
  <si>
    <t>GERENCIA/GRANDES CUENTAS</t>
  </si>
  <si>
    <t>SYS INFORMES/SEGUROS</t>
  </si>
  <si>
    <t>4199DP</t>
  </si>
  <si>
    <t>4275CS</t>
  </si>
  <si>
    <t>Virginia.Antoniazzi@foundever.com</t>
  </si>
  <si>
    <t>4099OC</t>
  </si>
  <si>
    <t>4281EC</t>
  </si>
  <si>
    <t>4078AR</t>
  </si>
  <si>
    <t>41S703</t>
  </si>
  <si>
    <t>14318230V</t>
  </si>
  <si>
    <t>MIRIAM GENER SANZ</t>
  </si>
  <si>
    <t>mgene029</t>
  </si>
  <si>
    <t>mgene029@ec.sitel.com</t>
  </si>
  <si>
    <t>MIGENER</t>
  </si>
  <si>
    <t>4320MG</t>
  </si>
  <si>
    <t>41S707</t>
  </si>
  <si>
    <t>X8713737A</t>
  </si>
  <si>
    <t>MURILO REZENDE DOS SANTOS</t>
  </si>
  <si>
    <t>mreze002</t>
  </si>
  <si>
    <t>mreze002@ec.sitel.com</t>
  </si>
  <si>
    <t>MUREZENDE</t>
  </si>
  <si>
    <t>4332MR</t>
  </si>
  <si>
    <t>41S706</t>
  </si>
  <si>
    <t>54186634Z</t>
  </si>
  <si>
    <t>MILENA NERY SOUZA</t>
  </si>
  <si>
    <t>mnery007</t>
  </si>
  <si>
    <t>mnery007@ec.sitel.com</t>
  </si>
  <si>
    <t>MINERY</t>
  </si>
  <si>
    <t>4304MN</t>
  </si>
  <si>
    <t>CATALÁN</t>
  </si>
  <si>
    <t>Y0554466L</t>
  </si>
  <si>
    <t>VIVIYANA FILEV BABONAITE</t>
  </si>
  <si>
    <t>INGLÉS</t>
  </si>
  <si>
    <t>vfile002</t>
  </si>
  <si>
    <t>vfile002@ec.sitel.com</t>
  </si>
  <si>
    <t>SITEL.VFILEV</t>
  </si>
  <si>
    <t>VIVIFI</t>
  </si>
  <si>
    <t>5403VF</t>
  </si>
  <si>
    <t>75149008G</t>
  </si>
  <si>
    <t>SERGIO SORROCHE QUERO</t>
  </si>
  <si>
    <t>ssorr005</t>
  </si>
  <si>
    <t>ssorr005@ec.sitel.com</t>
  </si>
  <si>
    <t>SERGSOR</t>
  </si>
  <si>
    <t>5422SS</t>
  </si>
  <si>
    <t>28599582W</t>
  </si>
  <si>
    <t>MARIA DOLORES PARRILLA BOZA</t>
  </si>
  <si>
    <t>mparr105</t>
  </si>
  <si>
    <t>SITEL.mparrilla</t>
  </si>
  <si>
    <t>MDOLPAR</t>
  </si>
  <si>
    <t>5424MP</t>
  </si>
  <si>
    <t>25608419N</t>
  </si>
  <si>
    <t>MARIA ISABEL BORREGO ONORATO</t>
  </si>
  <si>
    <t>mborr044</t>
  </si>
  <si>
    <t>MAIBORRE</t>
  </si>
  <si>
    <t>5449MB</t>
  </si>
  <si>
    <t>Y7590644Z</t>
  </si>
  <si>
    <t xml:space="preserve">NOEMI GIORGIA CIAMARRA </t>
  </si>
  <si>
    <t>nciam002</t>
  </si>
  <si>
    <t>nciam002@ec.sitel.com</t>
  </si>
  <si>
    <t>NGCIAMA</t>
  </si>
  <si>
    <t>77929450E</t>
  </si>
  <si>
    <t>CLAUDIA PACHON DEL POZO</t>
  </si>
  <si>
    <t>cpach029</t>
  </si>
  <si>
    <t>cpach029@ec.sitel.com</t>
  </si>
  <si>
    <t>CPACHONDELPOZO</t>
  </si>
  <si>
    <t>5482CP</t>
  </si>
  <si>
    <t>45102441Q</t>
  </si>
  <si>
    <t>LAMIA MOHAMED ROMERO</t>
  </si>
  <si>
    <t>lmoha033</t>
  </si>
  <si>
    <t>lmoha033@ec.sitel.com</t>
  </si>
  <si>
    <t xml:space="preserve">LMOHAMED </t>
  </si>
  <si>
    <t>5491LM</t>
  </si>
  <si>
    <t>5677CM</t>
  </si>
  <si>
    <t>5681PM</t>
  </si>
  <si>
    <t>41S761</t>
  </si>
  <si>
    <t>41S757</t>
  </si>
  <si>
    <t>41S759</t>
  </si>
  <si>
    <t>41S762</t>
  </si>
  <si>
    <t>41S755</t>
  </si>
  <si>
    <t>41S756</t>
  </si>
  <si>
    <t>41S764</t>
  </si>
  <si>
    <t>aklei012</t>
  </si>
  <si>
    <t>aklei012@ec.sitel.com</t>
  </si>
  <si>
    <t>akleischca</t>
  </si>
  <si>
    <t>12_19</t>
  </si>
  <si>
    <t>mmedi043</t>
  </si>
  <si>
    <t>mmedi043@ec.sitel.com</t>
  </si>
  <si>
    <t>mrmedinag</t>
  </si>
  <si>
    <t>msanc180</t>
  </si>
  <si>
    <t>msanc180@ec.sitel.com</t>
  </si>
  <si>
    <t>mdsancheza</t>
  </si>
  <si>
    <t>asanz006</t>
  </si>
  <si>
    <t>asanz006@ec.sitel.com</t>
  </si>
  <si>
    <t>asanzz</t>
  </si>
  <si>
    <t>mpere165</t>
  </si>
  <si>
    <t>mpere165@ec.sitel.com</t>
  </si>
  <si>
    <t>mlibertad</t>
  </si>
  <si>
    <t>7771MP</t>
  </si>
  <si>
    <t>mrodr370</t>
  </si>
  <si>
    <t>mrodr370@ec.sitel.com</t>
  </si>
  <si>
    <t>mirodriguez</t>
  </si>
  <si>
    <t>41Q631</t>
  </si>
  <si>
    <t>Y7767101S</t>
  </si>
  <si>
    <t xml:space="preserve">INEL OROZCO </t>
  </si>
  <si>
    <t>622 824 188</t>
  </si>
  <si>
    <t>ioroz007</t>
  </si>
  <si>
    <t>ioroz007@ec.sitel.com</t>
  </si>
  <si>
    <t>IOROZCO</t>
  </si>
  <si>
    <t>4447IO</t>
  </si>
  <si>
    <t>ltome005</t>
  </si>
  <si>
    <t>ltome005@ec.sitel.com</t>
  </si>
  <si>
    <t>ltome</t>
  </si>
  <si>
    <t>7921LT</t>
  </si>
  <si>
    <t>41Q816</t>
  </si>
  <si>
    <t>48822266M</t>
  </si>
  <si>
    <t>FERNANDO RUIZ FERNANDEZ</t>
  </si>
  <si>
    <t>622 008 610</t>
  </si>
  <si>
    <t>fruiz037</t>
  </si>
  <si>
    <t>fruiz037@ec.sitel.com</t>
  </si>
  <si>
    <t>FRUIZF</t>
  </si>
  <si>
    <t>4456FR</t>
  </si>
  <si>
    <t>LLAMADAS</t>
  </si>
  <si>
    <t>ASIGNACION</t>
  </si>
  <si>
    <t>BO EQUIPAJE</t>
  </si>
  <si>
    <t>BO PASAJE</t>
  </si>
  <si>
    <t>ABOGADOS_EERR</t>
  </si>
  <si>
    <t>DEMANDAS ESP</t>
  </si>
  <si>
    <t>AESA</t>
  </si>
  <si>
    <t>OMICs</t>
  </si>
  <si>
    <t>PAGOS ESPAÑA</t>
  </si>
  <si>
    <t>SUDAMERICA TRAMITACION</t>
  </si>
  <si>
    <t>5434PV</t>
  </si>
  <si>
    <t>5515FF</t>
  </si>
  <si>
    <t>5472NA</t>
  </si>
  <si>
    <t>5141TT</t>
  </si>
  <si>
    <t>5113JV</t>
  </si>
  <si>
    <t>5009AK</t>
  </si>
  <si>
    <t>5428CF</t>
  </si>
  <si>
    <t>5762RM</t>
  </si>
  <si>
    <t>5478RV</t>
  </si>
  <si>
    <t>5749AA</t>
  </si>
  <si>
    <t>17_00/BUS_23_00</t>
  </si>
  <si>
    <t>SYR_JURIDICO_ESPAÑOL</t>
  </si>
  <si>
    <t>41J075</t>
  </si>
  <si>
    <t>53279893W</t>
  </si>
  <si>
    <t>MAR CAMOYAN CABALLERO</t>
  </si>
  <si>
    <t>mcamo003</t>
  </si>
  <si>
    <t>mcamo003@ec.sitel.com</t>
  </si>
  <si>
    <t>MCAMOYAN</t>
  </si>
  <si>
    <t>41K410</t>
  </si>
  <si>
    <t>10249532L</t>
  </si>
  <si>
    <t>MANUEL WALTEMATHE DUARTE</t>
  </si>
  <si>
    <t>mwalt048</t>
  </si>
  <si>
    <t>mwaltemathe</t>
  </si>
  <si>
    <t>27724mw</t>
  </si>
  <si>
    <t>41C298</t>
  </si>
  <si>
    <t>ANGELICA BERMEJO BONILLA</t>
  </si>
  <si>
    <t>aberm042</t>
  </si>
  <si>
    <t>aberm042@ec.sitel.com</t>
  </si>
  <si>
    <t>ABERMEJOB</t>
  </si>
  <si>
    <t>41S767</t>
  </si>
  <si>
    <t>28639127X</t>
  </si>
  <si>
    <t>CRISTINA GAMAZA KRELL</t>
  </si>
  <si>
    <t>cgama015</t>
  </si>
  <si>
    <t>cgama015@ec.sitel.com</t>
  </si>
  <si>
    <t>CGAMAZA</t>
  </si>
  <si>
    <t>7168CG</t>
  </si>
  <si>
    <t>41B594</t>
  </si>
  <si>
    <t>FRANCISCO LUIS VELAZQUEZ RINCON</t>
  </si>
  <si>
    <t>fvela023</t>
  </si>
  <si>
    <t>fvela023@ec.sitel.com</t>
  </si>
  <si>
    <t>FLVELAZQUE</t>
  </si>
  <si>
    <t>7601FV</t>
  </si>
  <si>
    <t>BEATRIZ URBINA LAVIN</t>
  </si>
  <si>
    <t>burbi002</t>
  </si>
  <si>
    <t>burbi002@ec.sitel.com</t>
  </si>
  <si>
    <t>BURBINAL</t>
  </si>
  <si>
    <t>JESUS MARIA SANCHEZ MEDINA</t>
  </si>
  <si>
    <t>jsanc014</t>
  </si>
  <si>
    <t>jsanc014@ec.sitel.com</t>
  </si>
  <si>
    <t>JMSANCHEZ</t>
  </si>
  <si>
    <t>7219JS</t>
  </si>
  <si>
    <t>41S267</t>
  </si>
  <si>
    <t>PEDRO ROMERO JIMENEZ</t>
  </si>
  <si>
    <t>prome061</t>
  </si>
  <si>
    <t>prome061@ec.sitel.com</t>
  </si>
  <si>
    <t>PROMER</t>
  </si>
  <si>
    <t>41S765</t>
  </si>
  <si>
    <t>48823126Z</t>
  </si>
  <si>
    <t>CRISTINA ANTONIETTY GONZALEZ</t>
  </si>
  <si>
    <t>canto059</t>
  </si>
  <si>
    <t>canto059@ec.sitel.com</t>
  </si>
  <si>
    <t>CANTONIETTY</t>
  </si>
  <si>
    <t>7428CA</t>
  </si>
  <si>
    <t>77591610Y</t>
  </si>
  <si>
    <t>28907522H</t>
  </si>
  <si>
    <t>44953114M</t>
  </si>
  <si>
    <t>47265096G</t>
  </si>
  <si>
    <t>29500584W</t>
  </si>
  <si>
    <t>IRENE GONZALEZ HURTADO</t>
  </si>
  <si>
    <t>igonz155</t>
  </si>
  <si>
    <t>igonz155@ec.sitel.com</t>
  </si>
  <si>
    <t>5765IG</t>
  </si>
  <si>
    <t>29574595E</t>
  </si>
  <si>
    <t>MARIA FERNANDEZ CAMACHO</t>
  </si>
  <si>
    <t>mfern581</t>
  </si>
  <si>
    <t>5864MF</t>
  </si>
  <si>
    <t>77932028R</t>
  </si>
  <si>
    <t>BIANCA MARIA SLAWINSKI GARCIA</t>
  </si>
  <si>
    <t>bslaw002</t>
  </si>
  <si>
    <t>5774BS</t>
  </si>
  <si>
    <t>49558980Y</t>
  </si>
  <si>
    <t>LUCIA PAEZ CAMINO RODRIGUEZ</t>
  </si>
  <si>
    <t>lpaez022</t>
  </si>
  <si>
    <t>SITEL.LPAEZCAMIN</t>
  </si>
  <si>
    <t>5808LP</t>
  </si>
  <si>
    <t>14061048K</t>
  </si>
  <si>
    <t>ALVARO XAVIER SILVA CASTAÑEDA</t>
  </si>
  <si>
    <t>asilv420</t>
  </si>
  <si>
    <t>asilv420@ec.sitel.com</t>
  </si>
  <si>
    <t>5505AS</t>
  </si>
  <si>
    <t>5367SM</t>
  </si>
  <si>
    <t>5867JM</t>
  </si>
  <si>
    <t>5879JC</t>
  </si>
  <si>
    <t>5373MA</t>
  </si>
  <si>
    <t>5378MM</t>
  </si>
  <si>
    <t>5382MS</t>
  </si>
  <si>
    <t>27319255Q</t>
  </si>
  <si>
    <t>ABIERTO A LA ESPERA</t>
  </si>
  <si>
    <t>jpere006@ec.sitel.com</t>
  </si>
  <si>
    <t>41T182</t>
  </si>
  <si>
    <t>IGONZHURT</t>
  </si>
  <si>
    <t>41T181</t>
  </si>
  <si>
    <t>MARIAFERN</t>
  </si>
  <si>
    <t>41T196</t>
  </si>
  <si>
    <t>BISLAW</t>
  </si>
  <si>
    <t>41T192</t>
  </si>
  <si>
    <t>LUCPAEZ</t>
  </si>
  <si>
    <t>41T195</t>
  </si>
  <si>
    <t>00_01/17_00</t>
  </si>
  <si>
    <t>PORTUGUES</t>
  </si>
  <si>
    <t>53350138M</t>
  </si>
  <si>
    <t>JULIA GONZALEZ BURGOS</t>
  </si>
  <si>
    <t>jgonz1004</t>
  </si>
  <si>
    <t>jgonz1004@ec.sitel.com</t>
  </si>
  <si>
    <t>53353059M</t>
  </si>
  <si>
    <t>IVAN CORPAS NOGALES</t>
  </si>
  <si>
    <t>icorp006</t>
  </si>
  <si>
    <t>icorp006@ec.sitel.com</t>
  </si>
  <si>
    <t>Z1610970D</t>
  </si>
  <si>
    <t>ADA ALICIA WELCHEZ ROBLES</t>
  </si>
  <si>
    <t>awelc038</t>
  </si>
  <si>
    <t>awelc038@ec.sitel.com</t>
  </si>
  <si>
    <t>47342342Q</t>
  </si>
  <si>
    <t>JASON CLARKE TERRON</t>
  </si>
  <si>
    <t>jclar248</t>
  </si>
  <si>
    <t>LIVECHAT</t>
  </si>
  <si>
    <t>41T253</t>
  </si>
  <si>
    <t>41T258</t>
  </si>
  <si>
    <t>41T249</t>
  </si>
  <si>
    <t>41T250</t>
  </si>
  <si>
    <t>David.Silva2@foundever.com</t>
  </si>
  <si>
    <t>jviva209@ec.sitel.com</t>
  </si>
  <si>
    <t>SYR_CATALAN_WH</t>
  </si>
  <si>
    <t>ALVSILC</t>
  </si>
  <si>
    <t>SITEL.jgonzalezb</t>
  </si>
  <si>
    <t>SITEL.AAWELCHEZ</t>
  </si>
  <si>
    <t>SITEL.JCLARKE</t>
  </si>
  <si>
    <t>JOSE MANUEL DELGADO COPETE</t>
  </si>
  <si>
    <t>jdelg029</t>
  </si>
  <si>
    <t>jdelg029@ec.sitel.com</t>
  </si>
  <si>
    <t>REEMBOLSO TOTAL</t>
  </si>
  <si>
    <t>5903DS</t>
  </si>
  <si>
    <t>SYR_BUSQUEDA_ESP_WH</t>
  </si>
  <si>
    <t>SYR_BUSQUEDA_POR_WH</t>
  </si>
  <si>
    <t>SYR_BUSQUEDA_ING_WH</t>
  </si>
  <si>
    <t>SYR_NO_REPLY_WH</t>
  </si>
  <si>
    <t>5851VT</t>
  </si>
  <si>
    <t>5894GD</t>
  </si>
  <si>
    <t>5881JP</t>
  </si>
  <si>
    <t>5911MR</t>
  </si>
  <si>
    <t>5858MC</t>
  </si>
  <si>
    <t>5906AB</t>
  </si>
  <si>
    <t>5931JG</t>
  </si>
  <si>
    <t>5928AW</t>
  </si>
  <si>
    <t>5920JC</t>
  </si>
  <si>
    <t>28770102T</t>
  </si>
  <si>
    <t>5597JD</t>
  </si>
  <si>
    <t>5925IC</t>
  </si>
  <si>
    <t>REEMBOLSOS PARCIAL Y TARIFA</t>
  </si>
  <si>
    <t>555/</t>
  </si>
  <si>
    <t>SYR_BUSQUEDA_ALE_WH</t>
  </si>
  <si>
    <t>ILT_00_07/ILT_23_00</t>
  </si>
  <si>
    <t>ILT_00_07</t>
  </si>
  <si>
    <t>41S669</t>
  </si>
  <si>
    <t>ANA QUEIPO DE LLANO DE RUEDA</t>
  </si>
  <si>
    <t>mrodr949</t>
  </si>
  <si>
    <t>mrodr949@ec.sitel.com</t>
  </si>
  <si>
    <t>41S643</t>
  </si>
  <si>
    <t>MARCO ANDRES RANCAÑO</t>
  </si>
  <si>
    <t>mandr183</t>
  </si>
  <si>
    <t>mandr183@ec.sitel.com</t>
  </si>
  <si>
    <t>MRANCANO</t>
  </si>
  <si>
    <t>7591MR</t>
  </si>
  <si>
    <t>41H223</t>
  </si>
  <si>
    <t>PATRICIA MARTINEZ RAMON</t>
  </si>
  <si>
    <t>pmart093</t>
  </si>
  <si>
    <t>pmart093@ec.sitel.com</t>
  </si>
  <si>
    <t>PMARTINEZR</t>
  </si>
  <si>
    <t>7210PM</t>
  </si>
  <si>
    <t>41S659</t>
  </si>
  <si>
    <t>CRISTINA DIAZ VALERA</t>
  </si>
  <si>
    <t>cdiaz210</t>
  </si>
  <si>
    <t>cdiaz210@ec.sitel.com</t>
  </si>
  <si>
    <t>sitel.cdiaz</t>
  </si>
  <si>
    <t>CDIAZ</t>
  </si>
  <si>
    <t>7363CD</t>
  </si>
  <si>
    <t>41S671</t>
  </si>
  <si>
    <t>MARIA VALENTINA RODRIGUEZ MOREIRA</t>
  </si>
  <si>
    <t>aquei015</t>
  </si>
  <si>
    <t>aquei015@ec.sitel.com</t>
  </si>
  <si>
    <t>41S646</t>
  </si>
  <si>
    <t>ANDRES FERNANDEZ CAÑERO</t>
  </si>
  <si>
    <t>afern490</t>
  </si>
  <si>
    <t>afern490@ec.sitel.com</t>
  </si>
  <si>
    <t>sitel.afernande1</t>
  </si>
  <si>
    <t>AFCANERO</t>
  </si>
  <si>
    <t>7467AF</t>
  </si>
  <si>
    <t>41M881</t>
  </si>
  <si>
    <t>08896278Q</t>
  </si>
  <si>
    <t>JOSE GALVEZ CORTES</t>
  </si>
  <si>
    <t>jgalv104</t>
  </si>
  <si>
    <t>jgalv104@ec.sitel.com</t>
  </si>
  <si>
    <t>5348JG</t>
  </si>
  <si>
    <t>08I387</t>
  </si>
  <si>
    <t>X4882517P</t>
  </si>
  <si>
    <t xml:space="preserve">AMBRA SCONCIAFURNO </t>
  </si>
  <si>
    <t>ascon004</t>
  </si>
  <si>
    <t>ascon004@ec.sitel.com</t>
  </si>
  <si>
    <t>5710AS</t>
  </si>
  <si>
    <t>49164438Y</t>
  </si>
  <si>
    <t>BORJA MIGUEL PEREZ MUÑOZ</t>
  </si>
  <si>
    <t>bpere147</t>
  </si>
  <si>
    <t>bpere147@ec.sitel.com</t>
  </si>
  <si>
    <t>X8881051S</t>
  </si>
  <si>
    <t xml:space="preserve">DANIELE RUSSO </t>
  </si>
  <si>
    <t>druss036</t>
  </si>
  <si>
    <t>druss036@ec.sitel.com</t>
  </si>
  <si>
    <t>5770DR</t>
  </si>
  <si>
    <t>20604386C</t>
  </si>
  <si>
    <t>MARINA CHACON ESPAÑA</t>
  </si>
  <si>
    <t>mchac039</t>
  </si>
  <si>
    <t>mchac039@ec.sitel.com</t>
  </si>
  <si>
    <t>SITEL.MCHACON</t>
  </si>
  <si>
    <t>5690MC</t>
  </si>
  <si>
    <t>Y6760457N</t>
  </si>
  <si>
    <t>arocc004</t>
  </si>
  <si>
    <t>arocc004@ec.sitel.com</t>
  </si>
  <si>
    <t>5769AR</t>
  </si>
  <si>
    <t>SITEL.ssegura</t>
  </si>
  <si>
    <t>SITEL.PCALEIXO</t>
  </si>
  <si>
    <t>sitel.cantoniett</t>
  </si>
  <si>
    <t>07244744C</t>
  </si>
  <si>
    <t>sitel.aqueipolla</t>
  </si>
  <si>
    <t>AQUEIPO</t>
  </si>
  <si>
    <t>7128AQ</t>
  </si>
  <si>
    <t>73004180H</t>
  </si>
  <si>
    <t>46803547L</t>
  </si>
  <si>
    <t>77859497N</t>
  </si>
  <si>
    <t>Y8885591S</t>
  </si>
  <si>
    <t>MVRODRI</t>
  </si>
  <si>
    <t>77933898P</t>
  </si>
  <si>
    <t>sitel.jgalvez</t>
  </si>
  <si>
    <t>41T336</t>
  </si>
  <si>
    <t>41T328</t>
  </si>
  <si>
    <t>41T337</t>
  </si>
  <si>
    <t xml:space="preserve">ALFREDO ROCCA </t>
  </si>
  <si>
    <t>41T339</t>
  </si>
  <si>
    <t>5152SA</t>
  </si>
  <si>
    <t>5160LM</t>
  </si>
  <si>
    <t>JGONZABUR</t>
  </si>
  <si>
    <t>AWELCHEZ</t>
  </si>
  <si>
    <t>JCLARKE</t>
  </si>
  <si>
    <t>ICORPAS</t>
  </si>
  <si>
    <t>JCOPETE</t>
  </si>
  <si>
    <t>JGALVEZC</t>
  </si>
  <si>
    <t>AMBRASC</t>
  </si>
  <si>
    <t>BMPEREZ</t>
  </si>
  <si>
    <t>MARINCH</t>
  </si>
  <si>
    <t>ALFREROCC</t>
  </si>
  <si>
    <t>DANIRUS</t>
  </si>
  <si>
    <t>41T412</t>
  </si>
  <si>
    <t>02360933Y</t>
  </si>
  <si>
    <t>DANYELLE THALYA RIBEIRO PIMENTEL</t>
  </si>
  <si>
    <t>dribe027</t>
  </si>
  <si>
    <t>dribe027@ec.sitel.com</t>
  </si>
  <si>
    <t>SITEL.DTRIBEIRO</t>
  </si>
  <si>
    <t>5873DR</t>
  </si>
  <si>
    <t>41T391</t>
  </si>
  <si>
    <t>49166625P</t>
  </si>
  <si>
    <t>CRISTINA BAREA SANCHEZ</t>
  </si>
  <si>
    <t>cbare009</t>
  </si>
  <si>
    <t>cbare009@ec.sitel.com</t>
  </si>
  <si>
    <t>CRISBASA</t>
  </si>
  <si>
    <t>5599CB</t>
  </si>
  <si>
    <t>41T410</t>
  </si>
  <si>
    <t>Z1896048W</t>
  </si>
  <si>
    <t>MARCO ANTONIO PEREIRA SILVA</t>
  </si>
  <si>
    <t>mpere751</t>
  </si>
  <si>
    <t>mpere751@ec.sitel.com</t>
  </si>
  <si>
    <t>5886MP</t>
  </si>
  <si>
    <t>41T397</t>
  </si>
  <si>
    <t>X7771915P</t>
  </si>
  <si>
    <t xml:space="preserve">GEORGETA GHEORGHE </t>
  </si>
  <si>
    <t>ggheo003</t>
  </si>
  <si>
    <t>ggheo003@ec.sitel.com</t>
  </si>
  <si>
    <t>GEOGHEO</t>
  </si>
  <si>
    <t>5582GG</t>
  </si>
  <si>
    <t>41T415</t>
  </si>
  <si>
    <t>Z0571829P</t>
  </si>
  <si>
    <t>GABRIELA VITORIA SILVEIRA</t>
  </si>
  <si>
    <t>gsilv211</t>
  </si>
  <si>
    <t>gsilv211@ec.sitel.com</t>
  </si>
  <si>
    <t>5832GS</t>
  </si>
  <si>
    <t>41T401</t>
  </si>
  <si>
    <t>07053147J</t>
  </si>
  <si>
    <t>IRENE MARQUEZ GUISADO</t>
  </si>
  <si>
    <t>imarq026</t>
  </si>
  <si>
    <t>imarq026@ec.sitel.com</t>
  </si>
  <si>
    <t>IREMAGU</t>
  </si>
  <si>
    <t>5518IM</t>
  </si>
  <si>
    <t>41T414</t>
  </si>
  <si>
    <t>77941358Q</t>
  </si>
  <si>
    <t>CAROLINA SANCHEZ SANCHEZ</t>
  </si>
  <si>
    <t>csanc325</t>
  </si>
  <si>
    <t>csanc325@ec.sitel.com</t>
  </si>
  <si>
    <t>41T404</t>
  </si>
  <si>
    <t>77866665G</t>
  </si>
  <si>
    <t>SAM MORA GUERRA</t>
  </si>
  <si>
    <t>smora223</t>
  </si>
  <si>
    <t>smora223@ec.sitel.com</t>
  </si>
  <si>
    <t>SAMOGUER</t>
  </si>
  <si>
    <t>5820SM</t>
  </si>
  <si>
    <t>41T390</t>
  </si>
  <si>
    <t>49624744J</t>
  </si>
  <si>
    <t>RABIAAH ACHOUR AL MASRI</t>
  </si>
  <si>
    <t>racho009</t>
  </si>
  <si>
    <t>racho009@ec.sitel.com</t>
  </si>
  <si>
    <t>RABIAAH</t>
  </si>
  <si>
    <t>5086RA</t>
  </si>
  <si>
    <t>41S111</t>
  </si>
  <si>
    <t>04656208L</t>
  </si>
  <si>
    <t>VERONICA MARIA OLIVARES SAEZ</t>
  </si>
  <si>
    <t>voliv048</t>
  </si>
  <si>
    <t>voliv048@ec.sitel.com</t>
  </si>
  <si>
    <t>VEROLSA</t>
  </si>
  <si>
    <t>5705VO</t>
  </si>
  <si>
    <t>41S113</t>
  </si>
  <si>
    <t>80240268F</t>
  </si>
  <si>
    <t>OLGA MARIA REDONDO RIVAS</t>
  </si>
  <si>
    <t>oredo005</t>
  </si>
  <si>
    <t>oredo005@ec.sitel.com</t>
  </si>
  <si>
    <t>OLMARERI</t>
  </si>
  <si>
    <t>5676OR</t>
  </si>
  <si>
    <t>41T392</t>
  </si>
  <si>
    <t>18558406M</t>
  </si>
  <si>
    <t>MARCELA ALEXANDRA BORREGO MERINO</t>
  </si>
  <si>
    <t>mborr047</t>
  </si>
  <si>
    <t>mborr047@ec.sitel.com</t>
  </si>
  <si>
    <t>MARBORMER</t>
  </si>
  <si>
    <t>5357MB</t>
  </si>
  <si>
    <t>MariaLaura.FerreiraMiron@sitel.com</t>
  </si>
  <si>
    <t>marco.minghella@sitel.com</t>
  </si>
  <si>
    <t>violeta.perezgarcia@sitel.com</t>
  </si>
  <si>
    <t>31902096S</t>
  </si>
  <si>
    <t>ILT_16_00</t>
  </si>
  <si>
    <t>mfern581@ec.sitel.com</t>
  </si>
  <si>
    <t>lpaez022@ec.sitel.com</t>
  </si>
  <si>
    <t>cdeje011</t>
  </si>
  <si>
    <t>cdeje011@ec.sitel.com</t>
  </si>
  <si>
    <t>5623CB</t>
  </si>
  <si>
    <t>DRIBEIRO</t>
  </si>
  <si>
    <t>MAPEREIRA</t>
  </si>
  <si>
    <t>GSILVEIRA</t>
  </si>
  <si>
    <t>CASANCHEZ</t>
  </si>
  <si>
    <t>41T446</t>
  </si>
  <si>
    <t>12832658S</t>
  </si>
  <si>
    <t>MARIA GABRIELA SALGUEIRO CALDERON</t>
  </si>
  <si>
    <t>msalg035</t>
  </si>
  <si>
    <t>msalg035@ec.sitel.com</t>
  </si>
  <si>
    <t>SITEL.MGSALGUEIR</t>
  </si>
  <si>
    <t>MAGASC</t>
  </si>
  <si>
    <t>5083MS</t>
  </si>
  <si>
    <t>41T425</t>
  </si>
  <si>
    <t>21154548E</t>
  </si>
  <si>
    <t>NOELIA ALEGRE LOPEZ</t>
  </si>
  <si>
    <t>naleg014</t>
  </si>
  <si>
    <t>naleg014@ec.sitel.com</t>
  </si>
  <si>
    <t>NOEALO</t>
  </si>
  <si>
    <t>41T437</t>
  </si>
  <si>
    <t>45385836M</t>
  </si>
  <si>
    <t>PATRICIA LOZANO LAGO</t>
  </si>
  <si>
    <t>ploza017</t>
  </si>
  <si>
    <t>ploza017@ec.sitel.com</t>
  </si>
  <si>
    <t>PATRILOZ</t>
  </si>
  <si>
    <t>5091PL</t>
  </si>
  <si>
    <t>41T440</t>
  </si>
  <si>
    <t>29500142C</t>
  </si>
  <si>
    <t>JAIME MARTIN NUÑEZ</t>
  </si>
  <si>
    <t>JAIMARN</t>
  </si>
  <si>
    <t>5185JM</t>
  </si>
  <si>
    <t>41T430</t>
  </si>
  <si>
    <t>49192171R</t>
  </si>
  <si>
    <t>ANA DE LAS CASAS LEON</t>
  </si>
  <si>
    <t>adela406</t>
  </si>
  <si>
    <t>adela406@ec.sitel.com</t>
  </si>
  <si>
    <t>ANADCAL</t>
  </si>
  <si>
    <t>5291AD</t>
  </si>
  <si>
    <t>41T443</t>
  </si>
  <si>
    <t>29533645N</t>
  </si>
  <si>
    <t>LAURA PALOMINO FERNANDEZ</t>
  </si>
  <si>
    <t>lpalo025</t>
  </si>
  <si>
    <t>lpalo025@ec.sitel.com</t>
  </si>
  <si>
    <t>LAURPALF</t>
  </si>
  <si>
    <t>5325LP</t>
  </si>
  <si>
    <t>41T431</t>
  </si>
  <si>
    <t>49192172W</t>
  </si>
  <si>
    <t>MARIA DE LAS CASAS LEON</t>
  </si>
  <si>
    <t>mdela599</t>
  </si>
  <si>
    <t>mdela599@ec.sitel.com</t>
  </si>
  <si>
    <t>MARIADCAL</t>
  </si>
  <si>
    <t>5302MD</t>
  </si>
  <si>
    <t>41T429</t>
  </si>
  <si>
    <t>Z0334132Q</t>
  </si>
  <si>
    <t>OSCAR EDUARDO CAÑIZALEZ PEREZ</t>
  </si>
  <si>
    <t>ocani003</t>
  </si>
  <si>
    <t>ocani003@ec.sitel.com</t>
  </si>
  <si>
    <t>SITEL.OECANIZALE</t>
  </si>
  <si>
    <t>OSECAP</t>
  </si>
  <si>
    <t>41T445</t>
  </si>
  <si>
    <t>Z0616850H</t>
  </si>
  <si>
    <t>JAIME ALEXANDER SAAVEDRA ORTIZ</t>
  </si>
  <si>
    <t>jsaav055</t>
  </si>
  <si>
    <t>jsaav055@ec.sitel.com</t>
  </si>
  <si>
    <t>SITEL.JASAAVEDRA</t>
  </si>
  <si>
    <t>JAIMASAO</t>
  </si>
  <si>
    <t>5416JS</t>
  </si>
  <si>
    <t>41T444</t>
  </si>
  <si>
    <t>45996545H</t>
  </si>
  <si>
    <t>FRANCISCO JAVIER PARRADO PECELLIN</t>
  </si>
  <si>
    <t>fparr021</t>
  </si>
  <si>
    <t>fparr021@ec.sitel.com</t>
  </si>
  <si>
    <t>FJAVIPP</t>
  </si>
  <si>
    <t>5477FP</t>
  </si>
  <si>
    <t>41T441</t>
  </si>
  <si>
    <t>77874439G</t>
  </si>
  <si>
    <t>FRANCISCO JAVIER MATACHANA AGUILERA</t>
  </si>
  <si>
    <t>fmata016</t>
  </si>
  <si>
    <t>fmata016@ec.sitel.com</t>
  </si>
  <si>
    <t>FJAVMAG</t>
  </si>
  <si>
    <t>41T438</t>
  </si>
  <si>
    <t>48190181Y</t>
  </si>
  <si>
    <t>CARMEN MALVAR NOVOA</t>
  </si>
  <si>
    <t>cmalv004</t>
  </si>
  <si>
    <t>cmalv004@ec.sitel.com</t>
  </si>
  <si>
    <t>CMALNOV</t>
  </si>
  <si>
    <t>5517CM</t>
  </si>
  <si>
    <t>41T426</t>
  </si>
  <si>
    <t>54606642L</t>
  </si>
  <si>
    <t>ANA MARIA ARBONA HADDAD</t>
  </si>
  <si>
    <t>aarbo031</t>
  </si>
  <si>
    <t>aarbo031@ec.sitel.com</t>
  </si>
  <si>
    <t>AMARHA</t>
  </si>
  <si>
    <t>5558AA</t>
  </si>
  <si>
    <t>41T471</t>
  </si>
  <si>
    <t>47545326W</t>
  </si>
  <si>
    <t>MARIA SANCHEZ GALVEZ</t>
  </si>
  <si>
    <t>msanc629</t>
  </si>
  <si>
    <t>msanc629@ec.sitel.com</t>
  </si>
  <si>
    <t>5656MS</t>
  </si>
  <si>
    <t>41T470</t>
  </si>
  <si>
    <t>28875808K</t>
  </si>
  <si>
    <t>RAFAEL JESUS ORTEGA ORTEGA</t>
  </si>
  <si>
    <t>rorte073</t>
  </si>
  <si>
    <t>rorte073@ec.sitel.com</t>
  </si>
  <si>
    <t>5852RO</t>
  </si>
  <si>
    <t>41T466</t>
  </si>
  <si>
    <t>77852466L</t>
  </si>
  <si>
    <t>DAVID HERRERA GALAN</t>
  </si>
  <si>
    <t>dherr147</t>
  </si>
  <si>
    <t>dherr147@ec.sitel.com</t>
  </si>
  <si>
    <t>5932DH</t>
  </si>
  <si>
    <t>41T456</t>
  </si>
  <si>
    <t>47564166M</t>
  </si>
  <si>
    <t>MIGUEL ANGEL BONET MURIA</t>
  </si>
  <si>
    <t>mbone023</t>
  </si>
  <si>
    <t>mbone023@ec.sitel.com</t>
  </si>
  <si>
    <t>5965MB</t>
  </si>
  <si>
    <t>41T461</t>
  </si>
  <si>
    <t>78104116A</t>
  </si>
  <si>
    <t>FERNANDO GARCIA SOTO</t>
  </si>
  <si>
    <t>fgarc188</t>
  </si>
  <si>
    <t>fgarc188@ec.sitel.com</t>
  </si>
  <si>
    <t>5971FG</t>
  </si>
  <si>
    <t>41T469</t>
  </si>
  <si>
    <t>47268658R</t>
  </si>
  <si>
    <t>IVAN MARTINEZ MIGUEL</t>
  </si>
  <si>
    <t>imart159</t>
  </si>
  <si>
    <t>5977IM</t>
  </si>
  <si>
    <t>41T457</t>
  </si>
  <si>
    <t>15414390C</t>
  </si>
  <si>
    <t>JOSE ANTONIO CABRERA OLIVA</t>
  </si>
  <si>
    <t>jcabr154</t>
  </si>
  <si>
    <t>jcabr154@ec.sitel.com</t>
  </si>
  <si>
    <t>5988JC</t>
  </si>
  <si>
    <t>41T459</t>
  </si>
  <si>
    <t>53281896G</t>
  </si>
  <si>
    <t>ESPERANZA FERRERO VELA</t>
  </si>
  <si>
    <t>eferr098</t>
  </si>
  <si>
    <t>eferr098@ec.sitel.com</t>
  </si>
  <si>
    <t>SITEL.EMFERRERO</t>
  </si>
  <si>
    <t>5990EF</t>
  </si>
  <si>
    <t>41T465</t>
  </si>
  <si>
    <t>30264505R</t>
  </si>
  <si>
    <t>DANIEL HERMOSIN VALDES</t>
  </si>
  <si>
    <t>dherm011</t>
  </si>
  <si>
    <t>dherm011@ec.sitel.com</t>
  </si>
  <si>
    <t>SITEL.DHERMOSIN</t>
  </si>
  <si>
    <t>5991DH</t>
  </si>
  <si>
    <t>5079AM</t>
  </si>
  <si>
    <t>5551MC</t>
  </si>
  <si>
    <t>jmart1100</t>
  </si>
  <si>
    <t>jmart1100@ec.sitel.com</t>
  </si>
  <si>
    <t>MSANCHEZGALV</t>
  </si>
  <si>
    <t>RAFAELJORT</t>
  </si>
  <si>
    <t>DAVIDHERR</t>
  </si>
  <si>
    <t>MANGELBON</t>
  </si>
  <si>
    <t>FERGARCSOT</t>
  </si>
  <si>
    <t>IVANMAR</t>
  </si>
  <si>
    <t>JANTONIOC</t>
  </si>
  <si>
    <t>ESPEFER</t>
  </si>
  <si>
    <t>DANIELHER</t>
  </si>
  <si>
    <t>41T511</t>
  </si>
  <si>
    <t>29565382D</t>
  </si>
  <si>
    <t>GEMA REAL CAMPOS</t>
  </si>
  <si>
    <t>greal006</t>
  </si>
  <si>
    <t>SITEL.greal</t>
  </si>
  <si>
    <t>GEMAREAL</t>
  </si>
  <si>
    <t>5316GR</t>
  </si>
  <si>
    <t>41T506</t>
  </si>
  <si>
    <t>29618793Z</t>
  </si>
  <si>
    <t>GUILLERMO FERNANDEZ FERNANDEZ</t>
  </si>
  <si>
    <t>gfern108</t>
  </si>
  <si>
    <t>gfern108@ec.sitel.com</t>
  </si>
  <si>
    <t>GUILLEFER</t>
  </si>
  <si>
    <t>5149GF</t>
  </si>
  <si>
    <t>41T505</t>
  </si>
  <si>
    <t>X7564112X</t>
  </si>
  <si>
    <t xml:space="preserve">FLORINA ALEXANDRA BOGDAN </t>
  </si>
  <si>
    <t>fbogd003</t>
  </si>
  <si>
    <t>fbogd003@ec.sitel.com</t>
  </si>
  <si>
    <t>FLORINABOG</t>
  </si>
  <si>
    <t>5182FB</t>
  </si>
  <si>
    <t>41T510</t>
  </si>
  <si>
    <t>20095559E</t>
  </si>
  <si>
    <t>ANTONIO NAVARRO VELASCO</t>
  </si>
  <si>
    <t>anava207</t>
  </si>
  <si>
    <t>anava207@ec.sitel.com</t>
  </si>
  <si>
    <t>ANTONNAVARRO</t>
  </si>
  <si>
    <t>5209AN</t>
  </si>
  <si>
    <t>ILT_07_15</t>
  </si>
  <si>
    <t>ILT_07_14</t>
  </si>
  <si>
    <t>41T549</t>
  </si>
  <si>
    <t>32089134V</t>
  </si>
  <si>
    <t>SANDRA NUÑEZ CABALLERO</t>
  </si>
  <si>
    <t>snune039</t>
  </si>
  <si>
    <t>snune039@ec.sitel.com</t>
  </si>
  <si>
    <t>SITEL.snunezc</t>
  </si>
  <si>
    <t>5335SN</t>
  </si>
  <si>
    <t>41T547</t>
  </si>
  <si>
    <t>48882766S</t>
  </si>
  <si>
    <t>OLGA MARIA MORATO LOBATO</t>
  </si>
  <si>
    <t>omora047</t>
  </si>
  <si>
    <t>omora047@ec.sitel.com</t>
  </si>
  <si>
    <t>SITEL.OMMORATO</t>
  </si>
  <si>
    <t>5253OM</t>
  </si>
  <si>
    <t>41T542</t>
  </si>
  <si>
    <t>53932496A</t>
  </si>
  <si>
    <t>ALEJANDRO BARRERA DELGADO</t>
  </si>
  <si>
    <t>abarr421</t>
  </si>
  <si>
    <t>abarr421@ec.sitel.com</t>
  </si>
  <si>
    <t>SITEL.abarrerad</t>
  </si>
  <si>
    <t>5354AB</t>
  </si>
  <si>
    <t>5707OC</t>
  </si>
  <si>
    <t>5528MM</t>
  </si>
  <si>
    <t>5447CR</t>
  </si>
  <si>
    <t>5706MP</t>
  </si>
  <si>
    <t>Nikolay.Nazarov@foundever.com</t>
  </si>
  <si>
    <t>ILT_08_15</t>
  </si>
  <si>
    <t>andresaaron.castellanosespinosa@foundever.com</t>
  </si>
  <si>
    <t>5495RM</t>
  </si>
  <si>
    <t>sitel.imarquez</t>
  </si>
  <si>
    <t>sitel.maborrego</t>
  </si>
  <si>
    <t>Alicia.LeonPirson@foundever.com</t>
  </si>
  <si>
    <t>16_22</t>
  </si>
  <si>
    <t>SNUNEZ</t>
  </si>
  <si>
    <t>OLOBATO</t>
  </si>
  <si>
    <t>ABARRERA</t>
  </si>
  <si>
    <t>41T599</t>
  </si>
  <si>
    <t>47214508Q</t>
  </si>
  <si>
    <t>MARTA HURTADO GONZALEZ</t>
  </si>
  <si>
    <t>SITEL.MHURTADOG</t>
  </si>
  <si>
    <t>41T598</t>
  </si>
  <si>
    <t>53931761G</t>
  </si>
  <si>
    <t>CLAUDIA HERRERA RODRIGUEZ</t>
  </si>
  <si>
    <t>cherr280</t>
  </si>
  <si>
    <t>cherr280@ec.sitel.com</t>
  </si>
  <si>
    <t>41T590</t>
  </si>
  <si>
    <t>29498081Y</t>
  </si>
  <si>
    <t>ANGELA CASTAÑEDA REINA</t>
  </si>
  <si>
    <t>acast695</t>
  </si>
  <si>
    <t>acast695@ec.sitel.com</t>
  </si>
  <si>
    <t>41T593</t>
  </si>
  <si>
    <t>52327199Z</t>
  </si>
  <si>
    <t>NICOLAS GARCIA BECERRA</t>
  </si>
  <si>
    <t>ngarc192</t>
  </si>
  <si>
    <t>ngarc192@ec.sitel.com</t>
  </si>
  <si>
    <t>41T596</t>
  </si>
  <si>
    <t>47546507X</t>
  </si>
  <si>
    <t>ANGELA MARIA GARCIA GOMEZ</t>
  </si>
  <si>
    <t>SITEL.AMGARCIAG</t>
  </si>
  <si>
    <t>41T589</t>
  </si>
  <si>
    <t>47343627J</t>
  </si>
  <si>
    <t>FRANCISCO JAVIER CARRERA BERNAL</t>
  </si>
  <si>
    <t>fcarr060</t>
  </si>
  <si>
    <t>fcarr060@ec.sitel.com</t>
  </si>
  <si>
    <t>41T591</t>
  </si>
  <si>
    <t>49341974M</t>
  </si>
  <si>
    <t>IRENE DOBLADO ANDRADES</t>
  </si>
  <si>
    <t>idobl003</t>
  </si>
  <si>
    <t>idobl003@ec.sitel.com</t>
  </si>
  <si>
    <t>41T609</t>
  </si>
  <si>
    <t>Z0098806A</t>
  </si>
  <si>
    <t>LUISA MARIA TAMAYAC CASTAÑEDA</t>
  </si>
  <si>
    <t>ltama022</t>
  </si>
  <si>
    <t>ltama022@ec.sitel.com</t>
  </si>
  <si>
    <t>41T611</t>
  </si>
  <si>
    <t>Z0621468J</t>
  </si>
  <si>
    <t>JOSE VILLALOBOS GUERRA</t>
  </si>
  <si>
    <t>jvill926</t>
  </si>
  <si>
    <t>jvill926@ec.sitel.com</t>
  </si>
  <si>
    <t>SITEL.jvillalobo</t>
  </si>
  <si>
    <t>6110PS</t>
  </si>
  <si>
    <t>RDCASSIA</t>
  </si>
  <si>
    <t>6108AL</t>
  </si>
  <si>
    <t>6107AV</t>
  </si>
  <si>
    <t>6106JC</t>
  </si>
  <si>
    <t>26120/26120R</t>
  </si>
  <si>
    <t>6120TR</t>
  </si>
  <si>
    <t>6109VB</t>
  </si>
  <si>
    <t>MHURTADOG</t>
  </si>
  <si>
    <t>6089MH</t>
  </si>
  <si>
    <t>CLHERRERA</t>
  </si>
  <si>
    <t>6091CH</t>
  </si>
  <si>
    <t>ACASREINA</t>
  </si>
  <si>
    <t>6097AC</t>
  </si>
  <si>
    <t>NGARCIAB</t>
  </si>
  <si>
    <t>6098NG</t>
  </si>
  <si>
    <t>AMGARCIA</t>
  </si>
  <si>
    <t>6101AG</t>
  </si>
  <si>
    <t>FJCARRERA</t>
  </si>
  <si>
    <t>6076FC</t>
  </si>
  <si>
    <t>IDOBLADO</t>
  </si>
  <si>
    <t>6080ID</t>
  </si>
  <si>
    <t>LTAMAYAC</t>
  </si>
  <si>
    <t>6084LT</t>
  </si>
  <si>
    <t>JVILLALOBOS</t>
  </si>
  <si>
    <t>6077JV</t>
  </si>
  <si>
    <t>41T649</t>
  </si>
  <si>
    <t>Z1239783L</t>
  </si>
  <si>
    <t>MARBETH ANDREINA ALVAREZ ALVAREZ</t>
  </si>
  <si>
    <t>malvi017</t>
  </si>
  <si>
    <t>malvi017@ec.sitel.com</t>
  </si>
  <si>
    <t>6143MA</t>
  </si>
  <si>
    <t>41T650</t>
  </si>
  <si>
    <t>49033182B</t>
  </si>
  <si>
    <t>ARIADNA ARQUELLADA MORALES</t>
  </si>
  <si>
    <t>aarqu007</t>
  </si>
  <si>
    <t>aarqu007@ec.sitel.com</t>
  </si>
  <si>
    <t>6145AA</t>
  </si>
  <si>
    <t>41T662</t>
  </si>
  <si>
    <t>53933807A</t>
  </si>
  <si>
    <t>LUCIA MARTIN GOMEZ</t>
  </si>
  <si>
    <t>lmart485</t>
  </si>
  <si>
    <t>lmart485@ec.sitel.com</t>
  </si>
  <si>
    <t>6153LM</t>
  </si>
  <si>
    <t>SIN USER</t>
  </si>
  <si>
    <t>SYR_ABOGADOS_INGLES</t>
  </si>
  <si>
    <t>SYR_ABOGADOS_INGLES_WH</t>
  </si>
  <si>
    <t>SYR_ABOGADOS_ESPAÑOL</t>
  </si>
  <si>
    <t>SYR_JURIDICO_PORTUGUES</t>
  </si>
  <si>
    <t>6192AD</t>
  </si>
  <si>
    <t>SYR_LIVECHAT_WH</t>
  </si>
  <si>
    <t>6154AR</t>
  </si>
  <si>
    <t>6191CM</t>
  </si>
  <si>
    <t>SYR_LIVECHAT</t>
  </si>
  <si>
    <t>6193MC</t>
  </si>
  <si>
    <t>MALVIAREZ</t>
  </si>
  <si>
    <t>ARQUELLADAM</t>
  </si>
  <si>
    <t>LMARTING</t>
  </si>
  <si>
    <t>30232885Y</t>
  </si>
  <si>
    <t>OLGA MARIA RODRIGUEZ RODRIGUEZ</t>
  </si>
  <si>
    <t>orodr003</t>
  </si>
  <si>
    <t>orodr003@ec.sitel.com</t>
  </si>
  <si>
    <t>omrodrigue</t>
  </si>
  <si>
    <t>INCIVIA</t>
  </si>
  <si>
    <t>SYR_ABOGADOS_ESPAÑOL_WH</t>
  </si>
  <si>
    <t>5944/5944P</t>
  </si>
  <si>
    <t>5944VP</t>
  </si>
  <si>
    <t>41T835</t>
  </si>
  <si>
    <t>Z2077296X</t>
  </si>
  <si>
    <t>SUSANA RUEDAS BARAJAS</t>
  </si>
  <si>
    <t>681 126 709</t>
  </si>
  <si>
    <t>srued016</t>
  </si>
  <si>
    <t>srued016@ec.sitel.com</t>
  </si>
  <si>
    <t>SRUEDASB</t>
  </si>
  <si>
    <t>5914SR</t>
  </si>
  <si>
    <t>41T828</t>
  </si>
  <si>
    <t>30259193W</t>
  </si>
  <si>
    <t>LAURA CAÑIZARES ROMERO</t>
  </si>
  <si>
    <t>lcani021</t>
  </si>
  <si>
    <t>lcani021@ec.sitel.com</t>
  </si>
  <si>
    <t>LCANIZARES</t>
  </si>
  <si>
    <t>5887LC</t>
  </si>
  <si>
    <t>41T832</t>
  </si>
  <si>
    <t>47538230J</t>
  </si>
  <si>
    <t>ANTONIO MESA ORTEGA</t>
  </si>
  <si>
    <t>amesa037</t>
  </si>
  <si>
    <t>amesa037@ec.sitel.com</t>
  </si>
  <si>
    <t>AMESA</t>
  </si>
  <si>
    <t>5067AM</t>
  </si>
  <si>
    <t>41T834</t>
  </si>
  <si>
    <t>52693942E</t>
  </si>
  <si>
    <t>FERMIN OVEJERO JURADO</t>
  </si>
  <si>
    <t>fovej002</t>
  </si>
  <si>
    <t>fovej002@ec.sitel.com</t>
  </si>
  <si>
    <t>FOVEJERO</t>
  </si>
  <si>
    <t>5521FO</t>
  </si>
  <si>
    <t>41T836</t>
  </si>
  <si>
    <t>29503997B</t>
  </si>
  <si>
    <t>SORAYA VARGAS ALVAREZ</t>
  </si>
  <si>
    <t>658 649 252</t>
  </si>
  <si>
    <t>svarg114</t>
  </si>
  <si>
    <t>svarg114@ec.sitel.com</t>
  </si>
  <si>
    <t>SVARGASA</t>
  </si>
  <si>
    <t>5771SV</t>
  </si>
  <si>
    <t>HORARIO 14-09 al 20-10</t>
  </si>
  <si>
    <t>sitel.maalviarez</t>
  </si>
  <si>
    <t>sitel.aarquellad</t>
  </si>
  <si>
    <t>sitel.lmartin</t>
  </si>
  <si>
    <t>41T841</t>
  </si>
  <si>
    <t>54180860J</t>
  </si>
  <si>
    <t>ELENA DOMINGUEZ CAMACHO</t>
  </si>
  <si>
    <t>edomi086</t>
  </si>
  <si>
    <t>edomi086@ec.sitel.com</t>
  </si>
  <si>
    <t>EDOMINGUEZC</t>
  </si>
  <si>
    <t>5319ED</t>
  </si>
  <si>
    <t>41T840</t>
  </si>
  <si>
    <t>05711046P</t>
  </si>
  <si>
    <t>REBECA DIAZ CASTRO</t>
  </si>
  <si>
    <t>rdiaz148</t>
  </si>
  <si>
    <t>rdiaz148@ec.sitel.com</t>
  </si>
  <si>
    <t>RDIAZC</t>
  </si>
  <si>
    <t>5775RD</t>
  </si>
  <si>
    <t>41T839</t>
  </si>
  <si>
    <t>32067641Y</t>
  </si>
  <si>
    <t>JOSE ANTONIO BAUTISTA ALGABA</t>
  </si>
  <si>
    <t>jbaut251</t>
  </si>
  <si>
    <t>jbaut251@ec.sitel.com</t>
  </si>
  <si>
    <t>JBAUTISTA</t>
  </si>
  <si>
    <t>5874JB</t>
  </si>
  <si>
    <t>41T842</t>
  </si>
  <si>
    <t>47267084Z</t>
  </si>
  <si>
    <t>CLAUDIA MENDOZA ANTEQUERA</t>
  </si>
  <si>
    <t>cmend269</t>
  </si>
  <si>
    <t>cmend269@ec.sitel.com</t>
  </si>
  <si>
    <t>CMENDOZAN</t>
  </si>
  <si>
    <t>5904CM</t>
  </si>
  <si>
    <t>41T892</t>
  </si>
  <si>
    <t>41T887</t>
  </si>
  <si>
    <t>41T888</t>
  </si>
  <si>
    <t>CABOATTINI</t>
  </si>
  <si>
    <t>77815417T</t>
  </si>
  <si>
    <t>sslez004</t>
  </si>
  <si>
    <t>STEVENSLEZ</t>
  </si>
  <si>
    <t>STEVEN BRUNO SLEZAK BELLIDO</t>
  </si>
  <si>
    <t>17481061A</t>
  </si>
  <si>
    <t>aespi199</t>
  </si>
  <si>
    <t>aespi199@ec.sitel.com</t>
  </si>
  <si>
    <t>AITANAESP</t>
  </si>
  <si>
    <t>6179AE</t>
  </si>
  <si>
    <t>AITANA ESPINOSA RANGEL</t>
  </si>
  <si>
    <t>28935710P</t>
  </si>
  <si>
    <t>KHADY FALL ANGUITA</t>
  </si>
  <si>
    <t>kfall017</t>
  </si>
  <si>
    <t>kfall017@ec.sitel.com</t>
  </si>
  <si>
    <t>KHADYF</t>
  </si>
  <si>
    <t>6185KF</t>
  </si>
  <si>
    <t xml:space="preserve">CONSTANTIN PALASANU </t>
  </si>
  <si>
    <t>agarc980</t>
  </si>
  <si>
    <t>agarc980@ec.sitel.com</t>
  </si>
  <si>
    <t>41T922</t>
  </si>
  <si>
    <t>41T918</t>
  </si>
  <si>
    <t>41T919</t>
  </si>
  <si>
    <t>41T901</t>
  </si>
  <si>
    <t>41T909</t>
  </si>
  <si>
    <t>41T912</t>
  </si>
  <si>
    <t>41T917</t>
  </si>
  <si>
    <t>41T905</t>
  </si>
  <si>
    <t>07_1330</t>
  </si>
  <si>
    <t>6233IB</t>
  </si>
  <si>
    <t>5131JR</t>
  </si>
  <si>
    <t>5131/5131R</t>
  </si>
  <si>
    <t>Belen.ruizsanchez@foundever.com</t>
  </si>
  <si>
    <t>5213PR</t>
  </si>
  <si>
    <t>mhurt030@ec.sitel.com</t>
  </si>
  <si>
    <t>29512997H</t>
  </si>
  <si>
    <t>PAULA VAZQUEZ ALFONSO</t>
  </si>
  <si>
    <t>pvazq025</t>
  </si>
  <si>
    <t>pvazq025@ec.sitel.com</t>
  </si>
  <si>
    <t>sitel.pvazquez</t>
  </si>
  <si>
    <t>PAULAVAZQ</t>
  </si>
  <si>
    <t>5937PV</t>
  </si>
  <si>
    <t>50193776W</t>
  </si>
  <si>
    <t>PALOMA GOMEZ ARIZA</t>
  </si>
  <si>
    <t>pgome110</t>
  </si>
  <si>
    <t>pgome110@ec.sitel.com</t>
  </si>
  <si>
    <t>PALOMAGOM</t>
  </si>
  <si>
    <t>5907PG</t>
  </si>
  <si>
    <t>49135730W</t>
  </si>
  <si>
    <t>AGUEDA MARTINEZ LIRA</t>
  </si>
  <si>
    <t>amart1058</t>
  </si>
  <si>
    <t>sitel.amartinez</t>
  </si>
  <si>
    <t>AGUEDAMART</t>
  </si>
  <si>
    <t>5563AM</t>
  </si>
  <si>
    <t>49302063E</t>
  </si>
  <si>
    <t>PAOLA ARAGON GOMEZ</t>
  </si>
  <si>
    <t>parag012</t>
  </si>
  <si>
    <t>parag012@ec.sitel.com</t>
  </si>
  <si>
    <t>PAOLAARA</t>
  </si>
  <si>
    <t>5921PA</t>
  </si>
  <si>
    <t>29587092F</t>
  </si>
  <si>
    <t>PABLO GIL LOPEZ</t>
  </si>
  <si>
    <t>pgill027</t>
  </si>
  <si>
    <t>pgill027@ec.sitel.com</t>
  </si>
  <si>
    <t>sitel.pfgil</t>
  </si>
  <si>
    <t>PABLOGIL</t>
  </si>
  <si>
    <t>5898PG</t>
  </si>
  <si>
    <t>47268204F</t>
  </si>
  <si>
    <t>ANDREA MISSO HERNANDO</t>
  </si>
  <si>
    <t>amiss013</t>
  </si>
  <si>
    <t>amiss013@ec.sitel.com</t>
  </si>
  <si>
    <t>sitel.amisso</t>
  </si>
  <si>
    <t>ANDREAMISS</t>
  </si>
  <si>
    <t>5685AM</t>
  </si>
  <si>
    <t>77939886Q</t>
  </si>
  <si>
    <t>YASSIR TOBIAS AÑEZ</t>
  </si>
  <si>
    <t>ytobi006</t>
  </si>
  <si>
    <t>ytobi006@ec.sitel.com</t>
  </si>
  <si>
    <t>sitel.ytobias</t>
  </si>
  <si>
    <t>YASSIRTOBI</t>
  </si>
  <si>
    <t>5938YT</t>
  </si>
  <si>
    <t>77817313X</t>
  </si>
  <si>
    <t>ANA CRISTINA DIAZ ROBLES</t>
  </si>
  <si>
    <t>adiaz349</t>
  </si>
  <si>
    <t>adiaz349@ec.sitel.com</t>
  </si>
  <si>
    <t>sitel.acdiaz</t>
  </si>
  <si>
    <t>ANACRISDIA</t>
  </si>
  <si>
    <t>5648AD</t>
  </si>
  <si>
    <t>acabr043</t>
  </si>
  <si>
    <t>acabr043@ec.sitel.com</t>
  </si>
  <si>
    <t>sitel.adcabral</t>
  </si>
  <si>
    <t>adcabral</t>
  </si>
  <si>
    <t>6230BD</t>
  </si>
  <si>
    <t>6155AL</t>
  </si>
  <si>
    <t>6227BM</t>
  </si>
  <si>
    <t>6231CM</t>
  </si>
  <si>
    <t>6226CT</t>
  </si>
  <si>
    <t>6235LM</t>
  </si>
  <si>
    <t>6236RL</t>
  </si>
  <si>
    <t>6237SR</t>
  </si>
  <si>
    <t>26238U</t>
  </si>
  <si>
    <t>6238BU</t>
  </si>
  <si>
    <t>aguar018@ec.sitel.com</t>
  </si>
  <si>
    <t>5594GT</t>
  </si>
  <si>
    <t>5003/5003D</t>
  </si>
  <si>
    <t>5003PD</t>
  </si>
  <si>
    <t>REDES/PRENSA</t>
  </si>
  <si>
    <t>6384VA</t>
  </si>
  <si>
    <t>6381CP</t>
  </si>
  <si>
    <t>6382CO</t>
  </si>
  <si>
    <t>4170MM</t>
  </si>
  <si>
    <t>6379TA</t>
  </si>
  <si>
    <t>6380BR</t>
  </si>
  <si>
    <t>6383MG</t>
  </si>
  <si>
    <t>7785JV</t>
  </si>
  <si>
    <t>6375CS</t>
  </si>
  <si>
    <t>26103SG</t>
  </si>
  <si>
    <t>5119AS</t>
  </si>
  <si>
    <t>6377OR</t>
  </si>
  <si>
    <t>6376AC</t>
  </si>
  <si>
    <t>08_13</t>
  </si>
  <si>
    <t>655 718 349</t>
  </si>
  <si>
    <t>CRISTINA.VAZQUEZ@SITEL.COM</t>
  </si>
  <si>
    <t>CONSTANTI.PALASANU@SITEL.COM</t>
  </si>
  <si>
    <t>MARIADOLORES.PARRILLABOZA@SITEL.COM</t>
  </si>
  <si>
    <t>arobl030</t>
  </si>
  <si>
    <t>arobl030@ec.sitel.com</t>
  </si>
  <si>
    <t>aarobles</t>
  </si>
  <si>
    <t>5866AR</t>
  </si>
  <si>
    <t>PETICION</t>
  </si>
  <si>
    <t>2022-01</t>
  </si>
  <si>
    <t>2022-02</t>
  </si>
  <si>
    <t>2024-06</t>
  </si>
  <si>
    <t>2022-03</t>
  </si>
  <si>
    <t>2022-04</t>
  </si>
  <si>
    <t>2022-05</t>
  </si>
  <si>
    <t>2022-06</t>
  </si>
  <si>
    <t>2022-08</t>
  </si>
  <si>
    <t>2022-98</t>
  </si>
  <si>
    <t>2022-10</t>
  </si>
  <si>
    <t>2022-11</t>
  </si>
  <si>
    <t>2022-12</t>
  </si>
  <si>
    <t>2023-01</t>
  </si>
  <si>
    <t>2023-02</t>
  </si>
  <si>
    <t>2023-03</t>
  </si>
  <si>
    <t>2023-06</t>
  </si>
  <si>
    <t>2023-07</t>
  </si>
  <si>
    <t>2023-09</t>
  </si>
  <si>
    <t>2023-10</t>
  </si>
  <si>
    <t>2023-11</t>
  </si>
  <si>
    <t>2023-12</t>
  </si>
  <si>
    <t>2021-00</t>
  </si>
  <si>
    <t>2024-04</t>
  </si>
  <si>
    <t>2024-14</t>
  </si>
  <si>
    <t>2022-13</t>
  </si>
  <si>
    <t>2023-13</t>
  </si>
  <si>
    <t>2022-14</t>
  </si>
  <si>
    <t>2023-14</t>
  </si>
  <si>
    <t>2022-15</t>
  </si>
  <si>
    <t>2023-15</t>
  </si>
  <si>
    <t>2022-16</t>
  </si>
  <si>
    <t>2023-16</t>
  </si>
  <si>
    <t>2022-17</t>
  </si>
  <si>
    <t>2023-17</t>
  </si>
  <si>
    <t>2022-18</t>
  </si>
  <si>
    <t>2023-18</t>
  </si>
  <si>
    <t>2022-19</t>
  </si>
  <si>
    <t>2022-20</t>
  </si>
  <si>
    <t>2022-22</t>
  </si>
  <si>
    <t>2022-23</t>
  </si>
  <si>
    <t>2024-08</t>
  </si>
  <si>
    <t>2022-24</t>
  </si>
  <si>
    <t>2022-25</t>
  </si>
  <si>
    <t>2022-26</t>
  </si>
  <si>
    <t>2022-27</t>
  </si>
  <si>
    <t>2023-20</t>
  </si>
  <si>
    <t>2023-21</t>
  </si>
  <si>
    <t>2023-24</t>
  </si>
  <si>
    <t>2023-25</t>
  </si>
  <si>
    <t>2024-01</t>
  </si>
  <si>
    <t>2024-03</t>
  </si>
  <si>
    <t>2024-07</t>
  </si>
  <si>
    <t>2024-05</t>
  </si>
  <si>
    <t>2024-12</t>
  </si>
  <si>
    <t>2024-09</t>
  </si>
  <si>
    <t>2024-11</t>
  </si>
  <si>
    <t>2024-10</t>
  </si>
  <si>
    <t>2024-13</t>
  </si>
  <si>
    <t>2024-15</t>
  </si>
  <si>
    <t>2024-16</t>
  </si>
  <si>
    <t>2024-18</t>
  </si>
  <si>
    <t>2024-17</t>
  </si>
  <si>
    <t>2024-19</t>
  </si>
  <si>
    <t>2024-23</t>
  </si>
  <si>
    <t>2024-20</t>
  </si>
  <si>
    <t>2024-21</t>
  </si>
  <si>
    <t>2024-22</t>
  </si>
  <si>
    <t>fabio.gregori@foundever.com</t>
  </si>
  <si>
    <t>41U110</t>
  </si>
  <si>
    <t>Z1967080X</t>
  </si>
  <si>
    <t>ANA RAQUEL SILVA SOARES</t>
  </si>
  <si>
    <t>asilv454</t>
  </si>
  <si>
    <t>asilv454@ec.sitel.com</t>
  </si>
  <si>
    <t>ASILVAS</t>
  </si>
  <si>
    <t>5195AS</t>
  </si>
  <si>
    <t>41U108</t>
  </si>
  <si>
    <t>Z0838289J</t>
  </si>
  <si>
    <t>MALU PEREIRA DIETRICH</t>
  </si>
  <si>
    <t>mpere807</t>
  </si>
  <si>
    <t>mpere807@ec.sitel.com</t>
  </si>
  <si>
    <t>MPEREIRAD</t>
  </si>
  <si>
    <t>5208MP</t>
  </si>
  <si>
    <t>41U111</t>
  </si>
  <si>
    <t>X9765005X</t>
  </si>
  <si>
    <t>ALEXANDRA TOLEDO BRITO E MOURA SANTIAGO</t>
  </si>
  <si>
    <t>atole102</t>
  </si>
  <si>
    <t>atole102@ec.sitel.com</t>
  </si>
  <si>
    <t>ATOLEDOM</t>
  </si>
  <si>
    <t>5039AT</t>
  </si>
  <si>
    <t>41U105</t>
  </si>
  <si>
    <t>Y5408626Y</t>
  </si>
  <si>
    <t>MARIA SHIRLEI CARVALHO DOS SANTOS</t>
  </si>
  <si>
    <t>mcarv083</t>
  </si>
  <si>
    <t>mcarv083@ec.sitel.com</t>
  </si>
  <si>
    <t>MCARVALHO</t>
  </si>
  <si>
    <t>5186MC</t>
  </si>
  <si>
    <t>41U109</t>
  </si>
  <si>
    <t>Y6468720F</t>
  </si>
  <si>
    <t>RUBEN EMANUEL REIS CORDEIRO</t>
  </si>
  <si>
    <t>rreis016</t>
  </si>
  <si>
    <t>rreis016@ec.sitel.com</t>
  </si>
  <si>
    <t>RREIS</t>
  </si>
  <si>
    <t>5188RR</t>
  </si>
  <si>
    <t>41U106</t>
  </si>
  <si>
    <t>Y2769200Z</t>
  </si>
  <si>
    <t>ADRIANY FRAZAO MENDES</t>
  </si>
  <si>
    <t>afraz033</t>
  </si>
  <si>
    <t>afraz033@ec.sitel.com</t>
  </si>
  <si>
    <t>AFRAZAO</t>
  </si>
  <si>
    <t>5168AF</t>
  </si>
  <si>
    <t>5978CS</t>
  </si>
  <si>
    <t>5973FM</t>
  </si>
  <si>
    <t>5981JJ</t>
  </si>
  <si>
    <t>5969LO</t>
  </si>
  <si>
    <t>5979NA</t>
  </si>
  <si>
    <t>CB_LIBRA</t>
  </si>
  <si>
    <t>18_00</t>
  </si>
  <si>
    <t>5728M</t>
  </si>
  <si>
    <t>5728DM</t>
  </si>
  <si>
    <t>41U171</t>
  </si>
  <si>
    <t>45995153Y</t>
  </si>
  <si>
    <t>CARMEN OCAÑA TORO</t>
  </si>
  <si>
    <t>cocan007</t>
  </si>
  <si>
    <t>cocan007@ec.sitel.com</t>
  </si>
  <si>
    <t>COCANA</t>
  </si>
  <si>
    <t>5837O</t>
  </si>
  <si>
    <t>5837CO</t>
  </si>
  <si>
    <t>41U173</t>
  </si>
  <si>
    <t>26776033P</t>
  </si>
  <si>
    <t>HELENA RIVERO GIL</t>
  </si>
  <si>
    <t>hrive040</t>
  </si>
  <si>
    <t>hrive040@ec.sitel.com</t>
  </si>
  <si>
    <t>HRIVERO</t>
  </si>
  <si>
    <t>5838R</t>
  </si>
  <si>
    <t>5838HR</t>
  </si>
  <si>
    <t>41U176</t>
  </si>
  <si>
    <t>28487687W</t>
  </si>
  <si>
    <t>MARIA GERTRUDIS VARGAS DE LA ORDEN</t>
  </si>
  <si>
    <t>mvarg209</t>
  </si>
  <si>
    <t>mvarg209@ec.sitel.com</t>
  </si>
  <si>
    <t>found.mgvargas</t>
  </si>
  <si>
    <t>MGVARGAS</t>
  </si>
  <si>
    <t>5839V</t>
  </si>
  <si>
    <t>5839MV</t>
  </si>
  <si>
    <t>41U170</t>
  </si>
  <si>
    <t>45347992L</t>
  </si>
  <si>
    <t>AINHOA NAVARRO FARIAS</t>
  </si>
  <si>
    <t>anava227</t>
  </si>
  <si>
    <t>anava227@ec.sitel.com</t>
  </si>
  <si>
    <t>ACNAVARRO</t>
  </si>
  <si>
    <t>5861N</t>
  </si>
  <si>
    <t>5861AN</t>
  </si>
  <si>
    <t>41U166</t>
  </si>
  <si>
    <t>29623509S</t>
  </si>
  <si>
    <t>ISABEL CASTAÑO DELGADO</t>
  </si>
  <si>
    <t>icast109</t>
  </si>
  <si>
    <t>icast109@ec.sitel.com</t>
  </si>
  <si>
    <t>found.icastano</t>
  </si>
  <si>
    <t>ICASTANO</t>
  </si>
  <si>
    <t>5868C</t>
  </si>
  <si>
    <t>5868IC</t>
  </si>
  <si>
    <t>41U164</t>
  </si>
  <si>
    <t>77849584N</t>
  </si>
  <si>
    <t>REYES ALCANTARA RAMOS</t>
  </si>
  <si>
    <t>ralca074</t>
  </si>
  <si>
    <t>ralca074@ec.sitel.com</t>
  </si>
  <si>
    <t>RALCANTARA</t>
  </si>
  <si>
    <t>5884A</t>
  </si>
  <si>
    <t>5884RA</t>
  </si>
  <si>
    <t>41U165</t>
  </si>
  <si>
    <t>45809739H</t>
  </si>
  <si>
    <t>HELENA MARIA BAYON MATUTE</t>
  </si>
  <si>
    <t>hbayo007</t>
  </si>
  <si>
    <t>hbayo007@ec.sitel.com</t>
  </si>
  <si>
    <t>found.hmbayon</t>
  </si>
  <si>
    <t>HMBAYON</t>
  </si>
  <si>
    <t>5889B</t>
  </si>
  <si>
    <t>5889HB</t>
  </si>
  <si>
    <t>41U174</t>
  </si>
  <si>
    <t>30217867F</t>
  </si>
  <si>
    <t>GAELLE ROBERT MANCERA</t>
  </si>
  <si>
    <t>grobe027</t>
  </si>
  <si>
    <t>grobe027@ec.sitel.com</t>
  </si>
  <si>
    <t>GROBERT</t>
  </si>
  <si>
    <t>5890M</t>
  </si>
  <si>
    <t>5890GM</t>
  </si>
  <si>
    <t>41U169</t>
  </si>
  <si>
    <t>77817815Y</t>
  </si>
  <si>
    <t>BLANCA MONTERO MUÑOZ</t>
  </si>
  <si>
    <t>bmont085</t>
  </si>
  <si>
    <t>BMONTERO</t>
  </si>
  <si>
    <t>5892M</t>
  </si>
  <si>
    <t>5892BM</t>
  </si>
  <si>
    <t>41U167</t>
  </si>
  <si>
    <t>02361765X</t>
  </si>
  <si>
    <t>MARCELA SOFIA FERNANDEZ DIAZ GRANADOS</t>
  </si>
  <si>
    <t>mfern616</t>
  </si>
  <si>
    <t>mfern616@ec.sitel.com</t>
  </si>
  <si>
    <t>MSFERNANDEZ</t>
  </si>
  <si>
    <t>5896F</t>
  </si>
  <si>
    <t>5896MF</t>
  </si>
  <si>
    <t>bmont085@ec.sitel.com</t>
  </si>
  <si>
    <t>mhurt030</t>
  </si>
  <si>
    <t>16_00/BUS_23_00</t>
  </si>
  <si>
    <t xml:space="preserve">DANIELA PROCOPIO </t>
  </si>
  <si>
    <t>VAC_09_17</t>
  </si>
  <si>
    <t>5014FA</t>
  </si>
  <si>
    <t>6105RD</t>
  </si>
  <si>
    <t>VAC_LIBRA</t>
  </si>
  <si>
    <t>41B991</t>
  </si>
  <si>
    <t>30225249Y</t>
  </si>
  <si>
    <t>DAVID TRILLO GALAN</t>
  </si>
  <si>
    <t>dtril001</t>
  </si>
  <si>
    <t>dtril001@ec.sitel.com</t>
  </si>
  <si>
    <t>dtrillo</t>
  </si>
  <si>
    <t>41T550</t>
  </si>
  <si>
    <t>04634387W</t>
  </si>
  <si>
    <t>VICTORIA MARIA OLIVARES SAEZ</t>
  </si>
  <si>
    <t>voliv051</t>
  </si>
  <si>
    <t>voliv051@ec.sitel.com</t>
  </si>
  <si>
    <t>SITEL.volivares</t>
  </si>
  <si>
    <t>VOLIVARES</t>
  </si>
  <si>
    <t>5025DB</t>
  </si>
  <si>
    <t>pmore009@ec.foundever.com</t>
  </si>
  <si>
    <t>5062RO</t>
  </si>
  <si>
    <t>VAC_08_16</t>
  </si>
  <si>
    <t>5064CD</t>
  </si>
  <si>
    <t>5043CG</t>
  </si>
  <si>
    <t>mbeni020@ec.sitel.com</t>
  </si>
  <si>
    <t>roliv056@ec.foundever.com</t>
  </si>
  <si>
    <t>5007VO</t>
  </si>
  <si>
    <t>CONTAR</t>
  </si>
  <si>
    <t>5584EH</t>
  </si>
  <si>
    <t>VAC_07_14</t>
  </si>
  <si>
    <t>2022-07</t>
  </si>
  <si>
    <t>ygran010</t>
  </si>
  <si>
    <t>ygran010@ec.sitel.com</t>
  </si>
  <si>
    <t>ygranado</t>
  </si>
  <si>
    <t>4216YG</t>
  </si>
  <si>
    <t>ykiri002</t>
  </si>
  <si>
    <t>ykiri002@ec.sitel.com</t>
  </si>
  <si>
    <t>ykirillova</t>
  </si>
  <si>
    <t>4137YK</t>
  </si>
  <si>
    <t>NO GESTIONA</t>
  </si>
  <si>
    <t>5099MG</t>
  </si>
  <si>
    <t>VAC_15_22</t>
  </si>
  <si>
    <t>2025-01</t>
  </si>
  <si>
    <t>2025-02</t>
  </si>
  <si>
    <t>cristina.fernandezbenitez@foundever.com</t>
  </si>
  <si>
    <t>80166956L</t>
  </si>
  <si>
    <t>JAIME CASTRO PESO</t>
  </si>
  <si>
    <t>jcast1079</t>
  </si>
  <si>
    <t>jcast1079@ec.foundever.com</t>
  </si>
  <si>
    <t>JCASTROP</t>
  </si>
  <si>
    <t>5863JC</t>
  </si>
  <si>
    <t>54184141M</t>
  </si>
  <si>
    <t>JUAN MANUEL SIVIANES SANTOS</t>
  </si>
  <si>
    <t>jsivi005</t>
  </si>
  <si>
    <t>jsivi005@ec.foundever.com</t>
  </si>
  <si>
    <t>FOUND.JMSIVIANES</t>
  </si>
  <si>
    <t>JMSILVIANS</t>
  </si>
  <si>
    <t>5143JS</t>
  </si>
  <si>
    <t>77817786T</t>
  </si>
  <si>
    <t>MARIA DEL CORAL CEREZUELA GONZALEZ</t>
  </si>
  <si>
    <t>mcere021</t>
  </si>
  <si>
    <t>mcere021@ec.foundever.com</t>
  </si>
  <si>
    <t>MCEREZGON</t>
  </si>
  <si>
    <t>5190MC</t>
  </si>
  <si>
    <t>mariaisabel.borrego@foundever.com</t>
  </si>
  <si>
    <t>44291135N</t>
  </si>
  <si>
    <t>MARIA VANESA GARCIA PINEDA</t>
  </si>
  <si>
    <t>mgarc1129</t>
  </si>
  <si>
    <t>mgarc1129@ec.foundever.com</t>
  </si>
  <si>
    <t>FOUND.MVGARCIA</t>
  </si>
  <si>
    <t>MVGARCIAP</t>
  </si>
  <si>
    <t>5847MG</t>
  </si>
  <si>
    <t>58010639Q</t>
  </si>
  <si>
    <t>MARIANO GABRIEL LOPEZ ALANIS</t>
  </si>
  <si>
    <t>mlope764</t>
  </si>
  <si>
    <t>mlope764@ec.foundever.com</t>
  </si>
  <si>
    <t>MGLOPEZS</t>
  </si>
  <si>
    <t>5835ML</t>
  </si>
  <si>
    <t>23062915X</t>
  </si>
  <si>
    <t>NAYARA JAMILETH REYES GUALPA</t>
  </si>
  <si>
    <t>nreye186</t>
  </si>
  <si>
    <t>nreye186@ec.foundever.com</t>
  </si>
  <si>
    <t>FOUND.NJREYES</t>
  </si>
  <si>
    <t>NJAREYES</t>
  </si>
  <si>
    <t>5238NR</t>
  </si>
  <si>
    <t>53933392W</t>
  </si>
  <si>
    <t>PALOMA GOMEZ SIVIANES</t>
  </si>
  <si>
    <t>pgome116</t>
  </si>
  <si>
    <t>pgome116@ec.foundever.com</t>
  </si>
  <si>
    <t>FOUND.PGOMEZ</t>
  </si>
  <si>
    <t>PGOMEZS</t>
  </si>
  <si>
    <t>5836PG</t>
  </si>
  <si>
    <t>53346474K</t>
  </si>
  <si>
    <t>SOFIA BELMONTE ESTEBAN</t>
  </si>
  <si>
    <t>sbelm017</t>
  </si>
  <si>
    <t>sbelm017@ec.foundever.com</t>
  </si>
  <si>
    <t>SBELMONTE</t>
  </si>
  <si>
    <t>5849SB</t>
  </si>
  <si>
    <t>2025-05</t>
  </si>
  <si>
    <t>VAC_13_20</t>
  </si>
  <si>
    <t>41R554</t>
  </si>
  <si>
    <t>48946542N</t>
  </si>
  <si>
    <t>AZAHARA PASTOR DOMINGUEZ</t>
  </si>
  <si>
    <t>apast026</t>
  </si>
  <si>
    <t>apast026@ec.foundever.com</t>
  </si>
  <si>
    <t>SYR_ESTRUCTURA</t>
  </si>
  <si>
    <t>41U509</t>
  </si>
  <si>
    <t>41U525</t>
  </si>
  <si>
    <t>41U510</t>
  </si>
  <si>
    <t>41U512</t>
  </si>
  <si>
    <t>41U516</t>
  </si>
  <si>
    <t>41U522</t>
  </si>
  <si>
    <t>pdieg003@ec.foundever.com</t>
  </si>
  <si>
    <t>41U515</t>
  </si>
  <si>
    <t>41U508</t>
  </si>
  <si>
    <t>VAC_08_15</t>
  </si>
  <si>
    <t>MJFERENANDEZ</t>
  </si>
  <si>
    <t>VAC_09_15</t>
  </si>
  <si>
    <t>15_2130</t>
  </si>
  <si>
    <t>5804AC</t>
  </si>
  <si>
    <t>FOUND.AMPASTOR</t>
  </si>
  <si>
    <t>ILT_09_15</t>
  </si>
  <si>
    <t>5823JV</t>
  </si>
  <si>
    <t>5816LD</t>
  </si>
  <si>
    <t>5796MG</t>
  </si>
  <si>
    <t>VAC_15_21</t>
  </si>
  <si>
    <t>5801TG</t>
  </si>
  <si>
    <t>2025-03</t>
  </si>
  <si>
    <t>2025-04</t>
  </si>
  <si>
    <t>5724AP</t>
  </si>
  <si>
    <t>00_06/23_00</t>
  </si>
  <si>
    <t>Y8964764E</t>
  </si>
  <si>
    <t>CARLOS ANTONIO DIAZ FERNANDEZ</t>
  </si>
  <si>
    <t>cdiaz245</t>
  </si>
  <si>
    <t>cdiaz245@ec.foundever.com</t>
  </si>
  <si>
    <t>found.cafdiaz</t>
  </si>
  <si>
    <t>CADIAZF</t>
  </si>
  <si>
    <t>5539CD</t>
  </si>
  <si>
    <t>29506767K</t>
  </si>
  <si>
    <t>CLAUDIA CORTON JARA</t>
  </si>
  <si>
    <t>ccort109</t>
  </si>
  <si>
    <t>ccort109@ec.foundever.com</t>
  </si>
  <si>
    <t>CCORTONJ</t>
  </si>
  <si>
    <t>5778CC</t>
  </si>
  <si>
    <t>ILT_15_20</t>
  </si>
  <si>
    <t>53346342G</t>
  </si>
  <si>
    <t>GEMA BENITEZ CANTERO</t>
  </si>
  <si>
    <t>gbeni026</t>
  </si>
  <si>
    <t>gbeni026@ec.foundever.com</t>
  </si>
  <si>
    <t>GBENITEZC</t>
  </si>
  <si>
    <t>5784GB</t>
  </si>
  <si>
    <t>48192112M</t>
  </si>
  <si>
    <t>INES MARIA SIMON SERRANO</t>
  </si>
  <si>
    <t>isimo015</t>
  </si>
  <si>
    <t>isimo015@ec.foundever.com</t>
  </si>
  <si>
    <t>ISIMONS</t>
  </si>
  <si>
    <t>5279IS</t>
  </si>
  <si>
    <t>77850099K</t>
  </si>
  <si>
    <t>MARIA THIRIET CHAPARRO</t>
  </si>
  <si>
    <t>mthir009</t>
  </si>
  <si>
    <t>mthir009@ec.foundever.com</t>
  </si>
  <si>
    <t>MTHIRIETC</t>
  </si>
  <si>
    <t>5484MT</t>
  </si>
  <si>
    <t>30235167B</t>
  </si>
  <si>
    <t>PABLO TORILO GONZALEZ</t>
  </si>
  <si>
    <t>ptori007</t>
  </si>
  <si>
    <t>ptori007@ec.foundever.com</t>
  </si>
  <si>
    <t>PTORILOG</t>
  </si>
  <si>
    <t>5788PT</t>
  </si>
  <si>
    <t>49094566P</t>
  </si>
  <si>
    <t>SARA CABALLERO MÜHLBACH</t>
  </si>
  <si>
    <t>scaba093</t>
  </si>
  <si>
    <t>scaba093@ec.foundever.com</t>
  </si>
  <si>
    <t>found.scaballero</t>
  </si>
  <si>
    <t>SCABALLEROM</t>
  </si>
  <si>
    <t>5294SC</t>
  </si>
  <si>
    <t>41U640</t>
  </si>
  <si>
    <t>41U639</t>
  </si>
  <si>
    <t>41U636</t>
  </si>
  <si>
    <t>gema.realcampos@foundever.com</t>
  </si>
  <si>
    <t>41U648</t>
  </si>
  <si>
    <t>josemaria.monterocarneiro@foundever.com</t>
  </si>
  <si>
    <t>41U650</t>
  </si>
  <si>
    <t>41U651</t>
  </si>
  <si>
    <t>41U638</t>
  </si>
  <si>
    <t>INSTRUCCIONES</t>
  </si>
  <si>
    <t>2025-06</t>
  </si>
  <si>
    <t>41U662</t>
  </si>
  <si>
    <t>Z3161542J</t>
  </si>
  <si>
    <t xml:space="preserve">CLAUDIO PASQUALICCHIO </t>
  </si>
  <si>
    <t>+ 393202124563</t>
  </si>
  <si>
    <t>cpasq004</t>
  </si>
  <si>
    <t>cpasq004@ec.foundever.com</t>
  </si>
  <si>
    <t>FOUND.CPASQUALIC</t>
  </si>
  <si>
    <t>CPASQUAL</t>
  </si>
  <si>
    <t>5506CP</t>
  </si>
  <si>
    <t>41U663</t>
  </si>
  <si>
    <t>29505661L</t>
  </si>
  <si>
    <t>CRISTINA RAMOS MARQUEZ</t>
  </si>
  <si>
    <t>cramo184</t>
  </si>
  <si>
    <t>cramo184@ec.foundever.com</t>
  </si>
  <si>
    <t>CRAMOSMA</t>
  </si>
  <si>
    <t>5167CR</t>
  </si>
  <si>
    <t>41U667</t>
  </si>
  <si>
    <t>47425986D</t>
  </si>
  <si>
    <t>ELOY CASTRO NUÑEZ</t>
  </si>
  <si>
    <t>ecast342</t>
  </si>
  <si>
    <t>ecast342@ec.foundever.com</t>
  </si>
  <si>
    <t>ECASTRON</t>
  </si>
  <si>
    <t>6082EC</t>
  </si>
  <si>
    <t>41U661</t>
  </si>
  <si>
    <t>29533646J</t>
  </si>
  <si>
    <t>EVA PALOMINO FERNANDEZ</t>
  </si>
  <si>
    <t>epalo018</t>
  </si>
  <si>
    <t>epalo018@ec.foundever.com</t>
  </si>
  <si>
    <t>FOUND.EPALOMINO</t>
  </si>
  <si>
    <t>EPALOMINO</t>
  </si>
  <si>
    <t>5280EF</t>
  </si>
  <si>
    <t>41U668</t>
  </si>
  <si>
    <t>54180947P</t>
  </si>
  <si>
    <t>MARIA DEL BOSCH MARIN</t>
  </si>
  <si>
    <t>mdelb018</t>
  </si>
  <si>
    <t>mdelb018@ec.foundever.com</t>
  </si>
  <si>
    <t>FOUND.MBOSCH</t>
  </si>
  <si>
    <t>MBOSCHM</t>
  </si>
  <si>
    <t>6078MD</t>
  </si>
  <si>
    <t>41U669</t>
  </si>
  <si>
    <t>29495236J</t>
  </si>
  <si>
    <t>MARTA EGEA BOHORQUEZ</t>
  </si>
  <si>
    <t>megea008</t>
  </si>
  <si>
    <t>megea008@ec.foundever.com</t>
  </si>
  <si>
    <t>MEGEAB</t>
  </si>
  <si>
    <t>5999ME</t>
  </si>
  <si>
    <t>41U675</t>
  </si>
  <si>
    <t>25612234D</t>
  </si>
  <si>
    <t>NOELIA PAEZ GALLARDO</t>
  </si>
  <si>
    <t>npaez008</t>
  </si>
  <si>
    <t>npaez008@ec.foundever.com</t>
  </si>
  <si>
    <t>FOUND.NPAEZ</t>
  </si>
  <si>
    <t>NPAEZG</t>
  </si>
  <si>
    <t>5998NP</t>
  </si>
  <si>
    <t>41U672</t>
  </si>
  <si>
    <t>48733580F</t>
  </si>
  <si>
    <t>RAUL FERNANDEZ RUIZ</t>
  </si>
  <si>
    <t>rfern296</t>
  </si>
  <si>
    <t>rfern296@ec.foundever.com</t>
  </si>
  <si>
    <t>FOUND.RFERNANDEZ</t>
  </si>
  <si>
    <t>RFERNANDEZR</t>
  </si>
  <si>
    <t>6081RF</t>
  </si>
  <si>
    <t>41U656</t>
  </si>
  <si>
    <t>Z2266203H</t>
  </si>
  <si>
    <t xml:space="preserve">ROMINA VANESA CUSANO </t>
  </si>
  <si>
    <t>rcusa003</t>
  </si>
  <si>
    <t>rcusa003@ec.foundever.com</t>
  </si>
  <si>
    <t>RCUSANO</t>
  </si>
  <si>
    <t>5227RC</t>
  </si>
  <si>
    <t>7896VR</t>
  </si>
  <si>
    <t>41U670</t>
  </si>
  <si>
    <t>51749665X</t>
  </si>
  <si>
    <t>YASMINA EL BOUTAHIRI AIRAKI</t>
  </si>
  <si>
    <t>yelbo014</t>
  </si>
  <si>
    <t>yelbo014@ec.foundever.com</t>
  </si>
  <si>
    <t>FOUND.YELBOUTAHI</t>
  </si>
  <si>
    <t>YELBOUTAUHIRIA</t>
  </si>
  <si>
    <t>5759YE</t>
  </si>
  <si>
    <t>2025-07</t>
  </si>
  <si>
    <t>41U692</t>
  </si>
  <si>
    <t>47555117H</t>
  </si>
  <si>
    <t>JOSE CARLOS SEVILLA DURAN</t>
  </si>
  <si>
    <t>jsevi066</t>
  </si>
  <si>
    <t>jsevi066@ec.foundever.com</t>
  </si>
  <si>
    <t>found.jcsevilla</t>
  </si>
  <si>
    <t>5074JS</t>
  </si>
  <si>
    <t>41U688</t>
  </si>
  <si>
    <t>Y9159507R</t>
  </si>
  <si>
    <t xml:space="preserve">NICOLE FEDERICI </t>
  </si>
  <si>
    <t>nfede007</t>
  </si>
  <si>
    <t>nfede007@ec.foundever.com</t>
  </si>
  <si>
    <t>5298NF</t>
  </si>
  <si>
    <t>41U687</t>
  </si>
  <si>
    <t>30251448P</t>
  </si>
  <si>
    <t>PAULA COBO DEL OLMO</t>
  </si>
  <si>
    <t>pcobo002</t>
  </si>
  <si>
    <t>pcobo002@ec.foundever.com</t>
  </si>
  <si>
    <t>found.pcobo</t>
  </si>
  <si>
    <t>5299PC</t>
  </si>
  <si>
    <t>VAC_12_20</t>
  </si>
  <si>
    <t>NO USER</t>
  </si>
  <si>
    <t>JCARSEVI</t>
  </si>
  <si>
    <t>NICOLEFED</t>
  </si>
  <si>
    <t>PAULACOBO</t>
  </si>
  <si>
    <t>29/05/2024@</t>
  </si>
  <si>
    <t>41J716</t>
  </si>
  <si>
    <t>25/03/2025@</t>
  </si>
  <si>
    <t>20/06/2023@</t>
  </si>
  <si>
    <t>vb</t>
  </si>
  <si>
    <t>JURÍDICO</t>
  </si>
  <si>
    <t>ESTÁNDAR</t>
  </si>
  <si>
    <t>SYR_BUSQUEDA_FRA_WH</t>
  </si>
  <si>
    <t>41T406</t>
  </si>
  <si>
    <t>47394223D</t>
  </si>
  <si>
    <t>ROSA PEREZ PONCE</t>
  </si>
  <si>
    <t>INGLES</t>
  </si>
  <si>
    <t>BIANCAMARIA.SLAWINSKIGARCIA@foundever.com</t>
  </si>
  <si>
    <t>04/11/2024@</t>
  </si>
  <si>
    <t>41U693</t>
  </si>
  <si>
    <t>Y6554785Y</t>
  </si>
  <si>
    <t>ANA LAURA TAMAYAC CASTAÑEDA</t>
  </si>
  <si>
    <t>atama066</t>
  </si>
  <si>
    <t>atama066@ec.foundever.com</t>
  </si>
  <si>
    <t>found.altamayac</t>
  </si>
  <si>
    <t>ALTAMAYAC</t>
  </si>
  <si>
    <t>5069AT</t>
  </si>
  <si>
    <t>41U696</t>
  </si>
  <si>
    <t>02361920G</t>
  </si>
  <si>
    <t>CARLOS FERNANDO LEJARDE AMAYA</t>
  </si>
  <si>
    <t>cleja008</t>
  </si>
  <si>
    <t>cleja008@ec.foundever.com</t>
  </si>
  <si>
    <t>FOUND.CFLEJARDE</t>
  </si>
  <si>
    <t>CARFERLEJAR</t>
  </si>
  <si>
    <t>5433CL</t>
  </si>
  <si>
    <t>2025-08</t>
  </si>
  <si>
    <t>41U697</t>
  </si>
  <si>
    <t>53351852V</t>
  </si>
  <si>
    <t>LUCIANA VICTORIA LUQUE GRECO</t>
  </si>
  <si>
    <t>lluqu008</t>
  </si>
  <si>
    <t>lluqu008@ec.foundever.com</t>
  </si>
  <si>
    <t>FOUND.LVLUQUE</t>
  </si>
  <si>
    <t>LUCLUQUE</t>
  </si>
  <si>
    <t>5543LL</t>
  </si>
  <si>
    <t>41U699</t>
  </si>
  <si>
    <t>30267754F</t>
  </si>
  <si>
    <t>FRANCISCO MORAGA GIRON</t>
  </si>
  <si>
    <t>fmora105</t>
  </si>
  <si>
    <t>fmora105@ec.foundever.com</t>
  </si>
  <si>
    <t>FRANMOR</t>
  </si>
  <si>
    <t>5465FM</t>
  </si>
  <si>
    <t>41U702</t>
  </si>
  <si>
    <t>29554117Z</t>
  </si>
  <si>
    <t>ALEJANDRO POLO SUAREZ</t>
  </si>
  <si>
    <t>apolo011</t>
  </si>
  <si>
    <t>apolo011@ec.foundever.com</t>
  </si>
  <si>
    <t>found.apolo</t>
  </si>
  <si>
    <t>APOLOS</t>
  </si>
  <si>
    <t>5385AP</t>
  </si>
  <si>
    <t>41U703</t>
  </si>
  <si>
    <t>28635146P</t>
  </si>
  <si>
    <t>SUSANA CRISTINA ROMERO CABELLO</t>
  </si>
  <si>
    <t>srome131</t>
  </si>
  <si>
    <t>srome131@ec.foundever.com</t>
  </si>
  <si>
    <t>SUSROMCAB</t>
  </si>
  <si>
    <t>5655SR</t>
  </si>
  <si>
    <t>41U705</t>
  </si>
  <si>
    <t>29534533A</t>
  </si>
  <si>
    <t>FATIMA VILLAREJO JIMENEZ</t>
  </si>
  <si>
    <t>fvill161</t>
  </si>
  <si>
    <t>fvill161@ec.foundever.com</t>
  </si>
  <si>
    <t>FOUND.FVILLAREJO</t>
  </si>
  <si>
    <t>FATVILLA</t>
  </si>
  <si>
    <t>5438FV</t>
  </si>
  <si>
    <t>41U748</t>
  </si>
  <si>
    <t>30697803W</t>
  </si>
  <si>
    <t>LUIS MANUEL ANTON MEDINA</t>
  </si>
  <si>
    <t>lanto058</t>
  </si>
  <si>
    <t>lanto058@ec.foundever.com</t>
  </si>
  <si>
    <t>FOUND.LMANTON</t>
  </si>
  <si>
    <t>LMANT</t>
  </si>
  <si>
    <t>6295LA</t>
  </si>
  <si>
    <t>41U750</t>
  </si>
  <si>
    <t>Y9452971P</t>
  </si>
  <si>
    <t>LUANA CARVALHO MENDES</t>
  </si>
  <si>
    <t>lcarv054</t>
  </si>
  <si>
    <t>lcarv054@ec.foundever.com</t>
  </si>
  <si>
    <t>FOUND.LCARVALHO</t>
  </si>
  <si>
    <t>LCARMEN</t>
  </si>
  <si>
    <t>6304LC</t>
  </si>
  <si>
    <t>41U752</t>
  </si>
  <si>
    <t>Y4172255T</t>
  </si>
  <si>
    <t>PABLO FELIPE CASTILLO BUSTAMANTE</t>
  </si>
  <si>
    <t>pcast179</t>
  </si>
  <si>
    <t>pcast179@ec.foundever.com</t>
  </si>
  <si>
    <t>PFELIC</t>
  </si>
  <si>
    <t>6315PC</t>
  </si>
  <si>
    <t>41U753</t>
  </si>
  <si>
    <t>Y3742069Y</t>
  </si>
  <si>
    <t>ANDREA CASTREJON FERNANDEZ</t>
  </si>
  <si>
    <t>acast768</t>
  </si>
  <si>
    <t>acast768@ec.foundever.com</t>
  </si>
  <si>
    <t>ANCASFE</t>
  </si>
  <si>
    <t>6291AC</t>
  </si>
  <si>
    <t>41U755</t>
  </si>
  <si>
    <t>49136459H</t>
  </si>
  <si>
    <t>ALVARO GARCIA BAQUERO MURILLO</t>
  </si>
  <si>
    <t>agarc1061</t>
  </si>
  <si>
    <t>agarc1061@ec.foundever.com</t>
  </si>
  <si>
    <t>AGARMUR</t>
  </si>
  <si>
    <t>6311AG</t>
  </si>
  <si>
    <t>41U756</t>
  </si>
  <si>
    <t>53349841F</t>
  </si>
  <si>
    <t>MARIA GARRIDO CASTILLA</t>
  </si>
  <si>
    <t>mgarr115</t>
  </si>
  <si>
    <t>mgarr115@ec.foundever.com</t>
  </si>
  <si>
    <t>MGARCAS</t>
  </si>
  <si>
    <t>6296MG</t>
  </si>
  <si>
    <t>41U759</t>
  </si>
  <si>
    <t>29496505V</t>
  </si>
  <si>
    <t>HALIMA IDRISSI ALCARAZ</t>
  </si>
  <si>
    <t>hidri014</t>
  </si>
  <si>
    <t>hidri014@ec.foundever.com</t>
  </si>
  <si>
    <t>HALIDRI</t>
  </si>
  <si>
    <t>6276HI</t>
  </si>
  <si>
    <t>41U760</t>
  </si>
  <si>
    <t>77844246X</t>
  </si>
  <si>
    <t>LUCIA MARTOS MARTIN</t>
  </si>
  <si>
    <t>lmart526</t>
  </si>
  <si>
    <t>lmart526@ec.foundever.com</t>
  </si>
  <si>
    <t>found.lmartos</t>
  </si>
  <si>
    <t>LUMAMA</t>
  </si>
  <si>
    <t>6281LM</t>
  </si>
  <si>
    <t>41U761</t>
  </si>
  <si>
    <t>53965794C</t>
  </si>
  <si>
    <t>ELIAS MOHAMMEDI ACAL</t>
  </si>
  <si>
    <t>emoha029</t>
  </si>
  <si>
    <t>emoha029@ec.foundever.com</t>
  </si>
  <si>
    <t>ELIMOA</t>
  </si>
  <si>
    <t>6280EM</t>
  </si>
  <si>
    <t>FRANCÉS</t>
  </si>
  <si>
    <t>41U763</t>
  </si>
  <si>
    <t>49520159D</t>
  </si>
  <si>
    <t>GABRIEL PEREZ MUÑOZ</t>
  </si>
  <si>
    <t>gpere200</t>
  </si>
  <si>
    <t>gpere200@ec.foundever.com</t>
  </si>
  <si>
    <t>found.gperez</t>
  </si>
  <si>
    <t>GAPEMU</t>
  </si>
  <si>
    <t>6277GP</t>
  </si>
  <si>
    <t>41U764</t>
  </si>
  <si>
    <t>49077434B</t>
  </si>
  <si>
    <t>ALICIA PEREZ PECI</t>
  </si>
  <si>
    <t>apere728</t>
  </si>
  <si>
    <t>apere728@ec.foundever.com</t>
  </si>
  <si>
    <t>APERPE</t>
  </si>
  <si>
    <t>6301AP</t>
  </si>
  <si>
    <t>41U765</t>
  </si>
  <si>
    <t>54223539G</t>
  </si>
  <si>
    <t>ANA SALDAÑA CORDERO</t>
  </si>
  <si>
    <t>asald035</t>
  </si>
  <si>
    <t>asald035@ec.foundever.com</t>
  </si>
  <si>
    <t>ASALDACO</t>
  </si>
  <si>
    <t>6000AS</t>
  </si>
  <si>
    <t>41U767</t>
  </si>
  <si>
    <t>45806225T</t>
  </si>
  <si>
    <t>ALVARO SIANES SANTOS</t>
  </si>
  <si>
    <t>asian006</t>
  </si>
  <si>
    <t>asian006@ec.foundever.com</t>
  </si>
  <si>
    <t>found.asianes</t>
  </si>
  <si>
    <t>ALSIASA</t>
  </si>
  <si>
    <t>6288AS</t>
  </si>
  <si>
    <t>41U768</t>
  </si>
  <si>
    <t>77928491Y</t>
  </si>
  <si>
    <t>MARIA SOTO MONTALBAN</t>
  </si>
  <si>
    <t>msoto106</t>
  </si>
  <si>
    <t>msoto106@ec.foundever.com</t>
  </si>
  <si>
    <t>found.msoto</t>
  </si>
  <si>
    <t>MASOTO</t>
  </si>
  <si>
    <t>6292MS</t>
  </si>
  <si>
    <t>41U769</t>
  </si>
  <si>
    <t>55427843M</t>
  </si>
  <si>
    <t>BISSANTA TOMAS PEREIRA</t>
  </si>
  <si>
    <t>btoma025</t>
  </si>
  <si>
    <t>btoma025@ec.foundever.com</t>
  </si>
  <si>
    <t>found.btomas</t>
  </si>
  <si>
    <t>BISSTOPE</t>
  </si>
  <si>
    <t>6293BT</t>
  </si>
  <si>
    <t>41U820</t>
  </si>
  <si>
    <t>Z0540506B</t>
  </si>
  <si>
    <t>JUAN PABLO BELLO BERRIZBEITIA</t>
  </si>
  <si>
    <t>jbell217</t>
  </si>
  <si>
    <t>jbell217@ec.foundever.com</t>
  </si>
  <si>
    <t>JPBELLO</t>
  </si>
  <si>
    <t>5534JP</t>
  </si>
  <si>
    <t>41U821</t>
  </si>
  <si>
    <t>43859292V</t>
  </si>
  <si>
    <t>FABIEN FRANCOIS BOVIER VALVERDE</t>
  </si>
  <si>
    <t>isali025</t>
  </si>
  <si>
    <t>isali025@ec.foundever.com</t>
  </si>
  <si>
    <t>found.ffbovier</t>
  </si>
  <si>
    <t>FBOVIER</t>
  </si>
  <si>
    <t>5901FB</t>
  </si>
  <si>
    <t>41U825</t>
  </si>
  <si>
    <t>18559702J</t>
  </si>
  <si>
    <t>DAVID COMESAÑA VALLE</t>
  </si>
  <si>
    <t>614 430 179</t>
  </si>
  <si>
    <t>dcome015</t>
  </si>
  <si>
    <t>dcome015@ec.foundever.com</t>
  </si>
  <si>
    <t>DCOMESANA</t>
  </si>
  <si>
    <t>5072DC</t>
  </si>
  <si>
    <t>41U830</t>
  </si>
  <si>
    <t>77487413E</t>
  </si>
  <si>
    <t>JORGE LATORRE CAPEL</t>
  </si>
  <si>
    <t>jlato035</t>
  </si>
  <si>
    <t>jlato035@ec.foundever.com</t>
  </si>
  <si>
    <t>JLATORRE</t>
  </si>
  <si>
    <t>5601JL</t>
  </si>
  <si>
    <t>41U835</t>
  </si>
  <si>
    <t>77979388G</t>
  </si>
  <si>
    <t>YAMIL FERNANDO NARVAEZ RAMIREZ</t>
  </si>
  <si>
    <t>ynarv004</t>
  </si>
  <si>
    <t>ynarv004@ec.foundever.com</t>
  </si>
  <si>
    <t>YFNARVAEZ</t>
  </si>
  <si>
    <t>5786YN</t>
  </si>
  <si>
    <t>41U836</t>
  </si>
  <si>
    <t>15458594H</t>
  </si>
  <si>
    <t>ELENA PEREZ BARRANCO</t>
  </si>
  <si>
    <t>epere307</t>
  </si>
  <si>
    <t>epere307@ec.foundever.com</t>
  </si>
  <si>
    <t>found.eperez</t>
  </si>
  <si>
    <t>ELBARRANCO</t>
  </si>
  <si>
    <t>5580EP</t>
  </si>
  <si>
    <t>41U837</t>
  </si>
  <si>
    <t>77942822P</t>
  </si>
  <si>
    <t>ELENA ELVIRA RONCERO ANDERSSON</t>
  </si>
  <si>
    <t>eronc004</t>
  </si>
  <si>
    <t>eronc004@ec.foundever.com</t>
  </si>
  <si>
    <t>ERONCERO</t>
  </si>
  <si>
    <t>5103ER</t>
  </si>
  <si>
    <t>41U838</t>
  </si>
  <si>
    <t>Y9645505D</t>
  </si>
  <si>
    <t>IZCHEL SALINAS AGREDA</t>
  </si>
  <si>
    <t>emoor061</t>
  </si>
  <si>
    <t>emoor061@ec.foundever.com</t>
  </si>
  <si>
    <t>ISALINAS</t>
  </si>
  <si>
    <t>5910IS</t>
  </si>
  <si>
    <t>41U839</t>
  </si>
  <si>
    <t>49086689C</t>
  </si>
  <si>
    <t>PAOLA SANZ RAMOS</t>
  </si>
  <si>
    <t>psanz008</t>
  </si>
  <si>
    <t>psanz008@ec.foundever.com</t>
  </si>
  <si>
    <t>found.psanz</t>
  </si>
  <si>
    <t>PASARA</t>
  </si>
  <si>
    <t>5259PS</t>
  </si>
  <si>
    <t>29495556B</t>
  </si>
  <si>
    <t>VICTORIA MARTA CAMPANO HERNANDEZ</t>
  </si>
  <si>
    <t>vcamp056</t>
  </si>
  <si>
    <t>vcamp056@ec.foundever.com</t>
  </si>
  <si>
    <t>found.vmcampano</t>
  </si>
  <si>
    <t>VCAMPANO</t>
  </si>
  <si>
    <t>5409VM</t>
  </si>
  <si>
    <t>30/06/2023@</t>
  </si>
  <si>
    <t>VAC_00_07/VAC_23_00</t>
  </si>
  <si>
    <t>ILT_15_23</t>
  </si>
  <si>
    <t>ILT_16_23</t>
  </si>
  <si>
    <t>5234CS</t>
  </si>
  <si>
    <t>2025-14</t>
  </si>
  <si>
    <t>30219636M</t>
  </si>
  <si>
    <t>ROCIO CHAMORRO FERNANDEZ</t>
  </si>
  <si>
    <t>rcham056</t>
  </si>
  <si>
    <t>rcham056@ec.foundever.com</t>
  </si>
  <si>
    <t>3485651</t>
  </si>
  <si>
    <t>RCHAMORROF</t>
  </si>
  <si>
    <t>5046c</t>
  </si>
  <si>
    <t>5046rc</t>
  </si>
  <si>
    <t>30554410Z</t>
  </si>
  <si>
    <t>VALENTIN MARIA PINO PEREZ</t>
  </si>
  <si>
    <t>vpino002</t>
  </si>
  <si>
    <t>vpino002@ec.foundever.com</t>
  </si>
  <si>
    <t>VPINOP</t>
  </si>
  <si>
    <t>5099P</t>
  </si>
  <si>
    <t>5099VP</t>
  </si>
  <si>
    <t>2025-13</t>
  </si>
  <si>
    <t>spavo003</t>
  </si>
  <si>
    <t>spavo003@ec.sitel.com</t>
  </si>
  <si>
    <t>spavonm</t>
  </si>
  <si>
    <t>5136SP</t>
  </si>
  <si>
    <t>sitel.pselvatico</t>
  </si>
  <si>
    <t>sitel.pmarquez</t>
  </si>
  <si>
    <t>sitel.mrhidalgo</t>
  </si>
  <si>
    <t>09_14/15_18</t>
  </si>
  <si>
    <t>08I947</t>
  </si>
  <si>
    <t>AY3558613</t>
  </si>
  <si>
    <t xml:space="preserve">MATTEO CAMBONI </t>
  </si>
  <si>
    <t>mcamb019</t>
  </si>
  <si>
    <t>mcamb019@ec.foundever.com</t>
  </si>
  <si>
    <t>MCAMBONI</t>
  </si>
  <si>
    <t>5177C</t>
  </si>
  <si>
    <t>5177MC</t>
  </si>
  <si>
    <t>08J123</t>
  </si>
  <si>
    <t>CARLOS AUGUSTO GUZMAN PEREZ</t>
  </si>
  <si>
    <t>cguzm069</t>
  </si>
  <si>
    <t>cguzm069@ec.foundever.com</t>
  </si>
  <si>
    <t>CGUZMANP</t>
  </si>
  <si>
    <t>5932G</t>
  </si>
  <si>
    <t>5932CG</t>
  </si>
  <si>
    <t>41B030</t>
  </si>
  <si>
    <t>27305646T</t>
  </si>
  <si>
    <t>ANA GARCIA TELLO</t>
  </si>
  <si>
    <t>agarc029</t>
  </si>
  <si>
    <t>agarc029@ec.foundever.com</t>
  </si>
  <si>
    <t>AGARCIATEL</t>
  </si>
  <si>
    <t>5712G</t>
  </si>
  <si>
    <t>5712AG</t>
  </si>
  <si>
    <t>5029CM</t>
  </si>
  <si>
    <t>sitel.ldiaze</t>
  </si>
  <si>
    <t>sitel.mvmuniz</t>
  </si>
  <si>
    <t>15/02/2022M191</t>
  </si>
  <si>
    <t>sitel.ajcueto</t>
  </si>
  <si>
    <t>6453MB</t>
  </si>
  <si>
    <t>41P669</t>
  </si>
  <si>
    <t>44742089M</t>
  </si>
  <si>
    <t>JUDITH CLAVIJO GONZALEZ</t>
  </si>
  <si>
    <t>jclav042</t>
  </si>
  <si>
    <t>jclav042@ec.foundever.com</t>
  </si>
  <si>
    <t>FOUND.JCLAVIJO</t>
  </si>
  <si>
    <t>JCLAVIJOG</t>
  </si>
  <si>
    <t>5647c</t>
  </si>
  <si>
    <t>5647jc</t>
  </si>
  <si>
    <t>41T403</t>
  </si>
  <si>
    <t>28845863E</t>
  </si>
  <si>
    <t>LORENA MENDEZ FERNANDEZ</t>
  </si>
  <si>
    <t>6454OC</t>
  </si>
  <si>
    <t>41T448</t>
  </si>
  <si>
    <t>31930496X</t>
  </si>
  <si>
    <t>TIAGO CASTELLAR MARTIN</t>
  </si>
  <si>
    <t>tcast063</t>
  </si>
  <si>
    <t>tcast063@ec.foundever.com</t>
  </si>
  <si>
    <t>TCASTELLARM</t>
  </si>
  <si>
    <t>5713c</t>
  </si>
  <si>
    <t>5713tc</t>
  </si>
  <si>
    <t>2025-10</t>
  </si>
  <si>
    <t>2025-09</t>
  </si>
  <si>
    <t>2025-12</t>
  </si>
  <si>
    <t>fbovi002</t>
  </si>
  <si>
    <t>fbovi002@ec.foundever.com</t>
  </si>
  <si>
    <t>2025-11</t>
  </si>
  <si>
    <t>41U822</t>
  </si>
  <si>
    <t>41U823</t>
  </si>
  <si>
    <t>47347412A</t>
  </si>
  <si>
    <t>MARIA CAMPOS SANCHEZ</t>
  </si>
  <si>
    <t>mcamp298</t>
  </si>
  <si>
    <t>mcamp298@ec.foundever.com</t>
  </si>
  <si>
    <t>MACASA</t>
  </si>
  <si>
    <t>5486MC</t>
  </si>
  <si>
    <t>41U824</t>
  </si>
  <si>
    <t>49730519B</t>
  </si>
  <si>
    <t>MANUEL CLAPERA MORA</t>
  </si>
  <si>
    <t>mclap005</t>
  </si>
  <si>
    <t>mclap005@ec.foundever.com</t>
  </si>
  <si>
    <t>MCLAPERA</t>
  </si>
  <si>
    <t>5140MC</t>
  </si>
  <si>
    <t>41U826</t>
  </si>
  <si>
    <t>54180945Y</t>
  </si>
  <si>
    <t>DOLORES DEL BOSCH MARIN</t>
  </si>
  <si>
    <t>ddelb003</t>
  </si>
  <si>
    <t>ddelb003@ec.foundever.com</t>
  </si>
  <si>
    <t>found.dbosch</t>
  </si>
  <si>
    <t>DBOSCH</t>
  </si>
  <si>
    <t>5445DD</t>
  </si>
  <si>
    <t>41U827</t>
  </si>
  <si>
    <t>32736274Y</t>
  </si>
  <si>
    <t>ANA DELGADO FERNANDEZ</t>
  </si>
  <si>
    <t>adelg152</t>
  </si>
  <si>
    <t>adelg152@ec.foundever.com</t>
  </si>
  <si>
    <t>found.adelgado</t>
  </si>
  <si>
    <t>ADELFER</t>
  </si>
  <si>
    <t>5587AD</t>
  </si>
  <si>
    <t>41U829</t>
  </si>
  <si>
    <t>29504529Z</t>
  </si>
  <si>
    <t>JUAN PEDRO HERNANDEZ LORENZO</t>
  </si>
  <si>
    <t>jhern756</t>
  </si>
  <si>
    <t>jhern756@ec.foundever.com</t>
  </si>
  <si>
    <t>JPHERNANDE</t>
  </si>
  <si>
    <t>5590JP</t>
  </si>
  <si>
    <t>41U831</t>
  </si>
  <si>
    <t>53338064Y</t>
  </si>
  <si>
    <t>RAUL LOPEZ ROBLES</t>
  </si>
  <si>
    <t>rlope396</t>
  </si>
  <si>
    <t>rlope396@ec.foundever.com</t>
  </si>
  <si>
    <t>RLROBLES</t>
  </si>
  <si>
    <t>5065RL</t>
  </si>
  <si>
    <t>41U832</t>
  </si>
  <si>
    <t>48994261Y</t>
  </si>
  <si>
    <t>MARIA LUISA LORENZO LAMPREA</t>
  </si>
  <si>
    <t>mlore099</t>
  </si>
  <si>
    <t>mlore099@ec.foundever.com</t>
  </si>
  <si>
    <t>MLORENZO</t>
  </si>
  <si>
    <t>5871ML</t>
  </si>
  <si>
    <t>41U833</t>
  </si>
  <si>
    <t>29546340B</t>
  </si>
  <si>
    <t>SABRINA LUQUE LORA</t>
  </si>
  <si>
    <t>sluqu006</t>
  </si>
  <si>
    <t>sluqu006@ec.foundever.com</t>
  </si>
  <si>
    <t>SLUQUE</t>
  </si>
  <si>
    <t>6092SL</t>
  </si>
  <si>
    <t>41U834</t>
  </si>
  <si>
    <t>29559021L</t>
  </si>
  <si>
    <t>ELIZABETH MOORE JAMES</t>
  </si>
  <si>
    <t>EMOORE</t>
  </si>
  <si>
    <t>6021EM</t>
  </si>
  <si>
    <t>41U891</t>
  </si>
  <si>
    <t>77824523K</t>
  </si>
  <si>
    <t>ALVARO BLANCO PEREZ</t>
  </si>
  <si>
    <t>ablan188</t>
  </si>
  <si>
    <t>ablan188@ec.foundever.com</t>
  </si>
  <si>
    <t>found.ablanco</t>
  </si>
  <si>
    <t>ABLAN</t>
  </si>
  <si>
    <t>5844B</t>
  </si>
  <si>
    <t>5844AB</t>
  </si>
  <si>
    <t>2025-15</t>
  </si>
  <si>
    <t>41U892</t>
  </si>
  <si>
    <t>Z2768721D</t>
  </si>
  <si>
    <t>OSCAR ANTONIO BLANDIN RODRIGUEZ</t>
  </si>
  <si>
    <t>oblan013</t>
  </si>
  <si>
    <t>oblan013@ec.foundever.com</t>
  </si>
  <si>
    <t>found.oablandin</t>
  </si>
  <si>
    <t>ABLANDI</t>
  </si>
  <si>
    <t>5756B</t>
  </si>
  <si>
    <t>5756OB</t>
  </si>
  <si>
    <t>41U893</t>
  </si>
  <si>
    <t>18558408F</t>
  </si>
  <si>
    <t>REBECA MICHELLE BORREGO MERINO</t>
  </si>
  <si>
    <t>rborr023</t>
  </si>
  <si>
    <t>rborr023@ec.foundever.com</t>
  </si>
  <si>
    <t>REBORRE</t>
  </si>
  <si>
    <t>5930B</t>
  </si>
  <si>
    <t>5930RB</t>
  </si>
  <si>
    <t>41U894</t>
  </si>
  <si>
    <t>41U895</t>
  </si>
  <si>
    <t>48943173R</t>
  </si>
  <si>
    <t>LORENA MARIA CORTES GOMEZ</t>
  </si>
  <si>
    <t>lcort107</t>
  </si>
  <si>
    <t>lcort107@ec.foundever.com</t>
  </si>
  <si>
    <t>found.lmcortes</t>
  </si>
  <si>
    <t>LORCOR</t>
  </si>
  <si>
    <t>5853C</t>
  </si>
  <si>
    <t>5853LC</t>
  </si>
  <si>
    <t>41U896</t>
  </si>
  <si>
    <t>20504800R</t>
  </si>
  <si>
    <t>CRISTINA CUADRA ROMAN</t>
  </si>
  <si>
    <t>ccuad020</t>
  </si>
  <si>
    <t>ccuad020@ec.foundever.com</t>
  </si>
  <si>
    <t>CRICUA</t>
  </si>
  <si>
    <t>5983C</t>
  </si>
  <si>
    <t>5983CC</t>
  </si>
  <si>
    <t>41U898</t>
  </si>
  <si>
    <t>30272153J</t>
  </si>
  <si>
    <t>CARLOS ENRIQUE DOMINGUEZ SERRANO</t>
  </si>
  <si>
    <t>cdomi105</t>
  </si>
  <si>
    <t>cdomi105@ec.foundever.com</t>
  </si>
  <si>
    <t>found.cedomingue</t>
  </si>
  <si>
    <t>CARDOM</t>
  </si>
  <si>
    <t>5727d</t>
  </si>
  <si>
    <t>5727CD</t>
  </si>
  <si>
    <t>41U900</t>
  </si>
  <si>
    <t>77845720N</t>
  </si>
  <si>
    <t>ESTEFANIA FLORES INFANTE</t>
  </si>
  <si>
    <t>eflor157</t>
  </si>
  <si>
    <t>eflor157@ec.foundever.com</t>
  </si>
  <si>
    <t>EFLORESI</t>
  </si>
  <si>
    <t>5476f</t>
  </si>
  <si>
    <t>5476ef</t>
  </si>
  <si>
    <t>41U901</t>
  </si>
  <si>
    <t>30244012R</t>
  </si>
  <si>
    <t>MARTA HERRERA PEREZ</t>
  </si>
  <si>
    <t>mherr250</t>
  </si>
  <si>
    <t>mherr250@ec.foundever.com</t>
  </si>
  <si>
    <t>MHERRERAP</t>
  </si>
  <si>
    <t>5562h</t>
  </si>
  <si>
    <t>5562mh</t>
  </si>
  <si>
    <t>41U902</t>
  </si>
  <si>
    <t>77823120K</t>
  </si>
  <si>
    <t>ANDREA LEFRANC COTO</t>
  </si>
  <si>
    <t>alefr003</t>
  </si>
  <si>
    <t>alefr003@ec.foundever.com</t>
  </si>
  <si>
    <t>found.alefranc</t>
  </si>
  <si>
    <t>ANDLEF</t>
  </si>
  <si>
    <t>26031L</t>
  </si>
  <si>
    <t>6031AL</t>
  </si>
  <si>
    <t>41U904</t>
  </si>
  <si>
    <t>47345263Q</t>
  </si>
  <si>
    <t>MARIA MARTIN SANCHEZ</t>
  </si>
  <si>
    <t>mmart1148</t>
  </si>
  <si>
    <t>mmart1148@ec.foundever.com</t>
  </si>
  <si>
    <t>found.mmartin</t>
  </si>
  <si>
    <t>MAMASAN</t>
  </si>
  <si>
    <t>5922M</t>
  </si>
  <si>
    <t>5922mm</t>
  </si>
  <si>
    <t>41U907</t>
  </si>
  <si>
    <t>29513774J</t>
  </si>
  <si>
    <t>ARIADNA VICTORIA SALAZAR GARROTE</t>
  </si>
  <si>
    <t>asala358</t>
  </si>
  <si>
    <t>asala358@ec.foundever.com</t>
  </si>
  <si>
    <t>found.avsalazar</t>
  </si>
  <si>
    <t>ARISAG</t>
  </si>
  <si>
    <t>26071S</t>
  </si>
  <si>
    <t>6071AS</t>
  </si>
  <si>
    <t>41U908</t>
  </si>
  <si>
    <t>49032480E</t>
  </si>
  <si>
    <t>JESUS SANCHEZ CAMACHO</t>
  </si>
  <si>
    <t>jsanc775</t>
  </si>
  <si>
    <t>jsanc775@ec.foundever.com</t>
  </si>
  <si>
    <t>JSANCHEZC</t>
  </si>
  <si>
    <t>5452s</t>
  </si>
  <si>
    <t>5452js</t>
  </si>
  <si>
    <t>41U909</t>
  </si>
  <si>
    <t>47209354Z</t>
  </si>
  <si>
    <t>JESUS ZUJAR GUERRERO</t>
  </si>
  <si>
    <t>jzuja002</t>
  </si>
  <si>
    <t>jzuja002@ec.foundever.com</t>
  </si>
  <si>
    <t>FOUND.JZUJAR</t>
  </si>
  <si>
    <t>JZUJARG</t>
  </si>
  <si>
    <t>5203z</t>
  </si>
  <si>
    <t>5203jz</t>
  </si>
  <si>
    <t>AVIACIÓN CIVIL (NO AESA)</t>
  </si>
  <si>
    <t>sitel.aarrevola</t>
  </si>
  <si>
    <t>FOUND.AGARCIA</t>
  </si>
  <si>
    <t>sitel.amacias</t>
  </si>
  <si>
    <t>sitel.avillena</t>
  </si>
  <si>
    <t>41U936</t>
  </si>
  <si>
    <t>ANDREA PEREZ SUERO</t>
  </si>
  <si>
    <t>apere746</t>
  </si>
  <si>
    <t>apere746@ec.foundever.com</t>
  </si>
  <si>
    <t>ANPESU</t>
  </si>
  <si>
    <t>26448P</t>
  </si>
  <si>
    <t>6448AP</t>
  </si>
  <si>
    <t>sitel.arodrigue2</t>
  </si>
  <si>
    <t>sitel.amrodrigu1</t>
  </si>
  <si>
    <t>18_00/BUS_23_00</t>
  </si>
  <si>
    <t>SITEL.CICANTADOR</t>
  </si>
  <si>
    <t>sitel.ccesarm</t>
  </si>
  <si>
    <t>Carmen.CorralesPineda@foundever.com</t>
  </si>
  <si>
    <t>41U933</t>
  </si>
  <si>
    <t>CARLA FINOCCHIARO IGLESIAS</t>
  </si>
  <si>
    <t>cfino005</t>
  </si>
  <si>
    <t>cfino005@ec.foundever.com</t>
  </si>
  <si>
    <t>CARFINO</t>
  </si>
  <si>
    <t>26450F</t>
  </si>
  <si>
    <t>6450CF</t>
  </si>
  <si>
    <t>sitel.jguzman</t>
  </si>
  <si>
    <t>found.caguzman</t>
  </si>
  <si>
    <t>sitel.cmunozm</t>
  </si>
  <si>
    <t>SITEL.cpalasanu</t>
  </si>
  <si>
    <t>sitel.csanchezo</t>
  </si>
  <si>
    <t>SITEL.cvazquezl</t>
  </si>
  <si>
    <t>41U889</t>
  </si>
  <si>
    <t>SITEL.dtrillo</t>
  </si>
  <si>
    <t>sitel.emgarcia</t>
  </si>
  <si>
    <t>sitel.egarcial</t>
  </si>
  <si>
    <t>41J029</t>
  </si>
  <si>
    <t>665528376 / 658940645</t>
  </si>
  <si>
    <t>O.M.</t>
  </si>
  <si>
    <t>MARIA FERNANDEZ ROMERO</t>
  </si>
  <si>
    <t>ecamp033</t>
  </si>
  <si>
    <t>evamaria.campillo@sitel.com</t>
  </si>
  <si>
    <t>sitel.emcampillo</t>
  </si>
  <si>
    <t>emcampillo</t>
  </si>
  <si>
    <t>7739EC</t>
  </si>
  <si>
    <t>FRANCISCO JAVIER PAYAN LAINEZ</t>
  </si>
  <si>
    <t>JOSE LUIS YUSTE DEL CAZ</t>
  </si>
  <si>
    <t>fpaya003</t>
  </si>
  <si>
    <t>franciscojavier.payan@sitel.com</t>
  </si>
  <si>
    <t>sitel.fjpayan</t>
  </si>
  <si>
    <t>fjpayan</t>
  </si>
  <si>
    <t>5498FP</t>
  </si>
  <si>
    <t>sitel.fruiz</t>
  </si>
  <si>
    <t>SITEL.FLVELAZQUE</t>
  </si>
  <si>
    <t>sitel.icofrade</t>
  </si>
  <si>
    <t>sitel.idelacasa</t>
  </si>
  <si>
    <t>SITEL.MIMORALES</t>
  </si>
  <si>
    <t>sitel.jmcabrera</t>
  </si>
  <si>
    <t>41G207</t>
  </si>
  <si>
    <t>jbece010</t>
  </si>
  <si>
    <t>jesusnicolas.becerra@sitel.com</t>
  </si>
  <si>
    <t>jbecerra</t>
  </si>
  <si>
    <t>41U934</t>
  </si>
  <si>
    <t>JOSE MARIA GARCIA VILLEGAS LEON</t>
  </si>
  <si>
    <t>jgarc1197</t>
  </si>
  <si>
    <t>jgarc1197@ec.foundever.com</t>
  </si>
  <si>
    <t>JOMAGARVI</t>
  </si>
  <si>
    <t>26447G</t>
  </si>
  <si>
    <t>6447JG</t>
  </si>
  <si>
    <t>sitel.jmvergara</t>
  </si>
  <si>
    <t>sitel.jmarquez</t>
  </si>
  <si>
    <t>sitel.lmarquez</t>
  </si>
  <si>
    <t>01/06/2025@</t>
  </si>
  <si>
    <t>sitel.mbirrento</t>
  </si>
  <si>
    <t>sitel.mpcabrera</t>
  </si>
  <si>
    <t>sitel.macerrato</t>
  </si>
  <si>
    <t>sitel.mdelgado</t>
  </si>
  <si>
    <t>sitel.mhurtado</t>
  </si>
  <si>
    <t>sitel.mjacome</t>
  </si>
  <si>
    <t>sitel.malopez</t>
  </si>
  <si>
    <t>sitel.mluna</t>
  </si>
  <si>
    <t>sitel.mmartos</t>
  </si>
  <si>
    <t>sitel.mmartinezf</t>
  </si>
  <si>
    <t>SITEL.MRMEJIAS</t>
  </si>
  <si>
    <t>sitel.mpmunoz</t>
  </si>
  <si>
    <t>5108MN</t>
  </si>
  <si>
    <t>SITEL.mvsanchez</t>
  </si>
  <si>
    <t>41U938</t>
  </si>
  <si>
    <t>MARIA VICTORIA VAZQUEZ FERNANDEZ</t>
  </si>
  <si>
    <t>mvazq092</t>
  </si>
  <si>
    <t>mvazq092@ec.foundever.com</t>
  </si>
  <si>
    <t>FOUND.MVVAZQUEZ</t>
  </si>
  <si>
    <t>MAVIVAFE</t>
  </si>
  <si>
    <t>26452V</t>
  </si>
  <si>
    <t>6452MV</t>
  </si>
  <si>
    <t>SITEL.nalvarez</t>
  </si>
  <si>
    <t>SITEL.ndominguez</t>
  </si>
  <si>
    <t>sitel.omcarmona</t>
  </si>
  <si>
    <t>sitel.oacruz</t>
  </si>
  <si>
    <t>found.omrodrigue</t>
  </si>
  <si>
    <t>sitel.pdeltoro</t>
  </si>
  <si>
    <t>sitel.pareyes</t>
  </si>
  <si>
    <t>41U937</t>
  </si>
  <si>
    <t>PAULA RODRIGUEZ MARTIN</t>
  </si>
  <si>
    <t>prodr194</t>
  </si>
  <si>
    <t>prodr194@ec.foundever.com</t>
  </si>
  <si>
    <t>FOUND.PRODRIGUEZ</t>
  </si>
  <si>
    <t>PAUROMA</t>
  </si>
  <si>
    <t>26449R</t>
  </si>
  <si>
    <t>6449PR</t>
  </si>
  <si>
    <t>sitel.rmperez</t>
  </si>
  <si>
    <t>SITEL.RBORREGO</t>
  </si>
  <si>
    <t>FOUND.RCHAMORRO</t>
  </si>
  <si>
    <t>SITEL.RAGALISTEO</t>
  </si>
  <si>
    <t>sitel.rmquijada</t>
  </si>
  <si>
    <t>sitel.ssilva</t>
  </si>
  <si>
    <t>sitel.sramosp</t>
  </si>
  <si>
    <t>sitel.spaezs</t>
  </si>
  <si>
    <t>sitel.pmmouraseq</t>
  </si>
  <si>
    <t>sitel.sruiz</t>
  </si>
  <si>
    <t>samantha.suitopedraza@sitel.com</t>
  </si>
  <si>
    <t>41U935</t>
  </si>
  <si>
    <t xml:space="preserve">THIAGO VINICIUS PEDROSO </t>
  </si>
  <si>
    <t>tpedr011</t>
  </si>
  <si>
    <t>tpedr011@ec.foundever.com</t>
  </si>
  <si>
    <t>THIVIPEDRO</t>
  </si>
  <si>
    <t>26274P</t>
  </si>
  <si>
    <t>6274TP</t>
  </si>
  <si>
    <t>vgarc040</t>
  </si>
  <si>
    <t>victormanuel.garcia@sitel.com</t>
  </si>
  <si>
    <t>sitel.vgarcia</t>
  </si>
  <si>
    <t>vmgarcia</t>
  </si>
  <si>
    <t>found.vmpino</t>
  </si>
  <si>
    <t>sitel.vhsilva</t>
  </si>
  <si>
    <t>sitel.ygranado</t>
  </si>
  <si>
    <t>53772168P</t>
  </si>
  <si>
    <t>76748922S</t>
  </si>
  <si>
    <t>53151473Z</t>
  </si>
  <si>
    <t>28818758b</t>
  </si>
  <si>
    <t>28819370W</t>
  </si>
  <si>
    <t>47337786Z</t>
  </si>
  <si>
    <t>77938565Y</t>
  </si>
  <si>
    <t>30250529D</t>
  </si>
  <si>
    <t>Z2332057T</t>
  </si>
  <si>
    <t>28822772T</t>
  </si>
  <si>
    <t>TEC</t>
  </si>
  <si>
    <t>sitel.elavado</t>
  </si>
  <si>
    <t>SITEL.NLOPEZG</t>
  </si>
  <si>
    <t>sitel.mbatiste</t>
  </si>
  <si>
    <t>13/03/2025 - 02/07/2025</t>
  </si>
  <si>
    <t>@SSYREST_09_17</t>
  </si>
  <si>
    <t>@SSYREST_12_20</t>
  </si>
  <si>
    <t>@SSYREST_14_22</t>
  </si>
  <si>
    <t>00_08</t>
  </si>
  <si>
    <t>sitel.pmoreno</t>
  </si>
  <si>
    <t>SITEL.cdejesusb</t>
  </si>
  <si>
    <t>sitel.capaez</t>
  </si>
  <si>
    <t>sitel.jmpariente</t>
  </si>
  <si>
    <t>sitel.rchaves</t>
  </si>
  <si>
    <t>Z1563783H</t>
  </si>
  <si>
    <t xml:space="preserve">DAIANE CRISTINA AUGUSTO </t>
  </si>
  <si>
    <t>daugu014</t>
  </si>
  <si>
    <t>daugu014@ec.foundever.com</t>
  </si>
  <si>
    <t>DCAUGUSTO</t>
  </si>
  <si>
    <t>5576a</t>
  </si>
  <si>
    <t>5576da</t>
  </si>
  <si>
    <t>SITEL.SMORAG</t>
  </si>
  <si>
    <t>2025-16</t>
  </si>
  <si>
    <t>FOUND.APEREZS</t>
  </si>
  <si>
    <t>FOUND.CFINOCCHIA</t>
  </si>
  <si>
    <t>sitel.mcordonez</t>
  </si>
  <si>
    <t>sitel.cguerrero</t>
  </si>
  <si>
    <t>sitel.malbelda</t>
  </si>
  <si>
    <t>rpere445</t>
  </si>
  <si>
    <t>rpere445@ec.foundever.com</t>
  </si>
  <si>
    <t>RPEREZP</t>
  </si>
  <si>
    <t>5719RP</t>
  </si>
  <si>
    <t>SITEL.MREZENDE</t>
  </si>
  <si>
    <t>sitel.amontoya</t>
  </si>
  <si>
    <t>sitel.macarrillo</t>
  </si>
  <si>
    <t>SITEL.JBMUNOZ</t>
  </si>
  <si>
    <t>SITEL.JMDELGADO</t>
  </si>
  <si>
    <t>sitel.mvrodrigue</t>
  </si>
  <si>
    <t>SITEL.ICRUZ</t>
  </si>
  <si>
    <t>41U946</t>
  </si>
  <si>
    <t>30267256S</t>
  </si>
  <si>
    <t>JUAN MIGUEL CASTRO JIMENEZ</t>
  </si>
  <si>
    <t>jcast1107</t>
  </si>
  <si>
    <t>jcast1107@ec.foundever.com</t>
  </si>
  <si>
    <t>founde.jmcastroj</t>
  </si>
  <si>
    <t>JMCASTRO</t>
  </si>
  <si>
    <t>5209C</t>
  </si>
  <si>
    <t>5209JC</t>
  </si>
  <si>
    <t>2025-17</t>
  </si>
  <si>
    <t>41U954</t>
  </si>
  <si>
    <t>29551208A</t>
  </si>
  <si>
    <t>JUAN RUIZ ESPINOSA</t>
  </si>
  <si>
    <t>jruiz337</t>
  </si>
  <si>
    <t>jruiz337@ec.foundever.com</t>
  </si>
  <si>
    <t>found.jruiz</t>
  </si>
  <si>
    <t>JRESPINOSA</t>
  </si>
  <si>
    <t>5361R</t>
  </si>
  <si>
    <t>5361JR</t>
  </si>
  <si>
    <t>41U945</t>
  </si>
  <si>
    <t>47343941M</t>
  </si>
  <si>
    <t>ROCIO CARO MULERO</t>
  </si>
  <si>
    <t>rcaro032</t>
  </si>
  <si>
    <t>rcaro032@ec.foundever.com</t>
  </si>
  <si>
    <t>found.rcaro</t>
  </si>
  <si>
    <t>RCAROM</t>
  </si>
  <si>
    <t>5396C</t>
  </si>
  <si>
    <t>5396RC</t>
  </si>
  <si>
    <t>41U952</t>
  </si>
  <si>
    <t>30242344N</t>
  </si>
  <si>
    <t>INMACULADA PORRAS FERNANDEZ</t>
  </si>
  <si>
    <t>iporr006</t>
  </si>
  <si>
    <t>iporr006@ec.foundever.com</t>
  </si>
  <si>
    <t>found.iporras</t>
  </si>
  <si>
    <t>IPORRAS</t>
  </si>
  <si>
    <t>5426P</t>
  </si>
  <si>
    <t>5426IP</t>
  </si>
  <si>
    <t>41U947</t>
  </si>
  <si>
    <t>20069528G</t>
  </si>
  <si>
    <t>MIGUEL GOMEZ MATEOS</t>
  </si>
  <si>
    <t>mgome507</t>
  </si>
  <si>
    <t>mgome507@ec.foundever.com</t>
  </si>
  <si>
    <t>MGMATEOS</t>
  </si>
  <si>
    <t>5473G</t>
  </si>
  <si>
    <t>5473MG</t>
  </si>
  <si>
    <t>41U948</t>
  </si>
  <si>
    <t>44247280H</t>
  </si>
  <si>
    <t>ANTONIO JOAQUIN GONZALEZ DE CANALES ORTEGA</t>
  </si>
  <si>
    <t>agonz943</t>
  </si>
  <si>
    <t>agonz943@ec.foundever.com</t>
  </si>
  <si>
    <t>found.ajgonzalez</t>
  </si>
  <si>
    <t>ADECANAL</t>
  </si>
  <si>
    <t>5583G</t>
  </si>
  <si>
    <t>5583AG</t>
  </si>
  <si>
    <t>41U953</t>
  </si>
  <si>
    <t>53964319V</t>
  </si>
  <si>
    <t>CARMEN BEATRIZ REVUELTA ORDEN</t>
  </si>
  <si>
    <t>crevu003</t>
  </si>
  <si>
    <t>crevu003@ec.foundever.com</t>
  </si>
  <si>
    <t>found.cbrevuelta</t>
  </si>
  <si>
    <t>CBREVUELTA</t>
  </si>
  <si>
    <t>5654R</t>
  </si>
  <si>
    <t>5654CR</t>
  </si>
  <si>
    <t>41U950</t>
  </si>
  <si>
    <t>80097022M</t>
  </si>
  <si>
    <t>JULIA MARTIN CANDELARIO</t>
  </si>
  <si>
    <t>jmart1216</t>
  </si>
  <si>
    <t>jmart1216@ec.foundever.com</t>
  </si>
  <si>
    <t>found.jmartin</t>
  </si>
  <si>
    <t>JMCANDELARIO</t>
  </si>
  <si>
    <t>5524JM</t>
  </si>
  <si>
    <t>5524M</t>
  </si>
  <si>
    <t>41U944</t>
  </si>
  <si>
    <t>45318998M</t>
  </si>
  <si>
    <t>MARTA BLANCO PEREGRIN</t>
  </si>
  <si>
    <t>mblan178</t>
  </si>
  <si>
    <t>mblan178@ec.foundever.com</t>
  </si>
  <si>
    <t>found.mblanco</t>
  </si>
  <si>
    <t>MBPEREGRIN</t>
  </si>
  <si>
    <t>5282B</t>
  </si>
  <si>
    <t>5282MB</t>
  </si>
  <si>
    <t>41U951</t>
  </si>
  <si>
    <t>49135672J</t>
  </si>
  <si>
    <t>CONSOLACION MENDOZA MARTINEZ</t>
  </si>
  <si>
    <t>cmend303</t>
  </si>
  <si>
    <t>cmend303@ec.foundever.com</t>
  </si>
  <si>
    <t>found.cmendoza</t>
  </si>
  <si>
    <t>CONMENDOZA</t>
  </si>
  <si>
    <t>5352M</t>
  </si>
  <si>
    <t>5352CM</t>
  </si>
  <si>
    <t>41U949</t>
  </si>
  <si>
    <t>44249020X</t>
  </si>
  <si>
    <t>MARIA LOPEZ ROMERO</t>
  </si>
  <si>
    <t>mlope787</t>
  </si>
  <si>
    <t>mlope787@ec.foundever.com</t>
  </si>
  <si>
    <t>found.mlopezr</t>
  </si>
  <si>
    <t>MLOPEZR</t>
  </si>
  <si>
    <t>5142L</t>
  </si>
  <si>
    <t>5142ML</t>
  </si>
  <si>
    <t>SITEL.MACORTES</t>
  </si>
  <si>
    <t>sitel.darenas</t>
  </si>
  <si>
    <t>sitel.jlramos</t>
  </si>
  <si>
    <t>41K436</t>
  </si>
  <si>
    <t>28799983G</t>
  </si>
  <si>
    <t>ANTONIO MIGUEL LERIDA PEREZ</t>
  </si>
  <si>
    <t>QUALITY</t>
  </si>
  <si>
    <t>aleri003</t>
  </si>
  <si>
    <t>antoniomiguel.lerida@sitel.com</t>
  </si>
  <si>
    <t>amlerida</t>
  </si>
  <si>
    <t>6111AL</t>
  </si>
  <si>
    <t>41H376</t>
  </si>
  <si>
    <t>Y1894498W</t>
  </si>
  <si>
    <t>JOAO PEDRO SOARES DE ALMEIDA</t>
  </si>
  <si>
    <t xml:space="preserve"> jsoar007</t>
  </si>
  <si>
    <t>JoaoPedro.SoaresDeAlmeida@sitel.com</t>
  </si>
  <si>
    <t>JSOARES</t>
  </si>
  <si>
    <t>5376JS</t>
  </si>
  <si>
    <t>28Q309</t>
  </si>
  <si>
    <t>48987127W</t>
  </si>
  <si>
    <t>ANA AGUILAR SANCHEZ</t>
  </si>
  <si>
    <t>aagui218</t>
  </si>
  <si>
    <t>Ana.AguilarSanchez@foundever.com</t>
  </si>
  <si>
    <t>AAGUILAR</t>
  </si>
  <si>
    <t>4408AA</t>
  </si>
  <si>
    <t>sitel.aguerrero</t>
  </si>
  <si>
    <t>41E997</t>
  </si>
  <si>
    <t>45729746L</t>
  </si>
  <si>
    <t>malem002</t>
  </si>
  <si>
    <t>mariaemilia.aleman@sitel.com</t>
  </si>
  <si>
    <t>malemann</t>
  </si>
  <si>
    <t>5843MA</t>
  </si>
  <si>
    <t>sitel.mjcolomer</t>
  </si>
  <si>
    <t>sitel.lortiz</t>
  </si>
  <si>
    <t>sitel.cdelgado</t>
  </si>
  <si>
    <t>41R781</t>
  </si>
  <si>
    <t>31010721M</t>
  </si>
  <si>
    <t>VALME LUNA PONCE ILLESCAS</t>
  </si>
  <si>
    <t>vponc017</t>
  </si>
  <si>
    <t>VALMELUNA.PONCEILLESCAS@FOUNDEVER.COM</t>
  </si>
  <si>
    <t>VLPON</t>
  </si>
  <si>
    <t>5081VP</t>
  </si>
  <si>
    <t>41Q669</t>
  </si>
  <si>
    <t>49160594A</t>
  </si>
  <si>
    <t>MARIA ANGELES NUÑEZ ARIAS</t>
  </si>
  <si>
    <t>664 284 353</t>
  </si>
  <si>
    <t>mnune084</t>
  </si>
  <si>
    <t>MARIAANGELES.NUNEZARIAS@foundever.com</t>
  </si>
  <si>
    <t xml:space="preserve">MANUNEZ </t>
  </si>
  <si>
    <t>4121MN</t>
  </si>
  <si>
    <t>sitel.mlfigueroa</t>
  </si>
  <si>
    <t>01/04/205 fecha aleatoria</t>
  </si>
  <si>
    <t>SITEL.NMMEDINA</t>
  </si>
  <si>
    <t>SITEL.AROCCA</t>
  </si>
  <si>
    <t>FOUND.jdeltoro</t>
  </si>
  <si>
    <t>SITEL.ASCONCIAFU</t>
  </si>
  <si>
    <t>SITEL.IMARTINEZ</t>
  </si>
  <si>
    <t>SITEL.ESIPROBERT</t>
  </si>
  <si>
    <t>SITEL.VMOLIVARES</t>
  </si>
  <si>
    <t>SITEL.abarrera</t>
  </si>
  <si>
    <t>FOUND.MEGEA</t>
  </si>
  <si>
    <t>found.nfederici</t>
  </si>
  <si>
    <t>20/06/2025-04/07/2025</t>
  </si>
  <si>
    <t>FOUND.MGARRIDO</t>
  </si>
  <si>
    <t>found.ralcantara</t>
  </si>
  <si>
    <t>SITEL.AXSILVA</t>
  </si>
  <si>
    <t>SITEL.vjimenez</t>
  </si>
  <si>
    <t>SITEL.JSCANUTO</t>
  </si>
  <si>
    <t>sitel.cjmoreno</t>
  </si>
  <si>
    <t>sitel.fovejero</t>
  </si>
  <si>
    <t>sitel.jarivero</t>
  </si>
  <si>
    <t>FOUND.ECASTRO</t>
  </si>
  <si>
    <t>found.imsimon</t>
  </si>
  <si>
    <t>SITEL.MLFERREIRA</t>
  </si>
  <si>
    <t>sitel.mjmeza</t>
  </si>
  <si>
    <t>SITEL.AHTOLEDO</t>
  </si>
  <si>
    <t>sitel.vrincon</t>
  </si>
  <si>
    <t>SITEL.HELHARRAK</t>
  </si>
  <si>
    <t>sitel.amgavira</t>
  </si>
  <si>
    <t>found.acnavarro</t>
  </si>
  <si>
    <t>SITEL.jcarrion</t>
  </si>
  <si>
    <t>ILT_07_13</t>
  </si>
  <si>
    <t>dferr053</t>
  </si>
  <si>
    <t>daniela.ferreiradamasceno@sitel.com</t>
  </si>
  <si>
    <t>sitel.dferreira</t>
  </si>
  <si>
    <t>dferreira</t>
  </si>
  <si>
    <t>sitel.ltome</t>
  </si>
  <si>
    <t>sitel.javivar</t>
  </si>
  <si>
    <t>SITEL.NGCIAMARRA</t>
  </si>
  <si>
    <t>sitel.dsilva</t>
  </si>
  <si>
    <t>sitel.mwaltemath</t>
  </si>
  <si>
    <t>sitel.amaria</t>
  </si>
  <si>
    <t>sitel.lrosa</t>
  </si>
  <si>
    <t>sitel.arosa</t>
  </si>
  <si>
    <t>sitel.fgonzalezg</t>
  </si>
  <si>
    <t>SITEL.lherrera</t>
  </si>
  <si>
    <t>SITEL.SWESTPHAL</t>
  </si>
  <si>
    <t>SITEL.pmartinezr</t>
  </si>
  <si>
    <t>sitel.cpaz</t>
  </si>
  <si>
    <t>sitel.emcarrasco</t>
  </si>
  <si>
    <t>sitel.ykirillova</t>
  </si>
  <si>
    <t>sitel.palvarez</t>
  </si>
  <si>
    <t>sitel.plunar</t>
  </si>
  <si>
    <t>sitel.rgarciao</t>
  </si>
  <si>
    <t>41M202</t>
  </si>
  <si>
    <t>Y6439784M</t>
  </si>
  <si>
    <t>fsequ002</t>
  </si>
  <si>
    <t>fredwaralberto.sequeraoliveros@sitel.com</t>
  </si>
  <si>
    <t>sitel.fsequera</t>
  </si>
  <si>
    <t>fsequerao</t>
  </si>
  <si>
    <t>5522FS</t>
  </si>
  <si>
    <t>sitel.rhinestros</t>
  </si>
  <si>
    <t>SITEL.RHVATTANT</t>
  </si>
  <si>
    <t>SITEL.OMREDONDO</t>
  </si>
  <si>
    <t>SITEL.FJPARRADO</t>
  </si>
  <si>
    <t>sitel.alopezm</t>
  </si>
  <si>
    <t>found.mclapera</t>
  </si>
  <si>
    <t>SITEL.mandres</t>
  </si>
  <si>
    <t>sitel.rdiaz</t>
  </si>
  <si>
    <t>SITEL.FGARCIAS</t>
  </si>
  <si>
    <t>SITEL.idoblado</t>
  </si>
  <si>
    <t>08I575</t>
  </si>
  <si>
    <t>C4WJ56MHC</t>
  </si>
  <si>
    <t>KATARI ALEXANDER AGUIRRE SCHULZ</t>
  </si>
  <si>
    <t>kagui064</t>
  </si>
  <si>
    <t>kagui064@ec.FOUNDEVER.com</t>
  </si>
  <si>
    <t>FOUND.kaguirre</t>
  </si>
  <si>
    <t>KATALAGUI</t>
  </si>
  <si>
    <t>5090A</t>
  </si>
  <si>
    <t>5090KA</t>
  </si>
  <si>
    <t>found.acarmona</t>
  </si>
  <si>
    <t>sitel.ffernandez</t>
  </si>
  <si>
    <t>cvela045</t>
  </si>
  <si>
    <t>cvela045@ec.sitel.com</t>
  </si>
  <si>
    <t>sitel.cvelasco</t>
  </si>
  <si>
    <t>cvelasco</t>
  </si>
  <si>
    <t>4215CV</t>
  </si>
  <si>
    <t>sitel.amvlada</t>
  </si>
  <si>
    <t>SITEL.FMROSA</t>
  </si>
  <si>
    <t>SITEL.MRODRIGUE6</t>
  </si>
  <si>
    <t>found.mpereira</t>
  </si>
  <si>
    <t>SITEL.cperez</t>
  </si>
  <si>
    <t>sitel.pwang</t>
  </si>
  <si>
    <t>sitel.xzhang</t>
  </si>
  <si>
    <t>FOUND.MCCEREZUEL</t>
  </si>
  <si>
    <t>FOUND.MGLOPEZ</t>
  </si>
  <si>
    <t>found.imohammedi</t>
  </si>
  <si>
    <t>found.asaldana</t>
  </si>
  <si>
    <t>sitel.ccarmona</t>
  </si>
  <si>
    <t>1845_00/BUS_23_00</t>
  </si>
  <si>
    <t>ILT_08_14</t>
  </si>
  <si>
    <t>ROSA MARIA ANTAS LOPEZ</t>
  </si>
  <si>
    <t>FOUND.JSANCHEZ</t>
  </si>
  <si>
    <t>found.acastrejon</t>
  </si>
  <si>
    <t>SITEL.MAGONZALE1</t>
  </si>
  <si>
    <t>sitel.amunoz</t>
  </si>
  <si>
    <t>SITEL.csalado</t>
  </si>
  <si>
    <t>sitel.medomingo</t>
  </si>
  <si>
    <t>sitel.jmbobi</t>
  </si>
  <si>
    <t>sitel.jmnaranjo</t>
  </si>
  <si>
    <t>SITEL.LPALOMINO</t>
  </si>
  <si>
    <t>sitel.sgonzalezs</t>
  </si>
  <si>
    <t>SITEL.NALEGRE</t>
  </si>
  <si>
    <t>SITEL.BCARO</t>
  </si>
  <si>
    <t>sitel.jfviera</t>
  </si>
  <si>
    <t>sitel.crosado</t>
  </si>
  <si>
    <t>sitel.rmcastilla</t>
  </si>
  <si>
    <t>Steven.SLezak@foundever.com</t>
  </si>
  <si>
    <t>4012S</t>
  </si>
  <si>
    <t>4012SS</t>
  </si>
  <si>
    <t>09_13/15_19</t>
  </si>
  <si>
    <t>sitel.jnbecerra</t>
  </si>
  <si>
    <t>SITEL.ALOPEZ</t>
  </si>
  <si>
    <t>SITEL.MGOMEZM</t>
  </si>
  <si>
    <t>sitel.cvazquez</t>
  </si>
  <si>
    <t>sitel.mtognoni</t>
  </si>
  <si>
    <t>sitel.fgregori</t>
  </si>
  <si>
    <t>@SSYREST_13_21</t>
  </si>
  <si>
    <t>SITEL.mminghella</t>
  </si>
  <si>
    <t>SITEL.AAGUILAR</t>
  </si>
  <si>
    <t>SITEL.CFERNANDE1</t>
  </si>
  <si>
    <t>JASON.CLARKETERRON@foundever.com</t>
  </si>
  <si>
    <t>Daniel.Pereira@foundever.com</t>
  </si>
  <si>
    <t>SITEL.DPEREIRA</t>
  </si>
  <si>
    <t>ivan.martinezmiguel@foundever.com</t>
  </si>
  <si>
    <t>FOUND.JMGARCIAVI</t>
  </si>
  <si>
    <t>FOUND.PTORILO</t>
  </si>
  <si>
    <t>FOUND.GBENITEZ</t>
  </si>
  <si>
    <t>sitel.mlperez</t>
  </si>
  <si>
    <t>sitel.magonzale3</t>
  </si>
  <si>
    <t>sitel.crosadoa</t>
  </si>
  <si>
    <t>sitel.asanz</t>
  </si>
  <si>
    <t>sitel.sruedas</t>
  </si>
  <si>
    <t>sitel.lcanizares</t>
  </si>
  <si>
    <t>SITEL.NGARCIAB</t>
  </si>
  <si>
    <t>sitel.cherrera</t>
  </si>
  <si>
    <t>found.cocana</t>
  </si>
  <si>
    <t>sitel.kfall</t>
  </si>
  <si>
    <t>sitel.aespinosar</t>
  </si>
  <si>
    <t>sitel.rachour</t>
  </si>
  <si>
    <t>SITEL.DHERRERA</t>
  </si>
  <si>
    <t>351912800265</t>
  </si>
  <si>
    <t>sitel.sfreire</t>
  </si>
  <si>
    <t>sitel.mstasczevs</t>
  </si>
  <si>
    <t>sitel.abermejo</t>
  </si>
  <si>
    <t>found.mllorenzo</t>
  </si>
  <si>
    <t>found.jphernande</t>
  </si>
  <si>
    <t>found.hidrissi</t>
  </si>
  <si>
    <t>lmend261</t>
  </si>
  <si>
    <t>lmend261@ec.foundever.com</t>
  </si>
  <si>
    <t>LMENDEZF</t>
  </si>
  <si>
    <t>5365M</t>
  </si>
  <si>
    <t>5635LM</t>
  </si>
  <si>
    <t>SITEL.BSVALLEJO</t>
  </si>
  <si>
    <t>SITEL.ABUGENA</t>
  </si>
  <si>
    <t>SITEL.MLVALERA</t>
  </si>
  <si>
    <t>SITEL.ICORPAS</t>
  </si>
  <si>
    <t>SITEL.CIPACHON</t>
  </si>
  <si>
    <t>found.mcamboni</t>
  </si>
  <si>
    <t>SITEL.MGARCIAGO</t>
  </si>
  <si>
    <t>SITEL.DRUSSO</t>
  </si>
  <si>
    <t>SITEL.fruizf</t>
  </si>
  <si>
    <t>sitel.mccenteno</t>
  </si>
  <si>
    <t>SITEL.lmarquezp</t>
  </si>
  <si>
    <t>sitel.aortega</t>
  </si>
  <si>
    <t>SITEL.RBRAVO</t>
  </si>
  <si>
    <t>sitel.oklouakfao</t>
  </si>
  <si>
    <t>sitel.mreeves</t>
  </si>
  <si>
    <t>sitel.rmoreno</t>
  </si>
  <si>
    <t>5395AM</t>
  </si>
  <si>
    <t>sitel.mpano</t>
  </si>
  <si>
    <t>sitel.ybarroso</t>
  </si>
  <si>
    <t>SITEL.lbizcocho</t>
  </si>
  <si>
    <t>sitel.migamero</t>
  </si>
  <si>
    <t>SITEL.CDOCAMPO</t>
  </si>
  <si>
    <t>sitel.eaventaggi</t>
  </si>
  <si>
    <t>SITEL.PDVILLALBA</t>
  </si>
  <si>
    <t>sitel.rmill</t>
  </si>
  <si>
    <t>sitel.dcontreras</t>
  </si>
  <si>
    <t>sitel.cmorais</t>
  </si>
  <si>
    <t>SITEL.JACABRERA</t>
  </si>
  <si>
    <t>sitel.cdasilva</t>
  </si>
  <si>
    <t>sitel.ccesar</t>
  </si>
  <si>
    <t>SITEL.MGENER</t>
  </si>
  <si>
    <t>sitel.rsant</t>
  </si>
  <si>
    <t>sitel.lrojas</t>
  </si>
  <si>
    <t>29/05/2023@</t>
  </si>
  <si>
    <t>found.grobert</t>
  </si>
  <si>
    <t>SITEL.GGHEORGHE</t>
  </si>
  <si>
    <t>2025-18</t>
  </si>
  <si>
    <t>sitel.rmdomingue</t>
  </si>
  <si>
    <t>sitel.rgonzalez</t>
  </si>
  <si>
    <t>sitel.mmegias</t>
  </si>
  <si>
    <t>SITEL.jmartin</t>
  </si>
  <si>
    <t>FOUND.SBELMONTE</t>
  </si>
  <si>
    <t>FOUND.JCASTRO</t>
  </si>
  <si>
    <t>found.ccuadrar</t>
  </si>
  <si>
    <t>04-09-205</t>
  </si>
  <si>
    <t>sitel.jrfranco</t>
  </si>
  <si>
    <t>sitel.dfernandez</t>
  </si>
  <si>
    <t>SITEL.PLOZANO</t>
  </si>
  <si>
    <t>SITEL.mluque</t>
  </si>
  <si>
    <t>sitel.grodriguez</t>
  </si>
  <si>
    <t>sitel.jlvias</t>
  </si>
  <si>
    <t>sitel.mapuchulo</t>
  </si>
  <si>
    <t>0830_1530</t>
  </si>
  <si>
    <t>SITEL.jmontero</t>
  </si>
  <si>
    <t>sitel.sbslezak</t>
  </si>
  <si>
    <t>sitel.amvargas</t>
  </si>
  <si>
    <t>sitel.vjbastida</t>
  </si>
  <si>
    <t>sitel.pmartinez</t>
  </si>
  <si>
    <t>@SSYREST_10_18</t>
  </si>
  <si>
    <t>sitel.bluque</t>
  </si>
  <si>
    <t>sitel.mbruiz</t>
  </si>
  <si>
    <t>sitel.amlerida</t>
  </si>
  <si>
    <t>SITEL.VPEREZ</t>
  </si>
  <si>
    <t>SITEL.VLPONCE</t>
  </si>
  <si>
    <t>sitel.cebenitez</t>
  </si>
  <si>
    <t>sitel.lperez</t>
  </si>
  <si>
    <t>sitel.jsanchezm</t>
  </si>
  <si>
    <t>SITEL.MSANCHEZG</t>
  </si>
  <si>
    <t>sitel.smateo</t>
  </si>
  <si>
    <t>SITEL.burbina</t>
  </si>
  <si>
    <t>SITEL.RJORTEGA</t>
  </si>
  <si>
    <t>sitel.svargas</t>
  </si>
  <si>
    <t>SITEL.ltamayac</t>
  </si>
  <si>
    <t>found.rereis</t>
  </si>
  <si>
    <t>SITEL.MCORTELLA</t>
  </si>
  <si>
    <t>FOUND.PFCASTILLO</t>
  </si>
  <si>
    <t>found.yfnarvaez</t>
  </si>
  <si>
    <t>found.sluque</t>
  </si>
  <si>
    <t>found.mcampos</t>
  </si>
  <si>
    <t xml:space="preserve"> found.eeroncero</t>
  </si>
  <si>
    <t>found.jpbello</t>
  </si>
  <si>
    <t>SITEL.dluque</t>
  </si>
  <si>
    <t>FOUND.MHERRERAP</t>
  </si>
  <si>
    <t>sitel.mmcamoyan</t>
  </si>
  <si>
    <t>sitel.maaniba</t>
  </si>
  <si>
    <t>sitel.arodrigue3</t>
  </si>
  <si>
    <t>SITEL.ssorroche</t>
  </si>
  <si>
    <t>sitel.jegandert</t>
  </si>
  <si>
    <t>sitel.mrubio</t>
  </si>
  <si>
    <t>sitel.cmartos</t>
  </si>
  <si>
    <t>sitel.jrueda</t>
  </si>
  <si>
    <t>sitel.svinag</t>
  </si>
  <si>
    <t>sitel.nkostina</t>
  </si>
  <si>
    <t>SITEL.AROMAN</t>
  </si>
  <si>
    <t>SITEL.cecastro</t>
  </si>
  <si>
    <t>sitel.dmarvulli</t>
  </si>
  <si>
    <t>sitel.jperezr</t>
  </si>
  <si>
    <t>FOUND.TCASTELLAR</t>
  </si>
  <si>
    <t>SITEL.fbogdan</t>
  </si>
  <si>
    <t>SITEL.mfernande3</t>
  </si>
  <si>
    <t>found.hrivero</t>
  </si>
  <si>
    <t>sitel.amesa</t>
  </si>
  <si>
    <t>SITEL.AASENCIO</t>
  </si>
  <si>
    <t>sitel.mkonig</t>
  </si>
  <si>
    <t>sitel.acentron</t>
  </si>
  <si>
    <t>SITEL.MGARCIAM</t>
  </si>
  <si>
    <t>sitel.paragon</t>
  </si>
  <si>
    <t>SITEL.AMARTINO</t>
  </si>
  <si>
    <t>SITEL.ltiddia</t>
  </si>
  <si>
    <t>SITEL.aarbona</t>
  </si>
  <si>
    <t>sitel.pmartinezd</t>
  </si>
  <si>
    <t>sitel.rpuerto</t>
  </si>
  <si>
    <t>SITEL.FJMATACHAN</t>
  </si>
  <si>
    <t>found.rborrego</t>
  </si>
  <si>
    <t>FOUND.ABAQUERO</t>
  </si>
  <si>
    <t>SITEL.AMDIAZG</t>
  </si>
  <si>
    <t>SITEL.msoldado</t>
  </si>
  <si>
    <t>SITEL.eccruz</t>
  </si>
  <si>
    <t>sitel.jamunoz</t>
  </si>
  <si>
    <t>SITEL.msalazar</t>
  </si>
  <si>
    <t>sitel.rmagallane</t>
  </si>
  <si>
    <t>sitel.vlpuerto</t>
  </si>
  <si>
    <t>SITEL.mgonzalezc</t>
  </si>
  <si>
    <t>SITEL.kguevara</t>
  </si>
  <si>
    <t>SITEL.mcasas</t>
  </si>
  <si>
    <t>sitel.tgandert</t>
  </si>
  <si>
    <t>sitel.mjfernande</t>
  </si>
  <si>
    <t>SITEL.cmalvar</t>
  </si>
  <si>
    <t>sitel.egarciao</t>
  </si>
  <si>
    <t>sitel.jcmunoz</t>
  </si>
  <si>
    <t>sitel.mspavo</t>
  </si>
  <si>
    <t>sitel.mcbarbosa</t>
  </si>
  <si>
    <t>SITEL.iramos</t>
  </si>
  <si>
    <t>SITEL.acasas</t>
  </si>
  <si>
    <t>SITEL.bslawinski</t>
  </si>
  <si>
    <t>SITEL.mcastillo</t>
  </si>
  <si>
    <t>sitel.lmbenito</t>
  </si>
  <si>
    <t>sitel.bmorales</t>
  </si>
  <si>
    <t>sitel.jacamachor</t>
  </si>
  <si>
    <t>sitel.jdeniz</t>
  </si>
  <si>
    <t>sitel.ibaeza</t>
  </si>
  <si>
    <t>sitel.nnazarov</t>
  </si>
  <si>
    <t>sitel.rleal</t>
  </si>
  <si>
    <t>sitel.apeinado</t>
  </si>
  <si>
    <t>sitel.adiaz</t>
  </si>
  <si>
    <t>SITEL.rferrer</t>
  </si>
  <si>
    <t>SITEL.jsoaresa</t>
  </si>
  <si>
    <t>sitel.gtessari1</t>
  </si>
  <si>
    <t>SITEL.LMPENA</t>
  </si>
  <si>
    <t>sitel.mealeman</t>
  </si>
  <si>
    <t>sitel.mgallardo</t>
  </si>
  <si>
    <t>sitel.manunez</t>
  </si>
  <si>
    <t>SITEL.MIBORREGO</t>
  </si>
  <si>
    <t>FOUND.CCORTON</t>
  </si>
  <si>
    <t>sitel.iorozco</t>
  </si>
  <si>
    <t>SITEL.asancheza</t>
  </si>
  <si>
    <t>SITEL.MJNIETO</t>
  </si>
  <si>
    <t>sitel.akleisch</t>
  </si>
  <si>
    <t>sitel.cgamaza</t>
  </si>
  <si>
    <t>SITEL.JMPIMIENTA</t>
  </si>
  <si>
    <t>SITEL.JMSUAREZ</t>
  </si>
  <si>
    <t>FOUND.CRAMOS</t>
  </si>
  <si>
    <t>FOUND.SCROMERO</t>
  </si>
  <si>
    <t>found.bmontero</t>
  </si>
  <si>
    <t>sitel.mirodrigue</t>
  </si>
  <si>
    <t>FOUND.FMORAGA</t>
  </si>
  <si>
    <t>sitel.msanchezar</t>
  </si>
  <si>
    <t>FOUND.RVCUSANO</t>
  </si>
  <si>
    <t>SITEL.CSANCHEZS</t>
  </si>
  <si>
    <t>SITEL.MABONET</t>
  </si>
  <si>
    <t>SITEL.ACASTANEDA</t>
  </si>
  <si>
    <t>found.msfernande</t>
  </si>
  <si>
    <t>SITEL.IGONZALEZH</t>
  </si>
  <si>
    <t>SITEL.fcarrera</t>
  </si>
  <si>
    <t>sitel.mrmedina</t>
  </si>
  <si>
    <t>sitel.cmendoza</t>
  </si>
  <si>
    <t>sitel.edominguez</t>
  </si>
  <si>
    <t>SITEL.CBAREA</t>
  </si>
  <si>
    <t>sitel.jabautista</t>
  </si>
  <si>
    <t>SITEL.GBRIGIDA</t>
  </si>
  <si>
    <t>found.arsilva</t>
  </si>
  <si>
    <t>found.atoledobri</t>
  </si>
  <si>
    <t>found.mscarvalho</t>
  </si>
  <si>
    <t>found.afrazao</t>
  </si>
  <si>
    <t>SITEL.MAPEREIRA</t>
  </si>
  <si>
    <t>SITEL.GVSILVEIRA</t>
  </si>
  <si>
    <t>SITEL.AALCARAZ</t>
  </si>
  <si>
    <t>sitel.fjalmagro</t>
  </si>
  <si>
    <t>sitel.mvila</t>
  </si>
  <si>
    <t>sitel.rortizr</t>
  </si>
  <si>
    <t>found.mthiriet</t>
  </si>
  <si>
    <t>FOUND.APEREZ</t>
  </si>
  <si>
    <t>found.jlatorre</t>
  </si>
  <si>
    <t>found.rperez</t>
  </si>
  <si>
    <t>found.isalinas</t>
  </si>
  <si>
    <t>found.emoore</t>
  </si>
  <si>
    <t>found.rlopez</t>
  </si>
  <si>
    <t>found.dcomesana</t>
  </si>
  <si>
    <t>FOUND.EFLORES</t>
  </si>
  <si>
    <t>found.mgomez</t>
  </si>
  <si>
    <t>SITEL.vmartinez</t>
  </si>
  <si>
    <t>SITEL.csmith</t>
  </si>
  <si>
    <t>SITEL.gfernandez</t>
  </si>
  <si>
    <t>sitel.ddanko</t>
  </si>
  <si>
    <t>SITEL.TVINNITSKA</t>
  </si>
  <si>
    <t>sitel.vprat</t>
  </si>
  <si>
    <t>sitel.rmmoreno</t>
  </si>
  <si>
    <t>sitel.aarobles</t>
  </si>
  <si>
    <t>sitel.rgarcia</t>
  </si>
  <si>
    <t>SITEL.IRUBIALES</t>
  </si>
  <si>
    <t>SITEL.anavarro</t>
  </si>
  <si>
    <t>SITEL.LMOHAMED</t>
  </si>
  <si>
    <t>sitel.bmperez</t>
  </si>
  <si>
    <t>sitel.alopezl</t>
  </si>
  <si>
    <t>sitel.yaboitiz</t>
  </si>
  <si>
    <t>sitel.rsalas</t>
  </si>
  <si>
    <t>sitel.tjribeiro</t>
  </si>
  <si>
    <t>sitel.jltirado</t>
  </si>
  <si>
    <t>sitel.moliver</t>
  </si>
  <si>
    <t>sitel.sotero</t>
  </si>
  <si>
    <t>sitel.cgarcia</t>
  </si>
  <si>
    <t>sitel.selidrissi</t>
  </si>
  <si>
    <t>sitel.kleseille</t>
  </si>
  <si>
    <t>sitel.promeroj</t>
  </si>
  <si>
    <t>sitel.mamoresr</t>
  </si>
  <si>
    <t>sitel.miplaza</t>
  </si>
  <si>
    <t>sitel.mlis</t>
  </si>
  <si>
    <t>SITEL.GDELGADO</t>
  </si>
  <si>
    <t>sitel.bcarmona</t>
  </si>
  <si>
    <t>SITEL.mfalcon</t>
  </si>
  <si>
    <t>SITEL.MESPANA</t>
  </si>
  <si>
    <t>sitel.mocana</t>
  </si>
  <si>
    <t>sitel.mmartinezl</t>
  </si>
  <si>
    <t>sitel.fjaragon</t>
  </si>
  <si>
    <t>sitel.ehernandez</t>
  </si>
  <si>
    <t>SITEL.VLEMOSALME</t>
  </si>
  <si>
    <t>SITEL.avelozo</t>
  </si>
  <si>
    <t>SITEL.lviana</t>
  </si>
  <si>
    <t>sitel.pgomez</t>
  </si>
  <si>
    <t>sitel.epguedes</t>
  </si>
  <si>
    <t>SITEL.MNERY</t>
  </si>
  <si>
    <t>FOUND.DCAUGUSTO</t>
  </si>
  <si>
    <t>FOUND.TVPEDROSO</t>
  </si>
  <si>
    <t>SITEL.BLMILHOMEN</t>
  </si>
  <si>
    <t>SITEL.CSTEIXEIRA</t>
  </si>
  <si>
    <t>sitel.jmgonzalez</t>
  </si>
  <si>
    <t>0630_1430</t>
  </si>
  <si>
    <t>5533A</t>
  </si>
  <si>
    <t>5533MA</t>
  </si>
  <si>
    <t>28783488T</t>
  </si>
  <si>
    <t>ranta002</t>
  </si>
  <si>
    <t>ranta002@ec.sitel.com</t>
  </si>
  <si>
    <t>SITEL.RMANTAS</t>
  </si>
  <si>
    <t>RMANTAS</t>
  </si>
  <si>
    <t>47535020T</t>
  </si>
  <si>
    <t>JOSE ANTONIO RODRIGUEZ DIAZ</t>
  </si>
  <si>
    <t>jrodr1290</t>
  </si>
  <si>
    <t>jrodr1290@ec.foundever.com</t>
  </si>
  <si>
    <t>found.jarodrigue</t>
  </si>
  <si>
    <t>JRODRIDIAZ</t>
  </si>
  <si>
    <t>29580648A</t>
  </si>
  <si>
    <t>LORENA CARABALLO DUEÑAS</t>
  </si>
  <si>
    <t>lcara036</t>
  </si>
  <si>
    <t>lcara036@ec.foundever.com</t>
  </si>
  <si>
    <t>found.lcaraballo</t>
  </si>
  <si>
    <t>LCARABALLO</t>
  </si>
  <si>
    <t>77810478Y</t>
  </si>
  <si>
    <t>MARIA ASUNCION OGAZON ZARAZAGA</t>
  </si>
  <si>
    <t>mogaz002</t>
  </si>
  <si>
    <t>mogaz002@ec.foundever.com</t>
  </si>
  <si>
    <t>found.maogazon</t>
  </si>
  <si>
    <t>MOGAZON</t>
  </si>
  <si>
    <t>53772699X</t>
  </si>
  <si>
    <t>JUAN MANUEL MAESTRE MORILLO</t>
  </si>
  <si>
    <t>jmaes031</t>
  </si>
  <si>
    <t>jmaes031@ec.foundever.com</t>
  </si>
  <si>
    <t>found.jmmaestre</t>
  </si>
  <si>
    <t>JMAESTRE</t>
  </si>
  <si>
    <t>09207052Z</t>
  </si>
  <si>
    <t>PILAR GIRALDO GARCIA</t>
  </si>
  <si>
    <t>pgira008</t>
  </si>
  <si>
    <t>pgira008@ec.foundever.com</t>
  </si>
  <si>
    <t>found.pgiraldo</t>
  </si>
  <si>
    <t>PGIRALDO</t>
  </si>
  <si>
    <t>53283174V</t>
  </si>
  <si>
    <t>MARIO LINEROS ROMERO</t>
  </si>
  <si>
    <t>mline010</t>
  </si>
  <si>
    <t>mline010@ec.foundever.com</t>
  </si>
  <si>
    <t>found.mlineros</t>
  </si>
  <si>
    <t>MLINEROS</t>
  </si>
  <si>
    <t>29559399Y</t>
  </si>
  <si>
    <t>MARTIN FERNANDEZ CRESPO</t>
  </si>
  <si>
    <t>mfern664</t>
  </si>
  <si>
    <t>mfern664@ec.foundever.com</t>
  </si>
  <si>
    <t>found.mfernande2</t>
  </si>
  <si>
    <t>MCRESPO</t>
  </si>
  <si>
    <t>55429516E</t>
  </si>
  <si>
    <t>FLAVIANY PEIXOTO FERREIRA</t>
  </si>
  <si>
    <t>fpeix003</t>
  </si>
  <si>
    <t>fpeix003@ec.foundever.com</t>
  </si>
  <si>
    <t>found.fpeixoto</t>
  </si>
  <si>
    <t>FPEIXOTO</t>
  </si>
  <si>
    <t>Y5384421C</t>
  </si>
  <si>
    <t>WESLEY DA SILVA TAVARES</t>
  </si>
  <si>
    <t>wdasi026*</t>
  </si>
  <si>
    <t>wdasi026@ec.foundever.com</t>
  </si>
  <si>
    <t>found.wdasilva</t>
  </si>
  <si>
    <t>WDASILVA</t>
  </si>
  <si>
    <t>32994632M</t>
  </si>
  <si>
    <t>THAINNA PERSEFONY ARAUJO COLARES</t>
  </si>
  <si>
    <t>tarau015</t>
  </si>
  <si>
    <t>tarau015@ec.foundever.com</t>
  </si>
  <si>
    <t>found.tparaujo</t>
  </si>
  <si>
    <t>TCOLARES</t>
  </si>
  <si>
    <t>55474615H</t>
  </si>
  <si>
    <t>CLAUDIANE ALVES PEREIRA</t>
  </si>
  <si>
    <t>calve051*</t>
  </si>
  <si>
    <t>calve051@ec.foundever.com</t>
  </si>
  <si>
    <t>found.calves</t>
  </si>
  <si>
    <t>CALVESP</t>
  </si>
  <si>
    <t>Z1088051H</t>
  </si>
  <si>
    <t>DIANAKILL SANDOVAL MINDA</t>
  </si>
  <si>
    <t>dsand138</t>
  </si>
  <si>
    <t>dsand138@ec.foundever.com</t>
  </si>
  <si>
    <t>found.dsandoval</t>
  </si>
  <si>
    <t>DSANDOVAL</t>
  </si>
  <si>
    <t>Y2716093Z</t>
  </si>
  <si>
    <t>RENATO GOMES DI IORIO</t>
  </si>
  <si>
    <t>rgome240</t>
  </si>
  <si>
    <t>rgome240@ec.foundever.com</t>
  </si>
  <si>
    <t>found.rgomes</t>
  </si>
  <si>
    <t>RGOMES</t>
  </si>
  <si>
    <t>ILT_11_16</t>
  </si>
  <si>
    <t>YQ</t>
  </si>
  <si>
    <t>ILT_15_21</t>
  </si>
  <si>
    <t>41W072</t>
  </si>
  <si>
    <t>2025-19</t>
  </si>
  <si>
    <t>41W067</t>
  </si>
  <si>
    <t>0930_1330</t>
  </si>
  <si>
    <t>41W077</t>
  </si>
  <si>
    <t>2025-20</t>
  </si>
  <si>
    <t>41W075</t>
  </si>
  <si>
    <t>41W074</t>
  </si>
  <si>
    <t>aparr036</t>
  </si>
  <si>
    <t>aparr036@ec.sitel.com</t>
  </si>
  <si>
    <t>sitel.aaparra</t>
  </si>
  <si>
    <t>41W070</t>
  </si>
  <si>
    <t>41W073</t>
  </si>
  <si>
    <t>41W069</t>
  </si>
  <si>
    <t>41W065</t>
  </si>
  <si>
    <t>41W066</t>
  </si>
  <si>
    <t>41W068</t>
  </si>
  <si>
    <t>41W076</t>
  </si>
  <si>
    <t>41W078</t>
  </si>
  <si>
    <t>41W071</t>
  </si>
  <si>
    <t>INFINITA</t>
  </si>
  <si>
    <t>VAC_16_22</t>
  </si>
  <si>
    <t>DESKTOP</t>
  </si>
  <si>
    <t>00_06</t>
  </si>
  <si>
    <t>DLF_09_15</t>
  </si>
  <si>
    <t>12_17</t>
  </si>
  <si>
    <t>07/06/2024@</t>
  </si>
  <si>
    <t>ILT_09_1530</t>
  </si>
  <si>
    <t>mwalt048@ec.foundever.com</t>
  </si>
  <si>
    <t>5071MC</t>
  </si>
  <si>
    <t>01_09</t>
  </si>
  <si>
    <t>02_09</t>
  </si>
  <si>
    <t>5498G</t>
  </si>
  <si>
    <t>41S118</t>
  </si>
  <si>
    <t>78254508K</t>
  </si>
  <si>
    <t>FERNANDA SUAREZ MORAES</t>
  </si>
  <si>
    <t>fsuar021</t>
  </si>
  <si>
    <t>fsuar021@ec.sitel.com</t>
  </si>
  <si>
    <t>SITEL.FSUAREZ</t>
  </si>
  <si>
    <t>FSUAREZ</t>
  </si>
  <si>
    <t>4073FS</t>
  </si>
  <si>
    <t>Z3554286D</t>
  </si>
  <si>
    <t>FELIX MIKE LEHMANN</t>
  </si>
  <si>
    <t>flehm005</t>
  </si>
  <si>
    <t>flehm005@ec.foundever.com</t>
  </si>
  <si>
    <t>found.fmlehmann</t>
  </si>
  <si>
    <t>FLEHMANN</t>
  </si>
  <si>
    <t>24/10/205</t>
  </si>
  <si>
    <t>DLF_15_22</t>
  </si>
  <si>
    <t>@SSYRABING_15_22</t>
  </si>
  <si>
    <t>5217MA</t>
  </si>
  <si>
    <t>41W548</t>
  </si>
  <si>
    <t>MANUEL AGUILAR GONZALEZ</t>
  </si>
  <si>
    <t>ILT_12_20</t>
  </si>
  <si>
    <t>ILT_13_20</t>
  </si>
  <si>
    <t>SSEGURA@525</t>
  </si>
  <si>
    <t>AMVLADA@525</t>
  </si>
  <si>
    <t>LADAUD@525</t>
  </si>
  <si>
    <t>OACRUZ@525</t>
  </si>
  <si>
    <t>MALOPEZ@525</t>
  </si>
  <si>
    <t>MRODRIGUE6@525</t>
  </si>
  <si>
    <t>RGARCIAO@525</t>
  </si>
  <si>
    <t>MMEGIAS@525</t>
  </si>
  <si>
    <t>NJREYES@525</t>
  </si>
  <si>
    <t>JMSIVIANES@525</t>
  </si>
  <si>
    <t>MGLOPEZ@525</t>
  </si>
  <si>
    <t>rcamp013</t>
  </si>
  <si>
    <t>rcamp013@ec.sitel.com</t>
  </si>
  <si>
    <t>sitel.rcampos</t>
  </si>
  <si>
    <t>rcampole</t>
  </si>
  <si>
    <t>26119/26119C</t>
  </si>
  <si>
    <t>6119RC</t>
  </si>
  <si>
    <t>ASALDANA@525</t>
  </si>
  <si>
    <t>LMARTOS@525</t>
  </si>
  <si>
    <t>LMANTON@525</t>
  </si>
  <si>
    <t>MGARRIDO@525</t>
  </si>
  <si>
    <t>EGARCIAL@525</t>
  </si>
  <si>
    <t>CEDOMINGUE@525</t>
  </si>
  <si>
    <t>MBLANCO@525</t>
  </si>
  <si>
    <t>CMENDOZA@525</t>
  </si>
  <si>
    <t>RCARO@525</t>
  </si>
  <si>
    <t>ABAQUERO@525</t>
  </si>
  <si>
    <t>ACASTREJON@525</t>
  </si>
  <si>
    <t>LMCORTES@525</t>
  </si>
  <si>
    <t>CCUADRAR@525</t>
  </si>
  <si>
    <t>JSANCHEZM@525</t>
  </si>
  <si>
    <t>APOLO@525</t>
  </si>
  <si>
    <t>LVLUQUE@525</t>
  </si>
  <si>
    <t>FMORAGA@525</t>
  </si>
  <si>
    <t>SCROMERO@525</t>
  </si>
  <si>
    <t>CFLEJARDE@525</t>
  </si>
  <si>
    <t>CRAMOS@525</t>
  </si>
  <si>
    <t>RVCUSANO@525</t>
  </si>
  <si>
    <t>EPALOMINO@525</t>
  </si>
  <si>
    <t>FRUIZ@525</t>
  </si>
  <si>
    <t>5005MS</t>
  </si>
  <si>
    <t>ARODRIGUE2@525</t>
  </si>
  <si>
    <t>JAMUNOZ@525</t>
  </si>
  <si>
    <t>MDELGADO@525</t>
  </si>
  <si>
    <t>JBMUNOZ@525</t>
  </si>
  <si>
    <t>ICRUZ@525</t>
  </si>
  <si>
    <t>ALOPEZM@525</t>
  </si>
  <si>
    <t>VAC_09_16</t>
  </si>
  <si>
    <t>JLVIAS@525</t>
  </si>
  <si>
    <t>MVMUNIZ@525</t>
  </si>
  <si>
    <t>AGARCIA@525</t>
  </si>
  <si>
    <t>JMDELGADO@525</t>
  </si>
  <si>
    <t>MIRODRIGUE@525</t>
  </si>
  <si>
    <t>12_18</t>
  </si>
  <si>
    <t>VAC_14_22</t>
  </si>
  <si>
    <t>CCORRALES@525</t>
  </si>
  <si>
    <t>MTOGNONI@525</t>
  </si>
  <si>
    <t>10_16/18_20</t>
  </si>
  <si>
    <t>AMVARGAS@525</t>
  </si>
  <si>
    <t>PMARTINEZ@525</t>
  </si>
  <si>
    <t>marta.gomezmedran@foundever.com</t>
  </si>
  <si>
    <t>MGOMEZM@525</t>
  </si>
  <si>
    <t>SRAMOSP@525</t>
  </si>
  <si>
    <t>DSILVA@525</t>
  </si>
  <si>
    <t>APEINADO@525</t>
  </si>
  <si>
    <t>GTESSARI1@525</t>
  </si>
  <si>
    <t>MBRUIZ@525 </t>
  </si>
  <si>
    <t>MPMARTIN@525</t>
  </si>
  <si>
    <t>VAC_16_00</t>
  </si>
  <si>
    <t>MEALEMAN@525</t>
  </si>
  <si>
    <t>PATRICIAS@525</t>
  </si>
  <si>
    <t>agueda.martinezlira@foundever.com</t>
  </si>
  <si>
    <t>AMARTINEZ@525</t>
  </si>
  <si>
    <t>MARTAC@525</t>
  </si>
  <si>
    <t>BMORALES@525</t>
  </si>
  <si>
    <t>MIBORREGO@525</t>
  </si>
  <si>
    <t>ALEFRANC@525</t>
  </si>
  <si>
    <t>5266B</t>
  </si>
  <si>
    <t>5266CB</t>
  </si>
  <si>
    <t>ABERMEJO@525</t>
  </si>
  <si>
    <t>18_23</t>
  </si>
  <si>
    <t>5243FG</t>
  </si>
  <si>
    <t>SCABALLERO@525</t>
  </si>
  <si>
    <t>MTHIRIET@525</t>
  </si>
  <si>
    <t>MSOTO@525</t>
  </si>
  <si>
    <t>APEREZ@525</t>
  </si>
  <si>
    <t>YFNARVAEZ@525</t>
  </si>
  <si>
    <t>MLLORENZO@525</t>
  </si>
  <si>
    <t>FFBOVIER@525</t>
  </si>
  <si>
    <t>ISALINAS@525</t>
  </si>
  <si>
    <t>SLUQUE@525</t>
  </si>
  <si>
    <t>JPBELLO@525</t>
  </si>
  <si>
    <t>EPEREZ@525</t>
  </si>
  <si>
    <t>MCAMPOS@525</t>
  </si>
  <si>
    <t>MLOPEZR@525</t>
  </si>
  <si>
    <t>JMCASTROJ@525</t>
  </si>
  <si>
    <t>IPORRAS@525</t>
  </si>
  <si>
    <t>MGOMEZ@525</t>
  </si>
  <si>
    <t>AJGONZALEZ@525</t>
  </si>
  <si>
    <t>CBREVUELTA@525</t>
  </si>
  <si>
    <t>JMMESTRE@525</t>
  </si>
  <si>
    <t>41U175</t>
  </si>
  <si>
    <t>52697561F</t>
  </si>
  <si>
    <t>RAFAEL SANCHEZ GALLEGO</t>
  </si>
  <si>
    <t>rsanc276</t>
  </si>
  <si>
    <t>rsanc276@ec.sitel.com</t>
  </si>
  <si>
    <t>found.rsanchez</t>
  </si>
  <si>
    <t>RSANCHEZG</t>
  </si>
  <si>
    <t>5840S</t>
  </si>
  <si>
    <t>5840RS</t>
  </si>
  <si>
    <t>MSFERNANDE@525</t>
  </si>
  <si>
    <t>MGVARGAS@525</t>
  </si>
  <si>
    <t>MBOSCH@525</t>
  </si>
  <si>
    <t>RFERNANDEZ@525</t>
  </si>
  <si>
    <t>ECASTRO@525</t>
  </si>
  <si>
    <t>PCOBO@525</t>
  </si>
  <si>
    <t>5049TV</t>
  </si>
  <si>
    <t>5139R</t>
  </si>
  <si>
    <t>5139IR</t>
  </si>
  <si>
    <t>09_1430/1530_17</t>
  </si>
  <si>
    <t>09_1430/1530_18</t>
  </si>
  <si>
    <t>AAGUILAR@525</t>
  </si>
  <si>
    <t>NFEDERICI@525</t>
  </si>
  <si>
    <t>CPASQUALIC@525</t>
  </si>
  <si>
    <t>5068G</t>
  </si>
  <si>
    <t>5068AG</t>
  </si>
  <si>
    <t>AGUARINI@525</t>
  </si>
  <si>
    <t>MMARTINEZF@525</t>
  </si>
  <si>
    <t>AMACIAS@525</t>
  </si>
  <si>
    <t>SVINAG@525</t>
  </si>
  <si>
    <t>LMARQUEZ@525</t>
  </si>
  <si>
    <t>AMGAVIRA@525</t>
  </si>
  <si>
    <t>5194G</t>
  </si>
  <si>
    <t>5194MG</t>
  </si>
  <si>
    <t>MMARTINEZL@525</t>
  </si>
  <si>
    <t>MJCOLOMER@525</t>
  </si>
  <si>
    <t>DCONTRERAS@525</t>
  </si>
  <si>
    <t>JZUJAR@525</t>
  </si>
  <si>
    <t>JMARTIN@525</t>
  </si>
  <si>
    <t>FVILLAREJO@525</t>
  </si>
  <si>
    <t>10_1515</t>
  </si>
  <si>
    <t>5289EG</t>
  </si>
  <si>
    <t>BTOMAS@525</t>
  </si>
  <si>
    <t>FPEIXOTO@525</t>
  </si>
  <si>
    <t>WDASILVA@525</t>
  </si>
  <si>
    <t>TPARAUJO@525</t>
  </si>
  <si>
    <t>CALVES@525</t>
  </si>
  <si>
    <t>DSANDOVAL@525</t>
  </si>
  <si>
    <t>RGOMES@525</t>
  </si>
  <si>
    <t>TVPEDROSO@525</t>
  </si>
  <si>
    <t>VAC_07_15</t>
  </si>
  <si>
    <t>JMGONZALEZ@525</t>
  </si>
  <si>
    <t>MRHIDALGO@525</t>
  </si>
  <si>
    <t>slacr002</t>
  </si>
  <si>
    <t>slacr002@ec.sitel.com</t>
  </si>
  <si>
    <t>sitel.silacruz</t>
  </si>
  <si>
    <t>silacruzc</t>
  </si>
  <si>
    <t>0554SL</t>
  </si>
  <si>
    <t>SILACRUZ@525</t>
  </si>
  <si>
    <t>5189M</t>
  </si>
  <si>
    <t>MLPEREZ@525</t>
  </si>
  <si>
    <t>ACENTRON@525</t>
  </si>
  <si>
    <t>IBAEZA@525</t>
  </si>
  <si>
    <t>DNAVAJAS@525</t>
  </si>
  <si>
    <t>LMORILLO@525</t>
  </si>
  <si>
    <t>LMBENITO@525</t>
  </si>
  <si>
    <t>CVELASCO@525</t>
  </si>
  <si>
    <t>VTORRES@525</t>
  </si>
  <si>
    <t>AMONTOYA@525</t>
  </si>
  <si>
    <t>JSOARESA@525</t>
  </si>
  <si>
    <t>OLIIVINOVA@525</t>
  </si>
  <si>
    <t>CVAZQUEZ@525</t>
  </si>
  <si>
    <t>MLFERREIRA@525</t>
  </si>
  <si>
    <t>JMCONTRERA@525</t>
  </si>
  <si>
    <t>lpena036@ec.foundever.com</t>
  </si>
  <si>
    <t>XHERNANDEZ@525</t>
  </si>
  <si>
    <t>JLRAMOS@525</t>
  </si>
  <si>
    <t>TJASSIMI@525</t>
  </si>
  <si>
    <t>MWALTEMATH@525</t>
  </si>
  <si>
    <t>5118AP</t>
  </si>
  <si>
    <t>FSEQUERA@525</t>
  </si>
  <si>
    <t>MGALLARDO@525</t>
  </si>
  <si>
    <t>PMARTINEZD@525</t>
  </si>
  <si>
    <t>MCREVUELTA@525</t>
  </si>
  <si>
    <t>JGALVEZ@525</t>
  </si>
  <si>
    <t>CMARGOTTO@525</t>
  </si>
  <si>
    <t>VANTONIAZZ@525</t>
  </si>
  <si>
    <t>BCOSTA@525</t>
  </si>
  <si>
    <t>SSUITO@525</t>
  </si>
  <si>
    <t>SARA ESPINOSA MONTEROS GARCES</t>
  </si>
  <si>
    <t>LTIDDIA@525</t>
  </si>
  <si>
    <t>JGARCIAG@525</t>
  </si>
  <si>
    <t>AOROPESA@525</t>
  </si>
  <si>
    <t>VJIMENEZ@525</t>
  </si>
  <si>
    <t>AMPASTOR@525</t>
  </si>
  <si>
    <t>DBORJA@525</t>
  </si>
  <si>
    <t>CFERNANDE1@525</t>
  </si>
  <si>
    <t>MGARCIAGO@525</t>
  </si>
  <si>
    <t>JMONTERO@525</t>
  </si>
  <si>
    <t>DPEREIRA@525</t>
  </si>
  <si>
    <t>RHVATTANT@525</t>
  </si>
  <si>
    <t>CSMITH@525</t>
  </si>
  <si>
    <t>PROMEROJ@525</t>
  </si>
  <si>
    <t>5058BP</t>
  </si>
  <si>
    <t>41T830</t>
  </si>
  <si>
    <t>54180074D</t>
  </si>
  <si>
    <t>MARIA DEL ROCIO GOMEZ GONZALEZ</t>
  </si>
  <si>
    <t>mgome471</t>
  </si>
  <si>
    <t>mgome471@ec.sitel.com</t>
  </si>
  <si>
    <t>sitel.mrgomez</t>
  </si>
  <si>
    <t>RGOMEZG</t>
  </si>
  <si>
    <t>5899MG</t>
  </si>
  <si>
    <t>087531</t>
  </si>
  <si>
    <t>286696</t>
  </si>
  <si>
    <t>9000191</t>
  </si>
  <si>
    <t>410512</t>
  </si>
  <si>
    <t>410641</t>
  </si>
  <si>
    <t>411031</t>
  </si>
  <si>
    <t>9000232</t>
  </si>
  <si>
    <t>411346</t>
  </si>
  <si>
    <t>411676</t>
  </si>
  <si>
    <t>411739</t>
  </si>
  <si>
    <t>411782</t>
  </si>
  <si>
    <t>0730_1530</t>
  </si>
  <si>
    <t>411893</t>
  </si>
  <si>
    <t>411931</t>
  </si>
  <si>
    <t>9001348</t>
  </si>
  <si>
    <t>411960</t>
  </si>
  <si>
    <t>9000222</t>
  </si>
  <si>
    <t>411988</t>
  </si>
  <si>
    <t>412076</t>
  </si>
  <si>
    <t>412103</t>
  </si>
  <si>
    <t>412205</t>
  </si>
  <si>
    <t>960555</t>
  </si>
  <si>
    <t>412364</t>
  </si>
  <si>
    <t>412375</t>
  </si>
  <si>
    <t>412582</t>
  </si>
  <si>
    <t>9000540</t>
  </si>
  <si>
    <t>412587</t>
  </si>
  <si>
    <t>9000571</t>
  </si>
  <si>
    <t>412591</t>
  </si>
  <si>
    <t>412633</t>
  </si>
  <si>
    <t>412730</t>
  </si>
  <si>
    <t>412740</t>
  </si>
  <si>
    <t>412767</t>
  </si>
  <si>
    <t>412778</t>
  </si>
  <si>
    <t>9000396</t>
  </si>
  <si>
    <t>412817</t>
  </si>
  <si>
    <t>412818</t>
  </si>
  <si>
    <t>412849</t>
  </si>
  <si>
    <t>9000592</t>
  </si>
  <si>
    <t>412864</t>
  </si>
  <si>
    <t>412866</t>
  </si>
  <si>
    <t>412968</t>
  </si>
  <si>
    <t>412974</t>
  </si>
  <si>
    <t>9000543</t>
  </si>
  <si>
    <t>412975</t>
  </si>
  <si>
    <t>412983</t>
  </si>
  <si>
    <t>413101</t>
  </si>
  <si>
    <t>413140</t>
  </si>
  <si>
    <t>413254</t>
  </si>
  <si>
    <t>9001275</t>
  </si>
  <si>
    <t>413257</t>
  </si>
  <si>
    <t>413902</t>
  </si>
  <si>
    <t>413975</t>
  </si>
  <si>
    <t>414044</t>
  </si>
  <si>
    <t>414099</t>
  </si>
  <si>
    <t>414150</t>
  </si>
  <si>
    <t>414391</t>
  </si>
  <si>
    <t>414625</t>
  </si>
  <si>
    <t>414667</t>
  </si>
  <si>
    <t>414714</t>
  </si>
  <si>
    <t>414771</t>
  </si>
  <si>
    <t>9004649</t>
  </si>
  <si>
    <t>414836</t>
  </si>
  <si>
    <t>414909</t>
  </si>
  <si>
    <t>414942</t>
  </si>
  <si>
    <t>9000753</t>
  </si>
  <si>
    <t>415660</t>
  </si>
  <si>
    <t>415804</t>
  </si>
  <si>
    <t>415849</t>
  </si>
  <si>
    <t>415882</t>
  </si>
  <si>
    <t>415915</t>
  </si>
  <si>
    <t>9000738</t>
  </si>
  <si>
    <t>415958</t>
  </si>
  <si>
    <t>415960</t>
  </si>
  <si>
    <t>9000778</t>
  </si>
  <si>
    <t>415969</t>
  </si>
  <si>
    <t>416110</t>
  </si>
  <si>
    <t>416264</t>
  </si>
  <si>
    <t>9005177</t>
  </si>
  <si>
    <t>416305</t>
  </si>
  <si>
    <t>416397</t>
  </si>
  <si>
    <t>9001093</t>
  </si>
  <si>
    <t>416565</t>
  </si>
  <si>
    <t>416567</t>
  </si>
  <si>
    <t>416973</t>
  </si>
  <si>
    <t>9000689</t>
  </si>
  <si>
    <t>417153</t>
  </si>
  <si>
    <t>417160</t>
  </si>
  <si>
    <t>417319</t>
  </si>
  <si>
    <t>9001063</t>
  </si>
  <si>
    <t>417320</t>
  </si>
  <si>
    <t>9001064</t>
  </si>
  <si>
    <t>417556</t>
  </si>
  <si>
    <t>9000747</t>
  </si>
  <si>
    <t>417595</t>
  </si>
  <si>
    <t>9000627</t>
  </si>
  <si>
    <t>417606</t>
  </si>
  <si>
    <t>9001087</t>
  </si>
  <si>
    <t>417619</t>
  </si>
  <si>
    <t>417632</t>
  </si>
  <si>
    <t>9003000</t>
  </si>
  <si>
    <t>417775</t>
  </si>
  <si>
    <t>417812</t>
  </si>
  <si>
    <t>417971</t>
  </si>
  <si>
    <t>417974</t>
  </si>
  <si>
    <t>417977</t>
  </si>
  <si>
    <t>9000699</t>
  </si>
  <si>
    <t>418240</t>
  </si>
  <si>
    <t>418482</t>
  </si>
  <si>
    <t>418492</t>
  </si>
  <si>
    <t>418649</t>
  </si>
  <si>
    <t>418808</t>
  </si>
  <si>
    <t>418813</t>
  </si>
  <si>
    <t>9001070</t>
  </si>
  <si>
    <t>418942</t>
  </si>
  <si>
    <t>418952</t>
  </si>
  <si>
    <t>418999</t>
  </si>
  <si>
    <t>9000933</t>
  </si>
  <si>
    <t>419071</t>
  </si>
  <si>
    <t>9001856</t>
  </si>
  <si>
    <t>419138</t>
  </si>
  <si>
    <t>419601</t>
  </si>
  <si>
    <t>419604</t>
  </si>
  <si>
    <t>419872</t>
  </si>
  <si>
    <t>41E071</t>
  </si>
  <si>
    <t>9001541</t>
  </si>
  <si>
    <t>41E077</t>
  </si>
  <si>
    <t>9001544</t>
  </si>
  <si>
    <t>41E124</t>
  </si>
  <si>
    <t>9001187</t>
  </si>
  <si>
    <t>41E133</t>
  </si>
  <si>
    <t>9001202</t>
  </si>
  <si>
    <t>41E144</t>
  </si>
  <si>
    <t>9001207</t>
  </si>
  <si>
    <t>41E244</t>
  </si>
  <si>
    <t>9001298</t>
  </si>
  <si>
    <t>9003342</t>
  </si>
  <si>
    <t>1397274</t>
  </si>
  <si>
    <t>1397273</t>
  </si>
  <si>
    <t>1608171</t>
  </si>
  <si>
    <t>1820406</t>
  </si>
  <si>
    <t>9006710</t>
  </si>
  <si>
    <t>1577534</t>
  </si>
  <si>
    <t>1709460</t>
  </si>
  <si>
    <t>9003324</t>
  </si>
  <si>
    <t>9001114</t>
  </si>
  <si>
    <t>9001799</t>
  </si>
  <si>
    <t>9000969</t>
  </si>
  <si>
    <t>9001665</t>
  </si>
  <si>
    <t>9001968</t>
  </si>
  <si>
    <t>9001970</t>
  </si>
  <si>
    <t>9001450</t>
  </si>
  <si>
    <t>9001704</t>
  </si>
  <si>
    <t>9003630</t>
  </si>
  <si>
    <t>9001733</t>
  </si>
  <si>
    <t>9001735</t>
  </si>
  <si>
    <t>9001790</t>
  </si>
  <si>
    <t>9001710</t>
  </si>
  <si>
    <t>9001950</t>
  </si>
  <si>
    <t>9001946</t>
  </si>
  <si>
    <t>9001746</t>
  </si>
  <si>
    <t>9003631</t>
  </si>
  <si>
    <t>9001928</t>
  </si>
  <si>
    <t>9000878</t>
  </si>
  <si>
    <t>9001221</t>
  </si>
  <si>
    <t>jgarc099</t>
  </si>
  <si>
    <t>jgarc099@ec.sitel.com</t>
  </si>
  <si>
    <t>sitel.jagarcia</t>
  </si>
  <si>
    <t>jagarciap</t>
  </si>
  <si>
    <t>0537JG</t>
  </si>
  <si>
    <t>JAGARCIA@525</t>
  </si>
  <si>
    <t>9001881</t>
  </si>
  <si>
    <t>9001954</t>
  </si>
  <si>
    <t>9003277</t>
  </si>
  <si>
    <t>9001834</t>
  </si>
  <si>
    <t>9001836</t>
  </si>
  <si>
    <t>9000866</t>
  </si>
  <si>
    <t>9001639</t>
  </si>
  <si>
    <t>9001628</t>
  </si>
  <si>
    <t>9001610</t>
  </si>
  <si>
    <t>9001475</t>
  </si>
  <si>
    <t>9001342</t>
  </si>
  <si>
    <t>9001442</t>
  </si>
  <si>
    <t>9001624</t>
  </si>
  <si>
    <t>9003542</t>
  </si>
  <si>
    <t>9003187</t>
  </si>
  <si>
    <t>9003514</t>
  </si>
  <si>
    <t>9003439</t>
  </si>
  <si>
    <t>VAC_1330_20</t>
  </si>
  <si>
    <t>9003444</t>
  </si>
  <si>
    <t>9003383</t>
  </si>
  <si>
    <t>9003166</t>
  </si>
  <si>
    <t>9003228</t>
  </si>
  <si>
    <t>9003568</t>
  </si>
  <si>
    <t>9003081</t>
  </si>
  <si>
    <t>9003083</t>
  </si>
  <si>
    <t>9003481</t>
  </si>
  <si>
    <t>9003017</t>
  </si>
  <si>
    <t>9003267</t>
  </si>
  <si>
    <t>9003118</t>
  </si>
  <si>
    <t>9002712</t>
  </si>
  <si>
    <t>9002541</t>
  </si>
  <si>
    <t>9002888</t>
  </si>
  <si>
    <t>9002717</t>
  </si>
  <si>
    <t>9002723</t>
  </si>
  <si>
    <t>9002846</t>
  </si>
  <si>
    <t>9002296</t>
  </si>
  <si>
    <t>1693056</t>
  </si>
  <si>
    <t>1578777</t>
  </si>
  <si>
    <t>1579320</t>
  </si>
  <si>
    <t>9002823</t>
  </si>
  <si>
    <t>APARRAF </t>
  </si>
  <si>
    <t>9002764</t>
  </si>
  <si>
    <t>9002935</t>
  </si>
  <si>
    <t>9002363</t>
  </si>
  <si>
    <t>9004383</t>
  </si>
  <si>
    <t>9004631</t>
  </si>
  <si>
    <t>9004653</t>
  </si>
  <si>
    <t>9005258</t>
  </si>
  <si>
    <t>9005362</t>
  </si>
  <si>
    <t>9005331</t>
  </si>
  <si>
    <t>VAC_14_21</t>
  </si>
  <si>
    <t>9005333</t>
  </si>
  <si>
    <t>9005372</t>
  </si>
  <si>
    <t>9005703</t>
  </si>
  <si>
    <t>1331116</t>
  </si>
  <si>
    <t>1352371</t>
  </si>
  <si>
    <t>1566544</t>
  </si>
  <si>
    <t>1566548</t>
  </si>
  <si>
    <t>1571013</t>
  </si>
  <si>
    <t>1570708</t>
  </si>
  <si>
    <t>1571016</t>
  </si>
  <si>
    <t>1574781</t>
  </si>
  <si>
    <t>1577538</t>
  </si>
  <si>
    <t>1578778</t>
  </si>
  <si>
    <t>1579037</t>
  </si>
  <si>
    <t>1579323</t>
  </si>
  <si>
    <t>1579330</t>
  </si>
  <si>
    <t>1579328</t>
  </si>
  <si>
    <t>1579327</t>
  </si>
  <si>
    <t>1580941</t>
  </si>
  <si>
    <t>1580940</t>
  </si>
  <si>
    <t>1580933</t>
  </si>
  <si>
    <t>1580527</t>
  </si>
  <si>
    <t>1585037</t>
  </si>
  <si>
    <t>1585036</t>
  </si>
  <si>
    <t>1585039</t>
  </si>
  <si>
    <t>1585042</t>
  </si>
  <si>
    <t>1585043</t>
  </si>
  <si>
    <t>1586586</t>
  </si>
  <si>
    <t>1586581</t>
  </si>
  <si>
    <t>1585944</t>
  </si>
  <si>
    <t>1587353</t>
  </si>
  <si>
    <t>1598948</t>
  </si>
  <si>
    <t>1598949</t>
  </si>
  <si>
    <t>1607419</t>
  </si>
  <si>
    <t>1607422</t>
  </si>
  <si>
    <t>1607424</t>
  </si>
  <si>
    <t>1612123</t>
  </si>
  <si>
    <t>1612124</t>
  </si>
  <si>
    <t>1612129</t>
  </si>
  <si>
    <t>1612125</t>
  </si>
  <si>
    <t>1674773</t>
  </si>
  <si>
    <t>1674757</t>
  </si>
  <si>
    <t>1691801</t>
  </si>
  <si>
    <t>52226110X</t>
  </si>
  <si>
    <t>sespi087</t>
  </si>
  <si>
    <t>sespi087@ec.sitel.com</t>
  </si>
  <si>
    <t>sitel.sespinosam</t>
  </si>
  <si>
    <t>SESPINOSA</t>
  </si>
  <si>
    <t>7016SE</t>
  </si>
  <si>
    <t>1691792</t>
  </si>
  <si>
    <t>1691794</t>
  </si>
  <si>
    <t>1691796</t>
  </si>
  <si>
    <t>1692833</t>
  </si>
  <si>
    <t>1692288</t>
  </si>
  <si>
    <t>1692287</t>
  </si>
  <si>
    <t>1692289</t>
  </si>
  <si>
    <t>1692286</t>
  </si>
  <si>
    <t>1692285</t>
  </si>
  <si>
    <t>1692662</t>
  </si>
  <si>
    <t>1692656</t>
  </si>
  <si>
    <t>1693753</t>
  </si>
  <si>
    <t>1694554</t>
  </si>
  <si>
    <t>1697514</t>
  </si>
  <si>
    <t>1697515</t>
  </si>
  <si>
    <t>1697516</t>
  </si>
  <si>
    <t>1697520</t>
  </si>
  <si>
    <t>1697952</t>
  </si>
  <si>
    <t>1702903</t>
  </si>
  <si>
    <t>1702901</t>
  </si>
  <si>
    <t>1702900</t>
  </si>
  <si>
    <t>1702898</t>
  </si>
  <si>
    <t>1702897</t>
  </si>
  <si>
    <t>1702743</t>
  </si>
  <si>
    <t>1703834</t>
  </si>
  <si>
    <t>1703830</t>
  </si>
  <si>
    <t>1703826</t>
  </si>
  <si>
    <t>1703833</t>
  </si>
  <si>
    <t>1708422</t>
  </si>
  <si>
    <t>1709178</t>
  </si>
  <si>
    <t>1709177</t>
  </si>
  <si>
    <t>1709680</t>
  </si>
  <si>
    <t>1719505</t>
  </si>
  <si>
    <t>VAC_13_21</t>
  </si>
  <si>
    <t>1719509</t>
  </si>
  <si>
    <t>1719504</t>
  </si>
  <si>
    <t>1719501</t>
  </si>
  <si>
    <t>1719499</t>
  </si>
  <si>
    <t>1719496</t>
  </si>
  <si>
    <t>1719494</t>
  </si>
  <si>
    <t>1719493</t>
  </si>
  <si>
    <t>1719492</t>
  </si>
  <si>
    <t>1719491</t>
  </si>
  <si>
    <t>1719490</t>
  </si>
  <si>
    <t>1719506</t>
  </si>
  <si>
    <t>1774460</t>
  </si>
  <si>
    <t>1774458</t>
  </si>
  <si>
    <t>1774456</t>
  </si>
  <si>
    <t>1774459</t>
  </si>
  <si>
    <t>1776322</t>
  </si>
  <si>
    <t>1776320</t>
  </si>
  <si>
    <t>1776326</t>
  </si>
  <si>
    <t>1776323</t>
  </si>
  <si>
    <t>1777448</t>
  </si>
  <si>
    <t>1788932</t>
  </si>
  <si>
    <t>1788935</t>
  </si>
  <si>
    <t>1788925</t>
  </si>
  <si>
    <t>1788926</t>
  </si>
  <si>
    <t>1791305</t>
  </si>
  <si>
    <t>1791304</t>
  </si>
  <si>
    <t>1792216</t>
  </si>
  <si>
    <t>MVGARCIA@525</t>
  </si>
  <si>
    <t>1791302</t>
  </si>
  <si>
    <t>1801673</t>
  </si>
  <si>
    <t>1801675</t>
  </si>
  <si>
    <t>AFERNANDE1@525</t>
  </si>
  <si>
    <t>1801868</t>
  </si>
  <si>
    <t>1802225</t>
  </si>
  <si>
    <t>1801889</t>
  </si>
  <si>
    <t>1803000</t>
  </si>
  <si>
    <t>1803004</t>
  </si>
  <si>
    <t>1803003</t>
  </si>
  <si>
    <t>1806545</t>
  </si>
  <si>
    <t>1806546</t>
  </si>
  <si>
    <t>1806547</t>
  </si>
  <si>
    <t>1806550</t>
  </si>
  <si>
    <t>LMOHAMED@525</t>
  </si>
  <si>
    <t>1806552</t>
  </si>
  <si>
    <t>1806553</t>
  </si>
  <si>
    <t>MPARRILLA@525</t>
  </si>
  <si>
    <t>1806555</t>
  </si>
  <si>
    <t>1806556</t>
  </si>
  <si>
    <t>1806559</t>
  </si>
  <si>
    <t>CGAMAZA@525</t>
  </si>
  <si>
    <t>1876470</t>
  </si>
  <si>
    <t>MFERNANDE3@525</t>
  </si>
  <si>
    <t>1877001</t>
  </si>
  <si>
    <t>1877006</t>
  </si>
  <si>
    <t>LPAEZCAMIN@525</t>
  </si>
  <si>
    <t>1877005</t>
  </si>
  <si>
    <t>1877008</t>
  </si>
  <si>
    <t>BSLAWINSKI@525</t>
  </si>
  <si>
    <t>1879161</t>
  </si>
  <si>
    <t>JCLARKE@525</t>
  </si>
  <si>
    <t>1879160</t>
  </si>
  <si>
    <t>1879145</t>
  </si>
  <si>
    <t>1879155</t>
  </si>
  <si>
    <t>1883633</t>
  </si>
  <si>
    <t>1883627</t>
  </si>
  <si>
    <t>BMPEREZ@525</t>
  </si>
  <si>
    <t>1883622</t>
  </si>
  <si>
    <t>1883634</t>
  </si>
  <si>
    <t>1888644</t>
  </si>
  <si>
    <t>1886388</t>
  </si>
  <si>
    <t>1888639</t>
  </si>
  <si>
    <t>1888638</t>
  </si>
  <si>
    <t>1886395</t>
  </si>
  <si>
    <t>IMARQUEZ@525</t>
  </si>
  <si>
    <t>1886397</t>
  </si>
  <si>
    <t>FOUND.LMENDEZ</t>
  </si>
  <si>
    <t>1886398</t>
  </si>
  <si>
    <t>1886400</t>
  </si>
  <si>
    <t>RPEREZ@525</t>
  </si>
  <si>
    <t>1888646</t>
  </si>
  <si>
    <t>1888640</t>
  </si>
  <si>
    <t>1886406</t>
  </si>
  <si>
    <t>1888641</t>
  </si>
  <si>
    <t>GVSILVEIRA@525</t>
  </si>
  <si>
    <t>1888372</t>
  </si>
  <si>
    <t>NALEGRE@525</t>
  </si>
  <si>
    <t>1888371</t>
  </si>
  <si>
    <t>1888359</t>
  </si>
  <si>
    <t>OECANIZALE@525</t>
  </si>
  <si>
    <t>1888351</t>
  </si>
  <si>
    <t>ACASAS@525</t>
  </si>
  <si>
    <t>1888352</t>
  </si>
  <si>
    <t>1888360</t>
  </si>
  <si>
    <t>1888361</t>
  </si>
  <si>
    <t>CMALVAR@525</t>
  </si>
  <si>
    <t>1891360</t>
  </si>
  <si>
    <t>1888364</t>
  </si>
  <si>
    <t>1888365</t>
  </si>
  <si>
    <t>1888366</t>
  </si>
  <si>
    <t>FJPARRADO@525</t>
  </si>
  <si>
    <t>1888369</t>
  </si>
  <si>
    <t>1888367</t>
  </si>
  <si>
    <t>1889601</t>
  </si>
  <si>
    <t>TCASTE@525</t>
  </si>
  <si>
    <t>1890112</t>
  </si>
  <si>
    <t>MABONET@525</t>
  </si>
  <si>
    <t>1890113</t>
  </si>
  <si>
    <t>JACABRERA@525</t>
  </si>
  <si>
    <t>1890115</t>
  </si>
  <si>
    <t>1890116</t>
  </si>
  <si>
    <t>1890119</t>
  </si>
  <si>
    <t>1890120</t>
  </si>
  <si>
    <t>1890121</t>
  </si>
  <si>
    <t>1890122</t>
  </si>
  <si>
    <t>RJORTEGA@525</t>
  </si>
  <si>
    <t>1890123</t>
  </si>
  <si>
    <t>MSANCHEZG@525</t>
  </si>
  <si>
    <t>1891134</t>
  </si>
  <si>
    <t>1891127</t>
  </si>
  <si>
    <t>GFERNANDEZ@525</t>
  </si>
  <si>
    <t>1891130</t>
  </si>
  <si>
    <t>1891131</t>
  </si>
  <si>
    <t>GREAL@525</t>
  </si>
  <si>
    <t>1893316</t>
  </si>
  <si>
    <t>1893320</t>
  </si>
  <si>
    <t>1893321</t>
  </si>
  <si>
    <t>SNUNEZC@525</t>
  </si>
  <si>
    <t>1893322</t>
  </si>
  <si>
    <t>9006304</t>
  </si>
  <si>
    <t>9006305</t>
  </si>
  <si>
    <t>9006306</t>
  </si>
  <si>
    <t>9006308</t>
  </si>
  <si>
    <t>9006311</t>
  </si>
  <si>
    <t>9006313</t>
  </si>
  <si>
    <t>9006314</t>
  </si>
  <si>
    <t>9006320</t>
  </si>
  <si>
    <t>9006322</t>
  </si>
  <si>
    <t>9006413</t>
  </si>
  <si>
    <t>9006416</t>
  </si>
  <si>
    <t>9006404</t>
  </si>
  <si>
    <t>9006613</t>
  </si>
  <si>
    <t>9006615</t>
  </si>
  <si>
    <t>9006617</t>
  </si>
  <si>
    <t>9006618</t>
  </si>
  <si>
    <t>9006616</t>
  </si>
  <si>
    <t>9006619</t>
  </si>
  <si>
    <t>9006665</t>
  </si>
  <si>
    <t>9006664</t>
  </si>
  <si>
    <t>9006663</t>
  </si>
  <si>
    <t>9006662</t>
  </si>
  <si>
    <t>9006726</t>
  </si>
  <si>
    <t>9006727</t>
  </si>
  <si>
    <t>9006732</t>
  </si>
  <si>
    <t>9006747</t>
  </si>
  <si>
    <t>9006751</t>
  </si>
  <si>
    <t>9006755</t>
  </si>
  <si>
    <t>9006758</t>
  </si>
  <si>
    <t>9006763</t>
  </si>
  <si>
    <t>9006764</t>
  </si>
  <si>
    <t>9006765</t>
  </si>
  <si>
    <t>9006768</t>
  </si>
  <si>
    <t>9007061</t>
  </si>
  <si>
    <t>9007058</t>
  </si>
  <si>
    <t>9007059</t>
  </si>
  <si>
    <t>9007055</t>
  </si>
  <si>
    <t>9007056</t>
  </si>
  <si>
    <t>9007060</t>
  </si>
  <si>
    <t>9007137</t>
  </si>
  <si>
    <t>9007138</t>
  </si>
  <si>
    <t>9007139</t>
  </si>
  <si>
    <t>9007148</t>
  </si>
  <si>
    <t>9007140</t>
  </si>
  <si>
    <t>9007141</t>
  </si>
  <si>
    <t>9007142</t>
  </si>
  <si>
    <t>9007144</t>
  </si>
  <si>
    <t>9007145</t>
  </si>
  <si>
    <t>9007146</t>
  </si>
  <si>
    <t>9007147</t>
  </si>
  <si>
    <t>9007556</t>
  </si>
  <si>
    <t>9007557</t>
  </si>
  <si>
    <t>9007558</t>
  </si>
  <si>
    <t>9007560</t>
  </si>
  <si>
    <t>9007563</t>
  </si>
  <si>
    <t>9007564</t>
  </si>
  <si>
    <t>9007570</t>
  </si>
  <si>
    <t>9007573</t>
  </si>
  <si>
    <t>9007720</t>
  </si>
  <si>
    <t>9007734</t>
  </si>
  <si>
    <t>9007730</t>
  </si>
  <si>
    <t>9007731</t>
  </si>
  <si>
    <t>9007723</t>
  </si>
  <si>
    <t>9007722</t>
  </si>
  <si>
    <t>9007721</t>
  </si>
  <si>
    <t>9007773</t>
  </si>
  <si>
    <t>9007754</t>
  </si>
  <si>
    <t>9007774</t>
  </si>
  <si>
    <t>9007755</t>
  </si>
  <si>
    <t>9007758</t>
  </si>
  <si>
    <t>9007759</t>
  </si>
  <si>
    <t>9007760</t>
  </si>
  <si>
    <t>9007761</t>
  </si>
  <si>
    <t>9007763</t>
  </si>
  <si>
    <t>9007765</t>
  </si>
  <si>
    <t>9007844</t>
  </si>
  <si>
    <t>9007834</t>
  </si>
  <si>
    <t>9007848</t>
  </si>
  <si>
    <t>9007842</t>
  </si>
  <si>
    <t>9007833</t>
  </si>
  <si>
    <t>9007832</t>
  </si>
  <si>
    <t>9007836</t>
  </si>
  <si>
    <t>9007839</t>
  </si>
  <si>
    <t>9007840</t>
  </si>
  <si>
    <t>9007831</t>
  </si>
  <si>
    <t>9007876</t>
  </si>
  <si>
    <t>9007874</t>
  </si>
  <si>
    <t>9007872</t>
  </si>
  <si>
    <t>9007871</t>
  </si>
  <si>
    <t>9007855</t>
  </si>
  <si>
    <t>9007856</t>
  </si>
  <si>
    <t>9007859</t>
  </si>
  <si>
    <t>9007860</t>
  </si>
  <si>
    <t>9007861</t>
  </si>
  <si>
    <t>9007877</t>
  </si>
  <si>
    <t>9007863</t>
  </si>
  <si>
    <t>9007864</t>
  </si>
  <si>
    <t>9007866</t>
  </si>
  <si>
    <t>9007867</t>
  </si>
  <si>
    <t>9007869</t>
  </si>
  <si>
    <t>9007962</t>
  </si>
  <si>
    <t>9007960</t>
  </si>
  <si>
    <t>9006005</t>
  </si>
  <si>
    <t>9007963</t>
  </si>
  <si>
    <t>9007946</t>
  </si>
  <si>
    <t>9007947</t>
  </si>
  <si>
    <t>9007948</t>
  </si>
  <si>
    <t>9007949</t>
  </si>
  <si>
    <t>9007951</t>
  </si>
  <si>
    <t>9007965</t>
  </si>
  <si>
    <t>9007953</t>
  </si>
  <si>
    <t>9007954</t>
  </si>
  <si>
    <t>9007955</t>
  </si>
  <si>
    <t>9007956</t>
  </si>
  <si>
    <t>9007952</t>
  </si>
  <si>
    <t>9007957</t>
  </si>
  <si>
    <t>9007959</t>
  </si>
  <si>
    <t>9007961</t>
  </si>
  <si>
    <t>9007958</t>
  </si>
  <si>
    <t>9008077</t>
  </si>
  <si>
    <t>9008079</t>
  </si>
  <si>
    <t>9008041</t>
  </si>
  <si>
    <t>9008073</t>
  </si>
  <si>
    <t>9008042</t>
  </si>
  <si>
    <t>9008043</t>
  </si>
  <si>
    <t>9008044</t>
  </si>
  <si>
    <t>9008046</t>
  </si>
  <si>
    <t>9005200</t>
  </si>
  <si>
    <t>9008048</t>
  </si>
  <si>
    <t>9008049</t>
  </si>
  <si>
    <t>9008051</t>
  </si>
  <si>
    <t>9008054</t>
  </si>
  <si>
    <t>9008055</t>
  </si>
  <si>
    <t>9008056</t>
  </si>
  <si>
    <t>9008102</t>
  </si>
  <si>
    <t>9003112</t>
  </si>
  <si>
    <t>9008103</t>
  </si>
  <si>
    <t>9008106</t>
  </si>
  <si>
    <t>9008104</t>
  </si>
  <si>
    <t>9008105</t>
  </si>
  <si>
    <t>9008144</t>
  </si>
  <si>
    <t>9008155</t>
  </si>
  <si>
    <t>9008146</t>
  </si>
  <si>
    <t>9008145</t>
  </si>
  <si>
    <t>9008147</t>
  </si>
  <si>
    <t>9008148</t>
  </si>
  <si>
    <t>9008149</t>
  </si>
  <si>
    <t>9008150</t>
  </si>
  <si>
    <t>9008151</t>
  </si>
  <si>
    <t>9008152</t>
  </si>
  <si>
    <t>9008153</t>
  </si>
  <si>
    <t>9008254</t>
  </si>
  <si>
    <t>5548A</t>
  </si>
  <si>
    <t>5548CA</t>
  </si>
  <si>
    <t>9008255</t>
  </si>
  <si>
    <t>5523A</t>
  </si>
  <si>
    <t>5523TA</t>
  </si>
  <si>
    <t>9008262</t>
  </si>
  <si>
    <t>5520C</t>
  </si>
  <si>
    <t>5520LC</t>
  </si>
  <si>
    <t>9008256</t>
  </si>
  <si>
    <t>5429D</t>
  </si>
  <si>
    <t>5429WD</t>
  </si>
  <si>
    <t>9008263</t>
  </si>
  <si>
    <t>5573F</t>
  </si>
  <si>
    <t>5573MF</t>
  </si>
  <si>
    <t>9008259</t>
  </si>
  <si>
    <t>5430G</t>
  </si>
  <si>
    <t>5430PG</t>
  </si>
  <si>
    <t>9008257</t>
  </si>
  <si>
    <t>5613G</t>
  </si>
  <si>
    <t>5613RG</t>
  </si>
  <si>
    <t>9008261</t>
  </si>
  <si>
    <t>5432L</t>
  </si>
  <si>
    <t>5432FL</t>
  </si>
  <si>
    <t>9008249</t>
  </si>
  <si>
    <t>5448L</t>
  </si>
  <si>
    <t>5448ML</t>
  </si>
  <si>
    <t>9008250</t>
  </si>
  <si>
    <t>5222M</t>
  </si>
  <si>
    <t>5222JM</t>
  </si>
  <si>
    <t>9008251</t>
  </si>
  <si>
    <t>5417O</t>
  </si>
  <si>
    <t>5417MO</t>
  </si>
  <si>
    <t>9008258</t>
  </si>
  <si>
    <t>5043P</t>
  </si>
  <si>
    <t>5043FP</t>
  </si>
  <si>
    <t>9008252</t>
  </si>
  <si>
    <t>5575R</t>
  </si>
  <si>
    <t>5575JR</t>
  </si>
  <si>
    <t>9008253</t>
  </si>
  <si>
    <t>5571S</t>
  </si>
  <si>
    <t>5571DS</t>
  </si>
  <si>
    <t>9008398</t>
  </si>
  <si>
    <t>LROJAS@525</t>
  </si>
  <si>
    <t>AMUNOZ@525</t>
  </si>
  <si>
    <t>JMPARIENTE@525</t>
  </si>
  <si>
    <t>RMANTAS@525</t>
  </si>
  <si>
    <t>MJMEZA@525</t>
  </si>
  <si>
    <t>RBORREGO@525</t>
  </si>
  <si>
    <t>0930_1730</t>
  </si>
  <si>
    <t>0630_14</t>
  </si>
  <si>
    <t>5159CC</t>
  </si>
  <si>
    <t>5956JD</t>
  </si>
  <si>
    <t>VAC_09_14</t>
  </si>
  <si>
    <t>VAC_15_23</t>
  </si>
  <si>
    <t>//</t>
  </si>
  <si>
    <t>5667AV</t>
  </si>
  <si>
    <t>5960DF</t>
  </si>
  <si>
    <t>DLF_09_16</t>
  </si>
  <si>
    <t>5693BV</t>
  </si>
  <si>
    <t>@SSYREST_09_16</t>
  </si>
  <si>
    <t>5948MC</t>
  </si>
  <si>
    <t>AMARTINO@525</t>
  </si>
  <si>
    <t>5726MV</t>
  </si>
  <si>
    <t>5673LB</t>
  </si>
  <si>
    <t>5761MR</t>
  </si>
  <si>
    <t>11_18</t>
  </si>
  <si>
    <t>5958SS</t>
  </si>
  <si>
    <t>VAC_12_17</t>
  </si>
  <si>
    <t>@SSYRESP_08_15</t>
  </si>
  <si>
    <t>@SSYRESP_09_16</t>
  </si>
  <si>
    <t>@SSYRESP_07_15</t>
  </si>
  <si>
    <t>@SSYRESP_07_14</t>
  </si>
  <si>
    <t>@SSYRESP_08_16</t>
  </si>
  <si>
    <t>ILT_17_23</t>
  </si>
  <si>
    <t>VAC_00_06/VAC_23_00</t>
  </si>
  <si>
    <t>@SSYREST_08_15</t>
  </si>
  <si>
    <t>01_08</t>
  </si>
  <si>
    <t>1330_20</t>
  </si>
  <si>
    <t>11_19</t>
  </si>
  <si>
    <t>VAC_18_00</t>
  </si>
  <si>
    <t>VAC_08_14</t>
  </si>
  <si>
    <t>28840786M</t>
  </si>
  <si>
    <t>magui337</t>
  </si>
  <si>
    <t>magui337@ec.foundever.com</t>
  </si>
  <si>
    <t>found.maguilar</t>
  </si>
  <si>
    <t>MAGGO</t>
  </si>
  <si>
    <t>5013MA</t>
  </si>
  <si>
    <t>MAGUILAR@525</t>
  </si>
  <si>
    <t>2025-21</t>
  </si>
  <si>
    <t>41X036</t>
  </si>
  <si>
    <t>9008552</t>
  </si>
  <si>
    <t>61032294T</t>
  </si>
  <si>
    <t>KATIA VIVIANE ANDRADE DA SILVA</t>
  </si>
  <si>
    <t>kandr079</t>
  </si>
  <si>
    <t>kandr079@ec.foundever.com</t>
  </si>
  <si>
    <t>found.kvandrade</t>
  </si>
  <si>
    <t>KAVIANDRA</t>
  </si>
  <si>
    <t>5490KA</t>
  </si>
  <si>
    <t>KVANDRADE@525</t>
  </si>
  <si>
    <t>41X037</t>
  </si>
  <si>
    <t>9008554</t>
  </si>
  <si>
    <t>Z2966971E</t>
  </si>
  <si>
    <t>JOSE ANTONIO DE SOUZA NETO</t>
  </si>
  <si>
    <t>jdeso047</t>
  </si>
  <si>
    <t>jdeso047@ec.foundever.com</t>
  </si>
  <si>
    <t>found.jadesouza</t>
  </si>
  <si>
    <t>JOSADESO</t>
  </si>
  <si>
    <t>5450JD</t>
  </si>
  <si>
    <t>JADESOUZA@525</t>
  </si>
  <si>
    <t>41X038</t>
  </si>
  <si>
    <t>9008556</t>
  </si>
  <si>
    <t>50767814Y</t>
  </si>
  <si>
    <t>CAYAN DELICADO DE LIMA</t>
  </si>
  <si>
    <t>cdeli028</t>
  </si>
  <si>
    <t>cdeli028@ec.foundever.com</t>
  </si>
  <si>
    <t>found.cdelicado</t>
  </si>
  <si>
    <t>CADELICA</t>
  </si>
  <si>
    <t>5193CD</t>
  </si>
  <si>
    <t>CDELICADO@525</t>
  </si>
  <si>
    <t>41X039</t>
  </si>
  <si>
    <t>9008551</t>
  </si>
  <si>
    <t>Z3769990L</t>
  </si>
  <si>
    <t>LIDIA MIRYELE RIBEIRO VILELA</t>
  </si>
  <si>
    <t>lribe034</t>
  </si>
  <si>
    <t>lribe034@ec.foundever.com</t>
  </si>
  <si>
    <t>found.lmribeiro</t>
  </si>
  <si>
    <t>LIMIRIBEI</t>
  </si>
  <si>
    <t>5552LR</t>
  </si>
  <si>
    <t>LMRIBEIRO@525</t>
  </si>
  <si>
    <t>41X040</t>
  </si>
  <si>
    <t>9008555</t>
  </si>
  <si>
    <t>Y3626736H</t>
  </si>
  <si>
    <t>ELTON RODRIGUES AVILA</t>
  </si>
  <si>
    <t>erodr489</t>
  </si>
  <si>
    <t>erodr489@ec.foundever.com</t>
  </si>
  <si>
    <t>found.erodrigues</t>
  </si>
  <si>
    <t>ELTRODA</t>
  </si>
  <si>
    <t>5437ER</t>
  </si>
  <si>
    <t>ERODRIGUES@525</t>
  </si>
  <si>
    <t>41X041</t>
  </si>
  <si>
    <t>9008553</t>
  </si>
  <si>
    <t>Y7948443W</t>
  </si>
  <si>
    <t>IZABELA SOUZA RIBEIRO</t>
  </si>
  <si>
    <t>isouz015</t>
  </si>
  <si>
    <t>isouz015@ec.foundever.com</t>
  </si>
  <si>
    <t>found.isouza</t>
  </si>
  <si>
    <t>IZASOU</t>
  </si>
  <si>
    <t>5421IS</t>
  </si>
  <si>
    <t>ISOUZA@525</t>
  </si>
  <si>
    <t>ADR</t>
  </si>
  <si>
    <t>NORMATIVA DOT</t>
  </si>
  <si>
    <t>41W731</t>
  </si>
  <si>
    <t>77862766S</t>
  </si>
  <si>
    <t>RAUL COLLANTES CAÑUELO</t>
  </si>
  <si>
    <t>rcoll100</t>
  </si>
  <si>
    <t>rcoll100@ec.foundever.com</t>
  </si>
  <si>
    <t>found.rcollantes</t>
  </si>
  <si>
    <t>RCOLL</t>
  </si>
  <si>
    <t>2025-22</t>
  </si>
  <si>
    <t>41W733</t>
  </si>
  <si>
    <t>49115828H</t>
  </si>
  <si>
    <t>BELEN GONZALEZ DOMINGUEZ</t>
  </si>
  <si>
    <t>bgonz137</t>
  </si>
  <si>
    <t>bgonz137@ec.foundever.com</t>
  </si>
  <si>
    <t>found.bgonzalez</t>
  </si>
  <si>
    <t>BELENG</t>
  </si>
  <si>
    <t>41W732</t>
  </si>
  <si>
    <t>Z3818198L</t>
  </si>
  <si>
    <t xml:space="preserve">SOFIA FILIPPESCHI </t>
  </si>
  <si>
    <t>sfili021</t>
  </si>
  <si>
    <t>sfili021@ec.foundever.com</t>
  </si>
  <si>
    <t>found.sfilippesc</t>
  </si>
  <si>
    <t>SFILI</t>
  </si>
  <si>
    <t>41W730</t>
  </si>
  <si>
    <t>YC5605360</t>
  </si>
  <si>
    <t xml:space="preserve">MATTEO CAPUTO </t>
  </si>
  <si>
    <t>39 3883052995</t>
  </si>
  <si>
    <t>mcapu035</t>
  </si>
  <si>
    <t>mcapu035@ec.foundever.com</t>
  </si>
  <si>
    <t>found.mcaputo</t>
  </si>
  <si>
    <t>MCAPUT</t>
  </si>
  <si>
    <t>41W736</t>
  </si>
  <si>
    <t>Z2066365G</t>
  </si>
  <si>
    <t>YAURYS AYERIN QUINTANA YZQUIEL</t>
  </si>
  <si>
    <t>yquin024</t>
  </si>
  <si>
    <t>yquin024@ec.foundever.com</t>
  </si>
  <si>
    <t>found.yaquintana</t>
  </si>
  <si>
    <t>YQUIN</t>
  </si>
  <si>
    <t>41W735</t>
  </si>
  <si>
    <t>X3345024L</t>
  </si>
  <si>
    <t>GEORGINA TOMAS NALMA PEREIRA</t>
  </si>
  <si>
    <t>gnalm002</t>
  </si>
  <si>
    <t>gnalm002@ec.foundever.com</t>
  </si>
  <si>
    <t>found.gtnalma</t>
  </si>
  <si>
    <t>GNALM</t>
  </si>
  <si>
    <t>41W734</t>
  </si>
  <si>
    <t>53771536C</t>
  </si>
  <si>
    <t>DANIEL KONATE DEL TORO</t>
  </si>
  <si>
    <t>dkona004</t>
  </si>
  <si>
    <t>dkona004@ec.foundever.com</t>
  </si>
  <si>
    <t>found.dkonate</t>
  </si>
  <si>
    <t>DKONA</t>
  </si>
  <si>
    <t>41W737</t>
  </si>
  <si>
    <t>Y5794941J</t>
  </si>
  <si>
    <t>BARBARA SOUZA GOMES</t>
  </si>
  <si>
    <t>bsouz039</t>
  </si>
  <si>
    <t>bsouz039@ec.foundever.com</t>
  </si>
  <si>
    <t>found.bsouza</t>
  </si>
  <si>
    <t>BSOUZ</t>
  </si>
  <si>
    <t>01/01/2021@</t>
  </si>
  <si>
    <t>RMMORENO@525</t>
  </si>
  <si>
    <t>08/07/2024@</t>
  </si>
  <si>
    <t>CROSADO@525</t>
  </si>
  <si>
    <t>JMCABRERA@525</t>
  </si>
  <si>
    <t>21/03/2025@</t>
  </si>
  <si>
    <t>MGONZALEZC@525</t>
  </si>
  <si>
    <t>13/06/2023@</t>
  </si>
  <si>
    <t>0930_1430</t>
  </si>
  <si>
    <t>IDELACASA@525</t>
  </si>
  <si>
    <t>RMCASTILLA@525</t>
  </si>
  <si>
    <t>29/09/2025@</t>
  </si>
  <si>
    <t>SGONZALEZS@525</t>
  </si>
  <si>
    <t>JMSUAREZ@525</t>
  </si>
  <si>
    <t>PALVAREZ@525</t>
  </si>
  <si>
    <t>AMRODRIGU1@525</t>
  </si>
  <si>
    <t>30/05/2023@</t>
  </si>
  <si>
    <t>@SSYRESP_09_17</t>
  </si>
  <si>
    <t>VLPUERTO@525</t>
  </si>
  <si>
    <t>FJARAGON@525</t>
  </si>
  <si>
    <t>CSANCHEZO@525</t>
  </si>
  <si>
    <t>@SSYREST_0630_1430</t>
  </si>
  <si>
    <t>CGUERRERO@525</t>
  </si>
  <si>
    <t>@SSYREST_07_15</t>
  </si>
  <si>
    <t>RFERRER@525</t>
  </si>
  <si>
    <t>MIMORALES@525</t>
  </si>
  <si>
    <t>SRUIZ@525</t>
  </si>
  <si>
    <t>MCBARBOSA@525</t>
  </si>
  <si>
    <t>MAGONZALE1@525</t>
  </si>
  <si>
    <t>CJMORENO@525</t>
  </si>
  <si>
    <t>MACERRATO@525</t>
  </si>
  <si>
    <t>MCORTELLA@525</t>
  </si>
  <si>
    <t>JFVIERA@525</t>
  </si>
  <si>
    <t>PAREYES@525</t>
  </si>
  <si>
    <t>PMORENO@525</t>
  </si>
  <si>
    <t>RLEAL@525</t>
  </si>
  <si>
    <t>MSALAZAR@525</t>
  </si>
  <si>
    <t>20/11/2024@</t>
  </si>
  <si>
    <t>VAC_19_00</t>
  </si>
  <si>
    <t>RSALAS@525</t>
  </si>
  <si>
    <t>YANDRADE@525</t>
  </si>
  <si>
    <t>07_12</t>
  </si>
  <si>
    <t>RCHAVES@525</t>
  </si>
  <si>
    <t>18/11/2022@</t>
  </si>
  <si>
    <t>AMORENO@525</t>
  </si>
  <si>
    <t>@SSYREST_16_00/@SSYREST_BUS_23_00</t>
  </si>
  <si>
    <t>@SSYREST_15_23</t>
  </si>
  <si>
    <t>@SSYREST_07_14</t>
  </si>
  <si>
    <t>JMARQUEZ@525</t>
  </si>
  <si>
    <t>VLEMOSALME@525</t>
  </si>
  <si>
    <t>MRMEDINA@525</t>
  </si>
  <si>
    <t>MCABRERA@525</t>
  </si>
  <si>
    <t>26/05/2023@</t>
  </si>
  <si>
    <t>YABOITIZ@525</t>
  </si>
  <si>
    <t>0930_1530</t>
  </si>
  <si>
    <t>VGORDON@525</t>
  </si>
  <si>
    <t>MAT_07_14</t>
  </si>
  <si>
    <t>MAT_07_15</t>
  </si>
  <si>
    <t>MRODRIGUE1@525</t>
  </si>
  <si>
    <t>RGONZALEZ@525</t>
  </si>
  <si>
    <t>LTOME@525</t>
  </si>
  <si>
    <t>BREY@525</t>
  </si>
  <si>
    <t>15/11/2023@</t>
  </si>
  <si>
    <t>VPRAT@525</t>
  </si>
  <si>
    <t>MBAGUILAR@525</t>
  </si>
  <si>
    <t>AAPARRA@525</t>
  </si>
  <si>
    <t>NSMITH@525</t>
  </si>
  <si>
    <t>FFERNANDEZ@525</t>
  </si>
  <si>
    <t>TCACERES@525</t>
  </si>
  <si>
    <t>RCASSIAO@525</t>
  </si>
  <si>
    <t>MSTASCZEVS@525</t>
  </si>
  <si>
    <t>MAGONZALE3@525</t>
  </si>
  <si>
    <t>AJVELAZQUE@525</t>
  </si>
  <si>
    <t>SELIDRISSI@525</t>
  </si>
  <si>
    <t>JCLAVIJO@525</t>
  </si>
  <si>
    <t>RSANT@525</t>
  </si>
  <si>
    <t>MANUNEZ@525</t>
  </si>
  <si>
    <t>PAT_08_15</t>
  </si>
  <si>
    <t>PAT_08_16</t>
  </si>
  <si>
    <t>09/07/2024@</t>
  </si>
  <si>
    <t>22/04/2025@</t>
  </si>
  <si>
    <t>TVINNITSKA@525</t>
  </si>
  <si>
    <t>MGARCIAM@525</t>
  </si>
  <si>
    <t>JMPIMIENTA@525</t>
  </si>
  <si>
    <t>@SSYREST_15_22</t>
  </si>
  <si>
    <t>MMINGHELLA@525</t>
  </si>
  <si>
    <t>SFREIRE@525</t>
  </si>
  <si>
    <t>41R526</t>
  </si>
  <si>
    <t>1692471</t>
  </si>
  <si>
    <t>Z0617293R</t>
  </si>
  <si>
    <t xml:space="preserve">SIMONE VERRO </t>
  </si>
  <si>
    <t>0039 3477085740</t>
  </si>
  <si>
    <t>sverr003</t>
  </si>
  <si>
    <t>sverr003@ec.sitel.com</t>
  </si>
  <si>
    <t>SITEL.SVERRO</t>
  </si>
  <si>
    <t>SVERRO</t>
  </si>
  <si>
    <t>4613SV</t>
  </si>
  <si>
    <t>KGUEVARA@525</t>
  </si>
  <si>
    <t>MLUQUE@525</t>
  </si>
  <si>
    <t>09/05/2025@</t>
  </si>
  <si>
    <t>AFMELENDEZ@525</t>
  </si>
  <si>
    <t>NTESTI@525</t>
  </si>
  <si>
    <t>ILT_14_22</t>
  </si>
  <si>
    <t>29/11/2023@</t>
  </si>
  <si>
    <t>FGILL@525</t>
  </si>
  <si>
    <t>VMOLIVARES@525</t>
  </si>
  <si>
    <t>VPEREZ@525</t>
  </si>
  <si>
    <t>FSUAREZ@525</t>
  </si>
  <si>
    <t>IORTEG@525</t>
  </si>
  <si>
    <t>LBERME@525</t>
  </si>
  <si>
    <t>FMROSA@525</t>
  </si>
  <si>
    <t>CDIAZ@525</t>
  </si>
  <si>
    <t>MNERY@525</t>
  </si>
  <si>
    <t>VFILEV@525</t>
  </si>
  <si>
    <t>SSORROCHE@525</t>
  </si>
  <si>
    <t>06/09/2025@</t>
  </si>
  <si>
    <t>AXSILVA@525</t>
  </si>
  <si>
    <t>AAWELCHEZ@525</t>
  </si>
  <si>
    <t>DLF_15_20</t>
  </si>
  <si>
    <t>MABORREGO@525</t>
  </si>
  <si>
    <t>LMENDEZF@525</t>
  </si>
  <si>
    <t>VAC_00_07</t>
  </si>
  <si>
    <t>AARBONA@525</t>
  </si>
  <si>
    <t>PLOZANO@525</t>
  </si>
  <si>
    <t>EMFERRERO@525</t>
  </si>
  <si>
    <t>17_23</t>
  </si>
  <si>
    <t>IMARTINEZ@525</t>
  </si>
  <si>
    <t>VOLIVARES@525</t>
  </si>
  <si>
    <t>NGARCIAB@525</t>
  </si>
  <si>
    <t>30/09/2025@</t>
  </si>
  <si>
    <t>JVILLALOBO@525</t>
  </si>
  <si>
    <t>MAALVIAREZ@525</t>
  </si>
  <si>
    <t>AARQUELLAD@525</t>
  </si>
  <si>
    <t>LCANIZARES@525</t>
  </si>
  <si>
    <t>SRUEDAS@525</t>
  </si>
  <si>
    <t>12/09/2025@</t>
  </si>
  <si>
    <t>11/09/2025@</t>
  </si>
  <si>
    <t>RDIAZ@525</t>
  </si>
  <si>
    <t>EDOMINGUEZ@525</t>
  </si>
  <si>
    <t>AESPINOSAR@525</t>
  </si>
  <si>
    <t>PARAGON@525</t>
  </si>
  <si>
    <t>PFGIL@525</t>
  </si>
  <si>
    <t>PVAZQUEZ@525</t>
  </si>
  <si>
    <t>MSCARVALHO@525</t>
  </si>
  <si>
    <t>AFRAZAO@525</t>
  </si>
  <si>
    <t>ARSILVA@525</t>
  </si>
  <si>
    <t>@SSYRINGWH_00_07</t>
  </si>
  <si>
    <t>@SSYRINGWH_00_06/@SSYRINGWH_23_00</t>
  </si>
  <si>
    <t>HMBAYON@525</t>
  </si>
  <si>
    <t>BMONTERO@525</t>
  </si>
  <si>
    <t>ACNAVARRO@525</t>
  </si>
  <si>
    <t>COCANA@525</t>
  </si>
  <si>
    <t>GROBERT@525</t>
  </si>
  <si>
    <t>RSANCHEZ@525</t>
  </si>
  <si>
    <t>41U191</t>
  </si>
  <si>
    <t>9007190</t>
  </si>
  <si>
    <t>Y0642031T</t>
  </si>
  <si>
    <t>ANA GABRIELA DE SOUZA MORELLI</t>
  </si>
  <si>
    <t>adeso079</t>
  </si>
  <si>
    <t>adeso079@ec.foundever.com</t>
  </si>
  <si>
    <t>found.agdesouza</t>
  </si>
  <si>
    <t>ADESO</t>
  </si>
  <si>
    <t>MVGARCIAP@525</t>
  </si>
  <si>
    <t>IMSIMON@525</t>
  </si>
  <si>
    <t>MEGEA@525</t>
  </si>
  <si>
    <t>NPAEZ@525</t>
  </si>
  <si>
    <t>JCSEVILLA@525</t>
  </si>
  <si>
    <t>ALTAMAYAC@525</t>
  </si>
  <si>
    <t>PFCASTILLO@525</t>
  </si>
  <si>
    <t>MCLAPERA@525</t>
  </si>
  <si>
    <t>JPHERNANDE@525</t>
  </si>
  <si>
    <t>JLATORRE@525</t>
  </si>
  <si>
    <t>RLOPEZ@525</t>
  </si>
  <si>
    <t>EERONCERO@525</t>
  </si>
  <si>
    <t>PSANZ@525</t>
  </si>
  <si>
    <t>DCAUGUSTO@525</t>
  </si>
  <si>
    <t>ABLANCO@525</t>
  </si>
  <si>
    <t>RMBORREGO@525</t>
  </si>
  <si>
    <t>EFLORES@525</t>
  </si>
  <si>
    <t>DLF_14_20</t>
  </si>
  <si>
    <t>MHERRERAP@525</t>
  </si>
  <si>
    <t>MMARTIN@525</t>
  </si>
  <si>
    <t>JMGARCIAVI@525</t>
  </si>
  <si>
    <t>APEREZS@525</t>
  </si>
  <si>
    <t>PRODRIGUEZ@525</t>
  </si>
  <si>
    <t>MVVAZQUEZ@525</t>
  </si>
  <si>
    <t>MFERNANDE2@525</t>
  </si>
  <si>
    <t>PGIRALDO@525</t>
  </si>
  <si>
    <t>MLINEROS@525</t>
  </si>
  <si>
    <t>JARODRIGUE@525</t>
  </si>
  <si>
    <t>SERV GASTRONOMICOS</t>
  </si>
  <si>
    <t>@SSYRJESP_09_17</t>
  </si>
  <si>
    <t>19_00</t>
  </si>
  <si>
    <t>ILT_08_16</t>
  </si>
  <si>
    <t>VAC_07_1330</t>
  </si>
  <si>
    <t>VAT_15_23</t>
  </si>
  <si>
    <t>VAT_16_23</t>
  </si>
  <si>
    <t>VAT_LIBRA</t>
  </si>
  <si>
    <t>@SSYREST_0630_14</t>
  </si>
  <si>
    <t>VAC_09_13/VAC_14_18</t>
  </si>
  <si>
    <t>10_1630</t>
  </si>
  <si>
    <t>@SSYRESP_09_15</t>
  </si>
  <si>
    <t>VAC_09_1530</t>
  </si>
  <si>
    <t>@SSYRESP_VAC_07_14</t>
  </si>
  <si>
    <t>DLF_08_15</t>
  </si>
  <si>
    <t>ILT_0930_1530</t>
  </si>
  <si>
    <t>DLF_08_16</t>
  </si>
  <si>
    <t>0830_1430</t>
  </si>
  <si>
    <t>@SSYRESP_VAC_09_16</t>
  </si>
  <si>
    <t>LFC_09_17</t>
  </si>
  <si>
    <t>VAC_0930_1630</t>
  </si>
  <si>
    <t>25/04/2022@</t>
  </si>
  <si>
    <t>@SSYRING_DLF_07_15</t>
  </si>
  <si>
    <t>MAT_14_21</t>
  </si>
  <si>
    <t>5024CD</t>
  </si>
  <si>
    <t>0830_15</t>
  </si>
  <si>
    <t>@SSYRESP_07_1330</t>
  </si>
  <si>
    <t>VAC_17_00</t>
  </si>
  <si>
    <t>PAT_12_20</t>
  </si>
  <si>
    <t>PAT_13_20</t>
  </si>
  <si>
    <t>@SSYRITA_0930_1730</t>
  </si>
  <si>
    <t>VAC_15_20</t>
  </si>
  <si>
    <t>@SSYRABESP_08_16</t>
  </si>
  <si>
    <t>DLF_14_22</t>
  </si>
  <si>
    <t>DLF_15_21</t>
  </si>
  <si>
    <t>DLF_16_22</t>
  </si>
  <si>
    <t>14_2030</t>
  </si>
  <si>
    <t>9008558</t>
  </si>
  <si>
    <t>9008565</t>
  </si>
  <si>
    <t>9008559</t>
  </si>
  <si>
    <t>9008562</t>
  </si>
  <si>
    <t>9008563</t>
  </si>
  <si>
    <t>9008560</t>
  </si>
  <si>
    <t>9008564</t>
  </si>
  <si>
    <t>9008561</t>
  </si>
  <si>
    <t>20251222</t>
  </si>
  <si>
    <t>20251223</t>
  </si>
  <si>
    <t>20251224</t>
  </si>
  <si>
    <t>20251225</t>
  </si>
  <si>
    <t>20251226</t>
  </si>
  <si>
    <t>20251227</t>
  </si>
  <si>
    <t>20251228</t>
  </si>
  <si>
    <t>LFS_15_21</t>
  </si>
  <si>
    <t>LFS_12_20</t>
  </si>
  <si>
    <t>ACASTANEDA@525</t>
  </si>
  <si>
    <t>@SSYRABESP_12_20</t>
  </si>
  <si>
    <t>@SSYRABESP_14_21</t>
  </si>
  <si>
    <t>LFS_14_21</t>
  </si>
  <si>
    <t>AMESA@525</t>
  </si>
  <si>
    <t>MANDRES@525</t>
  </si>
  <si>
    <t>MCASAS@525</t>
  </si>
  <si>
    <t>LPALOMINO@525</t>
  </si>
  <si>
    <t>LFS_14_20</t>
  </si>
  <si>
    <t>EGARCIAO@525</t>
  </si>
  <si>
    <t>@SSYRABESP_15_21</t>
  </si>
  <si>
    <t>08_1430</t>
  </si>
  <si>
    <t>LFS_08_1430</t>
  </si>
  <si>
    <t>MJFERNANDE@525</t>
  </si>
  <si>
    <t>LFS_15_22</t>
  </si>
  <si>
    <t>MRGOMEZ@525</t>
  </si>
  <si>
    <t>FBOGDAN@525</t>
  </si>
  <si>
    <t>LFC_15_22</t>
  </si>
  <si>
    <t>LFS_09_17</t>
  </si>
  <si>
    <t>HRIVERO@525</t>
  </si>
  <si>
    <t>LFS_15_2130</t>
  </si>
  <si>
    <t>11_17</t>
  </si>
  <si>
    <t>LFS_14_22</t>
  </si>
  <si>
    <t>LFS_15_20</t>
  </si>
  <si>
    <t>LFS_08_14</t>
  </si>
  <si>
    <t>@SSYRABING_LFS_15_22</t>
  </si>
  <si>
    <t>@SSYRABING_13_20</t>
  </si>
  <si>
    <t>LFS_13_20</t>
  </si>
  <si>
    <t>OMMORATO@525</t>
  </si>
  <si>
    <t>LFS_08_13</t>
  </si>
  <si>
    <t>LFS_12_18</t>
  </si>
  <si>
    <t>LTAMAYAC@525</t>
  </si>
  <si>
    <t>JABAUTISTA@525</t>
  </si>
  <si>
    <t>LFS_08_16</t>
  </si>
  <si>
    <t>@SSYRABING_12_17</t>
  </si>
  <si>
    <t>@SSYRABING_LFS_12_17</t>
  </si>
  <si>
    <t>LFS_09_1530</t>
  </si>
  <si>
    <t>FMLEHMANN@525</t>
  </si>
  <si>
    <t>LCARABALLO@525</t>
  </si>
  <si>
    <t>LFS_15_23</t>
  </si>
  <si>
    <t>@SSYRALE_VAC_09_17</t>
  </si>
  <si>
    <t>@SSYRALE_VAC_09_16</t>
  </si>
  <si>
    <t>@SSYRALE_13_20</t>
  </si>
  <si>
    <t>@SSYRALE_09_17</t>
  </si>
  <si>
    <t>@SSYRALE_09_16</t>
  </si>
  <si>
    <t>@SSYRALE_LFS_09_17</t>
  </si>
  <si>
    <t>@SSYRALE_ILT_12_20</t>
  </si>
  <si>
    <t>@SSYRALE_LFS_13_20</t>
  </si>
  <si>
    <t>@SSYRALE_ILT_13_20</t>
  </si>
  <si>
    <t>@SSYRALE_LFA_09_16</t>
  </si>
  <si>
    <t>LFA_12_20</t>
  </si>
  <si>
    <t>@SSYRALE_VAC_09_15</t>
  </si>
  <si>
    <t>LAC_12_1230/1230_1930/LAC_1930_20</t>
  </si>
  <si>
    <t>LAC_13_1330/1330_1930/LAC_1930_20</t>
  </si>
  <si>
    <t>SWESTPHAL@525</t>
  </si>
  <si>
    <t>@SSYRALE_13_19/@SSYRALE_DLF_19_20</t>
  </si>
  <si>
    <t>@SSYRALE_DLF_12_20</t>
  </si>
  <si>
    <t>@SSYRALE_LFS_12_20</t>
  </si>
  <si>
    <t>LFS_07_14</t>
  </si>
  <si>
    <t>@SSYRATE_08_15</t>
  </si>
  <si>
    <t>LFS_08_15</t>
  </si>
  <si>
    <t>12_21</t>
  </si>
  <si>
    <t>LFS_12_21</t>
  </si>
  <si>
    <t>ILT_1630_20</t>
  </si>
  <si>
    <t>LFA_1630_20</t>
  </si>
  <si>
    <t>LFA_07_15</t>
  </si>
  <si>
    <t>LFS_07_15</t>
  </si>
  <si>
    <t>LFA_08_16</t>
  </si>
  <si>
    <t>1530_2230</t>
  </si>
  <si>
    <t>LFS_1530_2230</t>
  </si>
  <si>
    <t>LPINTO@525</t>
  </si>
  <si>
    <t>LFC_15_2130</t>
  </si>
  <si>
    <t>LFS_09_16</t>
  </si>
  <si>
    <t>@SSYRBPOR_16_23</t>
  </si>
  <si>
    <t>@SSYRBPOR_15_23</t>
  </si>
  <si>
    <t>MPEREIRA@525</t>
  </si>
  <si>
    <t>LFA_09_16</t>
  </si>
  <si>
    <t>EDAFONSECA@525</t>
  </si>
  <si>
    <t>LFA_13_21</t>
  </si>
  <si>
    <t>CPEREZ@525</t>
  </si>
  <si>
    <t>LFS_02_10</t>
  </si>
  <si>
    <t>DLF_02_10</t>
  </si>
  <si>
    <t>LFS_09_15</t>
  </si>
  <si>
    <t>LFA_09_14</t>
  </si>
  <si>
    <t>LFS_16_22</t>
  </si>
  <si>
    <t>MCCEREZUEL@525</t>
  </si>
  <si>
    <t>DLF_14_21</t>
  </si>
  <si>
    <t>SBELMONTE@525</t>
  </si>
  <si>
    <t>LFA_15_21</t>
  </si>
  <si>
    <t>PGOMEZ1@525</t>
  </si>
  <si>
    <t>JCASTRO@525</t>
  </si>
  <si>
    <t>LFA_1845_00</t>
  </si>
  <si>
    <t>IMOHAMMEDI@525</t>
  </si>
  <si>
    <t>LFS_16_00</t>
  </si>
  <si>
    <t>LFA_14_2030</t>
  </si>
  <si>
    <t>LFA_07_13</t>
  </si>
  <si>
    <t>LFA_10_17</t>
  </si>
  <si>
    <t>18/12/2025@</t>
  </si>
  <si>
    <t>JARIVERO@525</t>
  </si>
  <si>
    <t>@SSYRESP_LFA_07_15</t>
  </si>
  <si>
    <t>LFA_08_15</t>
  </si>
  <si>
    <t>LFA_16_21</t>
  </si>
  <si>
    <t>LFA_0930_1330</t>
  </si>
  <si>
    <t>VAC_0930_1330</t>
  </si>
  <si>
    <t>@SSYRESPWH_08_15</t>
  </si>
  <si>
    <t>@SSYRESPWH_LFS_08_16</t>
  </si>
  <si>
    <t>MCORDONEZ@525</t>
  </si>
  <si>
    <t>CPAZ@525</t>
  </si>
  <si>
    <t>LFA_09_15</t>
  </si>
  <si>
    <t>08_1445</t>
  </si>
  <si>
    <t>LFA_08_1430</t>
  </si>
  <si>
    <t>RCLAVIJO@525</t>
  </si>
  <si>
    <t>@SSYRESP_18_00/@SSYRESP_BUS_23_00</t>
  </si>
  <si>
    <t>VAC_10_17</t>
  </si>
  <si>
    <t>ECCRUZ@525</t>
  </si>
  <si>
    <t>VAC_0930_1430</t>
  </si>
  <si>
    <t>LFS_09_14</t>
  </si>
  <si>
    <t>@SSYRESP_VAC_10_18</t>
  </si>
  <si>
    <t>@SSYRESP_VAC_10_17</t>
  </si>
  <si>
    <t>LFS_17_00</t>
  </si>
  <si>
    <t>VAC_09_1430</t>
  </si>
  <si>
    <t>LFC_07_15</t>
  </si>
  <si>
    <t>07_1405</t>
  </si>
  <si>
    <t>DLF_0705_15</t>
  </si>
  <si>
    <t>LFC_16_00</t>
  </si>
  <si>
    <t>@SSYRESP_13_20</t>
  </si>
  <si>
    <t>@SSYRESP_12_20</t>
  </si>
  <si>
    <t>LFS_07_12</t>
  </si>
  <si>
    <t>EMCARRASCO@525</t>
  </si>
  <si>
    <t>0830_1345</t>
  </si>
  <si>
    <t>LFS_0830_1345</t>
  </si>
  <si>
    <t>JCMUNOZ@525</t>
  </si>
  <si>
    <t>@SSYRESP_17_00/@SSYRESP_BUS_23_00</t>
  </si>
  <si>
    <t>CVAZQUEZL@525</t>
  </si>
  <si>
    <t>VAC_0830_1530</t>
  </si>
  <si>
    <t>@SSYRESP_0830_1530</t>
  </si>
  <si>
    <t>VRINCON@525</t>
  </si>
  <si>
    <t>VAC_07_13</t>
  </si>
  <si>
    <t>PMARTINEZR@525</t>
  </si>
  <si>
    <t>MVRODRIGUE@525</t>
  </si>
  <si>
    <t>CSANCHEZS@525</t>
  </si>
  <si>
    <t>@SSYRESP_VAC_16_21</t>
  </si>
  <si>
    <t>@SSYRESP_15_21</t>
  </si>
  <si>
    <t>@SSYRESP_LFS_15_21</t>
  </si>
  <si>
    <t>@SSYRESP_14_21</t>
  </si>
  <si>
    <t>MHURTADOG@525</t>
  </si>
  <si>
    <t>LFA_15_22</t>
  </si>
  <si>
    <t>AMGARCIAG@525</t>
  </si>
  <si>
    <t>LFS_00_07</t>
  </si>
  <si>
    <t>LFS_00_07/23_00</t>
  </si>
  <si>
    <t>VAC_10_1630</t>
  </si>
  <si>
    <t>LFS_10_1630</t>
  </si>
  <si>
    <t>MPCABRERA@525</t>
  </si>
  <si>
    <t>ILT_08_13</t>
  </si>
  <si>
    <t>VAC_0930_1530</t>
  </si>
  <si>
    <t>SESPINOSAM@525</t>
  </si>
  <si>
    <t>@SSYRESP_LFA_09_17</t>
  </si>
  <si>
    <t>MGSALGUEIR@525</t>
  </si>
  <si>
    <t>10_14</t>
  </si>
  <si>
    <t>LFS_10_14</t>
  </si>
  <si>
    <t>VAC_14_20</t>
  </si>
  <si>
    <t>YTOBIAS@525</t>
  </si>
  <si>
    <t>LFS_11_18</t>
  </si>
  <si>
    <t>@SSYRESP_VAC_09_15</t>
  </si>
  <si>
    <t>LFA_15_23</t>
  </si>
  <si>
    <t>FOVEJERO@525</t>
  </si>
  <si>
    <t>LFA_16_22</t>
  </si>
  <si>
    <t>FJMATACHAN@525</t>
  </si>
  <si>
    <t>@SSYRESTWH_ILT_12_20</t>
  </si>
  <si>
    <t>@SSYRESTWH_LFS_14_22</t>
  </si>
  <si>
    <t>@SSYRESTWH_10_17</t>
  </si>
  <si>
    <t>@SSYRESTWH_LFS_12_20</t>
  </si>
  <si>
    <t>@SSYRESTWH_12_20</t>
  </si>
  <si>
    <t>@SSYRESTWH_LFC_12_20</t>
  </si>
  <si>
    <t>VAC_09_13/VAC_15_19</t>
  </si>
  <si>
    <t>LFS_09_13/LFS_15_19</t>
  </si>
  <si>
    <t>LFS_09_14/LFS_15_18</t>
  </si>
  <si>
    <t>00_01/14_21</t>
  </si>
  <si>
    <t>VJBASTIDA@525</t>
  </si>
  <si>
    <t>@SSYREST_VAC_0630_1330</t>
  </si>
  <si>
    <t>JDENIZ@525</t>
  </si>
  <si>
    <t>LFS_0630_1430</t>
  </si>
  <si>
    <t>18/12/2025</t>
  </si>
  <si>
    <t>ALOPEZ@525</t>
  </si>
  <si>
    <t>NNAZAROV@525</t>
  </si>
  <si>
    <t>VAC_10_18</t>
  </si>
  <si>
    <t>LFS_10_18</t>
  </si>
  <si>
    <t>VAC_11_19</t>
  </si>
  <si>
    <t>LFS_12_19</t>
  </si>
  <si>
    <t>@SSYREST_1330_2130</t>
  </si>
  <si>
    <t>LFS_13_21</t>
  </si>
  <si>
    <t>LFS_10_17</t>
  </si>
  <si>
    <t>VLPONCE@525</t>
  </si>
  <si>
    <t>@SSYREST_LFS_09_17</t>
  </si>
  <si>
    <t>@SSYREST_11_19</t>
  </si>
  <si>
    <t>@SSYREST_LFS_08_16</t>
  </si>
  <si>
    <t>@SSYREST_VAC_07_14</t>
  </si>
  <si>
    <t>AMLEON@525</t>
  </si>
  <si>
    <t>VAC_10_16</t>
  </si>
  <si>
    <t>LFS_10_16</t>
  </si>
  <si>
    <t>ADIAZ@525</t>
  </si>
  <si>
    <t>MCASTILLO@525</t>
  </si>
  <si>
    <t>LHERRERA@525</t>
  </si>
  <si>
    <t>@SSYRESTWH_VAC_15_22</t>
  </si>
  <si>
    <t>@SSYRESTWH_VAC_16_23</t>
  </si>
  <si>
    <t>SBSLEZAK@525</t>
  </si>
  <si>
    <t>ASIANES@525</t>
  </si>
  <si>
    <t>GPEREZ@525</t>
  </si>
  <si>
    <t>LFS_11_19</t>
  </si>
  <si>
    <t>PTORILO@525</t>
  </si>
  <si>
    <t>VAC_09_13/VAC_14_17</t>
  </si>
  <si>
    <t>LFA_09_17</t>
  </si>
  <si>
    <t>CMUNOZM@525</t>
  </si>
  <si>
    <t>GBENITEZ@525</t>
  </si>
  <si>
    <t>JRUIZ@525</t>
  </si>
  <si>
    <t>MAOGAZON@525</t>
  </si>
  <si>
    <t>5338RC</t>
  </si>
  <si>
    <t>RCOLLANTES@525</t>
  </si>
  <si>
    <t>@SSYRFRA_15_22</t>
  </si>
  <si>
    <t>@SSYRFRA_09_14</t>
  </si>
  <si>
    <t>@SSYRFRA_LFA_09_14</t>
  </si>
  <si>
    <t>LFC_09_1530</t>
  </si>
  <si>
    <t>@SSYRFRA_VAC_12_20</t>
  </si>
  <si>
    <t>@SSYRFRA_VAC_13_20</t>
  </si>
  <si>
    <t>@SSYRFRA_09_17</t>
  </si>
  <si>
    <t>LFS_0830_1530</t>
  </si>
  <si>
    <t>AQUEIPOLLA@525</t>
  </si>
  <si>
    <t>ESIPROBERT@525</t>
  </si>
  <si>
    <t>EMGARCIA@525</t>
  </si>
  <si>
    <t>OMCARMONA@525</t>
  </si>
  <si>
    <t>PSELVATICO@525</t>
  </si>
  <si>
    <t>LFS_16_23</t>
  </si>
  <si>
    <t>FJALMAGRO@525</t>
  </si>
  <si>
    <t>LFS_18_23</t>
  </si>
  <si>
    <t>JSCANUTO@525</t>
  </si>
  <si>
    <t>ADELGADO@525</t>
  </si>
  <si>
    <t>DCOMESANA@525</t>
  </si>
  <si>
    <t>LFA_18_00</t>
  </si>
  <si>
    <t>EMOORE@525</t>
  </si>
  <si>
    <t>LFS_18_00</t>
  </si>
  <si>
    <t>MJACOME@525</t>
  </si>
  <si>
    <t>LFS_17_23</t>
  </si>
  <si>
    <t>YELBOUTAHI@525</t>
  </si>
  <si>
    <t>@SSYRINGWH_15_22</t>
  </si>
  <si>
    <t>5287DK</t>
  </si>
  <si>
    <t>DKONATE@525</t>
  </si>
  <si>
    <t>5317BG</t>
  </si>
  <si>
    <t>BGONZALEZ@525</t>
  </si>
  <si>
    <t>@SSYRING_19_00/@SSYRING_BUS_23_00</t>
  </si>
  <si>
    <t>@SSYRING_LFA_00_01/@SSYRING_LFA_20_00</t>
  </si>
  <si>
    <t>LFS_00_08</t>
  </si>
  <si>
    <t>DDANKO@525</t>
  </si>
  <si>
    <t>AAROBLES@525</t>
  </si>
  <si>
    <t>CAPAEZ@525</t>
  </si>
  <si>
    <t>JGONZALEZB@525</t>
  </si>
  <si>
    <t>BSVALLEJO@525</t>
  </si>
  <si>
    <t>LFS_0830_15</t>
  </si>
  <si>
    <t>ABUGENA@525</t>
  </si>
  <si>
    <t>VAC_17_22</t>
  </si>
  <si>
    <t>MAT_08_15</t>
  </si>
  <si>
    <t>VAC_0945_1445</t>
  </si>
  <si>
    <t>MMCAMOYAN@525</t>
  </si>
  <si>
    <t>LFA_00_07/LFA_23_00</t>
  </si>
  <si>
    <t>rortizr@525</t>
  </si>
  <si>
    <t>LFA_07_14</t>
  </si>
  <si>
    <t>LFS_07_13</t>
  </si>
  <si>
    <t>CIPACHON@525</t>
  </si>
  <si>
    <t>LFA_14_22</t>
  </si>
  <si>
    <t>@SSYRING_VAC_0845_1445</t>
  </si>
  <si>
    <t>IGONZALEZH@525</t>
  </si>
  <si>
    <t>@SSYRING_DLF_08_15</t>
  </si>
  <si>
    <t>@SSYRING_ILT_18_23</t>
  </si>
  <si>
    <t>@SSYRING_ILT_16_21</t>
  </si>
  <si>
    <t>@SSYRING_LFS_18_23</t>
  </si>
  <si>
    <t>RGARCIA@525</t>
  </si>
  <si>
    <t>LFS_09_1430/LFS_1530_18</t>
  </si>
  <si>
    <t>LFC_00_06</t>
  </si>
  <si>
    <t>00_08/23_00</t>
  </si>
  <si>
    <t>@SSYRING_16_21</t>
  </si>
  <si>
    <t>@SSYRING_VAC_16_21</t>
  </si>
  <si>
    <t>LFA_13_20</t>
  </si>
  <si>
    <t>JVAZQUEZA@525</t>
  </si>
  <si>
    <t>MAMORESR@525</t>
  </si>
  <si>
    <t>LFC_08_16</t>
  </si>
  <si>
    <t>VMPINO@525</t>
  </si>
  <si>
    <t>LFA_00_06</t>
  </si>
  <si>
    <t>AROCCA@525</t>
  </si>
  <si>
    <t>CFINOCCHIA@525</t>
  </si>
  <si>
    <t>0930_1630</t>
  </si>
  <si>
    <t>5410YQ</t>
  </si>
  <si>
    <t>YAQUINTANA@525</t>
  </si>
  <si>
    <t>5388SF</t>
  </si>
  <si>
    <t>SFILIPPESC@525</t>
  </si>
  <si>
    <t>5510MC</t>
  </si>
  <si>
    <t>MCAPUTO@525</t>
  </si>
  <si>
    <t>DRUSSO@525</t>
  </si>
  <si>
    <t>DLF_10_14</t>
  </si>
  <si>
    <t>VAC_10_14</t>
  </si>
  <si>
    <t>@SSYRITA_0830_1430</t>
  </si>
  <si>
    <t>SMTMADIA@525</t>
  </si>
  <si>
    <t>LFA_0930_1730</t>
  </si>
  <si>
    <t>GBRIGIDA@525</t>
  </si>
  <si>
    <t>MACORTES@525</t>
  </si>
  <si>
    <t>@SSYRITA_VAC_0830_1630</t>
  </si>
  <si>
    <t>@SSYRITA_VAC_0830_1530</t>
  </si>
  <si>
    <t>VAC_01_09</t>
  </si>
  <si>
    <t>VAC_01_08</t>
  </si>
  <si>
    <t>LFS_01_09</t>
  </si>
  <si>
    <t>0830_1330</t>
  </si>
  <si>
    <t>LFS_0830_1330</t>
  </si>
  <si>
    <t>@SSYRJALE_VAC_09_1530</t>
  </si>
  <si>
    <t>@SSYRJALE_09_1530</t>
  </si>
  <si>
    <t>@SSYRJALE_DLF_09_1530</t>
  </si>
  <si>
    <t>@SSYRJALE_07_14</t>
  </si>
  <si>
    <t>@SSYRJALE_0615_1315</t>
  </si>
  <si>
    <t>0615_1315</t>
  </si>
  <si>
    <t>LFS_0615_1315</t>
  </si>
  <si>
    <t>@SSYRJALE_0615_1215</t>
  </si>
  <si>
    <t>@SSYRJALE_09_15</t>
  </si>
  <si>
    <t>@SSYRJALE_VAC_09_15</t>
  </si>
  <si>
    <t>@SSYRJALE_08_15</t>
  </si>
  <si>
    <t>@SSYRJALE_07_15</t>
  </si>
  <si>
    <t>MACARRILLO@525</t>
  </si>
  <si>
    <t>AROSA@525</t>
  </si>
  <si>
    <t>EMGALLEGO@525</t>
  </si>
  <si>
    <t>MLIMA@525</t>
  </si>
  <si>
    <t>CMALLET@525</t>
  </si>
  <si>
    <t>JLTIRADO@525</t>
  </si>
  <si>
    <t>MOLIVER@525</t>
  </si>
  <si>
    <t>MCCENTENO@525</t>
  </si>
  <si>
    <t>VAC_0930_1730</t>
  </si>
  <si>
    <t>MHURTADO@525</t>
  </si>
  <si>
    <t>MLUNA@525</t>
  </si>
  <si>
    <t>SOTERO@525</t>
  </si>
  <si>
    <t>YKIRILLOVA@525</t>
  </si>
  <si>
    <t>JRUEDA@525</t>
  </si>
  <si>
    <t>RAGALISTEO@525</t>
  </si>
  <si>
    <t>PMARQUEZ@525</t>
  </si>
  <si>
    <t>NKOSTINA@525</t>
  </si>
  <si>
    <t>MALBELDA@525</t>
  </si>
  <si>
    <t>YGRANADO@525</t>
  </si>
  <si>
    <t>CGARCIA@525</t>
  </si>
  <si>
    <t>FGONZALEZG@525</t>
  </si>
  <si>
    <t>RBRAVO@525</t>
  </si>
  <si>
    <t>VAC_14_2030</t>
  </si>
  <si>
    <t>KLESEILLE@525</t>
  </si>
  <si>
    <t>MREEVES@525</t>
  </si>
  <si>
    <t>MLIS@525</t>
  </si>
  <si>
    <t>CICANTADOR@525</t>
  </si>
  <si>
    <t>@SSYRJING_13_20</t>
  </si>
  <si>
    <t>AIMUNOZ@525</t>
  </si>
  <si>
    <t>LFS_07_1330</t>
  </si>
  <si>
    <t>AGUERRERO@525</t>
  </si>
  <si>
    <t>LBIZCOCHO@525</t>
  </si>
  <si>
    <t>@SSYRJING_VAC_14_22</t>
  </si>
  <si>
    <t>@SSYRJING_VAC_15_22</t>
  </si>
  <si>
    <t>CECASTRO@525</t>
  </si>
  <si>
    <t>MFALCON@525</t>
  </si>
  <si>
    <t>@SSYRJING_15_22</t>
  </si>
  <si>
    <t>MCARRASCO@525</t>
  </si>
  <si>
    <t>NAIBAR@525</t>
  </si>
  <si>
    <t>@SSYRJING_09_14</t>
  </si>
  <si>
    <t>LROSA@525</t>
  </si>
  <si>
    <t>AMARIA@525</t>
  </si>
  <si>
    <t>MOCANA@525</t>
  </si>
  <si>
    <t>RMPEREZ@525</t>
  </si>
  <si>
    <t>CPOZZOLUNG@525</t>
  </si>
  <si>
    <t>PDVILLALBA@525</t>
  </si>
  <si>
    <t>EHERNANDEZ@525</t>
  </si>
  <si>
    <t>LCARVALHO@525</t>
  </si>
  <si>
    <t>DTRIBEIRO@525</t>
  </si>
  <si>
    <t>VHSILVA@525</t>
  </si>
  <si>
    <t>CMORAIS@525</t>
  </si>
  <si>
    <t>MBIRRENTO@525</t>
  </si>
  <si>
    <t>AVELOZO@525</t>
  </si>
  <si>
    <t>LVIANA@525</t>
  </si>
  <si>
    <t>PCALEIXO@525</t>
  </si>
  <si>
    <t>@SSYRLIVE_08_16</t>
  </si>
  <si>
    <t>@SSYRLIVE_08_15</t>
  </si>
  <si>
    <t>@SSYRLIVE_10_1515</t>
  </si>
  <si>
    <t>PGOMEZ@525</t>
  </si>
  <si>
    <t>VAC_12_19</t>
  </si>
  <si>
    <t>MBENITEZ@525</t>
  </si>
  <si>
    <t>LFA_1330_20</t>
  </si>
  <si>
    <t>CDASILVA@525</t>
  </si>
  <si>
    <t>5451BS</t>
  </si>
  <si>
    <t>BSOUZA@525</t>
  </si>
  <si>
    <t>5440AD</t>
  </si>
  <si>
    <t>AGDESOUZA@525</t>
  </si>
  <si>
    <t>5467GN</t>
  </si>
  <si>
    <t>GTNALMA@525</t>
  </si>
  <si>
    <t>LFA_00_08</t>
  </si>
  <si>
    <t>VAC_07_12/VAC_16_19</t>
  </si>
  <si>
    <t>VAC_07_12/VAC_16_18</t>
  </si>
  <si>
    <t>PSERGIO@525</t>
  </si>
  <si>
    <t>BLMILHOMEN@525</t>
  </si>
  <si>
    <t>VAC_00_08</t>
  </si>
  <si>
    <t>MGENER@525</t>
  </si>
  <si>
    <t>MREZENDE@525</t>
  </si>
  <si>
    <t>LFC_07_13</t>
  </si>
  <si>
    <t>@SSYRPOR_15_21</t>
  </si>
  <si>
    <t>@SSYRPOR_DLF_15_22</t>
  </si>
  <si>
    <t>@SSYRPOR_VAC_15_22</t>
  </si>
  <si>
    <t>VAC_0730_1530</t>
  </si>
  <si>
    <t>VAC_0730_1430</t>
  </si>
  <si>
    <t>SPAEZS@525</t>
  </si>
  <si>
    <t>ELAVADO@525</t>
  </si>
  <si>
    <t>@SSYRREE_15_23</t>
  </si>
  <si>
    <t>@SSYRREE_15_22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</si>
</sst>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409]d\-mmm;@"/>
    <numFmt numFmtId="165" formatCode="mm/dd/yy;@"/>
    <numFmt numFmtId="166" formatCode="m/d/yy;@"/>
    <numFmt numFmtId="167" formatCode="dd\-mm\-yy;@"/>
    <numFmt numFmtId="168" formatCode="_-* #,##0.00\ _€_-;\-* #,##0.00\ _€_-;_-* &quot;-&quot;??\ _€_-;_-@_-"/>
    <numFmt numFmtId="169" formatCode="_(* #,##0.00_);_(* \(#,##0.00\);_(* \-??_);_(@_)"/>
    <numFmt numFmtId="170" formatCode="_-* #,##0.00\ _€_-;\-* #,##0.00\ _€_-;_-* \-??\ _€_-;_-@_-"/>
    <numFmt numFmtId="171" formatCode="_(* #,##0_);_(* \(#,##0\);_(* \-_);_(@_)"/>
    <numFmt numFmtId="172" formatCode="_(\$* #,##0.00_);_(\$* \(#,##0.00\);_(\$* \-??_);_(@_)"/>
    <numFmt numFmtId="173" formatCode="_(\$* #,##0_);_(\$* \(#,##0\);_(\$* \-_);_(@_)"/>
    <numFmt numFmtId="174" formatCode="0\ %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sz val="11"/>
      <name val="Calibr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A7D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u/>
      <sz val="10"/>
      <color rgb="FF0000FF"/>
      <name val="Arial"/>
      <family val="2"/>
      <charset val="1"/>
    </font>
    <font>
      <u/>
      <sz val="11"/>
      <color rgb="FF0000FF"/>
      <name val="Calibri"/>
      <family val="2"/>
      <charset val="1"/>
    </font>
    <font>
      <u/>
      <sz val="10"/>
      <color rgb="FF0000FF"/>
      <name val="Verdana"/>
      <family val="2"/>
      <charset val="1"/>
    </font>
    <font>
      <u/>
      <sz val="10"/>
      <name val="Arial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Verdana"/>
      <family val="2"/>
      <charset val="1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rgb="FF0563C1"/>
      <name val="Calibri"/>
      <family val="2"/>
      <charset val="1"/>
    </font>
    <font>
      <b/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FAC090"/>
      </patternFill>
    </fill>
    <fill>
      <patternFill patternType="solid">
        <fgColor rgb="FF558ED5"/>
        <bgColor rgb="FF7F7F7F"/>
      </patternFill>
    </fill>
    <fill>
      <patternFill patternType="solid">
        <fgColor rgb="FF953735"/>
        <bgColor rgb="FFC0504D"/>
      </patternFill>
    </fill>
    <fill>
      <patternFill patternType="solid">
        <fgColor rgb="FF77933C"/>
        <bgColor rgb="FF948A54"/>
      </patternFill>
    </fill>
    <fill>
      <patternFill patternType="solid">
        <fgColor rgb="FFB3A2C7"/>
        <bgColor rgb="FFA6A6A6"/>
      </patternFill>
    </fill>
    <fill>
      <patternFill patternType="solid">
        <fgColor rgb="FFE46C0A"/>
        <bgColor rgb="FFFA7D00"/>
      </patternFill>
    </fill>
    <fill>
      <patternFill patternType="solid">
        <fgColor rgb="FF948A54"/>
        <bgColor rgb="FF77933C"/>
      </patternFill>
    </fill>
    <fill>
      <patternFill patternType="solid">
        <fgColor rgb="FFBFBFBF"/>
        <bgColor rgb="FFCCC1DA"/>
      </patternFill>
    </fill>
    <fill>
      <patternFill patternType="solid">
        <fgColor rgb="FFC6D9F1"/>
        <bgColor rgb="FFB7DEE8"/>
      </patternFill>
    </fill>
    <fill>
      <patternFill patternType="solid">
        <fgColor rgb="FF8EB4E3"/>
        <bgColor rgb="FF95B3D7"/>
      </patternFill>
    </fill>
    <fill>
      <patternFill patternType="solid">
        <fgColor rgb="FFE6B9B8"/>
        <bgColor rgb="FFFAC090"/>
      </patternFill>
    </fill>
    <fill>
      <patternFill patternType="solid">
        <fgColor rgb="FFD99694"/>
        <bgColor rgb="FFB3A2C7"/>
      </patternFill>
    </fill>
    <fill>
      <patternFill patternType="solid">
        <fgColor rgb="FFD7E4BD"/>
        <bgColor rgb="FFD9D9D9"/>
      </patternFill>
    </fill>
    <fill>
      <patternFill patternType="solid">
        <fgColor rgb="FFC3D69B"/>
        <bgColor rgb="FFD7E4BD"/>
      </patternFill>
    </fill>
    <fill>
      <patternFill patternType="solid">
        <fgColor rgb="FFE6E0EC"/>
        <bgColor rgb="FFDCE6F2"/>
      </patternFill>
    </fill>
    <fill>
      <patternFill patternType="solid">
        <fgColor rgb="FFCCC1DA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FAC090"/>
        <bgColor rgb="FFFFCC99"/>
      </patternFill>
    </fill>
    <fill>
      <patternFill patternType="solid">
        <fgColor rgb="FFC4BD97"/>
        <bgColor rgb="FFBFBFB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2F2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C6D9F1"/>
      </patternFill>
    </fill>
    <fill>
      <patternFill patternType="solid">
        <fgColor rgb="FFB7DEE8"/>
        <bgColor rgb="FFC6D9F1"/>
      </patternFill>
    </fill>
    <fill>
      <patternFill patternType="solid">
        <fgColor rgb="FFFCD5B5"/>
        <bgColor rgb="FFFFCC99"/>
      </patternFill>
    </fill>
    <fill>
      <patternFill patternType="solid">
        <fgColor rgb="FF95B3D7"/>
        <bgColor rgb="FF8EB4E3"/>
      </patternFill>
    </fill>
    <fill>
      <patternFill patternType="solid">
        <fgColor rgb="FF93CDDD"/>
        <bgColor rgb="FF8EB4E3"/>
      </patternFill>
    </fill>
    <fill>
      <patternFill patternType="solid">
        <fgColor rgb="FFC6EFCE"/>
        <bgColor rgb="FFD7E4BD"/>
      </patternFill>
    </fill>
    <fill>
      <patternFill patternType="solid">
        <fgColor rgb="FFA5A5A5"/>
        <bgColor rgb="FFA6A6A6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C7CE"/>
        <bgColor rgb="FFFCD5B5"/>
      </patternFill>
    </fill>
    <fill>
      <patternFill patternType="solid">
        <fgColor rgb="FFFFEB9C"/>
        <bgColor rgb="FFFCD5B5"/>
      </patternFill>
    </fill>
    <fill>
      <patternFill patternType="solid">
        <fgColor rgb="FFB9CDE5"/>
        <bgColor rgb="FFB7DEE8"/>
      </patternFill>
    </fill>
    <fill>
      <patternFill patternType="solid">
        <fgColor rgb="FFD7E4BD"/>
        <bgColor rgb="FFC6EFCE"/>
      </patternFill>
    </fill>
    <fill>
      <patternFill patternType="solid">
        <fgColor rgb="FFCCC1DA"/>
        <bgColor rgb="FFB9CDE5"/>
      </patternFill>
    </fill>
    <fill>
      <patternFill patternType="solid">
        <fgColor rgb="FFB7DEE8"/>
        <bgColor rgb="FFB9CDE5"/>
      </patternFill>
    </fill>
    <fill>
      <patternFill patternType="solid">
        <fgColor rgb="FF95B3D7"/>
        <bgColor rgb="FF93CDDD"/>
      </patternFill>
    </fill>
    <fill>
      <patternFill patternType="solid">
        <fgColor rgb="FFB3A2C7"/>
        <bgColor rgb="FFA5A5A5"/>
      </patternFill>
    </fill>
    <fill>
      <patternFill patternType="solid">
        <fgColor rgb="FF93CDDD"/>
        <bgColor rgb="FF95B3D7"/>
      </patternFill>
    </fill>
    <fill>
      <patternFill patternType="solid">
        <fgColor rgb="FFA5A5A5"/>
        <bgColor rgb="FFB3A2C7"/>
      </patternFill>
    </fill>
    <fill>
      <patternFill patternType="solid">
        <fgColor theme="8" tint="0.79998168889431442"/>
        <bgColor rgb="FF77933C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6010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1" fillId="0" borderId="0" applyNumberFormat="0" applyFill="0" applyBorder="0" applyAlignment="0" applyProtection="0"/>
    <xf numFmtId="0" fontId="12" fillId="0" borderId="22" applyNumberFormat="0" applyFill="0" applyAlignment="0" applyProtection="0"/>
    <xf numFmtId="0" fontId="13" fillId="0" borderId="23" applyNumberFormat="0" applyFill="0" applyAlignment="0" applyProtection="0"/>
    <xf numFmtId="0" fontId="14" fillId="0" borderId="24" applyNumberFormat="0" applyFill="0" applyAlignment="0" applyProtection="0"/>
    <xf numFmtId="0" fontId="14" fillId="0" borderId="0" applyNumberFormat="0" applyFill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7" fillId="30" borderId="0" applyNumberFormat="0" applyBorder="0" applyAlignment="0" applyProtection="0"/>
    <xf numFmtId="0" fontId="18" fillId="31" borderId="25" applyNumberFormat="0" applyAlignment="0" applyProtection="0"/>
    <xf numFmtId="0" fontId="19" fillId="32" borderId="26" applyNumberFormat="0" applyAlignment="0" applyProtection="0"/>
    <xf numFmtId="0" fontId="20" fillId="32" borderId="25" applyNumberFormat="0" applyAlignment="0" applyProtection="0"/>
    <xf numFmtId="0" fontId="21" fillId="0" borderId="27" applyNumberFormat="0" applyFill="0" applyAlignment="0" applyProtection="0"/>
    <xf numFmtId="0" fontId="22" fillId="33" borderId="2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30" applyNumberFormat="0" applyFill="0" applyAlignment="0" applyProtection="0"/>
    <xf numFmtId="0" fontId="25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25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25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25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25" fillId="51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25" fillId="55" borderId="0" applyNumberFormat="0" applyBorder="0" applyAlignment="0" applyProtection="0"/>
    <xf numFmtId="0" fontId="10" fillId="56" borderId="0" applyNumberFormat="0" applyBorder="0" applyAlignment="0" applyProtection="0"/>
    <xf numFmtId="0" fontId="10" fillId="57" borderId="0" applyNumberFormat="0" applyBorder="0" applyAlignment="0" applyProtection="0"/>
    <xf numFmtId="0" fontId="10" fillId="58" borderId="0" applyNumberFormat="0" applyBorder="0" applyAlignment="0" applyProtection="0"/>
    <xf numFmtId="0" fontId="6" fillId="59" borderId="0" applyBorder="0" applyProtection="0"/>
    <xf numFmtId="0" fontId="6" fillId="59" borderId="0" applyBorder="0" applyProtection="0"/>
    <xf numFmtId="0" fontId="6" fillId="59" borderId="0" applyBorder="0" applyProtection="0"/>
    <xf numFmtId="0" fontId="6" fillId="59" borderId="0" applyBorder="0" applyProtection="0"/>
    <xf numFmtId="0" fontId="6" fillId="60" borderId="0" applyBorder="0" applyProtection="0"/>
    <xf numFmtId="0" fontId="6" fillId="60" borderId="0" applyBorder="0" applyProtection="0"/>
    <xf numFmtId="0" fontId="6" fillId="60" borderId="0" applyBorder="0" applyProtection="0"/>
    <xf numFmtId="0" fontId="6" fillId="60" borderId="0" applyBorder="0" applyProtection="0"/>
    <xf numFmtId="0" fontId="6" fillId="61" borderId="0" applyBorder="0" applyProtection="0"/>
    <xf numFmtId="0" fontId="6" fillId="61" borderId="0" applyBorder="0" applyProtection="0"/>
    <xf numFmtId="0" fontId="6" fillId="61" borderId="0" applyBorder="0" applyProtection="0"/>
    <xf numFmtId="0" fontId="6" fillId="61" borderId="0" applyBorder="0" applyProtection="0"/>
    <xf numFmtId="0" fontId="6" fillId="23" borderId="0" applyBorder="0" applyProtection="0"/>
    <xf numFmtId="0" fontId="6" fillId="23" borderId="0" applyBorder="0" applyProtection="0"/>
    <xf numFmtId="0" fontId="6" fillId="23" borderId="0" applyBorder="0" applyProtection="0"/>
    <xf numFmtId="0" fontId="6" fillId="23" borderId="0" applyBorder="0" applyProtection="0"/>
    <xf numFmtId="0" fontId="6" fillId="62" borderId="0" applyBorder="0" applyProtection="0"/>
    <xf numFmtId="0" fontId="6" fillId="62" borderId="0" applyBorder="0" applyProtection="0"/>
    <xf numFmtId="0" fontId="6" fillId="62" borderId="0" applyBorder="0" applyProtection="0"/>
    <xf numFmtId="0" fontId="6" fillId="62" borderId="0" applyBorder="0" applyProtection="0"/>
    <xf numFmtId="0" fontId="6" fillId="63" borderId="0" applyBorder="0" applyProtection="0"/>
    <xf numFmtId="0" fontId="6" fillId="63" borderId="0" applyBorder="0" applyProtection="0"/>
    <xf numFmtId="0" fontId="6" fillId="63" borderId="0" applyBorder="0" applyProtection="0"/>
    <xf numFmtId="0" fontId="6" fillId="63" borderId="0" applyBorder="0" applyProtection="0"/>
    <xf numFmtId="0" fontId="6" fillId="64" borderId="0" applyBorder="0" applyProtection="0"/>
    <xf numFmtId="0" fontId="6" fillId="64" borderId="0" applyBorder="0" applyProtection="0"/>
    <xf numFmtId="0" fontId="6" fillId="64" borderId="0" applyBorder="0" applyProtection="0"/>
    <xf numFmtId="0" fontId="6" fillId="64" borderId="0" applyBorder="0" applyProtection="0"/>
    <xf numFmtId="0" fontId="6" fillId="19" borderId="0" applyBorder="0" applyProtection="0"/>
    <xf numFmtId="0" fontId="6" fillId="19" borderId="0" applyBorder="0" applyProtection="0"/>
    <xf numFmtId="0" fontId="6" fillId="19" borderId="0" applyBorder="0" applyProtection="0"/>
    <xf numFmtId="0" fontId="6" fillId="19" borderId="0" applyBorder="0" applyProtection="0"/>
    <xf numFmtId="0" fontId="6" fillId="21" borderId="0" applyBorder="0" applyProtection="0"/>
    <xf numFmtId="0" fontId="6" fillId="21" borderId="0" applyBorder="0" applyProtection="0"/>
    <xf numFmtId="0" fontId="6" fillId="21" borderId="0" applyBorder="0" applyProtection="0"/>
    <xf numFmtId="0" fontId="6" fillId="21" borderId="0" applyBorder="0" applyProtection="0"/>
    <xf numFmtId="0" fontId="6" fillId="24" borderId="0" applyBorder="0" applyProtection="0"/>
    <xf numFmtId="0" fontId="6" fillId="24" borderId="0" applyBorder="0" applyProtection="0"/>
    <xf numFmtId="0" fontId="6" fillId="24" borderId="0" applyBorder="0" applyProtection="0"/>
    <xf numFmtId="0" fontId="6" fillId="24" borderId="0" applyBorder="0" applyProtection="0"/>
    <xf numFmtId="0" fontId="6" fillId="65" borderId="0" applyBorder="0" applyProtection="0"/>
    <xf numFmtId="0" fontId="6" fillId="65" borderId="0" applyBorder="0" applyProtection="0"/>
    <xf numFmtId="0" fontId="6" fillId="65" borderId="0" applyBorder="0" applyProtection="0"/>
    <xf numFmtId="0" fontId="6" fillId="65" borderId="0" applyBorder="0" applyProtection="0"/>
    <xf numFmtId="0" fontId="6" fillId="66" borderId="0" applyBorder="0" applyProtection="0"/>
    <xf numFmtId="0" fontId="6" fillId="66" borderId="0" applyBorder="0" applyProtection="0"/>
    <xf numFmtId="0" fontId="6" fillId="66" borderId="0" applyBorder="0" applyProtection="0"/>
    <xf numFmtId="0" fontId="6" fillId="66" borderId="0" applyBorder="0" applyProtection="0"/>
    <xf numFmtId="0" fontId="27" fillId="67" borderId="0" applyBorder="0" applyProtection="0"/>
    <xf numFmtId="0" fontId="27" fillId="67" borderId="0" applyBorder="0" applyProtection="0"/>
    <xf numFmtId="0" fontId="27" fillId="67" borderId="0" applyBorder="0" applyProtection="0"/>
    <xf numFmtId="0" fontId="27" fillId="67" borderId="0" applyBorder="0" applyProtection="0"/>
    <xf numFmtId="0" fontId="27" fillId="20" borderId="0" applyBorder="0" applyProtection="0"/>
    <xf numFmtId="0" fontId="27" fillId="20" borderId="0" applyBorder="0" applyProtection="0"/>
    <xf numFmtId="0" fontId="27" fillId="20" borderId="0" applyBorder="0" applyProtection="0"/>
    <xf numFmtId="0" fontId="27" fillId="20" borderId="0" applyBorder="0" applyProtection="0"/>
    <xf numFmtId="0" fontId="27" fillId="22" borderId="0" applyBorder="0" applyProtection="0"/>
    <xf numFmtId="0" fontId="27" fillId="22" borderId="0" applyBorder="0" applyProtection="0"/>
    <xf numFmtId="0" fontId="27" fillId="22" borderId="0" applyBorder="0" applyProtection="0"/>
    <xf numFmtId="0" fontId="27" fillId="22" borderId="0" applyBorder="0" applyProtection="0"/>
    <xf numFmtId="0" fontId="27" fillId="13" borderId="0" applyBorder="0" applyProtection="0"/>
    <xf numFmtId="0" fontId="27" fillId="13" borderId="0" applyBorder="0" applyProtection="0"/>
    <xf numFmtId="0" fontId="27" fillId="13" borderId="0" applyBorder="0" applyProtection="0"/>
    <xf numFmtId="0" fontId="27" fillId="13" borderId="0" applyBorder="0" applyProtection="0"/>
    <xf numFmtId="0" fontId="27" fillId="68" borderId="0" applyBorder="0" applyProtection="0"/>
    <xf numFmtId="0" fontId="27" fillId="68" borderId="0" applyBorder="0" applyProtection="0"/>
    <xf numFmtId="0" fontId="27" fillId="68" borderId="0" applyBorder="0" applyProtection="0"/>
    <xf numFmtId="0" fontId="27" fillId="68" borderId="0" applyBorder="0" applyProtection="0"/>
    <xf numFmtId="0" fontId="27" fillId="26" borderId="0" applyBorder="0" applyProtection="0"/>
    <xf numFmtId="0" fontId="27" fillId="26" borderId="0" applyBorder="0" applyProtection="0"/>
    <xf numFmtId="0" fontId="27" fillId="26" borderId="0" applyBorder="0" applyProtection="0"/>
    <xf numFmtId="0" fontId="27" fillId="26" borderId="0" applyBorder="0" applyProtection="0"/>
    <xf numFmtId="0" fontId="28" fillId="69" borderId="0" applyBorder="0" applyProtection="0"/>
    <xf numFmtId="0" fontId="28" fillId="69" borderId="0" applyBorder="0" applyProtection="0"/>
    <xf numFmtId="0" fontId="28" fillId="69" borderId="0" applyBorder="0" applyProtection="0"/>
    <xf numFmtId="0" fontId="28" fillId="69" borderId="0" applyBorder="0" applyProtection="0"/>
    <xf numFmtId="0" fontId="29" fillId="70" borderId="28" applyProtection="0"/>
    <xf numFmtId="0" fontId="29" fillId="70" borderId="28" applyProtection="0"/>
    <xf numFmtId="0" fontId="29" fillId="70" borderId="28" applyProtection="0"/>
    <xf numFmtId="0" fontId="29" fillId="70" borderId="28" applyProtection="0"/>
    <xf numFmtId="0" fontId="30" fillId="0" borderId="27" applyProtection="0"/>
    <xf numFmtId="0" fontId="30" fillId="0" borderId="27" applyProtection="0"/>
    <xf numFmtId="0" fontId="30" fillId="0" borderId="27" applyProtection="0"/>
    <xf numFmtId="0" fontId="30" fillId="0" borderId="27" applyProtection="0"/>
    <xf numFmtId="0" fontId="31" fillId="71" borderId="25" applyProtection="0"/>
    <xf numFmtId="0" fontId="31" fillId="71" borderId="25" applyProtection="0"/>
    <xf numFmtId="0" fontId="31" fillId="71" borderId="25" applyProtection="0"/>
    <xf numFmtId="0" fontId="31" fillId="71" borderId="25" applyProtection="0"/>
    <xf numFmtId="0" fontId="32" fillId="0" borderId="0" applyBorder="0" applyProtection="0"/>
    <xf numFmtId="0" fontId="32" fillId="0" borderId="0" applyBorder="0" applyProtection="0"/>
    <xf numFmtId="0" fontId="32" fillId="0" borderId="0" applyBorder="0" applyProtection="0"/>
    <xf numFmtId="0" fontId="32" fillId="0" borderId="0" applyBorder="0" applyProtection="0"/>
    <xf numFmtId="0" fontId="33" fillId="72" borderId="25" applyProtection="0"/>
    <xf numFmtId="0" fontId="33" fillId="72" borderId="25" applyProtection="0"/>
    <xf numFmtId="0" fontId="33" fillId="72" borderId="25" applyProtection="0"/>
    <xf numFmtId="0" fontId="33" fillId="72" borderId="25" applyProtection="0"/>
    <xf numFmtId="0" fontId="6" fillId="0" borderId="0"/>
    <xf numFmtId="0" fontId="34" fillId="0" borderId="0" applyBorder="0" applyProtection="0"/>
    <xf numFmtId="0" fontId="34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36" fillId="0" borderId="0" applyBorder="0" applyProtection="0"/>
    <xf numFmtId="0" fontId="37" fillId="0" borderId="0" applyBorder="0" applyProtection="0"/>
    <xf numFmtId="0" fontId="34" fillId="0" borderId="0" applyBorder="0" applyProtection="0"/>
    <xf numFmtId="0" fontId="37" fillId="0" borderId="0" applyBorder="0" applyProtection="0"/>
    <xf numFmtId="0" fontId="36" fillId="0" borderId="0" applyBorder="0" applyProtection="0"/>
    <xf numFmtId="0" fontId="35" fillId="0" borderId="0" applyBorder="0" applyProtection="0"/>
    <xf numFmtId="0" fontId="34" fillId="0" borderId="0" applyBorder="0" applyProtection="0"/>
    <xf numFmtId="0" fontId="35" fillId="0" borderId="0" applyBorder="0" applyProtection="0"/>
    <xf numFmtId="0" fontId="34" fillId="0" borderId="0" applyBorder="0" applyProtection="0"/>
    <xf numFmtId="0" fontId="37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35" fillId="0" borderId="0" applyBorder="0" applyProtection="0"/>
    <xf numFmtId="0" fontId="26" fillId="73" borderId="0" applyBorder="0" applyProtection="0"/>
    <xf numFmtId="0" fontId="26" fillId="73" borderId="0" applyBorder="0" applyProtection="0"/>
    <xf numFmtId="0" fontId="26" fillId="73" borderId="0" applyBorder="0" applyProtection="0"/>
    <xf numFmtId="0" fontId="26" fillId="73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70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70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69" fontId="6" fillId="0" borderId="0" applyBorder="0" applyProtection="0"/>
    <xf numFmtId="171" fontId="6" fillId="0" borderId="0" applyBorder="0" applyProtection="0"/>
    <xf numFmtId="171" fontId="6" fillId="0" borderId="0" applyBorder="0" applyProtection="0"/>
    <xf numFmtId="171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2" fontId="6" fillId="0" borderId="0" applyBorder="0" applyProtection="0"/>
    <xf numFmtId="173" fontId="6" fillId="0" borderId="0" applyBorder="0" applyProtection="0"/>
    <xf numFmtId="173" fontId="6" fillId="0" borderId="0" applyBorder="0" applyProtection="0"/>
    <xf numFmtId="173" fontId="6" fillId="0" borderId="0" applyBorder="0" applyProtection="0"/>
    <xf numFmtId="0" fontId="38" fillId="74" borderId="0" applyBorder="0" applyProtection="0"/>
    <xf numFmtId="0" fontId="38" fillId="74" borderId="0" applyBorder="0" applyProtection="0"/>
    <xf numFmtId="0" fontId="38" fillId="74" borderId="0" applyBorder="0" applyProtection="0"/>
    <xf numFmtId="0" fontId="38" fillId="74" borderId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9" fillId="0" borderId="0"/>
    <xf numFmtId="0" fontId="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" fillId="0" borderId="0"/>
    <xf numFmtId="0" fontId="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3" fillId="0" borderId="0"/>
    <xf numFmtId="174" fontId="6" fillId="0" borderId="0" applyBorder="0" applyProtection="0"/>
    <xf numFmtId="0" fontId="4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 applyBorder="0" applyProtection="0"/>
    <xf numFmtId="0" fontId="42" fillId="0" borderId="0"/>
    <xf numFmtId="0" fontId="42" fillId="0" borderId="0"/>
    <xf numFmtId="0" fontId="10" fillId="0" borderId="0"/>
    <xf numFmtId="0" fontId="4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45" fillId="0" borderId="0"/>
    <xf numFmtId="0" fontId="10" fillId="0" borderId="0"/>
    <xf numFmtId="0" fontId="4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" fillId="0" borderId="0"/>
    <xf numFmtId="0" fontId="45" fillId="0" borderId="0"/>
    <xf numFmtId="0" fontId="10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44" fillId="0" borderId="0" applyNumberFormat="0" applyFill="0" applyBorder="0" applyAlignment="0" applyProtection="0"/>
    <xf numFmtId="0" fontId="43" fillId="0" borderId="0"/>
    <xf numFmtId="174" fontId="6" fillId="0" borderId="0" applyBorder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2" fillId="0" borderId="0"/>
    <xf numFmtId="0" fontId="10" fillId="0" borderId="0"/>
    <xf numFmtId="0" fontId="10" fillId="0" borderId="0"/>
    <xf numFmtId="0" fontId="47" fillId="0" borderId="0" applyBorder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 applyBorder="0" applyProtection="0"/>
    <xf numFmtId="0" fontId="6" fillId="75" borderId="0" applyBorder="0" applyProtection="0"/>
    <xf numFmtId="0" fontId="6" fillId="75" borderId="0" applyBorder="0" applyProtection="0"/>
    <xf numFmtId="0" fontId="6" fillId="75" borderId="0" applyBorder="0" applyProtection="0"/>
    <xf numFmtId="0" fontId="6" fillId="75" borderId="0" applyBorder="0" applyProtection="0"/>
    <xf numFmtId="0" fontId="6" fillId="76" borderId="0" applyBorder="0" applyProtection="0"/>
    <xf numFmtId="0" fontId="6" fillId="76" borderId="0" applyBorder="0" applyProtection="0"/>
    <xf numFmtId="0" fontId="6" fillId="76" borderId="0" applyBorder="0" applyProtection="0"/>
    <xf numFmtId="0" fontId="6" fillId="76" borderId="0" applyBorder="0" applyProtection="0"/>
    <xf numFmtId="0" fontId="6" fillId="77" borderId="0" applyBorder="0" applyProtection="0"/>
    <xf numFmtId="0" fontId="6" fillId="77" borderId="0" applyBorder="0" applyProtection="0"/>
    <xf numFmtId="0" fontId="6" fillId="77" borderId="0" applyBorder="0" applyProtection="0"/>
    <xf numFmtId="0" fontId="6" fillId="77" borderId="0" applyBorder="0" applyProtection="0"/>
    <xf numFmtId="0" fontId="6" fillId="78" borderId="0" applyBorder="0" applyProtection="0"/>
    <xf numFmtId="0" fontId="6" fillId="78" borderId="0" applyBorder="0" applyProtection="0"/>
    <xf numFmtId="0" fontId="6" fillId="78" borderId="0" applyBorder="0" applyProtection="0"/>
    <xf numFmtId="0" fontId="6" fillId="78" borderId="0" applyBorder="0" applyProtection="0"/>
    <xf numFmtId="0" fontId="27" fillId="79" borderId="0" applyBorder="0" applyProtection="0"/>
    <xf numFmtId="0" fontId="27" fillId="79" borderId="0" applyBorder="0" applyProtection="0"/>
    <xf numFmtId="0" fontId="27" fillId="79" borderId="0" applyBorder="0" applyProtection="0"/>
    <xf numFmtId="0" fontId="27" fillId="79" borderId="0" applyBorder="0" applyProtection="0"/>
    <xf numFmtId="0" fontId="27" fillId="80" borderId="0" applyBorder="0" applyProtection="0"/>
    <xf numFmtId="0" fontId="27" fillId="80" borderId="0" applyBorder="0" applyProtection="0"/>
    <xf numFmtId="0" fontId="27" fillId="80" borderId="0" applyBorder="0" applyProtection="0"/>
    <xf numFmtId="0" fontId="27" fillId="80" borderId="0" applyBorder="0" applyProtection="0"/>
    <xf numFmtId="0" fontId="27" fillId="81" borderId="0" applyBorder="0" applyProtection="0"/>
    <xf numFmtId="0" fontId="27" fillId="81" borderId="0" applyBorder="0" applyProtection="0"/>
    <xf numFmtId="0" fontId="27" fillId="81" borderId="0" applyBorder="0" applyProtection="0"/>
    <xf numFmtId="0" fontId="27" fillId="81" borderId="0" applyBorder="0" applyProtection="0"/>
    <xf numFmtId="0" fontId="29" fillId="82" borderId="28" applyProtection="0"/>
    <xf numFmtId="0" fontId="29" fillId="82" borderId="28" applyProtection="0"/>
    <xf numFmtId="0" fontId="29" fillId="82" borderId="28" applyProtection="0"/>
    <xf numFmtId="0" fontId="29" fillId="82" borderId="28" applyProtection="0"/>
    <xf numFmtId="0" fontId="34" fillId="0" borderId="0" applyBorder="0" applyProtection="0"/>
    <xf numFmtId="0" fontId="47" fillId="0" borderId="0" applyBorder="0" applyProtection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64" borderId="0" applyBorder="0" applyProtection="0"/>
    <xf numFmtId="0" fontId="6" fillId="64" borderId="0" applyBorder="0" applyProtection="0"/>
    <xf numFmtId="0" fontId="6" fillId="21" borderId="0" applyBorder="0" applyProtection="0"/>
    <xf numFmtId="0" fontId="6" fillId="21" borderId="0" applyBorder="0" applyProtection="0"/>
    <xf numFmtId="0" fontId="6" fillId="64" borderId="0" applyBorder="0" applyProtection="0"/>
    <xf numFmtId="0" fontId="6" fillId="64" borderId="0" applyBorder="0" applyProtection="0"/>
    <xf numFmtId="0" fontId="6" fillId="21" borderId="0" applyBorder="0" applyProtection="0"/>
    <xf numFmtId="0" fontId="6" fillId="21" borderId="0" applyBorder="0" applyProtection="0"/>
    <xf numFmtId="0" fontId="6" fillId="24" borderId="0" applyBorder="0" applyProtection="0"/>
    <xf numFmtId="0" fontId="6" fillId="24" borderId="0" applyBorder="0" applyProtection="0"/>
    <xf numFmtId="0" fontId="27" fillId="13" borderId="0" applyBorder="0" applyProtection="0"/>
    <xf numFmtId="0" fontId="27" fillId="13" borderId="0" applyBorder="0" applyProtection="0"/>
    <xf numFmtId="0" fontId="27" fillId="68" borderId="0" applyBorder="0" applyProtection="0"/>
    <xf numFmtId="0" fontId="35" fillId="0" borderId="0" applyBorder="0" applyProtection="0"/>
    <xf numFmtId="0" fontId="35" fillId="0" borderId="0" applyBorder="0" applyProtection="0"/>
    <xf numFmtId="0" fontId="27" fillId="68" borderId="0" applyBorder="0" applyProtection="0"/>
    <xf numFmtId="0" fontId="27" fillId="68" borderId="0" applyBorder="0" applyProtection="0"/>
    <xf numFmtId="0" fontId="27" fillId="68" borderId="0" applyBorder="0" applyProtection="0"/>
    <xf numFmtId="0" fontId="29" fillId="70" borderId="28" applyProtection="0"/>
    <xf numFmtId="0" fontId="29" fillId="70" borderId="28" applyProtection="0"/>
    <xf numFmtId="0" fontId="29" fillId="70" borderId="28" applyProtection="0"/>
    <xf numFmtId="0" fontId="29" fillId="70" borderId="28" applyProtection="0"/>
    <xf numFmtId="0" fontId="6" fillId="24" borderId="0" applyBorder="0" applyProtection="0"/>
    <xf numFmtId="0" fontId="6" fillId="24" borderId="0" applyBorder="0" applyProtection="0"/>
    <xf numFmtId="0" fontId="6" fillId="65" borderId="0" applyBorder="0" applyProtection="0"/>
    <xf numFmtId="0" fontId="6" fillId="65" borderId="0" applyBorder="0" applyProtection="0"/>
    <xf numFmtId="0" fontId="6" fillId="65" borderId="0" applyBorder="0" applyProtection="0"/>
    <xf numFmtId="0" fontId="6" fillId="65" borderId="0" applyBorder="0" applyProtection="0"/>
    <xf numFmtId="0" fontId="27" fillId="67" borderId="0" applyBorder="0" applyProtection="0"/>
    <xf numFmtId="0" fontId="27" fillId="13" borderId="0" applyBorder="0" applyProtection="0"/>
    <xf numFmtId="0" fontId="27" fillId="67" borderId="0" applyBorder="0" applyProtection="0"/>
    <xf numFmtId="0" fontId="27" fillId="67" borderId="0" applyBorder="0" applyProtection="0"/>
    <xf numFmtId="0" fontId="27" fillId="67" borderId="0" applyBorder="0" applyProtection="0"/>
    <xf numFmtId="0" fontId="27" fillId="13" borderId="0" applyBorder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 applyBorder="0" applyProtection="0"/>
    <xf numFmtId="0" fontId="35" fillId="0" borderId="0" applyBorder="0" applyProtection="0"/>
    <xf numFmtId="0" fontId="4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4" borderId="29" applyNumberFormat="0" applyFont="0" applyAlignment="0" applyProtection="0"/>
    <xf numFmtId="0" fontId="4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4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4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4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4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10" fillId="0" borderId="0"/>
    <xf numFmtId="0" fontId="10" fillId="0" borderId="0"/>
    <xf numFmtId="174" fontId="6" fillId="0" borderId="0" applyBorder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42" fillId="0" borderId="0"/>
    <xf numFmtId="0" fontId="42" fillId="0" borderId="0"/>
    <xf numFmtId="174" fontId="6" fillId="0" borderId="0" applyBorder="0" applyProtection="0"/>
    <xf numFmtId="174" fontId="6" fillId="0" borderId="0" applyBorder="0" applyProtection="0"/>
    <xf numFmtId="174" fontId="6" fillId="0" borderId="0" applyBorder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10" fillId="56" borderId="0" applyNumberFormat="0" applyBorder="0" applyAlignment="0" applyProtection="0"/>
    <xf numFmtId="0" fontId="10" fillId="57" borderId="0" applyNumberFormat="0" applyBorder="0" applyAlignment="0" applyProtection="0"/>
    <xf numFmtId="0" fontId="10" fillId="58" borderId="0" applyNumberFormat="0" applyBorder="0" applyAlignment="0" applyProtection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4" borderId="29" applyNumberFormat="0" applyFon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</cellStyleXfs>
  <cellXfs count="155">
    <xf numFmtId="0" fontId="0" fillId="0" borderId="0" xfId="0"/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49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7" borderId="0" xfId="0" applyFont="1" applyFill="1"/>
    <xf numFmtId="0" fontId="2" fillId="7" borderId="2" xfId="0" applyFont="1" applyFill="1" applyBorder="1"/>
    <xf numFmtId="0" fontId="4" fillId="7" borderId="14" xfId="0" applyFont="1" applyFill="1" applyBorder="1"/>
    <xf numFmtId="0" fontId="4" fillId="7" borderId="2" xfId="0" applyFont="1" applyFill="1" applyBorder="1"/>
    <xf numFmtId="0" fontId="3" fillId="7" borderId="14" xfId="0" applyFont="1" applyFill="1" applyBorder="1"/>
    <xf numFmtId="0" fontId="2" fillId="7" borderId="14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vertical="center"/>
    </xf>
    <xf numFmtId="0" fontId="5" fillId="7" borderId="0" xfId="0" applyFont="1" applyFill="1"/>
    <xf numFmtId="0" fontId="5" fillId="7" borderId="0" xfId="0" applyFont="1" applyFill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right"/>
    </xf>
    <xf numFmtId="0" fontId="5" fillId="7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7" borderId="14" xfId="0" applyFont="1" applyFill="1" applyBorder="1" applyAlignment="1">
      <alignment horizontal="right"/>
    </xf>
    <xf numFmtId="0" fontId="2" fillId="7" borderId="15" xfId="0" applyFont="1" applyFill="1" applyBorder="1"/>
    <xf numFmtId="0" fontId="2" fillId="7" borderId="16" xfId="0" applyFont="1" applyFill="1" applyBorder="1"/>
    <xf numFmtId="0" fontId="2" fillId="7" borderId="17" xfId="0" applyFont="1" applyFill="1" applyBorder="1"/>
    <xf numFmtId="0" fontId="5" fillId="7" borderId="16" xfId="0" applyFont="1" applyFill="1" applyBorder="1"/>
    <xf numFmtId="0" fontId="2" fillId="6" borderId="0" xfId="0" applyFont="1" applyFill="1"/>
    <xf numFmtId="0" fontId="2" fillId="7" borderId="3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6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7" borderId="13" xfId="0" applyFont="1" applyFill="1" applyBorder="1"/>
    <xf numFmtId="0" fontId="4" fillId="6" borderId="0" xfId="0" applyFont="1" applyFill="1"/>
    <xf numFmtId="0" fontId="2" fillId="7" borderId="14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5" fillId="7" borderId="1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2" fillId="7" borderId="7" xfId="0" applyFont="1" applyFill="1" applyBorder="1" applyAlignment="1">
      <alignment vertical="center"/>
    </xf>
    <xf numFmtId="0" fontId="4" fillId="7" borderId="0" xfId="0" applyFont="1" applyFill="1" applyAlignment="1">
      <alignment horizontal="left" vertical="center"/>
    </xf>
    <xf numFmtId="167" fontId="2" fillId="6" borderId="0" xfId="0" applyNumberFormat="1" applyFont="1" applyFill="1" applyAlignment="1">
      <alignment horizontal="center"/>
    </xf>
    <xf numFmtId="167" fontId="2" fillId="7" borderId="12" xfId="0" applyNumberFormat="1" applyFont="1" applyFill="1" applyBorder="1" applyAlignment="1">
      <alignment horizontal="center"/>
    </xf>
    <xf numFmtId="167" fontId="2" fillId="7" borderId="0" xfId="0" applyNumberFormat="1" applyFont="1" applyFill="1" applyAlignment="1">
      <alignment horizontal="center"/>
    </xf>
    <xf numFmtId="167" fontId="2" fillId="7" borderId="0" xfId="0" applyNumberFormat="1" applyFont="1" applyFill="1" applyAlignment="1">
      <alignment horizontal="center" vertical="center"/>
    </xf>
    <xf numFmtId="167" fontId="2" fillId="6" borderId="0" xfId="0" applyNumberFormat="1" applyFont="1" applyFill="1" applyAlignment="1">
      <alignment horizontal="center" vertical="center"/>
    </xf>
    <xf numFmtId="167" fontId="2" fillId="7" borderId="12" xfId="0" applyNumberFormat="1" applyFont="1" applyFill="1" applyBorder="1" applyAlignment="1">
      <alignment horizontal="center" vertical="center"/>
    </xf>
    <xf numFmtId="167" fontId="2" fillId="7" borderId="16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2" fillId="7" borderId="16" xfId="0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5" fillId="6" borderId="0" xfId="0" applyFont="1" applyFill="1"/>
    <xf numFmtId="0" fontId="7" fillId="6" borderId="0" xfId="3" applyFont="1" applyFill="1" applyAlignment="1">
      <alignment horizontal="center"/>
    </xf>
    <xf numFmtId="0" fontId="5" fillId="7" borderId="16" xfId="0" applyFont="1" applyFill="1" applyBorder="1" applyAlignment="1">
      <alignment vertical="center"/>
    </xf>
    <xf numFmtId="0" fontId="3" fillId="6" borderId="0" xfId="0" applyFont="1" applyFill="1"/>
    <xf numFmtId="0" fontId="5" fillId="6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1" applyFont="1"/>
    <xf numFmtId="165" fontId="2" fillId="0" borderId="0" xfId="0" applyNumberFormat="1" applyFont="1"/>
    <xf numFmtId="166" fontId="5" fillId="0" borderId="0" xfId="1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8" fillId="9" borderId="1" xfId="3" applyNumberFormat="1" applyFont="1" applyFill="1" applyBorder="1" applyAlignment="1">
      <alignment horizontal="center" vertical="center" wrapText="1"/>
    </xf>
    <xf numFmtId="0" fontId="48" fillId="9" borderId="1" xfId="3" applyFont="1" applyFill="1" applyBorder="1" applyAlignment="1">
      <alignment vertical="center" wrapText="1"/>
    </xf>
    <xf numFmtId="0" fontId="48" fillId="9" borderId="1" xfId="3" applyFont="1" applyFill="1" applyBorder="1" applyAlignment="1">
      <alignment horizontal="left" vertical="center"/>
    </xf>
    <xf numFmtId="0" fontId="48" fillId="9" borderId="1" xfId="3" applyFont="1" applyFill="1" applyBorder="1" applyAlignment="1">
      <alignment horizontal="left" vertical="center" wrapText="1"/>
    </xf>
    <xf numFmtId="0" fontId="48" fillId="10" borderId="1" xfId="3" applyFont="1" applyFill="1" applyBorder="1" applyAlignment="1">
      <alignment vertical="center" wrapText="1"/>
    </xf>
    <xf numFmtId="0" fontId="48" fillId="10" borderId="1" xfId="3" applyFont="1" applyFill="1" applyBorder="1" applyAlignment="1">
      <alignment vertical="center"/>
    </xf>
    <xf numFmtId="167" fontId="48" fillId="10" borderId="1" xfId="3" applyNumberFormat="1" applyFont="1" applyFill="1" applyBorder="1" applyAlignment="1">
      <alignment horizontal="center" vertical="center"/>
    </xf>
    <xf numFmtId="0" fontId="48" fillId="10" borderId="1" xfId="3" applyFont="1" applyFill="1" applyBorder="1" applyAlignment="1">
      <alignment horizontal="center" vertical="center"/>
    </xf>
    <xf numFmtId="164" fontId="48" fillId="11" borderId="1" xfId="3" applyNumberFormat="1" applyFont="1" applyFill="1" applyBorder="1" applyAlignment="1">
      <alignment horizontal="center" vertical="center"/>
    </xf>
    <xf numFmtId="164" fontId="48" fillId="11" borderId="1" xfId="3" applyNumberFormat="1" applyFont="1" applyFill="1" applyBorder="1" applyAlignment="1">
      <alignment horizontal="center" vertical="center" wrapText="1"/>
    </xf>
    <xf numFmtId="0" fontId="48" fillId="12" borderId="1" xfId="3" applyFont="1" applyFill="1" applyBorder="1" applyAlignment="1">
      <alignment vertical="center" wrapText="1"/>
    </xf>
    <xf numFmtId="0" fontId="48" fillId="12" borderId="1" xfId="3" applyFont="1" applyFill="1" applyBorder="1" applyAlignment="1">
      <alignment horizontal="center" vertical="center"/>
    </xf>
    <xf numFmtId="0" fontId="48" fillId="12" borderId="1" xfId="3" applyFont="1" applyFill="1" applyBorder="1" applyAlignment="1">
      <alignment vertical="center"/>
    </xf>
    <xf numFmtId="0" fontId="48" fillId="13" borderId="1" xfId="3" applyFont="1" applyFill="1" applyBorder="1" applyAlignment="1">
      <alignment horizontal="center" vertical="center" wrapText="1"/>
    </xf>
    <xf numFmtId="0" fontId="48" fillId="13" borderId="2" xfId="3" applyFont="1" applyFill="1" applyBorder="1" applyAlignment="1">
      <alignment vertical="center" wrapText="1"/>
    </xf>
    <xf numFmtId="167" fontId="48" fillId="14" borderId="2" xfId="3" applyNumberFormat="1" applyFont="1" applyFill="1" applyBorder="1" applyAlignment="1">
      <alignment vertical="center" wrapText="1"/>
    </xf>
    <xf numFmtId="167" fontId="48" fillId="15" borderId="2" xfId="3" applyNumberFormat="1" applyFont="1" applyFill="1" applyBorder="1" applyAlignment="1">
      <alignment horizontal="center" vertical="center" wrapText="1"/>
    </xf>
    <xf numFmtId="0" fontId="48" fillId="15" borderId="2" xfId="3" applyFont="1" applyFill="1" applyBorder="1" applyAlignment="1">
      <alignment vertical="center" wrapText="1"/>
    </xf>
    <xf numFmtId="0" fontId="48" fillId="83" borderId="2" xfId="3" applyFont="1" applyFill="1" applyBorder="1" applyAlignment="1">
      <alignment horizontal="left" vertical="center" wrapText="1"/>
    </xf>
    <xf numFmtId="0" fontId="48" fillId="9" borderId="2" xfId="3" applyFont="1" applyFill="1" applyBorder="1" applyAlignment="1">
      <alignment horizontal="center" vertical="center" wrapText="1"/>
    </xf>
    <xf numFmtId="0" fontId="48" fillId="0" borderId="0" xfId="3" applyFont="1" applyAlignment="1">
      <alignment horizontal="center" vertical="center" wrapText="1"/>
    </xf>
    <xf numFmtId="0" fontId="48" fillId="0" borderId="0" xfId="3" applyFont="1" applyAlignment="1">
      <alignment vertical="center" wrapText="1"/>
    </xf>
    <xf numFmtId="0" fontId="48" fillId="16" borderId="1" xfId="3" applyFont="1" applyFill="1" applyBorder="1" applyAlignment="1">
      <alignment horizontal="center"/>
    </xf>
    <xf numFmtId="0" fontId="49" fillId="0" borderId="20" xfId="3" applyFont="1" applyBorder="1" applyAlignment="1">
      <alignment horizontal="center"/>
    </xf>
    <xf numFmtId="0" fontId="49" fillId="0" borderId="1" xfId="3" applyFont="1" applyBorder="1" applyAlignment="1">
      <alignment horizontal="center"/>
    </xf>
    <xf numFmtId="49" fontId="49" fillId="0" borderId="1" xfId="3" applyNumberFormat="1" applyFont="1" applyBorder="1"/>
    <xf numFmtId="0" fontId="49" fillId="0" borderId="1" xfId="3" applyFont="1" applyBorder="1" applyAlignment="1">
      <alignment horizontal="left"/>
    </xf>
    <xf numFmtId="0" fontId="49" fillId="17" borderId="1" xfId="3" applyFont="1" applyFill="1" applyBorder="1"/>
    <xf numFmtId="167" fontId="49" fillId="17" borderId="1" xfId="3" applyNumberFormat="1" applyFont="1" applyFill="1" applyBorder="1" applyAlignment="1">
      <alignment horizontal="center"/>
    </xf>
    <xf numFmtId="0" fontId="48" fillId="18" borderId="1" xfId="3" applyFont="1" applyFill="1" applyBorder="1"/>
    <xf numFmtId="0" fontId="49" fillId="19" borderId="1" xfId="3" applyFont="1" applyFill="1" applyBorder="1" applyAlignment="1">
      <alignment horizontal="center"/>
    </xf>
    <xf numFmtId="0" fontId="48" fillId="20" borderId="1" xfId="3" applyFont="1" applyFill="1" applyBorder="1"/>
    <xf numFmtId="0" fontId="49" fillId="21" borderId="1" xfId="3" applyFont="1" applyFill="1" applyBorder="1"/>
    <xf numFmtId="0" fontId="49" fillId="21" borderId="1" xfId="3" applyFont="1" applyFill="1" applyBorder="1" applyAlignment="1">
      <alignment horizontal="center"/>
    </xf>
    <xf numFmtId="0" fontId="48" fillId="22" borderId="1" xfId="3" applyFont="1" applyFill="1" applyBorder="1"/>
    <xf numFmtId="0" fontId="49" fillId="23" borderId="1" xfId="3" applyFont="1" applyFill="1" applyBorder="1" applyAlignment="1">
      <alignment horizontal="center"/>
    </xf>
    <xf numFmtId="0" fontId="48" fillId="24" borderId="1" xfId="3" applyFont="1" applyFill="1" applyBorder="1"/>
    <xf numFmtId="167" fontId="50" fillId="25" borderId="1" xfId="3" applyNumberFormat="1" applyFont="1" applyFill="1" applyBorder="1" applyAlignment="1">
      <alignment horizontal="center"/>
    </xf>
    <xf numFmtId="167" fontId="50" fillId="25" borderId="1" xfId="3" applyNumberFormat="1" applyFont="1" applyFill="1" applyBorder="1"/>
    <xf numFmtId="167" fontId="48" fillId="26" borderId="1" xfId="3" applyNumberFormat="1" applyFont="1" applyFill="1" applyBorder="1"/>
    <xf numFmtId="167" fontId="49" fillId="25" borderId="1" xfId="3" applyNumberFormat="1" applyFont="1" applyFill="1" applyBorder="1" applyAlignment="1">
      <alignment horizontal="center"/>
    </xf>
    <xf numFmtId="0" fontId="48" fillId="27" borderId="1" xfId="3" applyFont="1" applyFill="1" applyBorder="1"/>
    <xf numFmtId="0" fontId="49" fillId="0" borderId="1" xfId="3" applyFont="1" applyBorder="1"/>
    <xf numFmtId="0" fontId="49" fillId="0" borderId="0" xfId="4" applyFont="1" applyAlignment="1">
      <alignment horizontal="center"/>
    </xf>
    <xf numFmtId="0" fontId="49" fillId="0" borderId="0" xfId="4" applyFont="1"/>
    <xf numFmtId="167" fontId="48" fillId="14" borderId="2" xfId="3" applyNumberFormat="1" applyFont="1" applyFill="1" applyBorder="1" applyAlignment="1">
      <alignment horizontal="center" vertical="center" wrapText="1"/>
    </xf>
    <xf numFmtId="0" fontId="48" fillId="13" borderId="2" xfId="3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48" fillId="16" borderId="31" xfId="3" applyFont="1" applyFill="1" applyBorder="1" applyAlignment="1">
      <alignment horizontal="center"/>
    </xf>
    <xf numFmtId="0" fontId="2" fillId="0" borderId="0" xfId="0" applyFont="1" applyFill="1" applyBorder="1"/>
    <xf numFmtId="0" fontId="49" fillId="0" borderId="0" xfId="4" applyFont="1" applyFill="1" applyBorder="1" applyAlignment="1">
      <alignment horizontal="center"/>
    </xf>
    <xf numFmtId="0" fontId="49" fillId="0" borderId="0" xfId="4" applyFont="1" applyFill="1" applyBorder="1"/>
    <xf numFmtId="0" fontId="48" fillId="0" borderId="0" xfId="3" applyFont="1" applyFill="1" applyBorder="1" applyAlignment="1">
      <alignment horizontal="center"/>
    </xf>
    <xf numFmtId="0" fontId="49" fillId="0" borderId="0" xfId="3" applyFont="1" applyFill="1" applyBorder="1" applyAlignment="1">
      <alignment horizontal="center"/>
    </xf>
    <xf numFmtId="49" fontId="49" fillId="0" borderId="0" xfId="3" applyNumberFormat="1" applyFont="1" applyFill="1" applyBorder="1"/>
    <xf numFmtId="0" fontId="49" fillId="0" borderId="0" xfId="3" applyFont="1" applyFill="1" applyBorder="1" applyAlignment="1">
      <alignment horizontal="left"/>
    </xf>
    <xf numFmtId="0" fontId="49" fillId="0" borderId="0" xfId="3" applyFont="1" applyFill="1" applyBorder="1"/>
    <xf numFmtId="167" fontId="49" fillId="0" borderId="0" xfId="3" applyNumberFormat="1" applyFont="1" applyFill="1" applyBorder="1" applyAlignment="1">
      <alignment horizontal="center"/>
    </xf>
    <xf numFmtId="0" fontId="48" fillId="0" borderId="0" xfId="3" applyFont="1" applyFill="1" applyBorder="1"/>
    <xf numFmtId="167" fontId="50" fillId="0" borderId="0" xfId="3" applyNumberFormat="1" applyFont="1" applyFill="1" applyBorder="1" applyAlignment="1">
      <alignment horizontal="center"/>
    </xf>
    <xf numFmtId="167" fontId="50" fillId="0" borderId="0" xfId="3" applyNumberFormat="1" applyFont="1" applyFill="1" applyBorder="1"/>
    <xf numFmtId="167" fontId="48" fillId="0" borderId="0" xfId="3" applyNumberFormat="1" applyFont="1" applyFill="1" applyBorder="1"/>
  </cellXfs>
  <cellStyles count="16010">
    <cellStyle name="%" xfId="7667" xr:uid="{52B12D55-77AF-463C-A18A-9E3A232A5073}"/>
    <cellStyle name="20% - Énfasis1" xfId="22" builtinId="30" customBuiltin="1"/>
    <cellStyle name="20% - Énfasis1 2" xfId="45" xr:uid="{8939CA01-103C-4B57-9F2F-0E0CBD92B0FC}"/>
    <cellStyle name="20% - Énfasis1 3" xfId="46" xr:uid="{36329837-2260-44D9-892A-1E23F9998F8A}"/>
    <cellStyle name="20% - Énfasis1 4" xfId="47" xr:uid="{A9C6AED5-2A3E-44C3-BC18-1E35BCD47422}"/>
    <cellStyle name="20% - Énfasis1 5" xfId="48" xr:uid="{D5F4DD6A-9B7A-494E-A80D-776BD265F51C}"/>
    <cellStyle name="20% - Énfasis1 6" xfId="11802" xr:uid="{27A6813E-E9ED-423E-B1ED-1B16ECAF7F89}"/>
    <cellStyle name="20% - Énfasis2" xfId="26" builtinId="34" customBuiltin="1"/>
    <cellStyle name="20% - Énfasis2 2" xfId="49" xr:uid="{57BC9C89-CF18-40E6-B13B-B1A0E2C662B8}"/>
    <cellStyle name="20% - Énfasis2 3" xfId="50" xr:uid="{FC92A717-BEB1-4E94-AF08-D87D99F72519}"/>
    <cellStyle name="20% - Énfasis2 4" xfId="51" xr:uid="{733E9F0D-2C77-4179-B95C-E9B27C58951D}"/>
    <cellStyle name="20% - Énfasis2 5" xfId="52" xr:uid="{6BDEBF5F-C3F8-4CFE-A3BF-E75F49CAABB2}"/>
    <cellStyle name="20% - Énfasis2 6" xfId="11805" xr:uid="{776DFB6C-E39B-497C-9F41-2C87AA69F977}"/>
    <cellStyle name="20% - Énfasis3" xfId="30" builtinId="38" customBuiltin="1"/>
    <cellStyle name="20% - Énfasis3 2" xfId="53" xr:uid="{AB9561DB-DF18-4F80-9924-11CF28B85616}"/>
    <cellStyle name="20% - Énfasis3 3" xfId="54" xr:uid="{1F764D10-810E-4090-AFE7-10145598092C}"/>
    <cellStyle name="20% - Énfasis3 4" xfId="55" xr:uid="{9212C05D-FAC0-4EDE-8FEC-5549A4DD8747}"/>
    <cellStyle name="20% - Énfasis3 5" xfId="56" xr:uid="{C1EBD6E3-E80F-445B-AE28-67502124E768}"/>
    <cellStyle name="20% - Énfasis3 6" xfId="11808" xr:uid="{F0CD2989-A0D3-499D-B653-E8375B30491B}"/>
    <cellStyle name="20% - Énfasis4" xfId="34" builtinId="42" customBuiltin="1"/>
    <cellStyle name="20% - Énfasis4 2" xfId="57" xr:uid="{9F793EB5-6F4F-4163-878C-025BFD369B28}"/>
    <cellStyle name="20% - Énfasis4 3" xfId="58" xr:uid="{72838141-F096-4F8B-A8BA-22059AEAE127}"/>
    <cellStyle name="20% - Énfasis4 4" xfId="59" xr:uid="{C57CC7B0-A48D-414C-8B92-12A24478A3C4}"/>
    <cellStyle name="20% - Énfasis4 5" xfId="60" xr:uid="{EC1C67C4-2208-4AA5-8239-518EEE72BB44}"/>
    <cellStyle name="20% - Énfasis4 6" xfId="11811" xr:uid="{81269AF4-A7EA-4117-8198-54BE2A2B638B}"/>
    <cellStyle name="20% - Énfasis5" xfId="38" builtinId="46" customBuiltin="1"/>
    <cellStyle name="20% - Énfasis5 2" xfId="61" xr:uid="{AFAE9400-53B1-4FDA-99D5-159B10764AD8}"/>
    <cellStyle name="20% - Énfasis5 3" xfId="62" xr:uid="{E1BE0756-C046-4A43-B94C-8E6E855BFEC0}"/>
    <cellStyle name="20% - Énfasis5 4" xfId="63" xr:uid="{C85524F4-57C0-46C8-9A5C-496935EA23A0}"/>
    <cellStyle name="20% - Énfasis5 5" xfId="64" xr:uid="{9B82D8F0-8CD2-4043-9653-C28EF74D5111}"/>
    <cellStyle name="20% - Énfasis5 6" xfId="11814" xr:uid="{528A4D15-1BF7-4A34-85B4-7E58C6F90A33}"/>
    <cellStyle name="20% - Énfasis6" xfId="42" builtinId="50" customBuiltin="1"/>
    <cellStyle name="20% - Énfasis6 2" xfId="65" xr:uid="{772CC7D8-0CA2-4489-96F2-E8F4C40E1A31}"/>
    <cellStyle name="20% - Énfasis6 3" xfId="66" xr:uid="{84CC2E20-A98C-44BD-8734-53C5BDC3DCC9}"/>
    <cellStyle name="20% - Énfasis6 4" xfId="67" xr:uid="{01AD4056-82A0-4151-B390-BB29432A666B}"/>
    <cellStyle name="20% - Énfasis6 5" xfId="68" xr:uid="{B9028876-A1F3-45E8-A8A1-730951B01F39}"/>
    <cellStyle name="20% - Énfasis6 6" xfId="11817" xr:uid="{FC06A051-E9D1-4EC0-89FE-529EB10C586D}"/>
    <cellStyle name="40% - Énfasis1" xfId="23" builtinId="31" customBuiltin="1"/>
    <cellStyle name="40% - Énfasis1 2" xfId="69" xr:uid="{824665C7-D985-4D51-8762-FE956DEB1D42}"/>
    <cellStyle name="40% - Énfasis1 2 2" xfId="7871" xr:uid="{F69906A4-2DB1-43EA-8C3A-4F0DB96382FD}"/>
    <cellStyle name="40% - Énfasis1 2 3" xfId="9256" xr:uid="{253707E1-6225-4606-93D8-97EFA984DF74}"/>
    <cellStyle name="40% - Énfasis1 3" xfId="70" xr:uid="{E2F26E69-2D50-4053-8712-9CB2DE43BA6E}"/>
    <cellStyle name="40% - Énfasis1 3 2" xfId="7872" xr:uid="{9282F082-872C-497E-9486-052BD4946518}"/>
    <cellStyle name="40% - Énfasis1 3 3" xfId="9257" xr:uid="{371C281D-48F2-4A2A-A83E-8DBE142ED2B3}"/>
    <cellStyle name="40% - Énfasis1 4" xfId="71" xr:uid="{B179F15B-F4FC-4AD9-A83D-2C905BE11A5B}"/>
    <cellStyle name="40% - Énfasis1 4 2" xfId="7873" xr:uid="{54FEE458-E1E6-48BB-9B05-412FB89CF261}"/>
    <cellStyle name="40% - Énfasis1 4 3" xfId="9252" xr:uid="{0D07FBF5-569E-4C07-B691-F8A2444E3439}"/>
    <cellStyle name="40% - Énfasis1 5" xfId="72" xr:uid="{83991DB3-8824-4D72-9572-6AC03729B451}"/>
    <cellStyle name="40% - Énfasis1 5 2" xfId="7874" xr:uid="{3F2AF25A-FFA7-4770-B7B6-5B1DF20F1FB2}"/>
    <cellStyle name="40% - Énfasis1 5 3" xfId="9253" xr:uid="{C9DCF2A3-0363-4C40-ADEF-F18B587393CD}"/>
    <cellStyle name="40% - Énfasis1 6" xfId="11803" xr:uid="{829802AD-BA5F-4B2D-924A-C45E87F214C2}"/>
    <cellStyle name="40% - Énfasis2" xfId="27" builtinId="35" customBuiltin="1"/>
    <cellStyle name="40% - Énfasis2 2" xfId="73" xr:uid="{83D6D404-60F9-45D2-9A8F-14A4489349CA}"/>
    <cellStyle name="40% - Énfasis2 3" xfId="74" xr:uid="{457D6A4E-E776-4BEB-AAE8-36C00FEBCFAB}"/>
    <cellStyle name="40% - Énfasis2 4" xfId="75" xr:uid="{D989C966-BEEE-4F61-98FC-D39C20D49E60}"/>
    <cellStyle name="40% - Énfasis2 5" xfId="76" xr:uid="{001A059A-3671-4E34-94B2-0ED0349998B9}"/>
    <cellStyle name="40% - Énfasis2 6" xfId="11806" xr:uid="{A71FEDA3-2E50-419B-B968-4D25C6F0DDA3}"/>
    <cellStyle name="40% - Énfasis3" xfId="31" builtinId="39" customBuiltin="1"/>
    <cellStyle name="40% - Énfasis3 2" xfId="77" xr:uid="{6E62440F-113B-4E9C-9958-B33D42C47651}"/>
    <cellStyle name="40% - Énfasis3 2 2" xfId="7875" xr:uid="{73DC5A5D-A05F-4D98-9DCD-33A9AFAF30CA}"/>
    <cellStyle name="40% - Énfasis3 2 3" xfId="9254" xr:uid="{23418784-82F7-4685-9920-26E3130DCDD7}"/>
    <cellStyle name="40% - Énfasis3 3" xfId="78" xr:uid="{55F25650-B913-4BDC-B2A3-4BC7C8EF1E79}"/>
    <cellStyle name="40% - Énfasis3 3 2" xfId="7876" xr:uid="{89FC72A8-40F4-479E-9EBC-ECCD7DCB648A}"/>
    <cellStyle name="40% - Énfasis3 3 3" xfId="9255" xr:uid="{64D116AB-55BA-4129-A75C-87F5A2C54536}"/>
    <cellStyle name="40% - Énfasis3 4" xfId="79" xr:uid="{E73F202F-4CE7-4E54-849E-8505C32000BF}"/>
    <cellStyle name="40% - Énfasis3 4 2" xfId="7877" xr:uid="{5F377DB3-EEDA-44EB-9ABF-82616AAD92D7}"/>
    <cellStyle name="40% - Énfasis3 4 3" xfId="9258" xr:uid="{C3D80E92-1F8E-45A1-B10A-47ED8B49C5D9}"/>
    <cellStyle name="40% - Énfasis3 5" xfId="80" xr:uid="{843CAA9C-522C-494D-A1E6-98D3A1CE3464}"/>
    <cellStyle name="40% - Énfasis3 5 2" xfId="7878" xr:uid="{FCF511E2-25CE-4E1A-9818-116005DD5BC3}"/>
    <cellStyle name="40% - Énfasis3 5 3" xfId="9259" xr:uid="{2D722D2A-67A3-4B71-960C-EB7A86EB4FA2}"/>
    <cellStyle name="40% - Énfasis3 6" xfId="11809" xr:uid="{775840FE-5FB6-4374-AE71-2E117933078E}"/>
    <cellStyle name="40% - Énfasis4" xfId="35" builtinId="43" customBuiltin="1"/>
    <cellStyle name="40% - Énfasis4 2" xfId="81" xr:uid="{C7AFBED1-B634-4F2B-89ED-F87A4BCABEF6}"/>
    <cellStyle name="40% - Énfasis4 2 2" xfId="7879" xr:uid="{C8083135-928F-4499-8179-F162FA48176E}"/>
    <cellStyle name="40% - Énfasis4 2 3" xfId="9260" xr:uid="{59E13BB2-7321-40B6-8F1D-677D70A4EB89}"/>
    <cellStyle name="40% - Énfasis4 3" xfId="82" xr:uid="{33C07626-63B0-4944-BD66-4B7561B1374D}"/>
    <cellStyle name="40% - Énfasis4 3 2" xfId="7880" xr:uid="{C58FF87E-D1ED-471F-B546-D2663379FFB7}"/>
    <cellStyle name="40% - Énfasis4 3 3" xfId="9261" xr:uid="{993C2F24-063A-4457-94B5-6FE51C9F28D8}"/>
    <cellStyle name="40% - Énfasis4 4" xfId="83" xr:uid="{FC2C3275-91E8-4D1A-8586-257E977D48A6}"/>
    <cellStyle name="40% - Énfasis4 4 2" xfId="7881" xr:uid="{21CA5059-A9AC-4832-BA10-D273896F5CAB}"/>
    <cellStyle name="40% - Énfasis4 4 3" xfId="9274" xr:uid="{E1279401-A05B-4580-80A2-4BBFD4157191}"/>
    <cellStyle name="40% - Énfasis4 5" xfId="84" xr:uid="{0A860883-AAB6-4462-94B7-27A2982C1BD4}"/>
    <cellStyle name="40% - Énfasis4 5 2" xfId="7882" xr:uid="{48B12BCE-EC8C-4F72-A902-F33B3ABE2B4D}"/>
    <cellStyle name="40% - Énfasis4 5 3" xfId="9275" xr:uid="{4B1A1ADA-013C-4A06-99EE-0B9AAD3DCC33}"/>
    <cellStyle name="40% - Énfasis4 6" xfId="11812" xr:uid="{A6B41CFB-2801-437E-897E-595333F4BD68}"/>
    <cellStyle name="40% - Énfasis5" xfId="39" builtinId="47" customBuiltin="1"/>
    <cellStyle name="40% - Énfasis5 2" xfId="85" xr:uid="{12CE75BA-67CD-4FA5-B8C4-41B0B9B1CD6F}"/>
    <cellStyle name="40% - Énfasis5 2 2" xfId="7883" xr:uid="{E21301A1-9D08-411C-997B-22B192010BA9}"/>
    <cellStyle name="40% - Énfasis5 2 3" xfId="9276" xr:uid="{D6AC00CB-338D-4942-901A-B7F2B134ED71}"/>
    <cellStyle name="40% - Énfasis5 3" xfId="86" xr:uid="{AB90EC8B-F6E5-4877-AA6A-2F1DB7B80CF1}"/>
    <cellStyle name="40% - Énfasis5 3 2" xfId="7884" xr:uid="{158900AF-EAF4-4EA0-82CC-FAC738B613AA}"/>
    <cellStyle name="40% - Énfasis5 3 3" xfId="9277" xr:uid="{B07DD56A-3F02-49A7-945D-69D412DA9BFF}"/>
    <cellStyle name="40% - Énfasis5 4" xfId="87" xr:uid="{26688DAF-A13F-43CB-A983-C57B2F92FB43}"/>
    <cellStyle name="40% - Énfasis5 4 2" xfId="7885" xr:uid="{972C63D5-53C0-4E9F-99E9-E71269C5A293}"/>
    <cellStyle name="40% - Énfasis5 4 3" xfId="9278" xr:uid="{F6B97A27-30C3-4587-9EE3-8610DBF9FE67}"/>
    <cellStyle name="40% - Énfasis5 5" xfId="88" xr:uid="{1A197CB5-4C8B-4E0C-B661-0818A4AEE547}"/>
    <cellStyle name="40% - Énfasis5 5 2" xfId="7886" xr:uid="{10A9B3FC-8562-4E7E-99E2-3566CC76FC51}"/>
    <cellStyle name="40% - Énfasis5 5 3" xfId="9279" xr:uid="{6BED69C5-DEF3-4178-BFFF-A4B0AA879BB0}"/>
    <cellStyle name="40% - Énfasis5 6" xfId="11815" xr:uid="{6C553ABE-A20D-47BD-B63E-BCE20EC06A11}"/>
    <cellStyle name="40% - Énfasis6" xfId="43" builtinId="51" customBuiltin="1"/>
    <cellStyle name="40% - Énfasis6 2" xfId="89" xr:uid="{17616078-7160-46C2-9AFA-56BE0B53B733}"/>
    <cellStyle name="40% - Énfasis6 3" xfId="90" xr:uid="{308921C9-EEA3-4B74-BD2C-C65D5BF58404}"/>
    <cellStyle name="40% - Énfasis6 4" xfId="91" xr:uid="{6189F2F2-E7EF-4B36-A162-E77FE914C49D}"/>
    <cellStyle name="40% - Énfasis6 5" xfId="92" xr:uid="{91ED1504-DFEB-4E52-B14C-9F54F84DED04}"/>
    <cellStyle name="40% - Énfasis6 6" xfId="11818" xr:uid="{E6B6F83E-4774-47AC-A5BD-3874C1DC7FC8}"/>
    <cellStyle name="60% - Énfasis1" xfId="24" builtinId="32" customBuiltin="1"/>
    <cellStyle name="60% - Énfasis1 2" xfId="93" xr:uid="{24CF1111-9E93-4C33-87BF-1C9607DF986C}"/>
    <cellStyle name="60% - Énfasis1 2 2" xfId="7887" xr:uid="{2DBBE6EC-E751-4CFE-B4CF-F826932DC251}"/>
    <cellStyle name="60% - Énfasis1 2 3" xfId="9280" xr:uid="{0B2953CF-AC26-48C1-98C0-31D0DCD0DE1E}"/>
    <cellStyle name="60% - Énfasis1 3" xfId="94" xr:uid="{82B42144-24D8-415D-894F-666517B95F07}"/>
    <cellStyle name="60% - Énfasis1 3 2" xfId="7888" xr:uid="{6C1FFAD7-3EDC-440B-80AF-4C446647DA2F}"/>
    <cellStyle name="60% - Énfasis1 3 3" xfId="9282" xr:uid="{A55F90F5-E540-40B9-81E5-7463AA820A7F}"/>
    <cellStyle name="60% - Énfasis1 4" xfId="95" xr:uid="{41E03352-2917-4A84-A247-010C4A80C0E4}"/>
    <cellStyle name="60% - Énfasis1 4 2" xfId="7889" xr:uid="{4901143A-9DF0-4F83-B7B3-CB07B19975E9}"/>
    <cellStyle name="60% - Énfasis1 4 3" xfId="9283" xr:uid="{CFF25D17-BC28-44E1-A6F4-A8A8EC13355D}"/>
    <cellStyle name="60% - Énfasis1 5" xfId="96" xr:uid="{755F5239-3A60-46F5-B5EC-546E0A7AB1B0}"/>
    <cellStyle name="60% - Énfasis1 5 2" xfId="7890" xr:uid="{6439B327-5974-42B5-876E-30D62820D1FE}"/>
    <cellStyle name="60% - Énfasis1 5 3" xfId="9284" xr:uid="{6F6014E7-2BFA-4DCD-828A-65F2013156BC}"/>
    <cellStyle name="60% - Énfasis1 6" xfId="11804" xr:uid="{778F08BC-BD29-407C-BBE5-580BB40AEE50}"/>
    <cellStyle name="60% - Énfasis2" xfId="28" builtinId="36" customBuiltin="1"/>
    <cellStyle name="60% - Énfasis2 2" xfId="97" xr:uid="{5851D2FD-402E-4E44-A90A-94DE330C9B4E}"/>
    <cellStyle name="60% - Énfasis2 3" xfId="98" xr:uid="{48D2A86B-17A5-45E4-ACA7-D4E93A3816B2}"/>
    <cellStyle name="60% - Énfasis2 4" xfId="99" xr:uid="{BD6ECD70-F702-401C-8CD7-A20251C3256C}"/>
    <cellStyle name="60% - Énfasis2 5" xfId="100" xr:uid="{6C8BF633-CF18-4567-8E3A-6712D7EB3E42}"/>
    <cellStyle name="60% - Énfasis2 6" xfId="11807" xr:uid="{765A84A2-0302-4404-B833-43C8E9DD472E}"/>
    <cellStyle name="60% - Énfasis3" xfId="32" builtinId="40" customBuiltin="1"/>
    <cellStyle name="60% - Énfasis3 2" xfId="101" xr:uid="{BBDF5109-5A78-4D1A-BD51-96CCCC0B4E9E}"/>
    <cellStyle name="60% - Énfasis3 3" xfId="102" xr:uid="{61ABFD68-94A8-40C3-BABB-E06B10FA453C}"/>
    <cellStyle name="60% - Énfasis3 4" xfId="103" xr:uid="{52133231-CA52-47D3-B977-61F6095E6A71}"/>
    <cellStyle name="60% - Énfasis3 5" xfId="104" xr:uid="{7169867F-D916-40E6-B5F0-AB725FFACA32}"/>
    <cellStyle name="60% - Énfasis3 6" xfId="11810" xr:uid="{9F9D81E2-285B-4E56-8256-8A6DBBEA58AB}"/>
    <cellStyle name="60% - Énfasis4" xfId="36" builtinId="44" customBuiltin="1"/>
    <cellStyle name="60% - Énfasis4 2" xfId="105" xr:uid="{D1F09515-FAF7-4C46-962D-66FAA06D8BA0}"/>
    <cellStyle name="60% - Énfasis4 2 2" xfId="7891" xr:uid="{5DDACF33-A529-469C-A6EA-F199131EDCBD}"/>
    <cellStyle name="60% - Énfasis4 2 3" xfId="9281" xr:uid="{199BC6D1-97BF-4A82-B2AE-7D853BABA943}"/>
    <cellStyle name="60% - Énfasis4 3" xfId="106" xr:uid="{4F332F61-7EF0-47FC-9F1A-966952519F69}"/>
    <cellStyle name="60% - Énfasis4 3 2" xfId="7892" xr:uid="{57A7975F-B55D-4E58-8BA9-DD035C868CFD}"/>
    <cellStyle name="60% - Énfasis4 3 3" xfId="9285" xr:uid="{13EFD987-8D61-48C6-95AC-FC008EECAED3}"/>
    <cellStyle name="60% - Énfasis4 4" xfId="107" xr:uid="{7BB536E1-1CD0-42D1-80F7-A02ECA89EDF8}"/>
    <cellStyle name="60% - Énfasis4 4 2" xfId="7893" xr:uid="{D08F4591-9847-4D88-A6D9-FF40C4CDEEA1}"/>
    <cellStyle name="60% - Énfasis4 4 3" xfId="9262" xr:uid="{DA8F937B-D7BD-4B5E-BD18-CDEDB3E66687}"/>
    <cellStyle name="60% - Énfasis4 5" xfId="108" xr:uid="{A206EF5F-29D7-45B2-A078-ECDB3F1A3E97}"/>
    <cellStyle name="60% - Énfasis4 5 2" xfId="7894" xr:uid="{4659A6EE-CF7E-4928-AC30-5BAF37CC4F7A}"/>
    <cellStyle name="60% - Énfasis4 5 3" xfId="9263" xr:uid="{17841057-3394-4FC2-B957-23F6F11D9478}"/>
    <cellStyle name="60% - Énfasis4 6" xfId="11813" xr:uid="{BC5B6FF4-DD76-4EF5-99FD-AE5E9CED7A62}"/>
    <cellStyle name="60% - Énfasis5" xfId="40" builtinId="48" customBuiltin="1"/>
    <cellStyle name="60% - Énfasis5 2" xfId="109" xr:uid="{C91BD303-75F6-4B6C-BD5D-9FFE9994440B}"/>
    <cellStyle name="60% - Énfasis5 2 2" xfId="7895" xr:uid="{E85816FB-6432-4687-B1B8-072CC79F5CFD}"/>
    <cellStyle name="60% - Énfasis5 2 3" xfId="9264" xr:uid="{ABAD9A54-92C6-42BC-86E9-17872386B17B}"/>
    <cellStyle name="60% - Énfasis5 3" xfId="110" xr:uid="{B0F37F21-698E-47FC-B224-55751762D2C3}"/>
    <cellStyle name="60% - Énfasis5 3 2" xfId="7896" xr:uid="{997CB244-5D5F-4E8F-853E-D20A810CDC6C}"/>
    <cellStyle name="60% - Énfasis5 3 3" xfId="9267" xr:uid="{D603582E-35AB-4588-9723-4B5F91865318}"/>
    <cellStyle name="60% - Énfasis5 4" xfId="111" xr:uid="{D88AD5AA-B098-42FA-9C00-28FB3F169991}"/>
    <cellStyle name="60% - Énfasis5 4 2" xfId="7897" xr:uid="{5083C587-3B60-40C3-9184-C1A7C6A13635}"/>
    <cellStyle name="60% - Énfasis5 4 3" xfId="9268" xr:uid="{EC71884E-8902-4990-96AA-B94638216ACD}"/>
    <cellStyle name="60% - Énfasis5 5" xfId="112" xr:uid="{D963085E-B68A-4E9D-83B1-6D2A8551A417}"/>
    <cellStyle name="60% - Énfasis5 5 2" xfId="7898" xr:uid="{F47244C9-0CC2-494E-B555-E34BB0910439}"/>
    <cellStyle name="60% - Énfasis5 5 3" xfId="9269" xr:uid="{2A6E6437-9045-4F85-9F65-C267244B0A8C}"/>
    <cellStyle name="60% - Énfasis5 6" xfId="11816" xr:uid="{185D67D6-8F96-44CE-8D4B-69309ACA3B03}"/>
    <cellStyle name="60% - Énfasis6" xfId="44" builtinId="52" customBuiltin="1"/>
    <cellStyle name="60% - Énfasis6 2" xfId="113" xr:uid="{A9E04B74-966E-43FC-A653-B720646ACC15}"/>
    <cellStyle name="60% - Énfasis6 3" xfId="114" xr:uid="{CA332949-27BD-4FB2-83D1-A3A558D392FA}"/>
    <cellStyle name="60% - Énfasis6 4" xfId="115" xr:uid="{717CFD8B-A2E9-4147-A0EE-4885F0E5375B}"/>
    <cellStyle name="60% - Énfasis6 5" xfId="116" xr:uid="{65AAA1D8-5549-43EF-A28B-70A336A7E9C0}"/>
    <cellStyle name="60% - Énfasis6 6" xfId="11819" xr:uid="{320D808E-2E5D-40A2-A1C8-DE3FA595F3E7}"/>
    <cellStyle name="Buena 2" xfId="117" xr:uid="{0015B12C-CCE1-40A2-AD2B-4F6F34806CE7}"/>
    <cellStyle name="Buena 3" xfId="118" xr:uid="{0D9D2B3F-8DAF-46F4-857E-D098F1A2954A}"/>
    <cellStyle name="Buena 4" xfId="119" xr:uid="{14D78CA8-2133-4813-A229-A4ECD7AEE1B8}"/>
    <cellStyle name="Buena 5" xfId="120" xr:uid="{AB399370-AEC2-4B81-9F5E-E68112824E33}"/>
    <cellStyle name="Bueno" xfId="10" builtinId="26" customBuiltin="1"/>
    <cellStyle name="Cálculo" xfId="15" builtinId="22" customBuiltin="1"/>
    <cellStyle name="Cálculo 2" xfId="129" xr:uid="{6CC2D844-D8D8-4B24-AF81-C6DAC025EDA5}"/>
    <cellStyle name="Cálculo 3" xfId="130" xr:uid="{2ACCE4C9-A630-4368-87D0-CBC55D4CCB4E}"/>
    <cellStyle name="Cálculo 4" xfId="131" xr:uid="{09261C49-F62B-4227-8A13-3F61BEFC6640}"/>
    <cellStyle name="Cálculo 5" xfId="132" xr:uid="{E20C60F3-6D94-453D-B029-6CF043B9E779}"/>
    <cellStyle name="Celda de comprobación" xfId="17" builtinId="23" customBuiltin="1"/>
    <cellStyle name="Celda de comprobación 2" xfId="121" xr:uid="{2D6D1C00-CCF0-4EB6-B20D-C990A60D09ED}"/>
    <cellStyle name="Celda de comprobación 2 2" xfId="7899" xr:uid="{3D39C9AF-06F1-4079-B82B-CAC99DD48CB1}"/>
    <cellStyle name="Celda de comprobación 2 3" xfId="9270" xr:uid="{C4E716D1-BE52-4597-9391-3DD0704D2672}"/>
    <cellStyle name="Celda de comprobación 3" xfId="122" xr:uid="{4437A808-9CC9-4BAF-BECA-A1CFFDF31D55}"/>
    <cellStyle name="Celda de comprobación 3 2" xfId="7900" xr:uid="{80665557-0973-4910-ADEA-3160A5E1C81D}"/>
    <cellStyle name="Celda de comprobación 3 3" xfId="9271" xr:uid="{BFB18B35-6D93-416E-8FE2-22AC0FAEF4F2}"/>
    <cellStyle name="Celda de comprobación 4" xfId="123" xr:uid="{8C21655D-14C0-4104-ADD2-AAD781019CB3}"/>
    <cellStyle name="Celda de comprobación 4 2" xfId="7901" xr:uid="{1725E5C5-9409-4400-A2D0-2633C10C8273}"/>
    <cellStyle name="Celda de comprobación 4 3" xfId="9272" xr:uid="{3B5DB5F2-B441-4E0E-916D-C8857C5FA188}"/>
    <cellStyle name="Celda de comprobación 5" xfId="124" xr:uid="{01D18BAD-4B12-4947-ADCE-EDC2CA7C5388}"/>
    <cellStyle name="Celda de comprobación 5 2" xfId="7902" xr:uid="{8954B442-5F27-4842-A4E0-67185D006094}"/>
    <cellStyle name="Celda de comprobación 5 3" xfId="9273" xr:uid="{9542FF6D-E0FB-4966-BBCB-B2A75D242FC9}"/>
    <cellStyle name="Celda vinculada" xfId="16" builtinId="24" customBuiltin="1"/>
    <cellStyle name="Celda vinculada 2" xfId="125" xr:uid="{6F71C367-940F-4B8F-A789-BFE9089F3D66}"/>
    <cellStyle name="Celda vinculada 3" xfId="126" xr:uid="{769CC3A9-41DC-4F3E-985A-437C4EC68FA4}"/>
    <cellStyle name="Celda vinculada 4" xfId="127" xr:uid="{0123938F-972E-4516-9F6A-E3BD8116FF72}"/>
    <cellStyle name="Celda vinculada 5" xfId="128" xr:uid="{DBD4791F-5A38-47A9-B3D7-1AA0326E925A}"/>
    <cellStyle name="Encabezado 1" xfId="6" builtinId="16" customBuiltin="1"/>
    <cellStyle name="Encabezado 4" xfId="9" builtinId="19" customBuiltin="1"/>
    <cellStyle name="Encabezado 4 2" xfId="133" xr:uid="{5C1A78D4-4242-4B81-A6A2-1CC7B7AFF661}"/>
    <cellStyle name="Encabezado 4 3" xfId="134" xr:uid="{C87F00F7-9256-4C3C-82E5-71B6F8E57A3E}"/>
    <cellStyle name="Encabezado 4 4" xfId="135" xr:uid="{4F738686-AD06-4B2F-8C52-645AF070461B}"/>
    <cellStyle name="Encabezado 4 5" xfId="136" xr:uid="{F02BBF60-BFC0-4A34-81A9-2E0F9D40C9F5}"/>
    <cellStyle name="Énfasis1" xfId="21" builtinId="29" customBuiltin="1"/>
    <cellStyle name="Énfasis1 2" xfId="7474" xr:uid="{25024067-058A-44BE-BA83-5EF90BE3CE87}"/>
    <cellStyle name="Énfasis1 3" xfId="7475" xr:uid="{62E1BBBC-5879-4B20-89FD-CD9845CC798B}"/>
    <cellStyle name="Énfasis1 4" xfId="7476" xr:uid="{63F159EC-5213-4CA3-8062-ADFF53B457BB}"/>
    <cellStyle name="Énfasis1 5" xfId="7477" xr:uid="{94F62F37-B95E-42D4-A14E-81813A103906}"/>
    <cellStyle name="Énfasis2" xfId="25" builtinId="33" customBuiltin="1"/>
    <cellStyle name="Énfasis2 2" xfId="7478" xr:uid="{DFCD9C37-64B1-463B-8924-E2FA9114B0F3}"/>
    <cellStyle name="Énfasis2 3" xfId="7479" xr:uid="{5FFD7908-D88C-4242-BC14-7AB812C9561B}"/>
    <cellStyle name="Énfasis2 4" xfId="7480" xr:uid="{508578A4-F6B9-438B-BE5D-CE89F5885669}"/>
    <cellStyle name="Énfasis2 5" xfId="7481" xr:uid="{19359F5D-88D5-405C-962E-ECE4692F598D}"/>
    <cellStyle name="Énfasis3" xfId="29" builtinId="37" customBuiltin="1"/>
    <cellStyle name="Énfasis3 2" xfId="7482" xr:uid="{A5BADD38-77CB-4976-95B0-68C364F3BBAD}"/>
    <cellStyle name="Énfasis3 3" xfId="7483" xr:uid="{1BE0642F-4CAE-4C60-8310-E56FD5C0F7F4}"/>
    <cellStyle name="Énfasis3 4" xfId="7484" xr:uid="{B0B04C76-4CC4-45B3-B4A9-E23E7E59FFCD}"/>
    <cellStyle name="Énfasis3 5" xfId="7485" xr:uid="{8C9C734D-0049-418D-B444-D9A89C6486CE}"/>
    <cellStyle name="Énfasis4" xfId="33" builtinId="41" customBuiltin="1"/>
    <cellStyle name="Énfasis4 2" xfId="7486" xr:uid="{ACDEA7A1-6C41-4EF2-9955-F36E8563E9D7}"/>
    <cellStyle name="Énfasis4 3" xfId="7487" xr:uid="{667077DF-26BA-4CDE-A192-1A61780A7466}"/>
    <cellStyle name="Énfasis4 4" xfId="7488" xr:uid="{47C0406D-E4CF-46BA-ACE3-1007BF7ECCC4}"/>
    <cellStyle name="Énfasis4 5" xfId="7489" xr:uid="{EA263945-D015-4850-87E7-DC0118617E8A}"/>
    <cellStyle name="Énfasis5" xfId="37" builtinId="45" customBuiltin="1"/>
    <cellStyle name="Énfasis5 2" xfId="7490" xr:uid="{B2BA00E7-79BC-4BE4-BE1D-568582A335E6}"/>
    <cellStyle name="Énfasis5 3" xfId="7491" xr:uid="{55A38E9A-2D51-4815-9EEF-319DB66B1182}"/>
    <cellStyle name="Énfasis5 4" xfId="7492" xr:uid="{F36CA3F3-E20F-4C86-8E2C-D22D150C0E55}"/>
    <cellStyle name="Énfasis5 5" xfId="7493" xr:uid="{EF182ECF-FC38-4D80-A844-12F72A4902D4}"/>
    <cellStyle name="Énfasis6" xfId="41" builtinId="49" customBuiltin="1"/>
    <cellStyle name="Énfasis6 2" xfId="7494" xr:uid="{C174B1A8-DC1F-4D38-9885-D1D91A4F62E5}"/>
    <cellStyle name="Énfasis6 3" xfId="7495" xr:uid="{88CB2F3C-F681-40C4-95FA-6DE1646B0532}"/>
    <cellStyle name="Énfasis6 4" xfId="7496" xr:uid="{3CD8E329-E4F6-4A8B-ABD0-D8CD7D0CDCFB}"/>
    <cellStyle name="Énfasis6 5" xfId="7497" xr:uid="{523246FC-C711-4D5F-95A4-D59D66F9A94B}"/>
    <cellStyle name="Entrada" xfId="13" builtinId="20" customBuiltin="1"/>
    <cellStyle name="Entrada 2" xfId="137" xr:uid="{B5190DBD-CFCC-454E-948E-F0447258CBAD}"/>
    <cellStyle name="Entrada 3" xfId="138" xr:uid="{DE23D1A3-FFE6-4A7A-B73A-66987381689F}"/>
    <cellStyle name="Entrada 4" xfId="139" xr:uid="{AD6DE073-1D7F-42C6-B668-EBBA205849F0}"/>
    <cellStyle name="Entrada 5" xfId="140" xr:uid="{09093B20-99BC-4CE7-B44F-BAA702C75B15}"/>
    <cellStyle name="Excel Built-in ColLevel_0" xfId="7499" xr:uid="{3A537A64-2390-466A-ABC5-485EC71DD109}"/>
    <cellStyle name="Excel Built-in Explanatory Text 2" xfId="7498" xr:uid="{D1BA970D-78A2-4A40-97A7-6C6DC25FD68B}"/>
    <cellStyle name="Explanatory Text 2" xfId="141" xr:uid="{7B07F87C-24FB-42E9-AB7C-FDB0C585FEAE}"/>
    <cellStyle name="Hipervínculo 10" xfId="7622" xr:uid="{32131534-D203-45B5-BC53-0BA6F441AFAB}"/>
    <cellStyle name="Hipervínculo 11" xfId="7635" xr:uid="{F7464155-9C23-4B0A-8728-ECB83BABADFC}"/>
    <cellStyle name="Hipervínculo 12" xfId="7644" xr:uid="{160F544E-C308-4B6F-B665-8C3D82244428}"/>
    <cellStyle name="Hipervínculo 13" xfId="7701" xr:uid="{6983064C-E82E-478E-8E16-6C21C80D2B41}"/>
    <cellStyle name="Hipervínculo 2" xfId="142" xr:uid="{88E63600-D392-47F1-A319-28CD7709431B}"/>
    <cellStyle name="Hipervínculo 2 10" xfId="9621" xr:uid="{CC3396D5-13FE-4DC3-9DEB-0C3D34C76DA0}"/>
    <cellStyle name="Hipervínculo 2 11" xfId="11669" xr:uid="{F8492B92-488B-4857-9BA1-36235FA4F66E}"/>
    <cellStyle name="Hipervínculo 2 2" xfId="143" xr:uid="{7D52713B-081C-4775-977A-1B696233377A}"/>
    <cellStyle name="Hipervínculo 2 2 2" xfId="7649" xr:uid="{D07E4279-C897-45A9-A315-F3B638869CA4}"/>
    <cellStyle name="Hipervínculo 2 2 3" xfId="9622" xr:uid="{23E40598-5E79-4BA5-A82C-CF1E84D20F7E}"/>
    <cellStyle name="Hipervínculo 2 3" xfId="144" xr:uid="{3950E336-C8C6-4420-A6F6-E7ADD3A7A9BB}"/>
    <cellStyle name="Hipervínculo 2 3 2" xfId="145" xr:uid="{0118EDDA-A10A-4FB5-87BA-18DC4759BB3E}"/>
    <cellStyle name="Hipervínculo 2 3 3" xfId="146" xr:uid="{B4E40C41-2602-47E6-B40B-954966D05E8A}"/>
    <cellStyle name="Hipervínculo 2 3 4" xfId="7668" xr:uid="{851DF3B3-ABD2-4F2F-86A5-F6244FC10D4A}"/>
    <cellStyle name="Hipervínculo 2 4" xfId="147" xr:uid="{82A2FA49-A1C8-47D5-82B9-65C9895EB594}"/>
    <cellStyle name="Hipervínculo 2 4 2" xfId="148" xr:uid="{03D689CF-5280-41FA-AD13-D0C13A56D8BF}"/>
    <cellStyle name="Hipervínculo 2 5" xfId="149" xr:uid="{DBE6DF0F-D892-4D49-9323-0E770905D159}"/>
    <cellStyle name="Hipervínculo 2 6" xfId="150" xr:uid="{CF2CF4A9-9214-474B-BAFC-80D4EEBC4598}"/>
    <cellStyle name="Hipervínculo 2 7" xfId="151" xr:uid="{FEF8E532-415A-4DBA-BD6C-621A0B25DBF6}"/>
    <cellStyle name="Hipervínculo 2 8" xfId="152" xr:uid="{525280D0-37D9-4C23-BDE0-C21300CD5B2F}"/>
    <cellStyle name="Hipervínculo 2 9" xfId="7903" xr:uid="{0CB905A3-E4F5-44C5-9ED0-56D62677B92C}"/>
    <cellStyle name="Hipervínculo 3" xfId="153" xr:uid="{F4615FDF-93ED-4CDE-8EC4-6C22884601EB}"/>
    <cellStyle name="Hipervínculo 3 2" xfId="154" xr:uid="{97FF9BA2-B500-42A6-99CA-CCB9295CEA93}"/>
    <cellStyle name="Hipervínculo 3 2 2" xfId="7669" xr:uid="{129C13D1-F4E0-49B3-A4E4-150445E520B4}"/>
    <cellStyle name="Hipervínculo 3 3" xfId="7648" xr:uid="{0E2C44F4-2D50-45AD-BA37-AE74E20005FA}"/>
    <cellStyle name="Hipervínculo 3 4" xfId="9623" xr:uid="{E0F5E96B-0FD9-4F4F-A28A-642D28E32611}"/>
    <cellStyle name="Hipervínculo 4" xfId="155" xr:uid="{4554357D-3365-4EA8-A12C-5FF5D5D530D0}"/>
    <cellStyle name="Hipervínculo 4 2" xfId="7691" xr:uid="{A077F36C-A6F8-4629-9DC9-746314B24ED2}"/>
    <cellStyle name="Hipervínculo 5" xfId="156" xr:uid="{70DE03BC-A7F2-4C3D-9E8B-A603460F7EE4}"/>
    <cellStyle name="Hipervínculo 6" xfId="157" xr:uid="{46EC2A67-D1E0-4EB6-B79F-E5280E60EC7D}"/>
    <cellStyle name="Hipervínculo 7" xfId="158" xr:uid="{814BFFF1-2B7D-4455-B39D-BF536C5DBC82}"/>
    <cellStyle name="Hipervínculo 8" xfId="159" xr:uid="{29FCDD73-F59D-4B1B-92E1-94FCC80A5B20}"/>
    <cellStyle name="Hipervínculo 8 2" xfId="7904" xr:uid="{FFDCECA9-BD79-4DAC-8078-60A43BA0B061}"/>
    <cellStyle name="Hipervínculo 8 3" xfId="9265" xr:uid="{0BE57288-C97D-4D36-8BFF-3453002A44B3}"/>
    <cellStyle name="Hipervínculo 9" xfId="160" xr:uid="{5A83B68F-A296-46FC-8A27-33426EDE9EBD}"/>
    <cellStyle name="Hipervínculo 9 2" xfId="7870" xr:uid="{2A3BED0D-4EE8-441C-8684-160AF346899D}"/>
    <cellStyle name="Hipervínculo 9 3" xfId="9266" xr:uid="{7A1B1420-C7C6-4E85-8B30-4D9CA5ACB3FE}"/>
    <cellStyle name="Hyperlink" xfId="9632" xr:uid="{59B406D6-E103-4ACF-A67F-239219633CE7}"/>
    <cellStyle name="Hyperlink 2" xfId="161" xr:uid="{3463CE87-1194-42BE-A450-8440787B8F7D}"/>
    <cellStyle name="Hyperlink 3" xfId="162" xr:uid="{E76B0B8E-A04A-4BA6-BA6E-9264360E9558}"/>
    <cellStyle name="Incorrecto" xfId="11" builtinId="27" customBuiltin="1"/>
    <cellStyle name="Incorrecto 2" xfId="163" xr:uid="{AC8F9540-3F30-4C81-B0A0-B76B9E76B042}"/>
    <cellStyle name="Incorrecto 3" xfId="164" xr:uid="{65FABF14-964B-4603-A040-B3183186565F}"/>
    <cellStyle name="Incorrecto 4" xfId="165" xr:uid="{640A152D-B8B7-4DBB-A9E8-D7755E0C3030}"/>
    <cellStyle name="Incorrecto 5" xfId="166" xr:uid="{C40F0FDC-928E-43DF-9FB6-A84B57910C33}"/>
    <cellStyle name="Millares [0] 2" xfId="205" xr:uid="{352D65E7-A609-4D8F-8493-294EC3C36F3E}"/>
    <cellStyle name="Millares [0] 3" xfId="206" xr:uid="{64287672-63AF-407D-964F-8098884CA90B}"/>
    <cellStyle name="Millares [0] 4" xfId="207" xr:uid="{F9DD76F4-AF44-4FD2-A6D7-25067E47D507}"/>
    <cellStyle name="Millares 10" xfId="167" xr:uid="{A70875B7-C36F-472F-BF0F-9C41A277B457}"/>
    <cellStyle name="Millares 11" xfId="168" xr:uid="{3213DB37-6EF0-4504-900A-D56C81714836}"/>
    <cellStyle name="Millares 12" xfId="169" xr:uid="{2B154077-2AD6-4F12-A241-B01037932676}"/>
    <cellStyle name="Millares 13" xfId="170" xr:uid="{B1EB7B89-755D-44DF-8CA0-C99FB5183953}"/>
    <cellStyle name="Millares 14" xfId="171" xr:uid="{658F7625-6803-425A-B0F4-2DA99D591F30}"/>
    <cellStyle name="Millares 15" xfId="172" xr:uid="{901E495D-CF32-414B-8AC2-A35B207F9F4F}"/>
    <cellStyle name="Millares 16" xfId="173" xr:uid="{16274608-FC1A-4E02-94C8-F432E5973951}"/>
    <cellStyle name="Millares 17" xfId="174" xr:uid="{07546325-364D-42E9-850A-D03BD4025D8B}"/>
    <cellStyle name="Millares 18" xfId="175" xr:uid="{F634EDE8-D1BB-4DEC-857B-AF8B4D51CAF8}"/>
    <cellStyle name="Millares 19" xfId="176" xr:uid="{9FD526EC-8DF6-4D16-9A6B-0668B5AA4630}"/>
    <cellStyle name="Millares 2" xfId="177" xr:uid="{7FBB2BCE-FA6A-40C5-9F5D-F772DB9ED55B}"/>
    <cellStyle name="Millares 2 2" xfId="7671" xr:uid="{CA407D17-A913-43C0-9A35-E5785CD438A3}"/>
    <cellStyle name="Millares 2 3" xfId="7670" xr:uid="{3EEDDFB8-2426-4F1C-97A4-ADC993B9020D}"/>
    <cellStyle name="Millares 20" xfId="178" xr:uid="{D0D7F1E3-941E-409F-A285-DD31BF4D732D}"/>
    <cellStyle name="Millares 21" xfId="179" xr:uid="{D47295FA-7A30-4CED-85CB-8B2CB294B549}"/>
    <cellStyle name="Millares 22" xfId="180" xr:uid="{DEB412A0-F056-4298-B446-3B6489CA2F13}"/>
    <cellStyle name="Millares 23" xfId="181" xr:uid="{E90896C4-CBE0-4055-BF1C-5D543D922280}"/>
    <cellStyle name="Millares 24" xfId="182" xr:uid="{372EE923-22A0-4DBE-8205-13C4C17D23E7}"/>
    <cellStyle name="Millares 25" xfId="183" xr:uid="{2AB13B98-D63F-4E1F-AA53-55F27C77BE1D}"/>
    <cellStyle name="Millares 26" xfId="184" xr:uid="{B711375C-D5C2-4F33-8E11-74BC3C60FDC7}"/>
    <cellStyle name="Millares 27" xfId="185" xr:uid="{2446F88A-2D76-4506-B75F-0894ED40CAF4}"/>
    <cellStyle name="Millares 28" xfId="186" xr:uid="{1729F117-C519-4965-877A-80BAD88F929F}"/>
    <cellStyle name="Millares 29" xfId="187" xr:uid="{09583058-44A6-4285-9020-7AAE2AC00573}"/>
    <cellStyle name="Millares 3" xfId="188" xr:uid="{F0026794-CF49-432D-B01D-A2E27503E99A}"/>
    <cellStyle name="Millares 30" xfId="189" xr:uid="{6EDD5C11-9DDF-4441-A120-4C3DAAF5DCF5}"/>
    <cellStyle name="Millares 31" xfId="190" xr:uid="{E5048910-8A5F-495A-B7FE-B36E193D98EF}"/>
    <cellStyle name="Millares 32" xfId="191" xr:uid="{C42D8670-0AC6-478D-B604-4C59230CDB9A}"/>
    <cellStyle name="Millares 33" xfId="192" xr:uid="{A48A113A-D662-42DD-B94B-70E618AA65C8}"/>
    <cellStyle name="Millares 34" xfId="193" xr:uid="{0A8867BE-A721-481F-A7BC-3184ED6A760B}"/>
    <cellStyle name="Millares 35" xfId="194" xr:uid="{1E7F3171-EA4B-47E3-912A-874879B1AEB2}"/>
    <cellStyle name="Millares 36" xfId="195" xr:uid="{8B896F47-FF5D-4C6C-93C9-3618E74B42AA}"/>
    <cellStyle name="Millares 37" xfId="196" xr:uid="{22A8BE22-16A2-42E5-8A41-C23FA136CB21}"/>
    <cellStyle name="Millares 38" xfId="197" xr:uid="{37EE30E9-23B5-475B-B39B-CF41AAB4B6AF}"/>
    <cellStyle name="Millares 39" xfId="198" xr:uid="{96311EEC-F6D7-4E22-957F-D91A0BD3C43C}"/>
    <cellStyle name="Millares 4" xfId="199" xr:uid="{B57605EB-3E4D-4BD9-8573-A7ABEBF55D86}"/>
    <cellStyle name="Millares 40" xfId="7575" xr:uid="{803F2F52-769B-4C10-B03F-AE18089FFE55}"/>
    <cellStyle name="Millares 41" xfId="9318" xr:uid="{87C2C056-FEBB-4E2F-AC82-FEF17DAE34DE}"/>
    <cellStyle name="Millares 42" xfId="11853" xr:uid="{2F4F9486-02A4-4D46-BCE7-3459B9A6F98B}"/>
    <cellStyle name="Millares 43" xfId="15997" xr:uid="{D75F668A-AF1D-47F1-876C-78C1A6C80464}"/>
    <cellStyle name="Millares 44" xfId="7532" xr:uid="{D2038D64-F4F1-43B4-B108-E9F74232EC82}"/>
    <cellStyle name="Millares 45" xfId="16007" xr:uid="{77051C4E-0256-4552-811E-6848F8ACE73D}"/>
    <cellStyle name="Millares 46" xfId="16008" xr:uid="{88467C70-4230-4111-941B-1C00172DF9D2}"/>
    <cellStyle name="Millares 5" xfId="200" xr:uid="{FEA80AA9-9EDC-4E8C-A46E-3E0BAF3CAF6B}"/>
    <cellStyle name="Millares 6" xfId="201" xr:uid="{BD7F9985-CF6D-4E7D-BA3E-516A9B6A4516}"/>
    <cellStyle name="Millares 7" xfId="202" xr:uid="{0BA28ACB-C81C-4125-AF2C-30F82E79CECB}"/>
    <cellStyle name="Millares 8" xfId="203" xr:uid="{FF7F36E0-C681-422C-8B18-F66126D14174}"/>
    <cellStyle name="Millares 9" xfId="204" xr:uid="{DA9BC9F5-74ED-4BE9-B0C0-7FF61300DAE2}"/>
    <cellStyle name="Moneda [0] 2" xfId="244" xr:uid="{B5BC9529-F371-4862-A05C-CED1FEFBB3CF}"/>
    <cellStyle name="Moneda [0] 3" xfId="245" xr:uid="{7D33A388-808C-4512-9188-415483C628CB}"/>
    <cellStyle name="Moneda [0] 4" xfId="246" xr:uid="{8CC3889F-C0B2-4242-8ECD-164E8BA3E38A}"/>
    <cellStyle name="Moneda 10" xfId="208" xr:uid="{3E37D282-F090-46CD-BC35-DD96F51B9173}"/>
    <cellStyle name="Moneda 11" xfId="209" xr:uid="{8DB4BC7B-1AD3-4A9D-9373-AFD896C50246}"/>
    <cellStyle name="Moneda 12" xfId="210" xr:uid="{72889C96-66A9-406B-9FA8-4529472C8B86}"/>
    <cellStyle name="Moneda 13" xfId="211" xr:uid="{A25A45CB-4F8A-41D7-AE3A-B3D3FB0CE90D}"/>
    <cellStyle name="Moneda 14" xfId="212" xr:uid="{492DE25F-4677-4009-86DD-E9D2D50446F6}"/>
    <cellStyle name="Moneda 15" xfId="213" xr:uid="{1CCE84CC-79F0-4DDA-BF7E-79FB158EDD43}"/>
    <cellStyle name="Moneda 16" xfId="214" xr:uid="{8E990AA8-D5BB-41A4-85B3-CEE353C9DA12}"/>
    <cellStyle name="Moneda 17" xfId="215" xr:uid="{74C12FFF-1302-408C-BB4B-92120EFE1766}"/>
    <cellStyle name="Moneda 18" xfId="216" xr:uid="{13CF7CF3-DAA6-42DC-AD03-73B798683FD4}"/>
    <cellStyle name="Moneda 19" xfId="217" xr:uid="{B137B269-2C6A-4771-AFCA-6658BD63B08F}"/>
    <cellStyle name="Moneda 2" xfId="218" xr:uid="{BF7EA04F-A753-453F-A635-279E9BA22FF2}"/>
    <cellStyle name="Moneda 20" xfId="219" xr:uid="{C2D8D39F-6B5C-4EEE-8805-E2F2F515483F}"/>
    <cellStyle name="Moneda 21" xfId="220" xr:uid="{EECC0A2D-39A5-407A-8855-7A6E7F532FE2}"/>
    <cellStyle name="Moneda 22" xfId="221" xr:uid="{4B96E6A4-9088-4322-8D92-9A66EF1D5B3A}"/>
    <cellStyle name="Moneda 23" xfId="222" xr:uid="{BEC42906-B182-43A1-8ADD-4503E6488D68}"/>
    <cellStyle name="Moneda 24" xfId="223" xr:uid="{1138E835-B2A7-4EB2-8A09-8126CD7E0B67}"/>
    <cellStyle name="Moneda 25" xfId="224" xr:uid="{8DC934CD-9C9E-4B47-B182-E2904A206CA1}"/>
    <cellStyle name="Moneda 26" xfId="225" xr:uid="{74C6AD6A-6203-44CA-BEFE-C664C3668018}"/>
    <cellStyle name="Moneda 27" xfId="226" xr:uid="{504936CB-E401-423D-AB65-D534F7FEE4E2}"/>
    <cellStyle name="Moneda 28" xfId="227" xr:uid="{5D01BD74-99E8-4229-BB67-387E9418E9BD}"/>
    <cellStyle name="Moneda 29" xfId="228" xr:uid="{7523EC0D-021D-409B-B95D-251C226EFE63}"/>
    <cellStyle name="Moneda 3" xfId="229" xr:uid="{D6C773DD-06EF-4CCE-8F6B-6DD5F0913390}"/>
    <cellStyle name="Moneda 30" xfId="230" xr:uid="{4F77990A-AA0F-47AA-821A-057560E0BCEF}"/>
    <cellStyle name="Moneda 31" xfId="231" xr:uid="{73268637-DA29-4DD1-BF3D-ADDC295AAB3D}"/>
    <cellStyle name="Moneda 32" xfId="232" xr:uid="{F2CA10AA-F94F-42C7-B3E1-D73F3F52FC54}"/>
    <cellStyle name="Moneda 33" xfId="233" xr:uid="{94AA88EF-A658-4060-8C73-3EC14C4830F1}"/>
    <cellStyle name="Moneda 34" xfId="234" xr:uid="{48FB363F-17FA-4E7A-B1EC-172D4B1CCEC1}"/>
    <cellStyle name="Moneda 35" xfId="235" xr:uid="{8AE0EFE2-9413-4CCC-8267-C6B6D5539BE2}"/>
    <cellStyle name="Moneda 36" xfId="236" xr:uid="{A4541ADA-1D98-4198-8B85-7C3F4A88787E}"/>
    <cellStyle name="Moneda 37" xfId="237" xr:uid="{EDC1AFEC-F955-42B0-8268-60B307AD3786}"/>
    <cellStyle name="Moneda 4" xfId="238" xr:uid="{3295344B-253F-400E-B2AD-6A317176E9A8}"/>
    <cellStyle name="Moneda 5" xfId="239" xr:uid="{62E6EE2B-E08E-483D-AC8E-2C50631608C8}"/>
    <cellStyle name="Moneda 6" xfId="240" xr:uid="{C42E1A3D-913C-4B20-AF3D-1DD4B6A165B5}"/>
    <cellStyle name="Moneda 7" xfId="241" xr:uid="{4135F189-EFF6-4D28-983A-DC604A192C66}"/>
    <cellStyle name="Moneda 8" xfId="242" xr:uid="{C150DB7E-EDB7-4BA5-9325-04A1523D37A9}"/>
    <cellStyle name="Moneda 9" xfId="243" xr:uid="{85BB987C-D5B4-480D-9E13-73DEB412678A}"/>
    <cellStyle name="Neutral" xfId="12" builtinId="28" customBuiltin="1"/>
    <cellStyle name="Neutral 2" xfId="247" xr:uid="{78DDFDFF-1EE4-4D02-A2A1-FBDAE9B17A8B}"/>
    <cellStyle name="Neutral 3" xfId="248" xr:uid="{3C427295-6F7C-42B8-96AB-C82AAF5974B8}"/>
    <cellStyle name="Neutral 4" xfId="249" xr:uid="{195DF803-B88A-4EDB-A926-67B6DAE5932A}"/>
    <cellStyle name="Neutral 5" xfId="250" xr:uid="{5B122B19-B7F5-4E8A-9F7A-5071A62C7D4C}"/>
    <cellStyle name="NivelCol_1" xfId="1" builtinId="2" iLevel="0"/>
    <cellStyle name="Normal" xfId="0" builtinId="0"/>
    <cellStyle name="Normal 10" xfId="251" xr:uid="{C8BD9714-C6FE-4630-8A8B-7351B3871C2A}"/>
    <cellStyle name="Normal 10 10" xfId="252" xr:uid="{9D743D27-A357-4417-8F8C-D8C88EB6C26A}"/>
    <cellStyle name="Normal 10 10 2" xfId="253" xr:uid="{FDB36CEB-BC8E-4829-A390-12F910C66197}"/>
    <cellStyle name="Normal 10 10 2 2" xfId="254" xr:uid="{6D2AA8BD-D1B3-4C11-BF67-1CBFAA8D1155}"/>
    <cellStyle name="Normal 10 10 3" xfId="255" xr:uid="{8F48F614-81C8-482A-B3FD-B30417E09EDD}"/>
    <cellStyle name="Normal 10 11" xfId="256" xr:uid="{46AB43DB-893F-4CD5-A3BD-14FE8461E7FD}"/>
    <cellStyle name="Normal 10 11 2" xfId="257" xr:uid="{64A87DD7-900A-4C34-A84B-DB7E1059EA92}"/>
    <cellStyle name="Normal 10 11 2 2" xfId="258" xr:uid="{A39284F5-1F24-4A74-B9E9-0ABD5C896ED6}"/>
    <cellStyle name="Normal 10 11 3" xfId="259" xr:uid="{D7B8CD73-0E7B-436D-86EC-8464B148C882}"/>
    <cellStyle name="Normal 10 12" xfId="260" xr:uid="{DC2B7DD4-C657-4BDF-B63C-C57D469D159A}"/>
    <cellStyle name="Normal 10 12 2" xfId="261" xr:uid="{BF73A11B-E8BC-4C62-AA25-C70C62B0AD3B}"/>
    <cellStyle name="Normal 10 13" xfId="262" xr:uid="{9FE309F6-683F-486A-9AF5-817B2D58AA60}"/>
    <cellStyle name="Normal 10 2" xfId="263" xr:uid="{5C45BB9E-FE59-4D06-99DD-A4FC229FC73D}"/>
    <cellStyle name="Normal 10 2 10" xfId="264" xr:uid="{54BF343C-D132-4C2D-98E1-5CD1DA34C210}"/>
    <cellStyle name="Normal 10 2 10 2" xfId="265" xr:uid="{491F4523-3328-4D8B-9269-BE51FC8CB897}"/>
    <cellStyle name="Normal 10 2 10 2 2" xfId="266" xr:uid="{E0BEDD5F-7408-46F9-BECE-7EF4A3DA4849}"/>
    <cellStyle name="Normal 10 2 10 3" xfId="267" xr:uid="{B8105D01-C3B3-48A9-A0E8-94268806134E}"/>
    <cellStyle name="Normal 10 2 11" xfId="268" xr:uid="{30D0C9D3-E4B4-473D-B2A0-FEE0B9D3FF87}"/>
    <cellStyle name="Normal 10 2 11 2" xfId="269" xr:uid="{29476A1B-02BD-4A54-AA63-C77F73CBB7B4}"/>
    <cellStyle name="Normal 10 2 12" xfId="270" xr:uid="{1B79BB68-1B86-4677-9379-B057F952307D}"/>
    <cellStyle name="Normal 10 2 2" xfId="271" xr:uid="{AF2C88D3-A86E-45D6-B767-427CD94871A8}"/>
    <cellStyle name="Normal 10 2 2 10" xfId="272" xr:uid="{09A12188-69A5-4F9B-A489-62D14D0D9B80}"/>
    <cellStyle name="Normal 10 2 2 10 2" xfId="273" xr:uid="{765887E5-E3F3-45CB-92D6-AFF74A0F524C}"/>
    <cellStyle name="Normal 10 2 2 11" xfId="274" xr:uid="{199766D5-5B14-4627-8D0A-61FE228F3146}"/>
    <cellStyle name="Normal 10 2 2 2" xfId="275" xr:uid="{E2A328FB-4479-4E2D-9D4A-E5C3C1B9DCAE}"/>
    <cellStyle name="Normal 10 2 2 2 10" xfId="276" xr:uid="{D428B6D4-9645-4D4A-80F2-E426C3355749}"/>
    <cellStyle name="Normal 10 2 2 2 2" xfId="277" xr:uid="{7DA19FC8-3855-49F5-947E-0ABC381FF875}"/>
    <cellStyle name="Normal 10 2 2 2 2 2" xfId="278" xr:uid="{A4943DC4-E51E-457F-B04C-3F73DD2350A9}"/>
    <cellStyle name="Normal 10 2 2 2 2 2 2" xfId="279" xr:uid="{7C0645B1-0266-4ACB-A32C-92A9832D0E5D}"/>
    <cellStyle name="Normal 10 2 2 2 2 2 2 2" xfId="280" xr:uid="{CEDB15EA-679D-4D69-BB4E-708E6864C9ED}"/>
    <cellStyle name="Normal 10 2 2 2 2 2 2 2 2" xfId="281" xr:uid="{09519843-1291-4DDA-9187-0B501A889475}"/>
    <cellStyle name="Normal 10 2 2 2 2 2 2 2 2 2" xfId="282" xr:uid="{4AB104E7-7763-4CC8-94A4-388E283ADB24}"/>
    <cellStyle name="Normal 10 2 2 2 2 2 2 2 3" xfId="283" xr:uid="{50336B3C-EF79-477C-B0B6-6DB82AE4C8D4}"/>
    <cellStyle name="Normal 10 2 2 2 2 2 2 3" xfId="284" xr:uid="{DB36DE23-B2DA-406A-9177-7EDAFACA387C}"/>
    <cellStyle name="Normal 10 2 2 2 2 2 2 3 2" xfId="285" xr:uid="{47144F5A-D8DC-4EFD-8BDB-6278D006D8E0}"/>
    <cellStyle name="Normal 10 2 2 2 2 2 2 3 2 2" xfId="286" xr:uid="{03989536-C4BC-45B1-A3E1-AE49F9C7AAD9}"/>
    <cellStyle name="Normal 10 2 2 2 2 2 2 3 3" xfId="287" xr:uid="{CFBA7012-FC0C-40B0-8891-58BCF52E3146}"/>
    <cellStyle name="Normal 10 2 2 2 2 2 2 4" xfId="288" xr:uid="{BDF1D0E7-031C-4CB5-881E-DF560A629073}"/>
    <cellStyle name="Normal 10 2 2 2 2 2 2 4 2" xfId="289" xr:uid="{9B392A5E-CE81-4F6E-B241-CE0587C5F506}"/>
    <cellStyle name="Normal 10 2 2 2 2 2 2 4 2 2" xfId="290" xr:uid="{BA04DD91-0227-40B4-ABEA-A5A812869103}"/>
    <cellStyle name="Normal 10 2 2 2 2 2 2 4 3" xfId="291" xr:uid="{FE18F0AD-BA0B-41FB-BE7A-9E47A4773278}"/>
    <cellStyle name="Normal 10 2 2 2 2 2 2 5" xfId="292" xr:uid="{CD2E80A5-2F67-45CA-BC18-633CAD7F5C7B}"/>
    <cellStyle name="Normal 10 2 2 2 2 2 2 5 2" xfId="293" xr:uid="{A15935A1-4AFC-479C-A58A-B2369C516923}"/>
    <cellStyle name="Normal 10 2 2 2 2 2 2 6" xfId="294" xr:uid="{5F14723A-AABF-4825-B838-277E040317C1}"/>
    <cellStyle name="Normal 10 2 2 2 2 2 3" xfId="295" xr:uid="{3E91ACCB-C05E-4C51-A708-106B5BA1652F}"/>
    <cellStyle name="Normal 10 2 2 2 2 2 3 2" xfId="296" xr:uid="{4F5C9040-94A9-4446-A4ED-D5C0DD65416D}"/>
    <cellStyle name="Normal 10 2 2 2 2 2 3 2 2" xfId="297" xr:uid="{B879DA57-39A6-4FA9-8B6F-BA6B0FA1ABFF}"/>
    <cellStyle name="Normal 10 2 2 2 2 2 3 3" xfId="298" xr:uid="{A29596A3-EF0D-490A-B57A-357700042F6F}"/>
    <cellStyle name="Normal 10 2 2 2 2 2 4" xfId="299" xr:uid="{E0E4291E-7281-47C2-993C-92BEB4874F50}"/>
    <cellStyle name="Normal 10 2 2 2 2 2 4 2" xfId="300" xr:uid="{A1D60FC2-EF25-4D22-BFFA-74038773534A}"/>
    <cellStyle name="Normal 10 2 2 2 2 2 4 2 2" xfId="301" xr:uid="{A64BB822-7798-4565-ABE3-66BDD2BBF04A}"/>
    <cellStyle name="Normal 10 2 2 2 2 2 4 3" xfId="302" xr:uid="{3CC67477-2628-4CAF-A68E-A2316F310F22}"/>
    <cellStyle name="Normal 10 2 2 2 2 2 5" xfId="303" xr:uid="{46FF8707-2439-4597-A7B6-B2707760209D}"/>
    <cellStyle name="Normal 10 2 2 2 2 2 5 2" xfId="304" xr:uid="{1447D24B-08EF-4EE4-AF02-34AA5669E575}"/>
    <cellStyle name="Normal 10 2 2 2 2 2 5 2 2" xfId="305" xr:uid="{ECCBE2A4-9E57-4413-9D46-EE5CAE0742FC}"/>
    <cellStyle name="Normal 10 2 2 2 2 2 5 3" xfId="306" xr:uid="{D79AAC82-B153-473B-A1ED-4541069785F2}"/>
    <cellStyle name="Normal 10 2 2 2 2 2 6" xfId="307" xr:uid="{153358D9-D517-46C7-9064-C11E31997A8F}"/>
    <cellStyle name="Normal 10 2 2 2 2 2 6 2" xfId="308" xr:uid="{4D77F6BD-9441-4F86-B2D1-82E719D4A7D4}"/>
    <cellStyle name="Normal 10 2 2 2 2 2 7" xfId="309" xr:uid="{FE5AA5F7-79ED-4F8C-8DD9-F275894E3103}"/>
    <cellStyle name="Normal 10 2 2 2 2 3" xfId="310" xr:uid="{564F9984-2589-4174-A791-0F14DB94ED36}"/>
    <cellStyle name="Normal 10 2 2 2 2 3 2" xfId="311" xr:uid="{C0FE799A-204F-45C4-BFC0-CAA3966A26E0}"/>
    <cellStyle name="Normal 10 2 2 2 2 3 2 2" xfId="312" xr:uid="{465230DA-5816-4EDE-BD23-127F4623D01D}"/>
    <cellStyle name="Normal 10 2 2 2 2 3 2 2 2" xfId="313" xr:uid="{CF1DB2A6-EFEF-4D6D-88FE-089E189BEFE7}"/>
    <cellStyle name="Normal 10 2 2 2 2 3 2 3" xfId="314" xr:uid="{D07FF748-5ACC-4D61-98BC-930935460C57}"/>
    <cellStyle name="Normal 10 2 2 2 2 3 3" xfId="315" xr:uid="{FC78939E-96D9-45A1-AD7B-EF0FECADEFC8}"/>
    <cellStyle name="Normal 10 2 2 2 2 3 3 2" xfId="316" xr:uid="{76680B5C-2118-4034-9658-0708FCBC9953}"/>
    <cellStyle name="Normal 10 2 2 2 2 3 3 2 2" xfId="317" xr:uid="{6EEAD814-DF21-4FCF-B292-E6BB8EC611C0}"/>
    <cellStyle name="Normal 10 2 2 2 2 3 3 3" xfId="318" xr:uid="{09E0FD31-FC07-4795-BEE6-DF578074D2A9}"/>
    <cellStyle name="Normal 10 2 2 2 2 3 4" xfId="319" xr:uid="{315DA6FA-E3BF-40F3-BA32-E4071218EEDF}"/>
    <cellStyle name="Normal 10 2 2 2 2 3 4 2" xfId="320" xr:uid="{178192FE-9A92-4CAC-BF6E-11F687895DBF}"/>
    <cellStyle name="Normal 10 2 2 2 2 3 4 2 2" xfId="321" xr:uid="{2B8ACED1-EDDC-49E9-B781-E3F40C0BA302}"/>
    <cellStyle name="Normal 10 2 2 2 2 3 4 3" xfId="322" xr:uid="{0BD0AA06-3820-4639-8D89-5521379E9006}"/>
    <cellStyle name="Normal 10 2 2 2 2 3 5" xfId="323" xr:uid="{04D81382-224C-4EE0-B9B5-37C006D64F1C}"/>
    <cellStyle name="Normal 10 2 2 2 2 3 5 2" xfId="324" xr:uid="{DA8859A4-4CBB-4BE6-980A-D74874CF4F2B}"/>
    <cellStyle name="Normal 10 2 2 2 2 3 6" xfId="325" xr:uid="{330601A0-DEF9-4E38-8979-4187CF7B08D9}"/>
    <cellStyle name="Normal 10 2 2 2 2 4" xfId="326" xr:uid="{9A603CA2-CD9D-43CE-9FC2-5AF651A88FB4}"/>
    <cellStyle name="Normal 10 2 2 2 2 4 2" xfId="327" xr:uid="{529B4174-9E91-402C-B0B0-3457A0BE7238}"/>
    <cellStyle name="Normal 10 2 2 2 2 4 2 2" xfId="328" xr:uid="{7B60EAAE-12A2-4BE0-8A30-015D91C81734}"/>
    <cellStyle name="Normal 10 2 2 2 2 4 3" xfId="329" xr:uid="{B8463A0E-A20E-4D01-8A69-97F623A09639}"/>
    <cellStyle name="Normal 10 2 2 2 2 5" xfId="330" xr:uid="{6962848D-2C1F-4A69-B725-D9C9AB49EE25}"/>
    <cellStyle name="Normal 10 2 2 2 2 5 2" xfId="331" xr:uid="{79F41189-7B11-4A10-B497-71C05CBE7070}"/>
    <cellStyle name="Normal 10 2 2 2 2 5 2 2" xfId="332" xr:uid="{4BB65BFA-0887-4468-B3A3-74D1F6EF71BB}"/>
    <cellStyle name="Normal 10 2 2 2 2 5 3" xfId="333" xr:uid="{B49EC1B7-B354-40D9-A9C3-FD223687746F}"/>
    <cellStyle name="Normal 10 2 2 2 2 6" xfId="334" xr:uid="{3645FE9A-DB16-4442-A4B1-881072F0324E}"/>
    <cellStyle name="Normal 10 2 2 2 2 6 2" xfId="335" xr:uid="{FC6D20B8-3476-4CC9-AD92-EAD1BBFA82AC}"/>
    <cellStyle name="Normal 10 2 2 2 2 6 2 2" xfId="336" xr:uid="{956B78E6-3D38-44EF-9801-4F025A0DC98A}"/>
    <cellStyle name="Normal 10 2 2 2 2 6 3" xfId="337" xr:uid="{3316DF05-BA34-427D-AF90-1A7CD5AE16D3}"/>
    <cellStyle name="Normal 10 2 2 2 2 7" xfId="338" xr:uid="{8AA3D287-921B-4E56-8275-AE2F6A7DAF00}"/>
    <cellStyle name="Normal 10 2 2 2 2 7 2" xfId="339" xr:uid="{D66C3B41-9CFB-4ABC-B5B8-A103DC26FE26}"/>
    <cellStyle name="Normal 10 2 2 2 2 8" xfId="340" xr:uid="{F75D9279-2D25-4D69-821B-9F74537ACB69}"/>
    <cellStyle name="Normal 10 2 2 2 3" xfId="341" xr:uid="{2AACC244-21AD-4B1A-8FEE-029F74679681}"/>
    <cellStyle name="Normal 10 2 2 2 3 2" xfId="342" xr:uid="{E4A26732-4865-421B-95D3-5EBE2628EDB9}"/>
    <cellStyle name="Normal 10 2 2 2 3 2 2" xfId="343" xr:uid="{17A5909F-E023-4E01-9DF1-FD4BB7B772D0}"/>
    <cellStyle name="Normal 10 2 2 2 3 2 2 2" xfId="344" xr:uid="{FC51ED65-BE10-49C2-96F4-1258CC9F12A9}"/>
    <cellStyle name="Normal 10 2 2 2 3 2 2 2 2" xfId="345" xr:uid="{6BE2D3A6-A56B-4022-B8BD-8F7CBAE0D56E}"/>
    <cellStyle name="Normal 10 2 2 2 3 2 2 2 2 2" xfId="346" xr:uid="{84AF03D4-FD86-442D-A8B8-C8F7B64F909F}"/>
    <cellStyle name="Normal 10 2 2 2 3 2 2 2 3" xfId="347" xr:uid="{217571EE-579B-48D0-9E19-5FCBE04DB66C}"/>
    <cellStyle name="Normal 10 2 2 2 3 2 2 3" xfId="348" xr:uid="{A6439483-B58A-4457-9F0E-AECAD3F86319}"/>
    <cellStyle name="Normal 10 2 2 2 3 2 2 3 2" xfId="349" xr:uid="{6ACB6483-F42E-472B-A94F-6813FCCCB0FD}"/>
    <cellStyle name="Normal 10 2 2 2 3 2 2 3 2 2" xfId="350" xr:uid="{E7752A54-5FF8-4F28-B7F9-721931F4F029}"/>
    <cellStyle name="Normal 10 2 2 2 3 2 2 3 3" xfId="351" xr:uid="{6DFE13EA-94CF-4153-B32D-CF72D00CF16F}"/>
    <cellStyle name="Normal 10 2 2 2 3 2 2 4" xfId="352" xr:uid="{68422F8E-52C0-4FE0-BDB6-42CB006A9291}"/>
    <cellStyle name="Normal 10 2 2 2 3 2 2 4 2" xfId="353" xr:uid="{EDFB14AB-E279-4607-8826-14F201A5D3C4}"/>
    <cellStyle name="Normal 10 2 2 2 3 2 2 4 2 2" xfId="354" xr:uid="{ED0F3C27-0CF6-402A-998D-87ABA50339EE}"/>
    <cellStyle name="Normal 10 2 2 2 3 2 2 4 3" xfId="355" xr:uid="{1538C4D5-8195-4F4A-9E57-037B3809F4B9}"/>
    <cellStyle name="Normal 10 2 2 2 3 2 2 5" xfId="356" xr:uid="{07A34DD8-2263-4C65-B369-1BF9E695844E}"/>
    <cellStyle name="Normal 10 2 2 2 3 2 2 5 2" xfId="357" xr:uid="{89A2D87C-0E1E-49F6-A726-C87F818D5095}"/>
    <cellStyle name="Normal 10 2 2 2 3 2 2 6" xfId="358" xr:uid="{9D88409E-B455-445D-8714-9E6AB58CDE01}"/>
    <cellStyle name="Normal 10 2 2 2 3 2 3" xfId="359" xr:uid="{72010662-1633-4E56-8962-826DE6371BA1}"/>
    <cellStyle name="Normal 10 2 2 2 3 2 3 2" xfId="360" xr:uid="{55800CB5-38B7-48ED-A4D8-F1E64798C1D0}"/>
    <cellStyle name="Normal 10 2 2 2 3 2 3 2 2" xfId="361" xr:uid="{6D6CC587-7919-4E7E-9AB5-2893EB1532AC}"/>
    <cellStyle name="Normal 10 2 2 2 3 2 3 3" xfId="362" xr:uid="{50D54225-14C4-4B29-887C-F87F008CEC05}"/>
    <cellStyle name="Normal 10 2 2 2 3 2 4" xfId="363" xr:uid="{FBD5BC9C-53B8-4856-953A-50CC6143107B}"/>
    <cellStyle name="Normal 10 2 2 2 3 2 4 2" xfId="364" xr:uid="{F4557C64-7F91-4119-8526-E89FB6F5CFEB}"/>
    <cellStyle name="Normal 10 2 2 2 3 2 4 2 2" xfId="365" xr:uid="{93568D7C-1B88-49CA-882D-2C20C11B5A9C}"/>
    <cellStyle name="Normal 10 2 2 2 3 2 4 3" xfId="366" xr:uid="{3C886870-F6FC-4C3D-B0C5-7908CB62C812}"/>
    <cellStyle name="Normal 10 2 2 2 3 2 5" xfId="367" xr:uid="{1251BAAE-4D1B-4C86-83D1-7CEC2B48076C}"/>
    <cellStyle name="Normal 10 2 2 2 3 2 5 2" xfId="368" xr:uid="{779AD9BB-E251-4CE7-8F0A-372BFB76BDA2}"/>
    <cellStyle name="Normal 10 2 2 2 3 2 5 2 2" xfId="369" xr:uid="{5AD92697-2103-4016-B3EE-CCFB127B9CE3}"/>
    <cellStyle name="Normal 10 2 2 2 3 2 5 3" xfId="370" xr:uid="{58845129-45D2-4355-BB7C-582C147FAF57}"/>
    <cellStyle name="Normal 10 2 2 2 3 2 6" xfId="371" xr:uid="{4F4056E9-4B49-475A-A096-9EAA38F64A2D}"/>
    <cellStyle name="Normal 10 2 2 2 3 2 6 2" xfId="372" xr:uid="{EF3ECFB1-9516-4132-B8DB-E0403B64DD00}"/>
    <cellStyle name="Normal 10 2 2 2 3 2 7" xfId="373" xr:uid="{B4758E77-6F3A-43BD-8A2D-04A319B5BA8A}"/>
    <cellStyle name="Normal 10 2 2 2 3 3" xfId="374" xr:uid="{866563BA-A2C8-48AB-953B-55599813615D}"/>
    <cellStyle name="Normal 10 2 2 2 3 3 2" xfId="375" xr:uid="{522306A3-EFDE-42ED-94E2-ADEC7185ABE6}"/>
    <cellStyle name="Normal 10 2 2 2 3 3 2 2" xfId="376" xr:uid="{315ACE5F-C23B-4D8B-BEFF-9B6FC2CF1ADC}"/>
    <cellStyle name="Normal 10 2 2 2 3 3 2 2 2" xfId="377" xr:uid="{6367760E-9666-4AFF-AD14-5B97FD61E525}"/>
    <cellStyle name="Normal 10 2 2 2 3 3 2 3" xfId="378" xr:uid="{116BCAA4-92ED-4525-871C-934B2A4FD5F6}"/>
    <cellStyle name="Normal 10 2 2 2 3 3 3" xfId="379" xr:uid="{3CEB8341-3081-4E4D-83FC-12C44D6C389A}"/>
    <cellStyle name="Normal 10 2 2 2 3 3 3 2" xfId="380" xr:uid="{14001EE6-4D0D-4E94-99F8-F2E98A132FE6}"/>
    <cellStyle name="Normal 10 2 2 2 3 3 3 2 2" xfId="381" xr:uid="{CCC41933-E04D-4067-B7F5-E6242B9B62B2}"/>
    <cellStyle name="Normal 10 2 2 2 3 3 3 3" xfId="382" xr:uid="{CCFACBF0-1558-4CF0-A57B-7C6902C509FF}"/>
    <cellStyle name="Normal 10 2 2 2 3 3 4" xfId="383" xr:uid="{181D8F5F-E37C-4125-BEAB-A8A079D7F16B}"/>
    <cellStyle name="Normal 10 2 2 2 3 3 4 2" xfId="384" xr:uid="{095AF3EA-9AA7-4302-B3DC-97F2CBAD1921}"/>
    <cellStyle name="Normal 10 2 2 2 3 3 4 2 2" xfId="385" xr:uid="{EF2F9A27-E35E-4994-A706-0EEF0C45606E}"/>
    <cellStyle name="Normal 10 2 2 2 3 3 4 3" xfId="386" xr:uid="{9C4D9581-66CB-476A-80D0-90AD9F6E05B9}"/>
    <cellStyle name="Normal 10 2 2 2 3 3 5" xfId="387" xr:uid="{7AE0D9AA-2109-450E-81F3-7AB6CB503B83}"/>
    <cellStyle name="Normal 10 2 2 2 3 3 5 2" xfId="388" xr:uid="{1B1AF6E8-3B90-4FB3-8F84-89EDCAE7D7BE}"/>
    <cellStyle name="Normal 10 2 2 2 3 3 6" xfId="389" xr:uid="{1923A9FF-30A8-477E-B893-63509F22891D}"/>
    <cellStyle name="Normal 10 2 2 2 3 4" xfId="390" xr:uid="{8175D533-A6AA-4512-8D26-0A51789B61E6}"/>
    <cellStyle name="Normal 10 2 2 2 3 4 2" xfId="391" xr:uid="{A391B064-7047-413C-9053-D22D524E3137}"/>
    <cellStyle name="Normal 10 2 2 2 3 4 2 2" xfId="392" xr:uid="{506785FD-E542-4303-9398-42FE1081C748}"/>
    <cellStyle name="Normal 10 2 2 2 3 4 3" xfId="393" xr:uid="{B8D64F40-1CE7-4C3B-BAA7-2862EC539195}"/>
    <cellStyle name="Normal 10 2 2 2 3 5" xfId="394" xr:uid="{F9B65B6A-79BF-4B89-9DE6-ECDA2924BF3E}"/>
    <cellStyle name="Normal 10 2 2 2 3 5 2" xfId="395" xr:uid="{8EA31758-FDD3-4D8A-BA63-008081F4FF28}"/>
    <cellStyle name="Normal 10 2 2 2 3 5 2 2" xfId="396" xr:uid="{7576FFDE-15CF-4A5C-B35F-8094385A5F07}"/>
    <cellStyle name="Normal 10 2 2 2 3 5 3" xfId="397" xr:uid="{75BED55E-EF14-42C7-B8CD-0163FD98207F}"/>
    <cellStyle name="Normal 10 2 2 2 3 6" xfId="398" xr:uid="{17E25EFE-9B30-4F00-A26A-83D7E0D30556}"/>
    <cellStyle name="Normal 10 2 2 2 3 6 2" xfId="399" xr:uid="{29E906F4-F278-4CE9-8F77-08D6EB2A2A67}"/>
    <cellStyle name="Normal 10 2 2 2 3 6 2 2" xfId="400" xr:uid="{E8C4EC99-A4E1-4F69-8EA3-F2DD477EE47B}"/>
    <cellStyle name="Normal 10 2 2 2 3 6 3" xfId="401" xr:uid="{EFF54F28-3AE1-47DD-B861-8DF5F7A2AB31}"/>
    <cellStyle name="Normal 10 2 2 2 3 7" xfId="402" xr:uid="{145FE56E-3D5A-4907-8D2E-AFF2991525B0}"/>
    <cellStyle name="Normal 10 2 2 2 3 7 2" xfId="403" xr:uid="{47370E4E-20DF-4F68-A445-C0CB891305EE}"/>
    <cellStyle name="Normal 10 2 2 2 3 8" xfId="404" xr:uid="{ED852D62-DE45-4C86-AF82-5D53CC923DAC}"/>
    <cellStyle name="Normal 10 2 2 2 4" xfId="405" xr:uid="{29E1F080-12FC-41B9-850E-87C3143BD278}"/>
    <cellStyle name="Normal 10 2 2 2 4 2" xfId="406" xr:uid="{C28CBD77-9296-47B7-881A-4F13678642C2}"/>
    <cellStyle name="Normal 10 2 2 2 4 2 2" xfId="407" xr:uid="{25D40C78-90CD-48A9-B00F-B806740289BF}"/>
    <cellStyle name="Normal 10 2 2 2 4 2 2 2" xfId="408" xr:uid="{CF7A5245-5DE3-444B-889D-9C2FC3134EFE}"/>
    <cellStyle name="Normal 10 2 2 2 4 2 2 2 2" xfId="409" xr:uid="{4741F2FC-3032-4D16-9423-B7AA4F6EFDFC}"/>
    <cellStyle name="Normal 10 2 2 2 4 2 2 3" xfId="410" xr:uid="{70660924-A2B8-4600-B187-19A8A5F2C967}"/>
    <cellStyle name="Normal 10 2 2 2 4 2 3" xfId="411" xr:uid="{78D4D504-035B-4494-8488-16FC4BA751BB}"/>
    <cellStyle name="Normal 10 2 2 2 4 2 3 2" xfId="412" xr:uid="{1FD36FB7-7AF4-4807-B24C-3779189554EF}"/>
    <cellStyle name="Normal 10 2 2 2 4 2 3 2 2" xfId="413" xr:uid="{16B526AF-748F-498C-97C6-DA4643E7F4DF}"/>
    <cellStyle name="Normal 10 2 2 2 4 2 3 3" xfId="414" xr:uid="{01C94937-771E-4AB0-964F-A3600E44F6AE}"/>
    <cellStyle name="Normal 10 2 2 2 4 2 4" xfId="415" xr:uid="{82EA844F-D9D1-49CB-86BD-A4F73274EBDC}"/>
    <cellStyle name="Normal 10 2 2 2 4 2 4 2" xfId="416" xr:uid="{DB115533-0D45-4939-A26C-204A8096B790}"/>
    <cellStyle name="Normal 10 2 2 2 4 2 4 2 2" xfId="417" xr:uid="{2FB03E46-31C5-4FC3-B242-AC491CD945F5}"/>
    <cellStyle name="Normal 10 2 2 2 4 2 4 3" xfId="418" xr:uid="{6EBD2E6C-C19F-4A77-BBD0-73BBF282E691}"/>
    <cellStyle name="Normal 10 2 2 2 4 2 5" xfId="419" xr:uid="{55D02642-4412-4982-8177-F929790C0922}"/>
    <cellStyle name="Normal 10 2 2 2 4 2 5 2" xfId="420" xr:uid="{D512B340-FF4D-4202-B381-8B5A54DC4DF8}"/>
    <cellStyle name="Normal 10 2 2 2 4 2 6" xfId="421" xr:uid="{3AE9EB95-1822-4801-BBA9-BA9870C7F190}"/>
    <cellStyle name="Normal 10 2 2 2 4 3" xfId="422" xr:uid="{E1D1690C-491B-47EE-9C9A-3D490F3C7FB5}"/>
    <cellStyle name="Normal 10 2 2 2 4 3 2" xfId="423" xr:uid="{B352629E-2C70-49EB-B2EF-52F07621F030}"/>
    <cellStyle name="Normal 10 2 2 2 4 3 2 2" xfId="424" xr:uid="{C69B3C76-DE82-47ED-9D05-2C336F039FDC}"/>
    <cellStyle name="Normal 10 2 2 2 4 3 3" xfId="425" xr:uid="{13AC920D-C545-4D9B-8F8F-F519BEF276FC}"/>
    <cellStyle name="Normal 10 2 2 2 4 4" xfId="426" xr:uid="{A1A97D08-3237-4A86-BCA0-CE9579916F73}"/>
    <cellStyle name="Normal 10 2 2 2 4 4 2" xfId="427" xr:uid="{CC2CB85B-0E44-4022-8C17-FE88FCCE65A1}"/>
    <cellStyle name="Normal 10 2 2 2 4 4 2 2" xfId="428" xr:uid="{E85810AB-D42A-4C9C-965A-39C232F17E40}"/>
    <cellStyle name="Normal 10 2 2 2 4 4 3" xfId="429" xr:uid="{EC324264-15C3-4BA9-BA63-A90D40BB9C41}"/>
    <cellStyle name="Normal 10 2 2 2 4 5" xfId="430" xr:uid="{528CFD9A-E8C9-433B-BC3B-63D706CE058C}"/>
    <cellStyle name="Normal 10 2 2 2 4 5 2" xfId="431" xr:uid="{E67103A6-FC44-4094-A023-63B0791DA992}"/>
    <cellStyle name="Normal 10 2 2 2 4 5 2 2" xfId="432" xr:uid="{2142F1AD-6453-4776-9082-87768737D1C5}"/>
    <cellStyle name="Normal 10 2 2 2 4 5 3" xfId="433" xr:uid="{2819BCE0-B146-40DE-90DD-E6CF77F78885}"/>
    <cellStyle name="Normal 10 2 2 2 4 6" xfId="434" xr:uid="{C48FF846-C65A-45FF-87FF-FBB70C9DF1E6}"/>
    <cellStyle name="Normal 10 2 2 2 4 6 2" xfId="435" xr:uid="{76D9C81E-844E-4FCD-9F8C-E63AC1C6C625}"/>
    <cellStyle name="Normal 10 2 2 2 4 7" xfId="436" xr:uid="{4AA996CD-38E5-45A0-AB4C-4C7CB8843D33}"/>
    <cellStyle name="Normal 10 2 2 2 5" xfId="437" xr:uid="{8113DC69-38C7-47D7-AA8D-571FEFE8AF4D}"/>
    <cellStyle name="Normal 10 2 2 2 5 2" xfId="438" xr:uid="{18E48312-FDA6-49B6-A242-15F0069C7EF9}"/>
    <cellStyle name="Normal 10 2 2 2 5 2 2" xfId="439" xr:uid="{6AAB4FB4-C3E5-44E8-9FE0-90D60E0FBFE6}"/>
    <cellStyle name="Normal 10 2 2 2 5 2 2 2" xfId="440" xr:uid="{A87C34BB-A7EA-4A49-A9B4-BB78052F9F82}"/>
    <cellStyle name="Normal 10 2 2 2 5 2 3" xfId="441" xr:uid="{CB738639-5ACC-4C4E-80F7-1D398F2CF8CF}"/>
    <cellStyle name="Normal 10 2 2 2 5 3" xfId="442" xr:uid="{69349CB9-5FAF-4D41-A411-7DDA78AF0111}"/>
    <cellStyle name="Normal 10 2 2 2 5 3 2" xfId="443" xr:uid="{838241FA-E24B-456F-B040-24D487ECCDA0}"/>
    <cellStyle name="Normal 10 2 2 2 5 3 2 2" xfId="444" xr:uid="{CC03E056-2CFE-4255-87C9-578685A35587}"/>
    <cellStyle name="Normal 10 2 2 2 5 3 3" xfId="445" xr:uid="{CD121171-6F2F-4402-9998-5B3E9A6CA2CA}"/>
    <cellStyle name="Normal 10 2 2 2 5 4" xfId="446" xr:uid="{C2B2C3BE-963C-48A8-957B-09385CE00286}"/>
    <cellStyle name="Normal 10 2 2 2 5 4 2" xfId="447" xr:uid="{D3BB1C01-CAA5-4632-BE7C-28DD84BE3B7E}"/>
    <cellStyle name="Normal 10 2 2 2 5 4 2 2" xfId="448" xr:uid="{BABB1745-C6E3-4928-B3C9-12E6284ED431}"/>
    <cellStyle name="Normal 10 2 2 2 5 4 3" xfId="449" xr:uid="{064901D8-5E13-4E08-A1BD-77D9DC4B8498}"/>
    <cellStyle name="Normal 10 2 2 2 5 5" xfId="450" xr:uid="{D31FA7BA-8DFA-4C7C-89E2-B7298622A00D}"/>
    <cellStyle name="Normal 10 2 2 2 5 5 2" xfId="451" xr:uid="{A4AB5E31-FEF4-44C2-B431-D2432FD054D2}"/>
    <cellStyle name="Normal 10 2 2 2 5 6" xfId="452" xr:uid="{8EBC4FA2-BC1C-4913-9EC0-D33CDD272673}"/>
    <cellStyle name="Normal 10 2 2 2 6" xfId="453" xr:uid="{14A2AEDA-107A-442D-A1AF-74564888A470}"/>
    <cellStyle name="Normal 10 2 2 2 6 2" xfId="454" xr:uid="{E60B3352-869D-437E-9A94-1ED7BAC776CF}"/>
    <cellStyle name="Normal 10 2 2 2 6 2 2" xfId="455" xr:uid="{63F43C0F-E760-42F5-8BC2-3600F653D365}"/>
    <cellStyle name="Normal 10 2 2 2 6 3" xfId="456" xr:uid="{EF8ECA02-34C9-4613-9772-4B21E828E4C8}"/>
    <cellStyle name="Normal 10 2 2 2 7" xfId="457" xr:uid="{5EB48E81-CC9D-45BE-9395-0FC2753936F4}"/>
    <cellStyle name="Normal 10 2 2 2 7 2" xfId="458" xr:uid="{E356F898-C13B-439D-B704-72AE7944B635}"/>
    <cellStyle name="Normal 10 2 2 2 7 2 2" xfId="459" xr:uid="{92BC0AD7-2D64-47F0-B0C6-92F60B6F6203}"/>
    <cellStyle name="Normal 10 2 2 2 7 3" xfId="460" xr:uid="{3E178D39-9786-464B-8829-308467680CDA}"/>
    <cellStyle name="Normal 10 2 2 2 8" xfId="461" xr:uid="{374358EA-20A4-427C-88A9-60583B02C204}"/>
    <cellStyle name="Normal 10 2 2 2 8 2" xfId="462" xr:uid="{20C11146-FC94-4416-AAE0-2FC1B0470219}"/>
    <cellStyle name="Normal 10 2 2 2 8 2 2" xfId="463" xr:uid="{6A2D2061-E491-44F8-9354-873A9A6D0A20}"/>
    <cellStyle name="Normal 10 2 2 2 8 3" xfId="464" xr:uid="{1B1B50CC-E0D8-4767-A4AB-175C77E8AA05}"/>
    <cellStyle name="Normal 10 2 2 2 9" xfId="465" xr:uid="{8033D2B0-DDCD-49C8-A71C-72D0C8697415}"/>
    <cellStyle name="Normal 10 2 2 2 9 2" xfId="466" xr:uid="{DD72725B-E4C8-4D82-84CB-392E7F887805}"/>
    <cellStyle name="Normal 10 2 2 3" xfId="467" xr:uid="{7AA184C1-C026-4666-963B-01F1C4DD0EEA}"/>
    <cellStyle name="Normal 10 2 2 3 2" xfId="468" xr:uid="{2187C4F5-FAAA-4FC3-8090-B12FDCF4D873}"/>
    <cellStyle name="Normal 10 2 2 3 2 2" xfId="469" xr:uid="{F7A21714-6F61-413C-BA24-4AC76AA1C0C1}"/>
    <cellStyle name="Normal 10 2 2 3 2 2 2" xfId="470" xr:uid="{C1C5CD1F-7ADF-46EB-84F5-623A387F75F0}"/>
    <cellStyle name="Normal 10 2 2 3 2 2 2 2" xfId="471" xr:uid="{A594F809-ADF0-487C-B620-E0BB2AA0E0D2}"/>
    <cellStyle name="Normal 10 2 2 3 2 2 2 2 2" xfId="472" xr:uid="{85279A9B-45AD-4C95-A2C3-B10139D053E3}"/>
    <cellStyle name="Normal 10 2 2 3 2 2 2 3" xfId="473" xr:uid="{F865B881-4669-42F6-9BB5-D1D19DC7D94F}"/>
    <cellStyle name="Normal 10 2 2 3 2 2 3" xfId="474" xr:uid="{D9219A0E-A3F7-44A6-9BEA-6FC86EF2EC0C}"/>
    <cellStyle name="Normal 10 2 2 3 2 2 3 2" xfId="475" xr:uid="{A2F6BF26-6318-4438-978F-9144EA9D9808}"/>
    <cellStyle name="Normal 10 2 2 3 2 2 3 2 2" xfId="476" xr:uid="{14A45EE7-59BD-4E4C-B588-3CB8F6214D80}"/>
    <cellStyle name="Normal 10 2 2 3 2 2 3 3" xfId="477" xr:uid="{ECA0DFDB-79D6-4C5F-858A-95C88253E9EE}"/>
    <cellStyle name="Normal 10 2 2 3 2 2 4" xfId="478" xr:uid="{64F890D8-D701-42D7-8B60-094455F31305}"/>
    <cellStyle name="Normal 10 2 2 3 2 2 4 2" xfId="479" xr:uid="{82FC6053-99FA-463E-8BF5-6896823079FC}"/>
    <cellStyle name="Normal 10 2 2 3 2 2 4 2 2" xfId="480" xr:uid="{EA75723D-38BF-4439-BD5A-D3923FBEA4D2}"/>
    <cellStyle name="Normal 10 2 2 3 2 2 4 3" xfId="481" xr:uid="{E6AF0E02-7191-4E83-BE71-080D0C1A19C2}"/>
    <cellStyle name="Normal 10 2 2 3 2 2 5" xfId="482" xr:uid="{6DA83583-9985-4DB9-AEB6-70F07797830D}"/>
    <cellStyle name="Normal 10 2 2 3 2 2 5 2" xfId="483" xr:uid="{3032B846-B937-4712-AC65-F620FC1DE679}"/>
    <cellStyle name="Normal 10 2 2 3 2 2 6" xfId="484" xr:uid="{1A5B2E86-3C80-47C5-805C-385FB38D1749}"/>
    <cellStyle name="Normal 10 2 2 3 2 3" xfId="485" xr:uid="{C9AC27FD-833A-46E5-91EA-57EAE1F0FE20}"/>
    <cellStyle name="Normal 10 2 2 3 2 3 2" xfId="486" xr:uid="{12D0861C-19CE-4427-9CE3-0666C14170FC}"/>
    <cellStyle name="Normal 10 2 2 3 2 3 2 2" xfId="487" xr:uid="{1A0DC9BF-94F4-43E0-AB0C-93DC21ABF7DB}"/>
    <cellStyle name="Normal 10 2 2 3 2 3 3" xfId="488" xr:uid="{0B857D54-4543-435C-BC8F-6B6D4209AF08}"/>
    <cellStyle name="Normal 10 2 2 3 2 4" xfId="489" xr:uid="{3F408ABF-2553-43CB-BA0D-0D69376278B8}"/>
    <cellStyle name="Normal 10 2 2 3 2 4 2" xfId="490" xr:uid="{747E38FA-3860-4F1D-A796-233D5F159F23}"/>
    <cellStyle name="Normal 10 2 2 3 2 4 2 2" xfId="491" xr:uid="{125E1C31-A2BA-45C9-9A4A-2BCA5EFB294B}"/>
    <cellStyle name="Normal 10 2 2 3 2 4 3" xfId="492" xr:uid="{A52A48EC-C354-4B5A-86F6-3812B90671AC}"/>
    <cellStyle name="Normal 10 2 2 3 2 5" xfId="493" xr:uid="{4F65F768-E880-449F-AC8B-E5DC04D2E77D}"/>
    <cellStyle name="Normal 10 2 2 3 2 5 2" xfId="494" xr:uid="{A5137BAE-CF6C-47F0-9FB5-639746CBABBE}"/>
    <cellStyle name="Normal 10 2 2 3 2 5 2 2" xfId="495" xr:uid="{4EE0A06C-400E-4BC0-8DBD-1799BDCE203A}"/>
    <cellStyle name="Normal 10 2 2 3 2 5 3" xfId="496" xr:uid="{769CACA8-6FB3-4DCB-A91B-4E3971679EEE}"/>
    <cellStyle name="Normal 10 2 2 3 2 6" xfId="497" xr:uid="{E6741A07-08BA-4291-9CE1-898732DC5F83}"/>
    <cellStyle name="Normal 10 2 2 3 2 6 2" xfId="498" xr:uid="{EA2E6703-94E7-4CBE-990F-2F5DF61B68C5}"/>
    <cellStyle name="Normal 10 2 2 3 2 7" xfId="499" xr:uid="{E3388ADF-7D03-49D0-BF4F-3A917FFB3A86}"/>
    <cellStyle name="Normal 10 2 2 3 3" xfId="500" xr:uid="{2D1E32A3-2F28-4A04-84C8-ED82DD8A36C6}"/>
    <cellStyle name="Normal 10 2 2 3 3 2" xfId="501" xr:uid="{B7D0FF21-F938-4A08-910C-EB0564A781E7}"/>
    <cellStyle name="Normal 10 2 2 3 3 2 2" xfId="502" xr:uid="{ACFA6E31-317D-4931-BBAB-8AF9379174D8}"/>
    <cellStyle name="Normal 10 2 2 3 3 2 2 2" xfId="503" xr:uid="{11564C16-5EEB-457C-ABFD-85937BCC29C9}"/>
    <cellStyle name="Normal 10 2 2 3 3 2 3" xfId="504" xr:uid="{29EE4042-F256-451B-8708-561846B80699}"/>
    <cellStyle name="Normal 10 2 2 3 3 3" xfId="505" xr:uid="{AD65907B-8704-4902-915F-9DF5E38D4D23}"/>
    <cellStyle name="Normal 10 2 2 3 3 3 2" xfId="506" xr:uid="{BE956C36-B90F-4CAE-89F2-7EFA0C3581F4}"/>
    <cellStyle name="Normal 10 2 2 3 3 3 2 2" xfId="507" xr:uid="{A9F087A7-50BA-4D94-8E19-09963E8852A1}"/>
    <cellStyle name="Normal 10 2 2 3 3 3 3" xfId="508" xr:uid="{636A58DD-6B03-455F-9C70-09C8105E1D63}"/>
    <cellStyle name="Normal 10 2 2 3 3 4" xfId="509" xr:uid="{3DFAFD7B-C51A-4060-9E54-25778081905A}"/>
    <cellStyle name="Normal 10 2 2 3 3 4 2" xfId="510" xr:uid="{9B8E7011-B30D-469F-876B-4528B6AF1394}"/>
    <cellStyle name="Normal 10 2 2 3 3 4 2 2" xfId="511" xr:uid="{2D6F9B7A-2020-41C7-B0E1-06A3EA058618}"/>
    <cellStyle name="Normal 10 2 2 3 3 4 3" xfId="512" xr:uid="{1D499D32-6E31-4356-A68E-5B3C6EF90617}"/>
    <cellStyle name="Normal 10 2 2 3 3 5" xfId="513" xr:uid="{B1A8063C-55E1-4575-8BD4-40F3553019B8}"/>
    <cellStyle name="Normal 10 2 2 3 3 5 2" xfId="514" xr:uid="{09061583-A5B9-4A41-A825-4F24DCEFED1A}"/>
    <cellStyle name="Normal 10 2 2 3 3 6" xfId="515" xr:uid="{936D0B6D-228D-4949-B4AA-85F23EACDD7C}"/>
    <cellStyle name="Normal 10 2 2 3 4" xfId="516" xr:uid="{52E5C819-3E35-4D55-8092-1DFF16A355A0}"/>
    <cellStyle name="Normal 10 2 2 3 4 2" xfId="517" xr:uid="{AC8942E5-A274-4B29-B87B-77C9E681A57A}"/>
    <cellStyle name="Normal 10 2 2 3 4 2 2" xfId="518" xr:uid="{2672F854-3BD7-4F2A-A775-EE82F0B16E89}"/>
    <cellStyle name="Normal 10 2 2 3 4 3" xfId="519" xr:uid="{8497C21B-2C21-4603-8E94-11432EFE9C52}"/>
    <cellStyle name="Normal 10 2 2 3 5" xfId="520" xr:uid="{0D5E5965-6E47-4920-A0D0-C71A8784BA8B}"/>
    <cellStyle name="Normal 10 2 2 3 5 2" xfId="521" xr:uid="{4EB6F8BE-F4DF-4207-A58A-AADE1B4607B2}"/>
    <cellStyle name="Normal 10 2 2 3 5 2 2" xfId="522" xr:uid="{28E253D8-A957-4436-BB89-16E4BDB8FA92}"/>
    <cellStyle name="Normal 10 2 2 3 5 3" xfId="523" xr:uid="{381F5017-2492-4A19-9FF3-34F4AA17367E}"/>
    <cellStyle name="Normal 10 2 2 3 6" xfId="524" xr:uid="{91E7C56A-4277-488D-9A84-CA8CB3A874B1}"/>
    <cellStyle name="Normal 10 2 2 3 6 2" xfId="525" xr:uid="{59CF275A-8805-4004-96E2-AC6D30434ECB}"/>
    <cellStyle name="Normal 10 2 2 3 6 2 2" xfId="526" xr:uid="{04A95DC0-D743-49B7-8DAD-B79AB1670B3C}"/>
    <cellStyle name="Normal 10 2 2 3 6 3" xfId="527" xr:uid="{FCD6499A-6D11-4BF1-9D46-BD8161007148}"/>
    <cellStyle name="Normal 10 2 2 3 7" xfId="528" xr:uid="{7B91569D-2E3C-4BC7-929C-D0BD4A015BD9}"/>
    <cellStyle name="Normal 10 2 2 3 7 2" xfId="529" xr:uid="{DF7C77EC-C8B5-4873-A331-3A3CC494062D}"/>
    <cellStyle name="Normal 10 2 2 3 8" xfId="530" xr:uid="{E35AFA60-1DFF-4C56-8AE9-F850CF99AA94}"/>
    <cellStyle name="Normal 10 2 2 4" xfId="531" xr:uid="{D5D86D20-0E08-4601-B593-D9DAC65D9A94}"/>
    <cellStyle name="Normal 10 2 2 4 2" xfId="532" xr:uid="{EFBDC465-CCAF-4846-A614-11B09DE99F4E}"/>
    <cellStyle name="Normal 10 2 2 4 2 2" xfId="533" xr:uid="{F28C5350-6549-4754-A2D2-E7AFF7951FA0}"/>
    <cellStyle name="Normal 10 2 2 4 2 2 2" xfId="534" xr:uid="{95D28730-B816-4914-872A-46CD9968B666}"/>
    <cellStyle name="Normal 10 2 2 4 2 2 2 2" xfId="535" xr:uid="{B209840A-AF30-409C-B340-4C4DA47E8EE6}"/>
    <cellStyle name="Normal 10 2 2 4 2 2 2 2 2" xfId="536" xr:uid="{20C2FAD1-DAFF-4472-B9FD-F0194CE0F476}"/>
    <cellStyle name="Normal 10 2 2 4 2 2 2 3" xfId="537" xr:uid="{649CD911-42A4-40AD-A8E3-C89D20707EBF}"/>
    <cellStyle name="Normal 10 2 2 4 2 2 3" xfId="538" xr:uid="{876BFDC9-A4A7-4270-A27A-87B115DC74E9}"/>
    <cellStyle name="Normal 10 2 2 4 2 2 3 2" xfId="539" xr:uid="{7D10EB6C-5F7C-4CF9-B094-6C82EAD51FEE}"/>
    <cellStyle name="Normal 10 2 2 4 2 2 3 2 2" xfId="540" xr:uid="{3758AB3F-DD3D-4608-BD7D-BF04199A51B7}"/>
    <cellStyle name="Normal 10 2 2 4 2 2 3 3" xfId="541" xr:uid="{89CECEAB-2C2A-4D48-A11B-5A3ED9197184}"/>
    <cellStyle name="Normal 10 2 2 4 2 2 4" xfId="542" xr:uid="{4974F112-82C2-4FDC-A768-475C4A41407C}"/>
    <cellStyle name="Normal 10 2 2 4 2 2 4 2" xfId="543" xr:uid="{CDA57B43-B2D3-472B-A8B7-B8D821BC54CD}"/>
    <cellStyle name="Normal 10 2 2 4 2 2 4 2 2" xfId="544" xr:uid="{E5F94123-6DF2-4C8D-9705-EA5302F47521}"/>
    <cellStyle name="Normal 10 2 2 4 2 2 4 3" xfId="545" xr:uid="{08C77ABD-2F8F-4174-86C3-5994AC6A3292}"/>
    <cellStyle name="Normal 10 2 2 4 2 2 5" xfId="546" xr:uid="{505DE8A7-00D0-456C-A230-AF1799CC7BFB}"/>
    <cellStyle name="Normal 10 2 2 4 2 2 5 2" xfId="547" xr:uid="{29C8D6D4-0F5A-46CA-B4BA-E0BE0561AC7A}"/>
    <cellStyle name="Normal 10 2 2 4 2 2 6" xfId="548" xr:uid="{3DE28100-54E5-46E5-8009-B9DAAA53F956}"/>
    <cellStyle name="Normal 10 2 2 4 2 3" xfId="549" xr:uid="{03D21892-B882-4589-918B-D15E983A2C23}"/>
    <cellStyle name="Normal 10 2 2 4 2 3 2" xfId="550" xr:uid="{6FC39459-EA91-46D6-ACBF-76E375B7D143}"/>
    <cellStyle name="Normal 10 2 2 4 2 3 2 2" xfId="551" xr:uid="{C1F6FB0B-50E2-4AC4-AE7B-D7DBCB657B9A}"/>
    <cellStyle name="Normal 10 2 2 4 2 3 3" xfId="552" xr:uid="{B10B0A95-12D1-469C-84B2-F0A0C6039C37}"/>
    <cellStyle name="Normal 10 2 2 4 2 4" xfId="553" xr:uid="{FF87BE04-C650-491A-997D-DD25ADF442C9}"/>
    <cellStyle name="Normal 10 2 2 4 2 4 2" xfId="554" xr:uid="{AB955271-DE06-421A-9A0A-E6E5B3CB1C6F}"/>
    <cellStyle name="Normal 10 2 2 4 2 4 2 2" xfId="555" xr:uid="{B99A76A6-822F-4558-BAC9-A0C8007622E6}"/>
    <cellStyle name="Normal 10 2 2 4 2 4 3" xfId="556" xr:uid="{F60A95CB-2CA2-4747-97A8-416B292E7C8C}"/>
    <cellStyle name="Normal 10 2 2 4 2 5" xfId="557" xr:uid="{E5C8E437-AB86-4E13-A02D-F993CEFDC6FE}"/>
    <cellStyle name="Normal 10 2 2 4 2 5 2" xfId="558" xr:uid="{9D92BBE7-2E57-499B-B8A2-E3887CC7E129}"/>
    <cellStyle name="Normal 10 2 2 4 2 5 2 2" xfId="559" xr:uid="{7A170AC9-4762-4014-AD2A-08A88B0D09F5}"/>
    <cellStyle name="Normal 10 2 2 4 2 5 3" xfId="560" xr:uid="{2F61A6CB-09B7-446E-A1B4-F6AD745D915C}"/>
    <cellStyle name="Normal 10 2 2 4 2 6" xfId="561" xr:uid="{B5AACA99-DBE2-46C1-B31F-FDDAE124E013}"/>
    <cellStyle name="Normal 10 2 2 4 2 6 2" xfId="562" xr:uid="{45CD8264-9666-4199-8F39-F40FA4C34CF1}"/>
    <cellStyle name="Normal 10 2 2 4 2 7" xfId="563" xr:uid="{A825CEF8-4AA7-490A-858A-70AD8DBA0EB5}"/>
    <cellStyle name="Normal 10 2 2 4 3" xfId="564" xr:uid="{51BD3936-4881-444B-B2A9-023921019ADA}"/>
    <cellStyle name="Normal 10 2 2 4 3 2" xfId="565" xr:uid="{94A62F17-D3DC-4489-B0EC-B399854B198D}"/>
    <cellStyle name="Normal 10 2 2 4 3 2 2" xfId="566" xr:uid="{196E2FA9-9AE3-4001-B0F0-865D06211D68}"/>
    <cellStyle name="Normal 10 2 2 4 3 2 2 2" xfId="567" xr:uid="{317129F2-258A-436B-8CF0-44626D68F1C7}"/>
    <cellStyle name="Normal 10 2 2 4 3 2 3" xfId="568" xr:uid="{258D6F78-A098-4590-8774-3C341F8413C5}"/>
    <cellStyle name="Normal 10 2 2 4 3 3" xfId="569" xr:uid="{1B424D5B-4D1D-4105-B97F-4F72F76A6723}"/>
    <cellStyle name="Normal 10 2 2 4 3 3 2" xfId="570" xr:uid="{914A53AA-C3C8-4AEC-BDE6-D2AAF92337CB}"/>
    <cellStyle name="Normal 10 2 2 4 3 3 2 2" xfId="571" xr:uid="{B394DDB6-A8FA-4127-B17E-A4E52E6B7D3E}"/>
    <cellStyle name="Normal 10 2 2 4 3 3 3" xfId="572" xr:uid="{36A0436A-D3CA-418F-BD1F-2C64C8B8BB7E}"/>
    <cellStyle name="Normal 10 2 2 4 3 4" xfId="573" xr:uid="{A02F5227-FDAA-4B4F-AA00-6B385504D668}"/>
    <cellStyle name="Normal 10 2 2 4 3 4 2" xfId="574" xr:uid="{ECE90D8D-BE89-4704-805A-5A52CAE0EE86}"/>
    <cellStyle name="Normal 10 2 2 4 3 4 2 2" xfId="575" xr:uid="{F0E700C5-A6CA-46CF-92F6-142E8304F814}"/>
    <cellStyle name="Normal 10 2 2 4 3 4 3" xfId="576" xr:uid="{185D3F58-3EFB-4CB7-A254-510B743B44BA}"/>
    <cellStyle name="Normal 10 2 2 4 3 5" xfId="577" xr:uid="{55254C96-DE8B-4D83-8F5B-037C803E6717}"/>
    <cellStyle name="Normal 10 2 2 4 3 5 2" xfId="578" xr:uid="{439D17E5-87FA-4769-955F-9CE13DF2F76B}"/>
    <cellStyle name="Normal 10 2 2 4 3 6" xfId="579" xr:uid="{25080693-A8F9-46BB-AA67-BC8BEC5006A3}"/>
    <cellStyle name="Normal 10 2 2 4 4" xfId="580" xr:uid="{5DA718B1-C8B2-47FD-B2AF-85361CC0C243}"/>
    <cellStyle name="Normal 10 2 2 4 4 2" xfId="581" xr:uid="{8355A0F1-3D33-4A6E-848A-0C1392975232}"/>
    <cellStyle name="Normal 10 2 2 4 4 2 2" xfId="582" xr:uid="{AF316DE0-088E-48C5-A5AD-BD191A76C2A2}"/>
    <cellStyle name="Normal 10 2 2 4 4 3" xfId="583" xr:uid="{9FE1DB91-62B6-47E2-AC1E-146AFD3C38F5}"/>
    <cellStyle name="Normal 10 2 2 4 5" xfId="584" xr:uid="{70C899E1-6CED-4C1A-B2A4-7505CBB5A13F}"/>
    <cellStyle name="Normal 10 2 2 4 5 2" xfId="585" xr:uid="{2B2E596D-B710-43FC-982F-11B6FB6F5019}"/>
    <cellStyle name="Normal 10 2 2 4 5 2 2" xfId="586" xr:uid="{C306D7A0-E150-4AFF-A144-E4B3AC05F7A0}"/>
    <cellStyle name="Normal 10 2 2 4 5 3" xfId="587" xr:uid="{CA5FA550-E6A8-4D7E-96EC-B1F8063E78F1}"/>
    <cellStyle name="Normal 10 2 2 4 6" xfId="588" xr:uid="{387B3CBE-53D3-42CD-9419-13AB3FBAF66F}"/>
    <cellStyle name="Normal 10 2 2 4 6 2" xfId="589" xr:uid="{D335B27E-0588-4397-8096-AFCBA776BB82}"/>
    <cellStyle name="Normal 10 2 2 4 6 2 2" xfId="590" xr:uid="{F6DA1FCE-B5CD-4C06-A0F6-1FE4D04C7D6F}"/>
    <cellStyle name="Normal 10 2 2 4 6 3" xfId="591" xr:uid="{7B7A7042-85D2-4C7D-A011-CE5010191C16}"/>
    <cellStyle name="Normal 10 2 2 4 7" xfId="592" xr:uid="{595A5B98-D006-4E5B-A7D7-A895DC741E3B}"/>
    <cellStyle name="Normal 10 2 2 4 7 2" xfId="593" xr:uid="{C1B6419C-001C-4D31-8B1B-BCA7707CA905}"/>
    <cellStyle name="Normal 10 2 2 4 8" xfId="594" xr:uid="{E7F98B9C-1A50-4E9E-A6BD-A56AC31D230D}"/>
    <cellStyle name="Normal 10 2 2 5" xfId="595" xr:uid="{841A37FF-B12C-4995-8DE5-6CC06D4CFDFD}"/>
    <cellStyle name="Normal 10 2 2 5 2" xfId="596" xr:uid="{7AF27491-A5A0-4C7F-850E-4D709BBD1A90}"/>
    <cellStyle name="Normal 10 2 2 5 2 2" xfId="597" xr:uid="{35180206-B24C-4F29-9EA0-4CB8ED91242A}"/>
    <cellStyle name="Normal 10 2 2 5 2 2 2" xfId="598" xr:uid="{0074BB29-4E1B-4DAA-838F-8A94B9651997}"/>
    <cellStyle name="Normal 10 2 2 5 2 2 2 2" xfId="599" xr:uid="{304ABCDD-750E-471D-BCA1-2C891840412F}"/>
    <cellStyle name="Normal 10 2 2 5 2 2 3" xfId="600" xr:uid="{344AC5BC-39EB-409F-9C4C-14141D95A666}"/>
    <cellStyle name="Normal 10 2 2 5 2 3" xfId="601" xr:uid="{F94A2331-74D5-4643-A235-69DCC1579041}"/>
    <cellStyle name="Normal 10 2 2 5 2 3 2" xfId="602" xr:uid="{6DAD4B33-3DEA-4562-B263-5DA2634B002B}"/>
    <cellStyle name="Normal 10 2 2 5 2 3 2 2" xfId="603" xr:uid="{D69EC33A-8337-4ACB-BC20-5E8B67CCDF06}"/>
    <cellStyle name="Normal 10 2 2 5 2 3 3" xfId="604" xr:uid="{46493B0A-618E-4097-B177-486A8DF5A3D2}"/>
    <cellStyle name="Normal 10 2 2 5 2 4" xfId="605" xr:uid="{7F75B35F-A0F4-4B28-A05A-E8EF2ED293BB}"/>
    <cellStyle name="Normal 10 2 2 5 2 4 2" xfId="606" xr:uid="{2C431DC0-40FE-494F-ACF7-D8B7900948E3}"/>
    <cellStyle name="Normal 10 2 2 5 2 4 2 2" xfId="607" xr:uid="{3903FCF2-735B-4F25-BDB7-4F5509A2C84B}"/>
    <cellStyle name="Normal 10 2 2 5 2 4 3" xfId="608" xr:uid="{583288CB-2932-40D2-889D-F202CCA072C7}"/>
    <cellStyle name="Normal 10 2 2 5 2 5" xfId="609" xr:uid="{AA1577A4-3A3D-45C9-91E2-6E5DEDEAF38E}"/>
    <cellStyle name="Normal 10 2 2 5 2 5 2" xfId="610" xr:uid="{A52FDFA9-1D11-42F2-BCF8-82F4A5D5629E}"/>
    <cellStyle name="Normal 10 2 2 5 2 6" xfId="611" xr:uid="{0E8E4BEB-4BB3-4DE8-ADE6-10DDE61F831A}"/>
    <cellStyle name="Normal 10 2 2 5 3" xfId="612" xr:uid="{F7AA7CE7-AA05-49CD-9E54-77D4EAD46E30}"/>
    <cellStyle name="Normal 10 2 2 5 3 2" xfId="613" xr:uid="{56CE0BE1-B0B8-4014-94D9-AE1821054F11}"/>
    <cellStyle name="Normal 10 2 2 5 3 2 2" xfId="614" xr:uid="{5594735B-1F4D-43CF-B350-118102B3B9DC}"/>
    <cellStyle name="Normal 10 2 2 5 3 3" xfId="615" xr:uid="{10A5B451-2BF9-4D0C-8B3C-5A75E1016E71}"/>
    <cellStyle name="Normal 10 2 2 5 4" xfId="616" xr:uid="{6BEE66A6-19E2-4087-A354-39FBF17642F8}"/>
    <cellStyle name="Normal 10 2 2 5 4 2" xfId="617" xr:uid="{8AE727B5-1623-48E9-B67C-45A8C45AF00C}"/>
    <cellStyle name="Normal 10 2 2 5 4 2 2" xfId="618" xr:uid="{6DCBB66A-E52B-4D9E-B7EB-A9FE71A3E656}"/>
    <cellStyle name="Normal 10 2 2 5 4 3" xfId="619" xr:uid="{866D4153-6167-406B-8E89-A1D6201F406A}"/>
    <cellStyle name="Normal 10 2 2 5 5" xfId="620" xr:uid="{B00EAADF-8BA0-40D6-A740-92C8C8C1162C}"/>
    <cellStyle name="Normal 10 2 2 5 5 2" xfId="621" xr:uid="{CED1611E-64C4-4995-82E7-E39CA88D3B35}"/>
    <cellStyle name="Normal 10 2 2 5 5 2 2" xfId="622" xr:uid="{FA06D435-29BB-4270-B6C4-B79ED79679A8}"/>
    <cellStyle name="Normal 10 2 2 5 5 3" xfId="623" xr:uid="{B4727E0B-D867-4A67-BD88-8852D3A1E1ED}"/>
    <cellStyle name="Normal 10 2 2 5 6" xfId="624" xr:uid="{9CAD5943-BA3D-40B3-B2A0-5770AF5B115D}"/>
    <cellStyle name="Normal 10 2 2 5 6 2" xfId="625" xr:uid="{45036892-2C55-49C6-87D5-20D072573E80}"/>
    <cellStyle name="Normal 10 2 2 5 7" xfId="626" xr:uid="{26D4DF93-96DA-4309-A83B-9FC1E4845633}"/>
    <cellStyle name="Normal 10 2 2 6" xfId="627" xr:uid="{D1E5664C-AFEE-4032-807A-DCDCFFFA91D6}"/>
    <cellStyle name="Normal 10 2 2 6 2" xfId="628" xr:uid="{A8BF6585-43BA-42DA-BD39-68B4B9D303D5}"/>
    <cellStyle name="Normal 10 2 2 6 2 2" xfId="629" xr:uid="{F5D89FB6-400A-4530-8335-ACC8181B7807}"/>
    <cellStyle name="Normal 10 2 2 6 2 2 2" xfId="630" xr:uid="{6D47C6FC-51EA-421E-A723-3F0F8D7849BE}"/>
    <cellStyle name="Normal 10 2 2 6 2 3" xfId="631" xr:uid="{80E7BF15-D4B9-4F2C-A8D3-327F1ED4DAF7}"/>
    <cellStyle name="Normal 10 2 2 6 3" xfId="632" xr:uid="{DD480D91-493F-4A29-8BA4-DAE8C80490E2}"/>
    <cellStyle name="Normal 10 2 2 6 3 2" xfId="633" xr:uid="{DE312251-C45D-4EC1-A1A2-71A94A1B4E8B}"/>
    <cellStyle name="Normal 10 2 2 6 3 2 2" xfId="634" xr:uid="{07B8DA13-D4AB-49BB-AFDF-68E16AE64FE1}"/>
    <cellStyle name="Normal 10 2 2 6 3 3" xfId="635" xr:uid="{BAAE311F-27AA-480E-9F7F-6CACF7D63EB0}"/>
    <cellStyle name="Normal 10 2 2 6 4" xfId="636" xr:uid="{509C634C-2B18-48BD-9F43-9F9C62FFAEF5}"/>
    <cellStyle name="Normal 10 2 2 6 4 2" xfId="637" xr:uid="{32FF40F0-4376-49F9-B0A8-477BD625BA03}"/>
    <cellStyle name="Normal 10 2 2 6 4 2 2" xfId="638" xr:uid="{E96E11F9-BAF7-4965-AF9C-851CE740C601}"/>
    <cellStyle name="Normal 10 2 2 6 4 3" xfId="639" xr:uid="{2CE7FF4D-02BE-441C-AE19-E6C95CA098A2}"/>
    <cellStyle name="Normal 10 2 2 6 5" xfId="640" xr:uid="{3E8248E6-D730-4A28-8FA8-06440E1B2508}"/>
    <cellStyle name="Normal 10 2 2 6 5 2" xfId="641" xr:uid="{48BD3FA4-FEFE-4463-968E-5E8E1254A910}"/>
    <cellStyle name="Normal 10 2 2 6 6" xfId="642" xr:uid="{5CBA5831-7F49-4240-8FF1-972E4791F75F}"/>
    <cellStyle name="Normal 10 2 2 7" xfId="643" xr:uid="{A800E6AB-7E68-4735-9B7A-EBB50F481CA6}"/>
    <cellStyle name="Normal 10 2 2 7 2" xfId="644" xr:uid="{27441DE3-02D2-452D-98E3-52183F092770}"/>
    <cellStyle name="Normal 10 2 2 7 2 2" xfId="645" xr:uid="{D7089480-419C-436C-B9D7-776395F6B6AB}"/>
    <cellStyle name="Normal 10 2 2 7 3" xfId="646" xr:uid="{D22520C9-10DC-4EB3-AB18-F7F2CE82B76E}"/>
    <cellStyle name="Normal 10 2 2 8" xfId="647" xr:uid="{7A44FEB2-E6CB-4FD3-AE5E-B0D26F6FCF8C}"/>
    <cellStyle name="Normal 10 2 2 8 2" xfId="648" xr:uid="{BD1AB8BB-3162-49FD-ABBD-CB03D16C63E6}"/>
    <cellStyle name="Normal 10 2 2 8 2 2" xfId="649" xr:uid="{3AEB3580-D341-440A-B4D4-C0B654771D2E}"/>
    <cellStyle name="Normal 10 2 2 8 3" xfId="650" xr:uid="{41F9C580-44E6-4449-AD9C-2ACD91F62A5C}"/>
    <cellStyle name="Normal 10 2 2 9" xfId="651" xr:uid="{BCCC8ABD-9917-451F-8D67-30BB262FC3A4}"/>
    <cellStyle name="Normal 10 2 2 9 2" xfId="652" xr:uid="{D6B580F8-8C6A-4968-B1EE-91BAD7B9A425}"/>
    <cellStyle name="Normal 10 2 2 9 2 2" xfId="653" xr:uid="{C41B8811-5393-43FE-8259-EF4F6F7B54F9}"/>
    <cellStyle name="Normal 10 2 2 9 3" xfId="654" xr:uid="{39FA3511-BBFC-459D-8922-C9DE0B310643}"/>
    <cellStyle name="Normal 10 2 3" xfId="655" xr:uid="{AAB0F6DF-FC0F-4AAB-B8B3-1133CE8F51B9}"/>
    <cellStyle name="Normal 10 2 3 2" xfId="656" xr:uid="{B1938478-E2EE-4D4E-ACFE-162EF767DB5E}"/>
    <cellStyle name="Normal 10 2 3 2 2" xfId="657" xr:uid="{A380EA87-2EA3-43FE-853A-51FC2F578287}"/>
    <cellStyle name="Normal 10 2 3 2 2 2" xfId="658" xr:uid="{A639B340-291C-4A5A-9EBA-2E942CE2BFA5}"/>
    <cellStyle name="Normal 10 2 3 2 2 2 2" xfId="659" xr:uid="{151BA903-15EA-4EA0-A0B4-D7D046391849}"/>
    <cellStyle name="Normal 10 2 3 2 2 2 2 2" xfId="660" xr:uid="{76C27CAB-8434-4E22-84D0-ED5E7191B274}"/>
    <cellStyle name="Normal 10 2 3 2 2 2 3" xfId="661" xr:uid="{032A2DC6-AB89-44FE-8D27-529319A24EC3}"/>
    <cellStyle name="Normal 10 2 3 2 2 3" xfId="662" xr:uid="{21560DA8-CD92-4617-8C30-724EAA56A1EE}"/>
    <cellStyle name="Normal 10 2 3 2 2 3 2" xfId="663" xr:uid="{8DE0CC04-52C4-4905-9F9B-D811C00A82F2}"/>
    <cellStyle name="Normal 10 2 3 2 2 3 2 2" xfId="664" xr:uid="{DD385E72-CCEB-4201-9BD9-551DC9E4FE73}"/>
    <cellStyle name="Normal 10 2 3 2 2 3 3" xfId="665" xr:uid="{A1EF3ED4-1508-4BF3-AF01-E5C91EF64625}"/>
    <cellStyle name="Normal 10 2 3 2 2 4" xfId="666" xr:uid="{F3007902-2BC6-4B01-8E9D-A48295A23F26}"/>
    <cellStyle name="Normal 10 2 3 2 2 4 2" xfId="667" xr:uid="{A50F0C47-7886-475F-8A92-CEBF1C6ADFD4}"/>
    <cellStyle name="Normal 10 2 3 2 2 4 2 2" xfId="668" xr:uid="{BBA33803-DB8B-433D-867C-D2A91B4A50E8}"/>
    <cellStyle name="Normal 10 2 3 2 2 4 3" xfId="669" xr:uid="{7C1AF515-CD9F-49B0-AB09-B0824FAA90B2}"/>
    <cellStyle name="Normal 10 2 3 2 2 5" xfId="670" xr:uid="{8A2EA89B-A61F-469C-9BF0-F2B464440CC3}"/>
    <cellStyle name="Normal 10 2 3 2 2 5 2" xfId="671" xr:uid="{2202E21B-3B45-4A65-8AE6-9DD649BC8E54}"/>
    <cellStyle name="Normal 10 2 3 2 2 6" xfId="672" xr:uid="{ECFBFBFD-B1FB-4390-9FA3-9C5C278E329C}"/>
    <cellStyle name="Normal 10 2 3 2 3" xfId="673" xr:uid="{E89367F4-BED0-4D67-8398-A4259CFA8475}"/>
    <cellStyle name="Normal 10 2 3 2 3 2" xfId="674" xr:uid="{474ED984-6F51-4251-9B6B-80F584BC9263}"/>
    <cellStyle name="Normal 10 2 3 2 3 2 2" xfId="675" xr:uid="{E50B3E09-F1E1-4FFC-AEE2-06C81EC25AE6}"/>
    <cellStyle name="Normal 10 2 3 2 3 3" xfId="676" xr:uid="{8B38905A-8961-4C51-AE6D-E5466D8D9E68}"/>
    <cellStyle name="Normal 10 2 3 2 4" xfId="677" xr:uid="{D25A8526-FCF0-4A5D-9B45-B20C5A75DECA}"/>
    <cellStyle name="Normal 10 2 3 2 4 2" xfId="678" xr:uid="{26E82574-60A6-42D1-9066-95405BE8C9B9}"/>
    <cellStyle name="Normal 10 2 3 2 4 2 2" xfId="679" xr:uid="{ED109F5B-BE9B-48DC-A806-A17E7B7A2FA9}"/>
    <cellStyle name="Normal 10 2 3 2 4 3" xfId="680" xr:uid="{6C7B020B-DD51-48CB-B3B0-BB32A106A39D}"/>
    <cellStyle name="Normal 10 2 3 2 5" xfId="681" xr:uid="{80D636CD-453D-47D7-95CD-3ADB83FF3A8B}"/>
    <cellStyle name="Normal 10 2 3 2 5 2" xfId="682" xr:uid="{EFDD3468-3650-4F1F-BC51-8A0D80B2E3B3}"/>
    <cellStyle name="Normal 10 2 3 2 5 2 2" xfId="683" xr:uid="{1A39F002-5E26-429C-8676-9EA77F93E510}"/>
    <cellStyle name="Normal 10 2 3 2 5 3" xfId="684" xr:uid="{3BF8FBAF-9C83-4916-95D9-DF755F5A1BDB}"/>
    <cellStyle name="Normal 10 2 3 2 6" xfId="685" xr:uid="{FB292CCD-BC32-4396-8F17-3AF5A827D5DF}"/>
    <cellStyle name="Normal 10 2 3 2 6 2" xfId="686" xr:uid="{8203E301-BA7F-4EA1-9516-564E326234AE}"/>
    <cellStyle name="Normal 10 2 3 2 7" xfId="687" xr:uid="{4EBA9433-05B8-4328-AA2B-77D4346AFD28}"/>
    <cellStyle name="Normal 10 2 3 3" xfId="688" xr:uid="{9142AA57-4221-4800-A0E3-912723B72E18}"/>
    <cellStyle name="Normal 10 2 3 3 2" xfId="689" xr:uid="{D05BC78C-648B-4BAA-BEA5-77F8E4B7F904}"/>
    <cellStyle name="Normal 10 2 3 3 2 2" xfId="690" xr:uid="{2CA03C5F-1145-48AF-BD30-070D8120D714}"/>
    <cellStyle name="Normal 10 2 3 3 2 2 2" xfId="691" xr:uid="{515300DA-FEAD-4C38-AD4B-D3853C3457F6}"/>
    <cellStyle name="Normal 10 2 3 3 2 3" xfId="692" xr:uid="{DF062473-AE8D-415E-88F2-421518F4491B}"/>
    <cellStyle name="Normal 10 2 3 3 3" xfId="693" xr:uid="{D0F39D61-AF06-495E-9DA2-9DBFC1D7D39B}"/>
    <cellStyle name="Normal 10 2 3 3 3 2" xfId="694" xr:uid="{F0B08EDE-9DC4-437A-A211-E4AD588A20BC}"/>
    <cellStyle name="Normal 10 2 3 3 3 2 2" xfId="695" xr:uid="{C2863A0E-74E9-4C5C-AB39-8A7B10B98EA4}"/>
    <cellStyle name="Normal 10 2 3 3 3 3" xfId="696" xr:uid="{B8646866-6416-4F2D-9A47-BA0C1D4C985C}"/>
    <cellStyle name="Normal 10 2 3 3 4" xfId="697" xr:uid="{6CA5E497-B7B4-4B38-B172-5CF8C4E474E0}"/>
    <cellStyle name="Normal 10 2 3 3 4 2" xfId="698" xr:uid="{B4AECE01-193B-483A-9221-916502BF130A}"/>
    <cellStyle name="Normal 10 2 3 3 4 2 2" xfId="699" xr:uid="{013D4B52-8CFB-4BBC-A62F-6F1B9CBE21EE}"/>
    <cellStyle name="Normal 10 2 3 3 4 3" xfId="700" xr:uid="{6494D11C-5810-4718-9A4D-A8B14D6FACCC}"/>
    <cellStyle name="Normal 10 2 3 3 5" xfId="701" xr:uid="{CDFE792E-36CD-4B54-814B-B5509D69D517}"/>
    <cellStyle name="Normal 10 2 3 3 5 2" xfId="702" xr:uid="{8E6316AE-21AE-4FA3-AFE9-DDEFD506F7AF}"/>
    <cellStyle name="Normal 10 2 3 3 6" xfId="703" xr:uid="{16FF25DB-FC9D-44F5-9F69-8BDB56B531F9}"/>
    <cellStyle name="Normal 10 2 3 4" xfId="704" xr:uid="{BC1FBB40-25BE-4000-8092-6E5FB53ED164}"/>
    <cellStyle name="Normal 10 2 3 4 2" xfId="705" xr:uid="{6FC09FD8-2A05-43E3-AD33-A7C7875E871A}"/>
    <cellStyle name="Normal 10 2 3 4 2 2" xfId="706" xr:uid="{C0F565AA-5CCE-4B88-A604-88B7EA7F8966}"/>
    <cellStyle name="Normal 10 2 3 4 3" xfId="707" xr:uid="{D1D07723-1E51-43ED-B2B2-5704CD2F6D91}"/>
    <cellStyle name="Normal 10 2 3 5" xfId="708" xr:uid="{354320AE-88DF-47E7-9061-85BD49182C13}"/>
    <cellStyle name="Normal 10 2 3 5 2" xfId="709" xr:uid="{172C50FC-5477-4680-903A-A39A57C1F549}"/>
    <cellStyle name="Normal 10 2 3 5 2 2" xfId="710" xr:uid="{1B118449-CB82-4C0D-8598-8EBA2E87815E}"/>
    <cellStyle name="Normal 10 2 3 5 3" xfId="711" xr:uid="{B89CFBBD-9264-4BA0-90A6-42B37B4E6CBB}"/>
    <cellStyle name="Normal 10 2 3 6" xfId="712" xr:uid="{20B1359B-06C5-4C76-9A17-E54378AECAC3}"/>
    <cellStyle name="Normal 10 2 3 6 2" xfId="713" xr:uid="{140F5084-E526-4FAD-BF0B-04968AB6E7F1}"/>
    <cellStyle name="Normal 10 2 3 6 2 2" xfId="714" xr:uid="{B373CBEA-1179-4921-A149-B27466ECF2D5}"/>
    <cellStyle name="Normal 10 2 3 6 3" xfId="715" xr:uid="{8239F75B-D293-4D20-B763-FB54193744EA}"/>
    <cellStyle name="Normal 10 2 3 7" xfId="716" xr:uid="{00D3F14D-1D2C-4D9A-AD3C-30732192F253}"/>
    <cellStyle name="Normal 10 2 3 7 2" xfId="717" xr:uid="{C765A107-E010-4891-820E-4832809AABE8}"/>
    <cellStyle name="Normal 10 2 3 8" xfId="718" xr:uid="{EF99D56E-F605-4589-BE0D-2599A01BC486}"/>
    <cellStyle name="Normal 10 2 4" xfId="719" xr:uid="{87EBAE47-0B5F-4B83-9F68-E41651EFF0C2}"/>
    <cellStyle name="Normal 10 2 4 2" xfId="720" xr:uid="{85B63903-94FF-4D06-B6B4-867466FF6A96}"/>
    <cellStyle name="Normal 10 2 4 2 2" xfId="721" xr:uid="{8AE7860B-4D5D-4E69-8589-193986F54724}"/>
    <cellStyle name="Normal 10 2 4 2 2 2" xfId="722" xr:uid="{94976D8A-A802-4E61-917F-E3F1AF626232}"/>
    <cellStyle name="Normal 10 2 4 2 2 2 2" xfId="723" xr:uid="{7D7B1A06-0B49-4CA8-AA5F-FACB6FF5F853}"/>
    <cellStyle name="Normal 10 2 4 2 2 2 2 2" xfId="724" xr:uid="{22649ED9-C9FB-4A9B-B534-818F40858379}"/>
    <cellStyle name="Normal 10 2 4 2 2 2 3" xfId="725" xr:uid="{5941F875-C82A-4399-BB36-076BD869FECC}"/>
    <cellStyle name="Normal 10 2 4 2 2 3" xfId="726" xr:uid="{2D5A6F3E-9E17-46D5-A395-A7C5E27FD703}"/>
    <cellStyle name="Normal 10 2 4 2 2 3 2" xfId="727" xr:uid="{A67988A6-E289-42D7-AB0F-8DEDE1940E47}"/>
    <cellStyle name="Normal 10 2 4 2 2 3 2 2" xfId="728" xr:uid="{3501C039-2F96-40AF-B2BC-314D8D608EC9}"/>
    <cellStyle name="Normal 10 2 4 2 2 3 3" xfId="729" xr:uid="{FDC691C7-7B78-40AB-B32C-3D37D1B0F21F}"/>
    <cellStyle name="Normal 10 2 4 2 2 4" xfId="730" xr:uid="{D4246B86-D9E4-43E2-A193-E601929088A5}"/>
    <cellStyle name="Normal 10 2 4 2 2 4 2" xfId="731" xr:uid="{F875A9B9-7D57-499A-9B85-F4610B004DFA}"/>
    <cellStyle name="Normal 10 2 4 2 2 4 2 2" xfId="732" xr:uid="{33A2898F-6FF2-4C75-9B58-C71D306A8BE0}"/>
    <cellStyle name="Normal 10 2 4 2 2 4 3" xfId="733" xr:uid="{09F25754-9E65-4CAD-AFFA-C6BA2257B53D}"/>
    <cellStyle name="Normal 10 2 4 2 2 5" xfId="734" xr:uid="{4F90570A-DACF-40CE-AF43-98CE359F6207}"/>
    <cellStyle name="Normal 10 2 4 2 2 5 2" xfId="735" xr:uid="{019D681B-585D-4889-BDB7-D4C7F6384F60}"/>
    <cellStyle name="Normal 10 2 4 2 2 6" xfId="736" xr:uid="{63149DFA-5A51-409C-82D2-4BC32C5CC2C0}"/>
    <cellStyle name="Normal 10 2 4 2 3" xfId="737" xr:uid="{D5254A59-0FBB-4186-9EE8-328F3A572C74}"/>
    <cellStyle name="Normal 10 2 4 2 3 2" xfId="738" xr:uid="{22983233-BD83-4635-8F35-688A1878999E}"/>
    <cellStyle name="Normal 10 2 4 2 3 2 2" xfId="739" xr:uid="{F571DB52-2DC8-428F-99A4-2E3F82B06D2C}"/>
    <cellStyle name="Normal 10 2 4 2 3 3" xfId="740" xr:uid="{63AB7A38-A1E4-4AD9-B688-C95891459319}"/>
    <cellStyle name="Normal 10 2 4 2 4" xfId="741" xr:uid="{8BC966A4-B4C3-4F3C-901F-FD341099DC4B}"/>
    <cellStyle name="Normal 10 2 4 2 4 2" xfId="742" xr:uid="{50A2988D-793D-4E1B-A03C-EF82379ADB9C}"/>
    <cellStyle name="Normal 10 2 4 2 4 2 2" xfId="743" xr:uid="{FC238522-61C8-4107-8371-43888E688470}"/>
    <cellStyle name="Normal 10 2 4 2 4 3" xfId="744" xr:uid="{58EA0ABD-E260-4E4F-B599-BFFB4CCB9CFC}"/>
    <cellStyle name="Normal 10 2 4 2 5" xfId="745" xr:uid="{60DA2799-6A1E-4BFC-892E-71C0C402FA3C}"/>
    <cellStyle name="Normal 10 2 4 2 5 2" xfId="746" xr:uid="{BF770C99-464D-4B1E-AB01-B7D4FBC98CE1}"/>
    <cellStyle name="Normal 10 2 4 2 5 2 2" xfId="747" xr:uid="{38CDEB86-FA30-4039-82C5-A28E8C69064B}"/>
    <cellStyle name="Normal 10 2 4 2 5 3" xfId="748" xr:uid="{9AF36E86-7745-435D-886D-D5FB394834F3}"/>
    <cellStyle name="Normal 10 2 4 2 6" xfId="749" xr:uid="{609B3B68-B708-4F22-8243-C03EA97EC99B}"/>
    <cellStyle name="Normal 10 2 4 2 6 2" xfId="750" xr:uid="{6E90B6AC-BAB1-4FE6-BB8E-A4645375308D}"/>
    <cellStyle name="Normal 10 2 4 2 7" xfId="751" xr:uid="{6FF21DEA-EF0B-45B0-9520-673E810355EC}"/>
    <cellStyle name="Normal 10 2 4 3" xfId="752" xr:uid="{2B78E2A0-D7F2-4634-A42D-63A72CA326F5}"/>
    <cellStyle name="Normal 10 2 4 3 2" xfId="753" xr:uid="{A2862351-601D-4308-909E-A9CFBD5905F6}"/>
    <cellStyle name="Normal 10 2 4 3 2 2" xfId="754" xr:uid="{8BD94821-759A-452C-A672-D6B74C72667C}"/>
    <cellStyle name="Normal 10 2 4 3 2 2 2" xfId="755" xr:uid="{272EE8BC-ABDD-431B-BFAA-7B85C6926CA1}"/>
    <cellStyle name="Normal 10 2 4 3 2 3" xfId="756" xr:uid="{5C56CA79-87D7-4CFB-99CF-1A17D1557B19}"/>
    <cellStyle name="Normal 10 2 4 3 3" xfId="757" xr:uid="{FE5376E9-29B2-4876-8257-04B233727E4B}"/>
    <cellStyle name="Normal 10 2 4 3 3 2" xfId="758" xr:uid="{304BCB5D-9E10-423E-AE4E-D107CDFF63BA}"/>
    <cellStyle name="Normal 10 2 4 3 3 2 2" xfId="759" xr:uid="{3E564FDD-DD68-45F0-8CE4-185339ADE27A}"/>
    <cellStyle name="Normal 10 2 4 3 3 3" xfId="760" xr:uid="{99944FE4-47FC-4FE2-91AF-AC004B8FDDE7}"/>
    <cellStyle name="Normal 10 2 4 3 4" xfId="761" xr:uid="{C0B8F7A6-F68A-463A-A816-C7B5BEC5EE30}"/>
    <cellStyle name="Normal 10 2 4 3 4 2" xfId="762" xr:uid="{071BB9CA-6A2E-41E9-9ED9-089877588CEA}"/>
    <cellStyle name="Normal 10 2 4 3 4 2 2" xfId="763" xr:uid="{59C6FB7F-69C2-43ED-9410-3AD6099DE178}"/>
    <cellStyle name="Normal 10 2 4 3 4 3" xfId="764" xr:uid="{3A50ADD2-F7F3-497F-A7EE-E263631F3B9F}"/>
    <cellStyle name="Normal 10 2 4 3 5" xfId="765" xr:uid="{C6F3D1A3-4DE0-4C0D-BB7C-8B1DD53CB53B}"/>
    <cellStyle name="Normal 10 2 4 3 5 2" xfId="766" xr:uid="{B889C83D-ED1D-420B-8F81-F5C6E7362238}"/>
    <cellStyle name="Normal 10 2 4 3 6" xfId="767" xr:uid="{71856377-74FA-4063-AB99-52577D5928DB}"/>
    <cellStyle name="Normal 10 2 4 4" xfId="768" xr:uid="{147B11F5-17E8-4815-AAF6-3AD49E92AC03}"/>
    <cellStyle name="Normal 10 2 4 4 2" xfId="769" xr:uid="{EC12B16C-6F6D-4F0B-A823-F8248FFA9279}"/>
    <cellStyle name="Normal 10 2 4 4 2 2" xfId="770" xr:uid="{0F473BAB-8CE3-43FB-B691-2F2BAFCB376C}"/>
    <cellStyle name="Normal 10 2 4 4 3" xfId="771" xr:uid="{548A3F1C-E048-41ED-93EC-6DDCAAAEB26F}"/>
    <cellStyle name="Normal 10 2 4 5" xfId="772" xr:uid="{4AD9A191-F822-43D9-94BF-C8775B2A0683}"/>
    <cellStyle name="Normal 10 2 4 5 2" xfId="773" xr:uid="{0CCC7C7E-12F0-403E-A51B-22A770694024}"/>
    <cellStyle name="Normal 10 2 4 5 2 2" xfId="774" xr:uid="{E61A1F01-7DE2-4B1E-8B66-2C712D77D54A}"/>
    <cellStyle name="Normal 10 2 4 5 3" xfId="775" xr:uid="{B31E2FFC-959F-4800-B36B-635F962D134D}"/>
    <cellStyle name="Normal 10 2 4 6" xfId="776" xr:uid="{8CADBCB7-DA6A-41F8-BF63-D6519F641B7A}"/>
    <cellStyle name="Normal 10 2 4 6 2" xfId="777" xr:uid="{2BF227F1-37FD-4FF6-ADB6-9F32F5CFD7AE}"/>
    <cellStyle name="Normal 10 2 4 6 2 2" xfId="778" xr:uid="{F6E041B9-CA64-4C72-B976-0E0314613F76}"/>
    <cellStyle name="Normal 10 2 4 6 3" xfId="779" xr:uid="{F3C4B801-D5AE-4921-BF76-89EB114ED3ED}"/>
    <cellStyle name="Normal 10 2 4 7" xfId="780" xr:uid="{91701BA2-D2F2-4F6F-A4C0-08734E93094A}"/>
    <cellStyle name="Normal 10 2 4 7 2" xfId="781" xr:uid="{FF0D30D0-913A-4694-B3C0-3DCEE9802D86}"/>
    <cellStyle name="Normal 10 2 4 8" xfId="782" xr:uid="{09D511E0-7B61-4B6B-9118-0E583694CB0F}"/>
    <cellStyle name="Normal 10 2 5" xfId="783" xr:uid="{366B4BA3-9C7D-4BBC-B368-8CFE327888C8}"/>
    <cellStyle name="Normal 10 2 5 2" xfId="784" xr:uid="{2C574767-1FBE-4A01-BEA2-7BF5F85F3BC6}"/>
    <cellStyle name="Normal 10 2 5 2 2" xfId="785" xr:uid="{CB47E980-D88E-48DD-B053-D93C445DC3E7}"/>
    <cellStyle name="Normal 10 2 5 2 2 2" xfId="786" xr:uid="{23D59352-0A42-490E-9D31-90519EEFC139}"/>
    <cellStyle name="Normal 10 2 5 2 2 2 2" xfId="787" xr:uid="{B56FEF4E-2C62-4467-9175-1A2E9458379D}"/>
    <cellStyle name="Normal 10 2 5 2 2 3" xfId="788" xr:uid="{3230BCE1-9A55-4C65-B891-A16BBD76B7D7}"/>
    <cellStyle name="Normal 10 2 5 2 3" xfId="789" xr:uid="{EDEC98C8-9103-4C8C-830B-5A62040303ED}"/>
    <cellStyle name="Normal 10 2 5 2 3 2" xfId="790" xr:uid="{B38D2822-BC43-478A-8D5F-9D5C98E00B3D}"/>
    <cellStyle name="Normal 10 2 5 2 3 2 2" xfId="791" xr:uid="{52FBC631-F89D-423F-9FA2-1942A1674E8A}"/>
    <cellStyle name="Normal 10 2 5 2 3 3" xfId="792" xr:uid="{565D615A-7A5E-4267-8F51-2B041FB1FD0D}"/>
    <cellStyle name="Normal 10 2 5 2 4" xfId="793" xr:uid="{8E55E218-C254-49C1-B219-91C647D2E1FE}"/>
    <cellStyle name="Normal 10 2 5 2 4 2" xfId="794" xr:uid="{3859539E-8141-4650-8B14-8562EC4AD719}"/>
    <cellStyle name="Normal 10 2 5 2 4 2 2" xfId="795" xr:uid="{16FF4322-2392-40D2-B215-1F565F32DC8F}"/>
    <cellStyle name="Normal 10 2 5 2 4 3" xfId="796" xr:uid="{8E7E3D2A-B4D2-44BE-8E8F-52A56AAC93D4}"/>
    <cellStyle name="Normal 10 2 5 2 5" xfId="797" xr:uid="{7782E980-2648-45E6-A372-B4CD4438630E}"/>
    <cellStyle name="Normal 10 2 5 2 5 2" xfId="798" xr:uid="{A3C8A2A8-FFD9-48B8-B369-0E64B5FF57E5}"/>
    <cellStyle name="Normal 10 2 5 2 6" xfId="799" xr:uid="{3ACB78E6-4752-413E-8E66-2C4B7C20F7FB}"/>
    <cellStyle name="Normal 10 2 5 3" xfId="800" xr:uid="{AC749A2B-8876-4959-8CB2-3D69874943D7}"/>
    <cellStyle name="Normal 10 2 5 3 2" xfId="801" xr:uid="{E94EFE50-C9E6-4E02-AEF2-D8FAF89F44C4}"/>
    <cellStyle name="Normal 10 2 5 3 2 2" xfId="802" xr:uid="{BC7F089B-F74A-41B7-A723-5D7001003912}"/>
    <cellStyle name="Normal 10 2 5 3 3" xfId="803" xr:uid="{23DDC16A-AADD-41E0-A3F5-478105D27569}"/>
    <cellStyle name="Normal 10 2 5 4" xfId="804" xr:uid="{A151F115-FF1D-48C3-90D8-2993F074ED60}"/>
    <cellStyle name="Normal 10 2 5 4 2" xfId="805" xr:uid="{99134DEF-B317-49A9-8515-196A8A38ECB1}"/>
    <cellStyle name="Normal 10 2 5 4 2 2" xfId="806" xr:uid="{114259B0-0990-4EFF-8C1F-1D38D1BADC6F}"/>
    <cellStyle name="Normal 10 2 5 4 3" xfId="807" xr:uid="{AE5C551C-5AD6-4D49-9562-CB099BD6E2C6}"/>
    <cellStyle name="Normal 10 2 5 5" xfId="808" xr:uid="{A529BB16-E7CC-4464-86CF-F7CC5E151DA5}"/>
    <cellStyle name="Normal 10 2 5 5 2" xfId="809" xr:uid="{00959CF5-585B-482E-8C0C-168A23133DB3}"/>
    <cellStyle name="Normal 10 2 5 5 2 2" xfId="810" xr:uid="{14713FDD-6E3A-4355-B3A6-88861D46E242}"/>
    <cellStyle name="Normal 10 2 5 5 3" xfId="811" xr:uid="{831FC207-B597-4523-88A9-4D533CA67BFC}"/>
    <cellStyle name="Normal 10 2 5 6" xfId="812" xr:uid="{7A9D3D87-5874-4D83-A2A4-5D858A4560E7}"/>
    <cellStyle name="Normal 10 2 5 6 2" xfId="813" xr:uid="{4951D4C3-8CA3-43F9-87FB-F84ED0D55A8A}"/>
    <cellStyle name="Normal 10 2 5 7" xfId="814" xr:uid="{1980EB05-9EBC-4BFE-87B5-FFA749AD9174}"/>
    <cellStyle name="Normal 10 2 6" xfId="815" xr:uid="{F33509C3-4C62-4332-A4EB-85CE8DF4E769}"/>
    <cellStyle name="Normal 10 2 6 2" xfId="816" xr:uid="{8BAA8AE4-DB38-4449-9453-CA303C214B19}"/>
    <cellStyle name="Normal 10 2 6 2 2" xfId="817" xr:uid="{6C9C1F70-C6A4-4AAA-83AF-3D69616FD967}"/>
    <cellStyle name="Normal 10 2 6 2 2 2" xfId="818" xr:uid="{EAE9365E-3A6B-4B6B-A821-F88CE9AB3DA2}"/>
    <cellStyle name="Normal 10 2 6 2 3" xfId="819" xr:uid="{85E76221-5F48-4B74-9C76-4F1914085F24}"/>
    <cellStyle name="Normal 10 2 6 3" xfId="820" xr:uid="{2FADDC64-0A8C-4588-A46A-7DCED3A83417}"/>
    <cellStyle name="Normal 10 2 6 3 2" xfId="821" xr:uid="{AF202814-2CD2-4C77-99D6-68C98A3EF8AF}"/>
    <cellStyle name="Normal 10 2 6 3 2 2" xfId="822" xr:uid="{1098A69F-F2D0-4B40-B26C-EC099A72870D}"/>
    <cellStyle name="Normal 10 2 6 3 3" xfId="823" xr:uid="{34372A93-12C3-48EE-B291-23E7EBF69212}"/>
    <cellStyle name="Normal 10 2 6 4" xfId="824" xr:uid="{42CC5D01-5D84-462B-BEB4-E05CF851F70B}"/>
    <cellStyle name="Normal 10 2 6 4 2" xfId="825" xr:uid="{A0504676-60AA-4957-AE1F-FE34FD730E03}"/>
    <cellStyle name="Normal 10 2 6 4 2 2" xfId="826" xr:uid="{CC6DDD89-B71A-4434-83D5-B00B449E37C0}"/>
    <cellStyle name="Normal 10 2 6 4 3" xfId="827" xr:uid="{16AD6987-18C2-48EE-956D-43BFD1030474}"/>
    <cellStyle name="Normal 10 2 6 5" xfId="828" xr:uid="{4297316C-83F3-460C-9EC0-A1FC61671881}"/>
    <cellStyle name="Normal 10 2 6 5 2" xfId="829" xr:uid="{71AC4C91-4AEB-4EB4-8D1E-69CB0B67039A}"/>
    <cellStyle name="Normal 10 2 6 6" xfId="830" xr:uid="{44C8FBE9-6B36-44BA-B631-0B2C4F355CCF}"/>
    <cellStyle name="Normal 10 2 7" xfId="831" xr:uid="{D353A828-5197-4722-9E3D-2B67307F3A60}"/>
    <cellStyle name="Normal 10 2 7 2" xfId="832" xr:uid="{299831CA-9B3D-4D81-B545-80FA045EB911}"/>
    <cellStyle name="Normal 10 2 7 2 2" xfId="833" xr:uid="{5C97948D-1627-451E-9C31-008B9DFC92FA}"/>
    <cellStyle name="Normal 10 2 7 3" xfId="834" xr:uid="{A8BAC5D3-B983-4EFF-BD21-9C12F405EF1D}"/>
    <cellStyle name="Normal 10 2 8" xfId="835" xr:uid="{10C78D86-A54F-446D-8165-6D66A82B5E41}"/>
    <cellStyle name="Normal 10 2 8 2" xfId="836" xr:uid="{675A26CE-1321-4D68-8424-0CF2CE8C6C03}"/>
    <cellStyle name="Normal 10 2 8 2 2" xfId="837" xr:uid="{ABFEEA6B-8B06-41C1-92F1-FDB5EBD330EB}"/>
    <cellStyle name="Normal 10 2 8 3" xfId="838" xr:uid="{4C58F3B5-40BD-4A02-AB00-9C631C5F7EF8}"/>
    <cellStyle name="Normal 10 2 9" xfId="839" xr:uid="{D6BCCE3F-DA53-4A9F-A0B9-D0E9965302CB}"/>
    <cellStyle name="Normal 10 2 9 2" xfId="840" xr:uid="{0BAE4588-63CF-49FC-9232-C8EAD3B2F491}"/>
    <cellStyle name="Normal 10 2 9 2 2" xfId="841" xr:uid="{BC70B0C6-3D1C-44B3-ABA0-54F13C822B73}"/>
    <cellStyle name="Normal 10 2 9 3" xfId="842" xr:uid="{8AA619F2-4A1A-4E55-81A0-CEB9C12F07AD}"/>
    <cellStyle name="Normal 10 3" xfId="843" xr:uid="{DE058951-3FE8-44D1-8CC6-E5CC284C9F57}"/>
    <cellStyle name="Normal 10 3 2" xfId="844" xr:uid="{88EB5845-84CD-43E8-9FE4-074770E6DE59}"/>
    <cellStyle name="Normal 10 3 2 2" xfId="845" xr:uid="{B6F0CB6D-515F-442C-87EE-63C9DD95D125}"/>
    <cellStyle name="Normal 10 3 2 2 2" xfId="846" xr:uid="{5A0B4285-B47D-4B4D-885B-ABAAD5DC8458}"/>
    <cellStyle name="Normal 10 3 2 2 2 2" xfId="847" xr:uid="{3A279871-120F-452C-8812-8AD866D8641F}"/>
    <cellStyle name="Normal 10 3 2 2 2 2 2" xfId="848" xr:uid="{49B4602A-7B6A-41CC-B15D-2BAD5C699ED3}"/>
    <cellStyle name="Normal 10 3 2 2 2 3" xfId="849" xr:uid="{6B876728-4874-4F47-A40F-5C06E405DF63}"/>
    <cellStyle name="Normal 10 3 2 2 3" xfId="850" xr:uid="{5B967BEA-5A1B-41CC-9358-9D7A46347FD9}"/>
    <cellStyle name="Normal 10 3 2 2 3 2" xfId="851" xr:uid="{BC5E3201-EF61-41FF-8974-22DDCF28C1B9}"/>
    <cellStyle name="Normal 10 3 2 2 3 2 2" xfId="852" xr:uid="{F039B4E2-9D69-4774-B9F2-E385977F7FFE}"/>
    <cellStyle name="Normal 10 3 2 2 3 3" xfId="853" xr:uid="{BC6F3DDB-B41A-49FB-BA2D-12F4E7C5C99B}"/>
    <cellStyle name="Normal 10 3 2 2 4" xfId="854" xr:uid="{E4837BCF-84EE-47E6-B874-7DCBDAE30A45}"/>
    <cellStyle name="Normal 10 3 2 2 4 2" xfId="855" xr:uid="{51BA37E2-8CC3-4C26-8C5C-2745418B1C20}"/>
    <cellStyle name="Normal 10 3 2 2 4 2 2" xfId="856" xr:uid="{4302AE56-C79F-4865-8500-CB47BC50E0F0}"/>
    <cellStyle name="Normal 10 3 2 2 4 3" xfId="857" xr:uid="{ED1DE49E-E264-4A7C-AFD2-50B3B3846C00}"/>
    <cellStyle name="Normal 10 3 2 2 5" xfId="858" xr:uid="{3A108090-B851-45A0-8348-7A41AFC864FC}"/>
    <cellStyle name="Normal 10 3 2 2 5 2" xfId="859" xr:uid="{BA33B8B1-1453-4B14-8AC3-E56DEC94AD2A}"/>
    <cellStyle name="Normal 10 3 2 2 6" xfId="860" xr:uid="{F0B7410C-B8CE-469F-B5DE-195AD031AF64}"/>
    <cellStyle name="Normal 10 3 2 3" xfId="861" xr:uid="{0D8C6C99-053B-42A7-A532-401386EE7ED6}"/>
    <cellStyle name="Normal 10 3 2 3 2" xfId="862" xr:uid="{287FE2B0-82A7-422B-86A6-BC6809EE5279}"/>
    <cellStyle name="Normal 10 3 2 3 2 2" xfId="863" xr:uid="{760B58C1-2721-405F-9F8F-F79F8A649262}"/>
    <cellStyle name="Normal 10 3 2 3 3" xfId="864" xr:uid="{290178A5-DC89-49CF-A0FE-BC4350BD80AD}"/>
    <cellStyle name="Normal 10 3 2 4" xfId="865" xr:uid="{7DA7BCE6-E1A6-4437-93FE-91A96AE5E468}"/>
    <cellStyle name="Normal 10 3 2 4 2" xfId="866" xr:uid="{51554903-9C07-42F6-BD7D-6E744D7D13C5}"/>
    <cellStyle name="Normal 10 3 2 4 2 2" xfId="867" xr:uid="{54FA3D5B-B90C-4679-ABF9-EA57F63BAFAF}"/>
    <cellStyle name="Normal 10 3 2 4 3" xfId="868" xr:uid="{77161077-F268-42E4-BC8A-6CB33E92E48E}"/>
    <cellStyle name="Normal 10 3 2 5" xfId="869" xr:uid="{4875C7A6-DA45-4F5B-94AB-FD38FE764007}"/>
    <cellStyle name="Normal 10 3 2 5 2" xfId="870" xr:uid="{4B0945F3-5A71-42A6-A84F-37E7FCD69C09}"/>
    <cellStyle name="Normal 10 3 2 5 2 2" xfId="871" xr:uid="{4CDB8A25-EF36-4BB0-805D-30FE9FCC0AC0}"/>
    <cellStyle name="Normal 10 3 2 5 3" xfId="872" xr:uid="{19040D69-63AE-425A-BA07-C1BBCF90571E}"/>
    <cellStyle name="Normal 10 3 2 6" xfId="873" xr:uid="{362C7C39-751A-4478-A4D4-32EE5A958E8C}"/>
    <cellStyle name="Normal 10 3 2 6 2" xfId="874" xr:uid="{83BCBF84-DABB-422D-ABF3-27C26A5DE520}"/>
    <cellStyle name="Normal 10 3 2 7" xfId="875" xr:uid="{E32E53F1-3071-43AC-B5C7-C733FA279E11}"/>
    <cellStyle name="Normal 10 3 3" xfId="876" xr:uid="{EEA37B5E-3A82-4475-86D0-45796760FE31}"/>
    <cellStyle name="Normal 10 3 3 2" xfId="877" xr:uid="{F89CD59D-BBBD-4925-B26F-7DA663145396}"/>
    <cellStyle name="Normal 10 3 3 2 2" xfId="878" xr:uid="{D61343A0-62CE-4D8B-B947-7A435F3CFB4E}"/>
    <cellStyle name="Normal 10 3 3 2 2 2" xfId="879" xr:uid="{B4F1FCB3-0181-4705-AB3E-B6DC047989C6}"/>
    <cellStyle name="Normal 10 3 3 2 3" xfId="880" xr:uid="{C89D5EF5-0AA1-4039-AF86-9433670FD7EE}"/>
    <cellStyle name="Normal 10 3 3 3" xfId="881" xr:uid="{4E6B3731-91C0-4967-B7A8-E99091D88AC9}"/>
    <cellStyle name="Normal 10 3 3 3 2" xfId="882" xr:uid="{DBDC45E8-BF00-4242-863C-51CF64FE3F2F}"/>
    <cellStyle name="Normal 10 3 3 3 2 2" xfId="883" xr:uid="{50CAF360-0198-4BF9-B868-E9B7C12D6733}"/>
    <cellStyle name="Normal 10 3 3 3 3" xfId="884" xr:uid="{B2EDB239-04B0-43A8-83D8-65AE97650D1E}"/>
    <cellStyle name="Normal 10 3 3 4" xfId="885" xr:uid="{0529400F-7344-4767-BC6B-AE7FD20025E1}"/>
    <cellStyle name="Normal 10 3 3 4 2" xfId="886" xr:uid="{49852A05-57BB-4F1E-A9F9-8AB257844859}"/>
    <cellStyle name="Normal 10 3 3 4 2 2" xfId="887" xr:uid="{8DFA5966-C0F2-4A7F-B67F-5A789F590A0E}"/>
    <cellStyle name="Normal 10 3 3 4 3" xfId="888" xr:uid="{61EA4DFC-3DE7-485D-BE34-5E57E9B633AA}"/>
    <cellStyle name="Normal 10 3 3 5" xfId="889" xr:uid="{AB946CFF-D631-4A12-A914-A9E2856D3B41}"/>
    <cellStyle name="Normal 10 3 3 5 2" xfId="890" xr:uid="{641ACEB1-7DE3-4865-99FC-9C1085E2058E}"/>
    <cellStyle name="Normal 10 3 3 6" xfId="891" xr:uid="{478D223D-1254-4973-83EE-5B9B850ECEE5}"/>
    <cellStyle name="Normal 10 3 4" xfId="892" xr:uid="{D9C37553-E5CA-4B9F-A3B1-75AD7C953003}"/>
    <cellStyle name="Normal 10 3 4 2" xfId="893" xr:uid="{6ED9BB1A-AF79-4472-A2D4-CB2BE02495B7}"/>
    <cellStyle name="Normal 10 3 4 2 2" xfId="894" xr:uid="{C46FB8C7-CCBB-4544-83B9-29721B50043F}"/>
    <cellStyle name="Normal 10 3 4 3" xfId="895" xr:uid="{3E08A923-6EED-4F70-9AC6-BB7EBBDE2B75}"/>
    <cellStyle name="Normal 10 3 5" xfId="896" xr:uid="{6D5428CB-6D65-4348-A5F7-40B8354A6F0C}"/>
    <cellStyle name="Normal 10 3 5 2" xfId="897" xr:uid="{C41D0D3C-5061-4A4D-BA81-B48B21EB825A}"/>
    <cellStyle name="Normal 10 3 5 2 2" xfId="898" xr:uid="{336684B6-4C2F-442A-8E4F-E9B9F8935EC0}"/>
    <cellStyle name="Normal 10 3 5 3" xfId="899" xr:uid="{ED2C69E9-DB9D-43EB-B999-6F6616BA3968}"/>
    <cellStyle name="Normal 10 3 6" xfId="900" xr:uid="{1E20D8A9-3E0E-4D1D-8A83-057615DA3913}"/>
    <cellStyle name="Normal 10 3 6 2" xfId="901" xr:uid="{C756BDE1-B092-49C1-9A7F-2656B7C1D38A}"/>
    <cellStyle name="Normal 10 3 6 2 2" xfId="902" xr:uid="{2C123B29-0569-4190-99BC-48702E0A63DC}"/>
    <cellStyle name="Normal 10 3 6 3" xfId="903" xr:uid="{D8D1AA83-027D-41A1-B86E-C7617798830B}"/>
    <cellStyle name="Normal 10 3 7" xfId="904" xr:uid="{ACDCFB48-A72E-4C9B-A1B3-C72672301C7B}"/>
    <cellStyle name="Normal 10 3 7 2" xfId="905" xr:uid="{4EC2797B-79F9-4927-9894-5E17B12434AF}"/>
    <cellStyle name="Normal 10 3 8" xfId="906" xr:uid="{2AE9EF67-378D-4F44-A305-33FB12A8F9C6}"/>
    <cellStyle name="Normal 10 4" xfId="907" xr:uid="{84590816-6801-4E38-BE0D-4FEC5889B79C}"/>
    <cellStyle name="Normal 10 4 2" xfId="908" xr:uid="{6CC274A6-00E4-4CF9-9F8B-DE40C5EF78C4}"/>
    <cellStyle name="Normal 10 4 2 2" xfId="909" xr:uid="{EEAB1CE9-307F-433A-BA93-64AC3968C193}"/>
    <cellStyle name="Normal 10 4 2 2 2" xfId="910" xr:uid="{00D58E2B-3F02-421E-BDD9-C6EF33F6E972}"/>
    <cellStyle name="Normal 10 4 2 2 2 2" xfId="911" xr:uid="{A45FEFF0-33E3-4070-A39A-D9A9E1A1829D}"/>
    <cellStyle name="Normal 10 4 2 2 2 2 2" xfId="912" xr:uid="{37FE96D7-80EA-4819-97FD-2631DB348C84}"/>
    <cellStyle name="Normal 10 4 2 2 2 3" xfId="913" xr:uid="{CA073624-0355-4EA5-96FD-A9F4FFF02802}"/>
    <cellStyle name="Normal 10 4 2 2 3" xfId="914" xr:uid="{777A71E7-519A-4451-BB13-8A526F5E1F06}"/>
    <cellStyle name="Normal 10 4 2 2 3 2" xfId="915" xr:uid="{FAF746CE-BFA0-430C-B168-327EB2A4B26E}"/>
    <cellStyle name="Normal 10 4 2 2 3 2 2" xfId="916" xr:uid="{B219A6A6-C308-4693-90A7-8124F5C1A15D}"/>
    <cellStyle name="Normal 10 4 2 2 3 3" xfId="917" xr:uid="{2232077F-D8D2-4379-BD81-28C998CA19B4}"/>
    <cellStyle name="Normal 10 4 2 2 4" xfId="918" xr:uid="{1D229DEB-98BD-46B6-B7B2-CD9578F6AE60}"/>
    <cellStyle name="Normal 10 4 2 2 4 2" xfId="919" xr:uid="{A6C3099C-6A9F-4FEA-BF5C-029170FACDF9}"/>
    <cellStyle name="Normal 10 4 2 2 4 2 2" xfId="920" xr:uid="{4372028D-BE2B-483A-92D5-A45D67FA9698}"/>
    <cellStyle name="Normal 10 4 2 2 4 3" xfId="921" xr:uid="{709939E0-C83B-470E-8934-F006891A8161}"/>
    <cellStyle name="Normal 10 4 2 2 5" xfId="922" xr:uid="{794DF143-7052-43C9-BE52-F8C0BF56F57C}"/>
    <cellStyle name="Normal 10 4 2 2 5 2" xfId="923" xr:uid="{17B72246-11A8-4B6B-A79F-A8B743321B6E}"/>
    <cellStyle name="Normal 10 4 2 2 6" xfId="924" xr:uid="{B62DE77D-2DE6-476A-9C47-AB18EE229242}"/>
    <cellStyle name="Normal 10 4 2 3" xfId="925" xr:uid="{14BB00F2-8476-4AA7-9721-F21BD70D40C6}"/>
    <cellStyle name="Normal 10 4 2 3 2" xfId="926" xr:uid="{9AAADBCA-6E5E-4C14-B36F-C4CBD5CCA76A}"/>
    <cellStyle name="Normal 10 4 2 3 2 2" xfId="927" xr:uid="{58A5C196-55FA-43AE-AF4A-13CD1516D92A}"/>
    <cellStyle name="Normal 10 4 2 3 3" xfId="928" xr:uid="{7953BD47-4FBE-45BC-8218-3CD81AD83014}"/>
    <cellStyle name="Normal 10 4 2 4" xfId="929" xr:uid="{0CF78A0F-E708-463F-A691-7139B9449E15}"/>
    <cellStyle name="Normal 10 4 2 4 2" xfId="930" xr:uid="{CF7747AB-971A-4A29-B9DF-DB69C4B26EE3}"/>
    <cellStyle name="Normal 10 4 2 4 2 2" xfId="931" xr:uid="{2E416913-16DB-4494-A54B-6BC3FCFA1115}"/>
    <cellStyle name="Normal 10 4 2 4 3" xfId="932" xr:uid="{87E1C0D6-2A71-4191-8D64-54E5F05CD0C4}"/>
    <cellStyle name="Normal 10 4 2 5" xfId="933" xr:uid="{75EE1E4C-1716-4D27-96B8-CF52DF48DAA9}"/>
    <cellStyle name="Normal 10 4 2 5 2" xfId="934" xr:uid="{BA766913-0EF0-4FF1-9DE5-782AF4F8FE72}"/>
    <cellStyle name="Normal 10 4 2 5 2 2" xfId="935" xr:uid="{F2563401-7A05-4343-AE04-F215FE4343E4}"/>
    <cellStyle name="Normal 10 4 2 5 3" xfId="936" xr:uid="{A129E5AA-F6E9-4F69-86F2-EB8EC38E31D9}"/>
    <cellStyle name="Normal 10 4 2 6" xfId="937" xr:uid="{67BF4BE0-7E98-485B-B4D6-EEE935A48D44}"/>
    <cellStyle name="Normal 10 4 2 6 2" xfId="938" xr:uid="{446229C5-5A49-405C-911B-7F9B470EDB34}"/>
    <cellStyle name="Normal 10 4 2 7" xfId="939" xr:uid="{8E4BE572-140E-463F-B882-1ACB8F283479}"/>
    <cellStyle name="Normal 10 4 3" xfId="940" xr:uid="{129182C4-52A7-489B-9965-701F987F00C8}"/>
    <cellStyle name="Normal 10 4 3 2" xfId="941" xr:uid="{BBE678EE-3DE3-4EB7-AD00-BCE45A16F27A}"/>
    <cellStyle name="Normal 10 4 3 2 2" xfId="942" xr:uid="{FFB5627C-2B22-4395-BC08-84EDDC335240}"/>
    <cellStyle name="Normal 10 4 3 2 2 2" xfId="943" xr:uid="{A18DCBA0-0598-4034-8FB7-C6C9F3F1D623}"/>
    <cellStyle name="Normal 10 4 3 2 3" xfId="944" xr:uid="{48AA3492-74BF-44B4-AEEC-7B9667F78E28}"/>
    <cellStyle name="Normal 10 4 3 3" xfId="945" xr:uid="{9D54FBD5-3E6D-40D9-849F-BA057CDFE13A}"/>
    <cellStyle name="Normal 10 4 3 3 2" xfId="946" xr:uid="{4DF176A3-873A-47DE-A2C2-537657FB6197}"/>
    <cellStyle name="Normal 10 4 3 3 2 2" xfId="947" xr:uid="{9C2A1A0F-B3E5-4120-890A-96E487816A23}"/>
    <cellStyle name="Normal 10 4 3 3 3" xfId="948" xr:uid="{482E7870-AE93-4432-8DA8-5AA0335BC7E4}"/>
    <cellStyle name="Normal 10 4 3 4" xfId="949" xr:uid="{10FD9DDC-8DEC-4D3F-92F5-5377945CF242}"/>
    <cellStyle name="Normal 10 4 3 4 2" xfId="950" xr:uid="{F24E9C2A-5B67-4113-AC24-6A32C84DD0AA}"/>
    <cellStyle name="Normal 10 4 3 4 2 2" xfId="951" xr:uid="{A1213603-198B-4390-93E9-672BF0CAE22A}"/>
    <cellStyle name="Normal 10 4 3 4 3" xfId="952" xr:uid="{BBAAF8EB-D82E-41AA-AE1F-FDD23FD9F3A5}"/>
    <cellStyle name="Normal 10 4 3 5" xfId="953" xr:uid="{A1554C8A-6EAD-49BC-A71C-59B34150B658}"/>
    <cellStyle name="Normal 10 4 3 5 2" xfId="954" xr:uid="{15B5ADFE-969F-4D39-9288-BF47EACAE547}"/>
    <cellStyle name="Normal 10 4 3 6" xfId="955" xr:uid="{F3A99F33-6FAB-452F-998E-7CF68BEFA431}"/>
    <cellStyle name="Normal 10 4 4" xfId="956" xr:uid="{078C0610-B2DB-4AB6-9896-2856D4B4CFEC}"/>
    <cellStyle name="Normal 10 4 4 2" xfId="957" xr:uid="{88C364B0-1335-48D0-B716-5E2FFE5BCC9C}"/>
    <cellStyle name="Normal 10 4 4 2 2" xfId="958" xr:uid="{0B3A73F4-1052-4830-8AF9-C996A85B3B8D}"/>
    <cellStyle name="Normal 10 4 4 3" xfId="959" xr:uid="{B8540E96-D1CF-419B-9D97-DA513156A9FA}"/>
    <cellStyle name="Normal 10 4 5" xfId="960" xr:uid="{E98D4FD7-F4EA-4413-8DF6-83C83BD535CF}"/>
    <cellStyle name="Normal 10 4 5 2" xfId="961" xr:uid="{7774B6DD-9436-44BB-89D8-C610BBD99C87}"/>
    <cellStyle name="Normal 10 4 5 2 2" xfId="962" xr:uid="{F50D7972-6512-4471-961B-1D472AAEC181}"/>
    <cellStyle name="Normal 10 4 5 3" xfId="963" xr:uid="{AA47D555-7B33-48F7-A6A1-D8228F6410A1}"/>
    <cellStyle name="Normal 10 4 6" xfId="964" xr:uid="{607673BD-BC02-4A84-A940-4FED7F8800DD}"/>
    <cellStyle name="Normal 10 4 6 2" xfId="965" xr:uid="{E3B31243-E950-413E-B3FD-3701C035D3E4}"/>
    <cellStyle name="Normal 10 4 6 2 2" xfId="966" xr:uid="{FF1CAA8F-4D30-4BAE-9BDD-25D091F49A22}"/>
    <cellStyle name="Normal 10 4 6 3" xfId="967" xr:uid="{CD126D03-FA83-4AD4-9C5B-3212300D7345}"/>
    <cellStyle name="Normal 10 4 7" xfId="968" xr:uid="{34BDD716-C3D5-467C-A887-9B6AF134F997}"/>
    <cellStyle name="Normal 10 4 7 2" xfId="969" xr:uid="{57B2C77E-160B-45E0-8E56-137B96ED9F1C}"/>
    <cellStyle name="Normal 10 4 8" xfId="970" xr:uid="{02EDB22F-B91C-43A1-BF57-0BED60CE5AAD}"/>
    <cellStyle name="Normal 10 5" xfId="971" xr:uid="{2E9A10EF-6395-4A58-9AE5-E56220EE87F8}"/>
    <cellStyle name="Normal 10 5 2" xfId="972" xr:uid="{6FA366B0-DF15-471E-A106-74FE52430E01}"/>
    <cellStyle name="Normal 10 5 2 2" xfId="973" xr:uid="{8A3BD316-F590-4617-943C-FC5B7376CD95}"/>
    <cellStyle name="Normal 10 5 2 2 2" xfId="974" xr:uid="{4FA273DE-7CEC-4664-A366-7416944A6EB2}"/>
    <cellStyle name="Normal 10 5 2 2 2 2" xfId="975" xr:uid="{4D70A235-AD7A-4697-A04A-A35B3FC11DFF}"/>
    <cellStyle name="Normal 10 5 2 2 3" xfId="976" xr:uid="{70DD1AFD-205D-498B-8BD9-4D7927B1D9C7}"/>
    <cellStyle name="Normal 10 5 2 3" xfId="977" xr:uid="{A3D89D6C-E7F6-4327-9930-12862C448D86}"/>
    <cellStyle name="Normal 10 5 2 3 2" xfId="978" xr:uid="{1048BDB7-2EAB-499D-9BC0-442335C0D279}"/>
    <cellStyle name="Normal 10 5 2 3 2 2" xfId="979" xr:uid="{6D1DA55A-E1AB-4D8B-8CA8-54DCD3A3F1DA}"/>
    <cellStyle name="Normal 10 5 2 3 3" xfId="980" xr:uid="{5971DFAF-1393-4063-89F0-65BA14AF8E25}"/>
    <cellStyle name="Normal 10 5 2 4" xfId="981" xr:uid="{5CCD4980-5BFC-4746-84A8-2A5FE6A8B1E2}"/>
    <cellStyle name="Normal 10 5 2 4 2" xfId="982" xr:uid="{27560911-827B-4518-9A25-F5B30CA907E2}"/>
    <cellStyle name="Normal 10 5 2 4 2 2" xfId="983" xr:uid="{53F2ABA5-0595-488C-A416-14E76019C913}"/>
    <cellStyle name="Normal 10 5 2 4 3" xfId="984" xr:uid="{C206D416-3886-4181-8660-730E57F575EE}"/>
    <cellStyle name="Normal 10 5 2 5" xfId="985" xr:uid="{D651A997-5885-4035-A50F-630B12755162}"/>
    <cellStyle name="Normal 10 5 2 5 2" xfId="986" xr:uid="{B90AAB7B-7A60-4839-9646-F6554467B119}"/>
    <cellStyle name="Normal 10 5 2 6" xfId="987" xr:uid="{8CB0D82C-B872-4720-9214-A8CE683529F2}"/>
    <cellStyle name="Normal 10 5 3" xfId="988" xr:uid="{8B8359BD-F1C4-44B2-BAA8-3D830948A1B5}"/>
    <cellStyle name="Normal 10 5 3 2" xfId="989" xr:uid="{514F3880-0F51-4506-831A-02A126CE0ECC}"/>
    <cellStyle name="Normal 10 5 3 2 2" xfId="990" xr:uid="{F51D19FB-D36C-4D47-BBFA-69D9C777E030}"/>
    <cellStyle name="Normal 10 5 3 3" xfId="991" xr:uid="{EB6AD0F2-0021-4B7C-AEC0-BBADC9035DEA}"/>
    <cellStyle name="Normal 10 5 4" xfId="992" xr:uid="{6A32AFD7-50AC-4FB2-AA5B-EC7C873CA0A8}"/>
    <cellStyle name="Normal 10 5 4 2" xfId="993" xr:uid="{1A35613D-4A29-430B-A89E-B81E57C12D29}"/>
    <cellStyle name="Normal 10 5 4 2 2" xfId="994" xr:uid="{A08E411C-89B2-4D80-B7F7-120F24ED9A6E}"/>
    <cellStyle name="Normal 10 5 4 3" xfId="995" xr:uid="{69C5FBED-A84E-446D-8B9D-3B8397A0B32D}"/>
    <cellStyle name="Normal 10 5 5" xfId="996" xr:uid="{1D57D8E5-D844-4A1A-B9A4-F43F16BF3492}"/>
    <cellStyle name="Normal 10 5 5 2" xfId="997" xr:uid="{5DDD96A3-5D4E-479C-BE02-18B1E6F30361}"/>
    <cellStyle name="Normal 10 5 5 2 2" xfId="998" xr:uid="{7813DD89-1B9F-4B69-9A26-AAB5AB52C86C}"/>
    <cellStyle name="Normal 10 5 5 3" xfId="999" xr:uid="{45875759-2F74-4F44-93C5-233AC0FCFEC0}"/>
    <cellStyle name="Normal 10 5 6" xfId="1000" xr:uid="{334E2AFF-FD5E-47A8-9390-70E1279A393D}"/>
    <cellStyle name="Normal 10 5 6 2" xfId="1001" xr:uid="{316257F9-A961-4C21-8026-60DA295E8812}"/>
    <cellStyle name="Normal 10 5 7" xfId="1002" xr:uid="{D0872055-B610-4D78-8828-569044BD2CF6}"/>
    <cellStyle name="Normal 10 6" xfId="1003" xr:uid="{A5606271-46FB-44A0-9A7F-BDE9D42146DA}"/>
    <cellStyle name="Normal 10 6 2" xfId="1004" xr:uid="{ECE39C58-AA92-4938-8E73-BDD730C0D438}"/>
    <cellStyle name="Normal 10 6 2 2" xfId="1005" xr:uid="{27DAA3CC-B636-4788-83EF-E22A3AB2AC6F}"/>
    <cellStyle name="Normal 10 6 2 2 2" xfId="1006" xr:uid="{EFCF60D6-CFB8-4DEB-BF37-BB824A06DD2F}"/>
    <cellStyle name="Normal 10 6 2 3" xfId="1007" xr:uid="{A3DFB3AE-C038-4224-A67E-CC4A27DC0388}"/>
    <cellStyle name="Normal 10 6 3" xfId="1008" xr:uid="{FAA182CC-A539-4375-A72C-4E1C1FEB6289}"/>
    <cellStyle name="Normal 10 6 3 2" xfId="1009" xr:uid="{3F29DE02-2EAA-459D-822D-D53B25C82831}"/>
    <cellStyle name="Normal 10 6 3 2 2" xfId="1010" xr:uid="{81DD0CFC-2BE7-4F8A-AAB5-185F257DF26A}"/>
    <cellStyle name="Normal 10 6 3 3" xfId="1011" xr:uid="{613A5D72-719C-4585-9B3D-47D9832EA2BF}"/>
    <cellStyle name="Normal 10 6 4" xfId="1012" xr:uid="{E30FDDAC-2151-4322-A8F8-3B623245D09C}"/>
    <cellStyle name="Normal 10 6 4 2" xfId="1013" xr:uid="{7EBACE1C-2649-42E9-AD9E-CACB2374FB1E}"/>
    <cellStyle name="Normal 10 6 4 2 2" xfId="1014" xr:uid="{5AC502D7-409C-4797-9FCD-730489AD8424}"/>
    <cellStyle name="Normal 10 6 4 3" xfId="1015" xr:uid="{A8EB9A6E-358D-4669-B0D1-8217E804877D}"/>
    <cellStyle name="Normal 10 6 5" xfId="1016" xr:uid="{3A8A202D-34F8-4A9C-9547-D2BE278DF265}"/>
    <cellStyle name="Normal 10 6 5 2" xfId="1017" xr:uid="{C79B79A9-F6EF-4743-AD81-EB60E7092483}"/>
    <cellStyle name="Normal 10 6 6" xfId="1018" xr:uid="{EF0A180D-B2EC-416C-841C-1839CE8F1BF9}"/>
    <cellStyle name="Normal 10 7" xfId="1019" xr:uid="{7AED3729-70E0-47C0-8036-C72DE6BCAC78}"/>
    <cellStyle name="Normal 10 7 2" xfId="1020" xr:uid="{481DF5CC-75AB-4E9E-A063-C908C683A8CF}"/>
    <cellStyle name="Normal 10 7 2 2" xfId="1021" xr:uid="{769231C7-FEFC-495D-920F-CDC5E31E3CF8}"/>
    <cellStyle name="Normal 10 7 3" xfId="1022" xr:uid="{1E8422FC-9D5B-498C-AECE-E093DB9B7082}"/>
    <cellStyle name="Normal 10 8" xfId="1023" xr:uid="{899AF061-0566-43AF-8A78-16A54A8D2224}"/>
    <cellStyle name="Normal 10 8 2" xfId="1024" xr:uid="{B12116B3-8D4A-4EB6-9A5A-F55FEA272A4D}"/>
    <cellStyle name="Normal 10 8 2 2" xfId="1025" xr:uid="{E03CF777-F310-4A8A-8138-0CFF5796D9E2}"/>
    <cellStyle name="Normal 10 8 3" xfId="1026" xr:uid="{DD59F655-01C7-4EE8-978D-3B22CEE4673A}"/>
    <cellStyle name="Normal 10 9" xfId="1027" xr:uid="{2D09BFC0-0383-473B-9A34-33D16B034F2F}"/>
    <cellStyle name="Normal 10 9 2" xfId="1028" xr:uid="{6D7850F2-D457-452E-B013-66883C3B2907}"/>
    <cellStyle name="Normal 10 9 2 2" xfId="1029" xr:uid="{E462BAEA-308D-461A-9F39-4A0F2C2B0884}"/>
    <cellStyle name="Normal 10 9 3" xfId="1030" xr:uid="{B0026A1A-99F3-4CBF-8440-B3EE0414AE6A}"/>
    <cellStyle name="Normal 100" xfId="7612" xr:uid="{3A289998-0CA2-4024-BD07-0F8CCA235CF7}"/>
    <cellStyle name="Normal 100 2" xfId="7811" xr:uid="{9D6A4E36-5567-4239-BAD2-8B20D99E9650}"/>
    <cellStyle name="Normal 100 2 2" xfId="8182" xr:uid="{46ACDFF8-2BBD-48EE-B902-08F5BEB55AE0}"/>
    <cellStyle name="Normal 100 2 2 2" xfId="8852" xr:uid="{9B28BABD-824C-41A3-B1E6-402E46FA3E71}"/>
    <cellStyle name="Normal 100 2 2 2 2" xfId="10921" xr:uid="{0C2ACF7B-BC78-4B35-9D52-B77B8E6A3EE1}"/>
    <cellStyle name="Normal 100 2 2 2 2 2" xfId="15127" xr:uid="{458A8C90-07BD-4935-ABBF-B29CA2C1057F}"/>
    <cellStyle name="Normal 100 2 2 2 3" xfId="13098" xr:uid="{821FC989-54B9-4D6A-BD82-31F0A43E8491}"/>
    <cellStyle name="Normal 100 2 2 3" xfId="10251" xr:uid="{F5D9929E-A1BA-47E3-B85C-F43D9F29F7DD}"/>
    <cellStyle name="Normal 100 2 2 3 2" xfId="14457" xr:uid="{9F91BF08-F2C3-4C85-B22C-8052D881DD53}"/>
    <cellStyle name="Normal 100 2 2 4" xfId="12428" xr:uid="{E3F2E636-E0AF-4BE6-8B5B-3012DA5C767A}"/>
    <cellStyle name="Normal 100 2 3" xfId="8518" xr:uid="{325F5B5E-896E-4853-B12F-E974B250CF04}"/>
    <cellStyle name="Normal 100 2 3 2" xfId="10587" xr:uid="{E5F1AD82-2832-4AD3-BA6C-616A29D3C695}"/>
    <cellStyle name="Normal 100 2 3 2 2" xfId="14793" xr:uid="{76682195-758C-4015-BA32-D9E24274CFC7}"/>
    <cellStyle name="Normal 100 2 3 3" xfId="12764" xr:uid="{1CDE2D68-A902-4597-9F6B-AFC5D33123E2}"/>
    <cellStyle name="Normal 100 2 4" xfId="9191" xr:uid="{9E24BEB6-76C9-40AB-BD0E-72950CE6BF0E}"/>
    <cellStyle name="Normal 100 2 4 2" xfId="11260" xr:uid="{CF17DABF-A522-4D21-A0E5-BC131DB331F3}"/>
    <cellStyle name="Normal 100 2 4 2 2" xfId="15466" xr:uid="{FA8A4EBB-36C6-4FB8-91AD-020744D937CA}"/>
    <cellStyle name="Normal 100 2 4 3" xfId="13437" xr:uid="{A67733BF-18FB-47F5-84EC-BAC6BA11543F}"/>
    <cellStyle name="Normal 100 2 5" xfId="9559" xr:uid="{6E836284-BBBC-47F0-AB00-D0D6B3DDBD29}"/>
    <cellStyle name="Normal 100 2 5 2" xfId="11593" xr:uid="{607A6F14-0A72-42A2-93B8-2D01E65E3EC6}"/>
    <cellStyle name="Normal 100 2 5 2 2" xfId="15799" xr:uid="{85312001-81DC-4962-A903-42343E40234A}"/>
    <cellStyle name="Normal 100 2 5 3" xfId="13770" xr:uid="{78BD1EA7-A1F7-42D4-9868-0F40BC8BD75C}"/>
    <cellStyle name="Normal 100 2 6" xfId="9917" xr:uid="{58624E62-64E3-4AC5-8729-ED7B32A77F7F}"/>
    <cellStyle name="Normal 100 2 6 2" xfId="14123" xr:uid="{75C7FAE3-CE87-4DCB-AD84-523309EF80AB}"/>
    <cellStyle name="Normal 100 2 7" xfId="12094" xr:uid="{2C434416-C3FE-40AD-B9A1-0CEF432F7CAD}"/>
    <cellStyle name="Normal 100 3" xfId="8019" xr:uid="{5FE031ED-EC11-482A-8CBD-04D84C9E41E9}"/>
    <cellStyle name="Normal 100 3 2" xfId="8689" xr:uid="{F7AB014B-B7A1-409F-B3D3-FC30B45B37D9}"/>
    <cellStyle name="Normal 100 3 2 2" xfId="10758" xr:uid="{BE6D32AA-EFAA-4901-BC46-54C417F3DF84}"/>
    <cellStyle name="Normal 100 3 2 2 2" xfId="14964" xr:uid="{5A869485-7E32-4872-97DF-D3BAC0491966}"/>
    <cellStyle name="Normal 100 3 2 3" xfId="12935" xr:uid="{E486E09B-1D21-4E88-907E-6C1F7DA342B5}"/>
    <cellStyle name="Normal 100 3 3" xfId="10088" xr:uid="{3FE5F365-9131-4856-A245-0626020E9CE7}"/>
    <cellStyle name="Normal 100 3 3 2" xfId="14294" xr:uid="{B9894C9E-8434-433B-BCC1-68D4F8F2879B}"/>
    <cellStyle name="Normal 100 3 4" xfId="12265" xr:uid="{E847C960-CCD5-478F-A143-D5F053BE7190}"/>
    <cellStyle name="Normal 100 4" xfId="8355" xr:uid="{A5B55011-CF25-4C54-9EAB-F183340241CD}"/>
    <cellStyle name="Normal 100 4 2" xfId="10424" xr:uid="{F2C26739-4AD7-417E-AAED-7A019B9E97AC}"/>
    <cellStyle name="Normal 100 4 2 2" xfId="14630" xr:uid="{B02A4C6F-D649-412F-9EB9-224426B73175}"/>
    <cellStyle name="Normal 100 4 3" xfId="12601" xr:uid="{192468CD-4DA5-4CF6-8100-2335BAC24D6F}"/>
    <cellStyle name="Normal 100 5" xfId="9028" xr:uid="{2D346AAC-6A31-4CA3-8CC6-1734FB4C2B6F}"/>
    <cellStyle name="Normal 100 5 2" xfId="11097" xr:uid="{E3094102-27CC-479E-BECF-AADC10C14BB6}"/>
    <cellStyle name="Normal 100 5 2 2" xfId="15303" xr:uid="{2079607D-5A9E-4E1D-8F14-7D927150A1F8}"/>
    <cellStyle name="Normal 100 5 3" xfId="13274" xr:uid="{CDF0B25B-8338-4C16-A5C1-FA5FB69CB8F3}"/>
    <cellStyle name="Normal 100 6" xfId="9396" xr:uid="{D988B355-BD0C-4DC7-ADE4-62E6D5AA7373}"/>
    <cellStyle name="Normal 100 6 2" xfId="11430" xr:uid="{868EE1FD-1769-47E2-B904-2A9D78671CF5}"/>
    <cellStyle name="Normal 100 6 2 2" xfId="15636" xr:uid="{ED814AA8-1D15-49A2-931F-5CD7F5EC4D44}"/>
    <cellStyle name="Normal 100 6 3" xfId="13607" xr:uid="{2B829CDA-C992-494C-AABD-EC0137A6B6DD}"/>
    <cellStyle name="Normal 100 7" xfId="9754" xr:uid="{69184776-4D78-481B-AD56-21D221B20045}"/>
    <cellStyle name="Normal 100 7 2" xfId="13960" xr:uid="{E77A42CE-6FD4-4FB2-8F0A-D9A91876562B}"/>
    <cellStyle name="Normal 100 8" xfId="11931" xr:uid="{0A073302-04EE-4E48-B487-DDB938B36973}"/>
    <cellStyle name="Normal 101" xfId="7613" xr:uid="{562E85C9-60E0-4761-A0EF-03BFF5092CDB}"/>
    <cellStyle name="Normal 101 2" xfId="7812" xr:uid="{A2A6DA72-61BB-446C-BD85-F4F2C036704E}"/>
    <cellStyle name="Normal 101 2 2" xfId="8183" xr:uid="{21059636-EF6B-460D-B97C-78ABA7F7CD43}"/>
    <cellStyle name="Normal 101 2 2 2" xfId="8853" xr:uid="{A28EB6C2-33D4-46EC-89EC-C38E1C641D87}"/>
    <cellStyle name="Normal 101 2 2 2 2" xfId="10922" xr:uid="{5D6E6219-68B4-46D0-8062-26C926760B7C}"/>
    <cellStyle name="Normal 101 2 2 2 2 2" xfId="15128" xr:uid="{1FAE0F3A-2A56-4B70-958D-FE10FF3C3F72}"/>
    <cellStyle name="Normal 101 2 2 2 3" xfId="13099" xr:uid="{0A9BFD91-BB26-4C6A-A12D-AE2FFC88068B}"/>
    <cellStyle name="Normal 101 2 2 3" xfId="10252" xr:uid="{0B7D2B93-53E6-421F-B6F4-06D0169F1FAA}"/>
    <cellStyle name="Normal 101 2 2 3 2" xfId="14458" xr:uid="{09BA2CB3-2282-4E90-9426-CC4D8134EB55}"/>
    <cellStyle name="Normal 101 2 2 4" xfId="12429" xr:uid="{08137882-0F97-435C-AF2D-FD05B6F93DAF}"/>
    <cellStyle name="Normal 101 2 3" xfId="8519" xr:uid="{4571DB63-FC2C-4AC4-9B4A-AABDF52F664E}"/>
    <cellStyle name="Normal 101 2 3 2" xfId="10588" xr:uid="{E3B120C7-38A4-43ED-9B75-44EB70B6D1F0}"/>
    <cellStyle name="Normal 101 2 3 2 2" xfId="14794" xr:uid="{F4B47186-771F-4DC3-A27A-14A485185C63}"/>
    <cellStyle name="Normal 101 2 3 3" xfId="12765" xr:uid="{F3D47258-DC70-452B-B42D-E912585298C9}"/>
    <cellStyle name="Normal 101 2 4" xfId="9192" xr:uid="{DC43DB82-4F53-4289-8F9A-50CAB40F417B}"/>
    <cellStyle name="Normal 101 2 4 2" xfId="11261" xr:uid="{D212B222-2376-44DA-8C0A-E363557533A1}"/>
    <cellStyle name="Normal 101 2 4 2 2" xfId="15467" xr:uid="{42C55B6D-D7A0-4B44-93E1-B2301F901CD8}"/>
    <cellStyle name="Normal 101 2 4 3" xfId="13438" xr:uid="{149D7A05-4BAC-4F61-9F13-B7B4C92E4587}"/>
    <cellStyle name="Normal 101 2 5" xfId="9560" xr:uid="{3BA995E2-E18E-4FD7-B4A6-0109D355508C}"/>
    <cellStyle name="Normal 101 2 5 2" xfId="11594" xr:uid="{81ACEDC1-D1CC-486B-9978-7E80C85E3E90}"/>
    <cellStyle name="Normal 101 2 5 2 2" xfId="15800" xr:uid="{8111F217-3736-4A95-9402-00CBFEEF5099}"/>
    <cellStyle name="Normal 101 2 5 3" xfId="13771" xr:uid="{BC76FBAB-1945-4BD9-BA2D-282C5E09E7A7}"/>
    <cellStyle name="Normal 101 2 6" xfId="9918" xr:uid="{F9FFE739-5A60-486C-BB60-47F197EE6D4F}"/>
    <cellStyle name="Normal 101 2 6 2" xfId="14124" xr:uid="{566245AC-2A37-47F6-BF01-10354FCA2D7C}"/>
    <cellStyle name="Normal 101 2 7" xfId="12095" xr:uid="{F41F45F9-98B0-4CDF-8BAD-FC9F099EE4D8}"/>
    <cellStyle name="Normal 101 3" xfId="8020" xr:uid="{0A37171B-606F-44D1-94F7-7BCE113A324E}"/>
    <cellStyle name="Normal 101 3 2" xfId="8690" xr:uid="{0E8C9A70-29E2-4E61-A4E3-BBCE18725E73}"/>
    <cellStyle name="Normal 101 3 2 2" xfId="10759" xr:uid="{522E9163-D0DB-4B0A-9DB3-40D558E54869}"/>
    <cellStyle name="Normal 101 3 2 2 2" xfId="14965" xr:uid="{2CFB3DAB-52A4-472A-B842-6A52FC67F51C}"/>
    <cellStyle name="Normal 101 3 2 3" xfId="12936" xr:uid="{42E10812-76E9-48E1-B2D7-582A7E24BFD9}"/>
    <cellStyle name="Normal 101 3 3" xfId="10089" xr:uid="{0AEA45BF-0604-4DD6-84AD-F05DB7E45A20}"/>
    <cellStyle name="Normal 101 3 3 2" xfId="14295" xr:uid="{E56CF383-9D4F-4AC0-871E-E3B17936DAAB}"/>
    <cellStyle name="Normal 101 3 4" xfId="12266" xr:uid="{D0E4DFD1-8F7C-4984-B30A-1A6CBED1D3BA}"/>
    <cellStyle name="Normal 101 4" xfId="8356" xr:uid="{7DBE4CE0-56F8-4173-BA0B-B2B07A997BDD}"/>
    <cellStyle name="Normal 101 4 2" xfId="10425" xr:uid="{E7A017A6-6EA1-43F3-AE0F-E90D2B106B4A}"/>
    <cellStyle name="Normal 101 4 2 2" xfId="14631" xr:uid="{9E5A4D63-34A8-4D41-8C34-DAC4730E4F9F}"/>
    <cellStyle name="Normal 101 4 3" xfId="12602" xr:uid="{72A364E3-5029-4B4E-9AEA-21A34BB6348D}"/>
    <cellStyle name="Normal 101 5" xfId="9029" xr:uid="{54BD54CE-D1E6-4644-932A-F7091509CAFD}"/>
    <cellStyle name="Normal 101 5 2" xfId="11098" xr:uid="{230F45D8-E53B-408A-8F3B-48699F31A491}"/>
    <cellStyle name="Normal 101 5 2 2" xfId="15304" xr:uid="{8BA76F02-727D-4710-B5EC-EEA4CDC5455E}"/>
    <cellStyle name="Normal 101 5 3" xfId="13275" xr:uid="{EF635247-8333-4CC9-940A-D08AA59AEBC9}"/>
    <cellStyle name="Normal 101 6" xfId="9397" xr:uid="{502A5EDD-CA41-458F-ABD2-228E0BE48200}"/>
    <cellStyle name="Normal 101 6 2" xfId="11431" xr:uid="{C4663E50-EDAC-402E-88EE-5AFEA6A9A060}"/>
    <cellStyle name="Normal 101 6 2 2" xfId="15637" xr:uid="{45E6CDCB-24AD-41DE-A9CE-6AF9970A23FA}"/>
    <cellStyle name="Normal 101 6 3" xfId="13608" xr:uid="{BEBAFAA9-3AEE-4FAA-A583-9BCDB0AC314F}"/>
    <cellStyle name="Normal 101 7" xfId="9755" xr:uid="{89AF9FD1-0A9D-45FD-9B4E-8F1AD8C27F46}"/>
    <cellStyle name="Normal 101 7 2" xfId="13961" xr:uid="{D5246C69-BF92-4490-9A6C-B93652B00000}"/>
    <cellStyle name="Normal 101 8" xfId="11932" xr:uid="{51C48365-DC35-40C9-A05E-302BA3E99855}"/>
    <cellStyle name="Normal 102" xfId="7614" xr:uid="{FCAD7A59-89E8-40FB-803F-8BB8D642BE1D}"/>
    <cellStyle name="Normal 102 2" xfId="7813" xr:uid="{829F4F88-0FA3-4ABC-94C9-3472BC8350EA}"/>
    <cellStyle name="Normal 102 2 2" xfId="8184" xr:uid="{62C20E82-E7A0-4DC0-8373-5085D00DAE3D}"/>
    <cellStyle name="Normal 102 2 2 2" xfId="8854" xr:uid="{AD000FDC-C989-41CC-9301-FE2AC30D83CF}"/>
    <cellStyle name="Normal 102 2 2 2 2" xfId="10923" xr:uid="{1395FA50-3767-40F8-86BC-01A4588A0B42}"/>
    <cellStyle name="Normal 102 2 2 2 2 2" xfId="15129" xr:uid="{BA5CEB3A-63B2-4965-82BE-D40F35D57E53}"/>
    <cellStyle name="Normal 102 2 2 2 3" xfId="13100" xr:uid="{5197BCCD-63A6-4F5D-8995-58334A136518}"/>
    <cellStyle name="Normal 102 2 2 3" xfId="10253" xr:uid="{0C414978-E84F-4334-B723-5578B3D79C98}"/>
    <cellStyle name="Normal 102 2 2 3 2" xfId="14459" xr:uid="{C4523BE5-3693-43DE-AB47-04FF421ED5CE}"/>
    <cellStyle name="Normal 102 2 2 4" xfId="12430" xr:uid="{532804E7-BA70-4908-AB80-8882147599F4}"/>
    <cellStyle name="Normal 102 2 3" xfId="8520" xr:uid="{BF2DB381-F002-47B7-996B-1A4CDF683F6E}"/>
    <cellStyle name="Normal 102 2 3 2" xfId="10589" xr:uid="{83C56869-9F8D-4076-9E9C-2D1FE84797B1}"/>
    <cellStyle name="Normal 102 2 3 2 2" xfId="14795" xr:uid="{63E44EF5-8948-4188-95E5-9CC10FDDD318}"/>
    <cellStyle name="Normal 102 2 3 3" xfId="12766" xr:uid="{3020FBC2-B6BF-4EAD-BB68-3C072B884D3B}"/>
    <cellStyle name="Normal 102 2 4" xfId="9193" xr:uid="{BBC048E6-0C9D-4229-A044-5FDFC805C6E1}"/>
    <cellStyle name="Normal 102 2 4 2" xfId="11262" xr:uid="{005AB065-0FC5-428D-99F8-20036A3905BF}"/>
    <cellStyle name="Normal 102 2 4 2 2" xfId="15468" xr:uid="{973B6459-FE4A-4885-B9C4-83EACA15EF1E}"/>
    <cellStyle name="Normal 102 2 4 3" xfId="13439" xr:uid="{00257E1D-902F-4BEB-863B-2870F5E439B5}"/>
    <cellStyle name="Normal 102 2 5" xfId="9561" xr:uid="{839A3268-1675-45E4-98C8-660F7B640C23}"/>
    <cellStyle name="Normal 102 2 5 2" xfId="11595" xr:uid="{0CD32246-D3C7-4E93-9269-75731F13012A}"/>
    <cellStyle name="Normal 102 2 5 2 2" xfId="15801" xr:uid="{40D01978-9D6B-45D4-AB31-E6EB3FFF3C7E}"/>
    <cellStyle name="Normal 102 2 5 3" xfId="13772" xr:uid="{DB2E6A36-81B2-46D9-BADC-222554987A15}"/>
    <cellStyle name="Normal 102 2 6" xfId="9919" xr:uid="{79246F3E-700A-44CB-8462-E102A4DE111B}"/>
    <cellStyle name="Normal 102 2 6 2" xfId="14125" xr:uid="{ABF738E9-82B0-4BDE-B18E-9254D749C0B0}"/>
    <cellStyle name="Normal 102 2 7" xfId="12096" xr:uid="{7EA4411F-7BCC-4886-887F-BDB9D4615820}"/>
    <cellStyle name="Normal 102 3" xfId="8021" xr:uid="{63CC3188-7B9B-430F-93C0-53BCBB14AC1A}"/>
    <cellStyle name="Normal 102 3 2" xfId="8691" xr:uid="{0C10F044-4D30-4D88-8417-7FA28F431875}"/>
    <cellStyle name="Normal 102 3 2 2" xfId="10760" xr:uid="{68F6C05E-631D-470A-B148-16E666C8A9DA}"/>
    <cellStyle name="Normal 102 3 2 2 2" xfId="14966" xr:uid="{9C339DC7-5051-474E-ABF0-4D07BA5415BD}"/>
    <cellStyle name="Normal 102 3 2 3" xfId="12937" xr:uid="{92A82A35-9AB0-4B20-8570-EAB019634C78}"/>
    <cellStyle name="Normal 102 3 3" xfId="10090" xr:uid="{2A01392B-6E5A-4778-B055-D78F1D1A0BBE}"/>
    <cellStyle name="Normal 102 3 3 2" xfId="14296" xr:uid="{E2501F8B-EEFD-4955-99AD-DED7D12DF33A}"/>
    <cellStyle name="Normal 102 3 4" xfId="12267" xr:uid="{4CA50E1C-F29B-416B-9719-8E2A4553FC93}"/>
    <cellStyle name="Normal 102 4" xfId="8357" xr:uid="{0C0FF9D7-B380-4BD9-95BD-C9F43F02AB30}"/>
    <cellStyle name="Normal 102 4 2" xfId="10426" xr:uid="{43ADBA42-D457-403F-AE92-0B0373D0D21A}"/>
    <cellStyle name="Normal 102 4 2 2" xfId="14632" xr:uid="{271908C6-D2B2-49F3-B3FA-E92EE848F790}"/>
    <cellStyle name="Normal 102 4 3" xfId="12603" xr:uid="{E22D1BC2-CD69-4712-9FB2-518459D2C4F8}"/>
    <cellStyle name="Normal 102 5" xfId="9030" xr:uid="{4474D3D8-4E47-4C3B-8BAF-A89AC8128EDB}"/>
    <cellStyle name="Normal 102 5 2" xfId="11099" xr:uid="{D41B084A-F92C-4750-9E75-93D531A3B1A9}"/>
    <cellStyle name="Normal 102 5 2 2" xfId="15305" xr:uid="{F52339F2-7A87-43F5-96FE-2A126330F4E1}"/>
    <cellStyle name="Normal 102 5 3" xfId="13276" xr:uid="{D48C72D8-5B05-4168-8786-777061FA15CC}"/>
    <cellStyle name="Normal 102 6" xfId="9398" xr:uid="{8FB73738-C599-4DED-99F0-99BDBF192219}"/>
    <cellStyle name="Normal 102 6 2" xfId="11432" xr:uid="{81A457C8-F5B7-45BC-9D1B-CB32FF6587D3}"/>
    <cellStyle name="Normal 102 6 2 2" xfId="15638" xr:uid="{26E6649B-9E8A-4D2B-B412-9EA13FFEFCD3}"/>
    <cellStyle name="Normal 102 6 3" xfId="13609" xr:uid="{5C2C037C-A8B4-4743-A35F-69F147220082}"/>
    <cellStyle name="Normal 102 7" xfId="9756" xr:uid="{A2E1E88E-0EEB-4C1A-A125-71D17F8AD92D}"/>
    <cellStyle name="Normal 102 7 2" xfId="13962" xr:uid="{E36B4EBF-2694-487F-9129-E926ACFA6A50}"/>
    <cellStyle name="Normal 102 8" xfId="11933" xr:uid="{30D66992-E0AD-430D-8D9C-EEEEB4C904EB}"/>
    <cellStyle name="Normal 103" xfId="7615" xr:uid="{EFC06FDA-F2E7-4A8E-89EF-01198EF054B1}"/>
    <cellStyle name="Normal 103 2" xfId="7814" xr:uid="{79047E42-B790-4331-BB38-7C15898726E7}"/>
    <cellStyle name="Normal 103 2 2" xfId="8185" xr:uid="{01996634-A438-4F8B-B6D0-55D2B6EDA1F2}"/>
    <cellStyle name="Normal 103 2 2 2" xfId="8855" xr:uid="{ACE2476A-0FD3-4CE8-A6FF-26FCB4EBC206}"/>
    <cellStyle name="Normal 103 2 2 2 2" xfId="10924" xr:uid="{3EFD946B-C442-4D74-980F-BE346D27D220}"/>
    <cellStyle name="Normal 103 2 2 2 2 2" xfId="15130" xr:uid="{0094136A-81EA-4684-846F-3767B0802311}"/>
    <cellStyle name="Normal 103 2 2 2 3" xfId="13101" xr:uid="{0DA5DA57-0CF1-48F9-809C-8AF6B27E58DC}"/>
    <cellStyle name="Normal 103 2 2 3" xfId="10254" xr:uid="{8A93CF7B-FE37-41E2-A568-93DB6B93A330}"/>
    <cellStyle name="Normal 103 2 2 3 2" xfId="14460" xr:uid="{FA5C6BDC-7631-4BA2-A610-63DCAED8733E}"/>
    <cellStyle name="Normal 103 2 2 4" xfId="12431" xr:uid="{A96C5B34-C1E8-4946-B129-A296B75E7AFB}"/>
    <cellStyle name="Normal 103 2 3" xfId="8521" xr:uid="{864B0EF4-C2C5-43C3-B60B-8C0F525D5860}"/>
    <cellStyle name="Normal 103 2 3 2" xfId="10590" xr:uid="{898FFEB9-BA09-409D-AA4C-FC5D15B338C1}"/>
    <cellStyle name="Normal 103 2 3 2 2" xfId="14796" xr:uid="{469724F3-DA2B-43D8-8331-B22D4657C51E}"/>
    <cellStyle name="Normal 103 2 3 3" xfId="12767" xr:uid="{1D4037B8-23E0-4951-BCEA-62DD3049E460}"/>
    <cellStyle name="Normal 103 2 4" xfId="9194" xr:uid="{9465D1BC-342D-4FD7-8C33-A8AEEEB7D195}"/>
    <cellStyle name="Normal 103 2 4 2" xfId="11263" xr:uid="{F6A50D23-D83A-423E-A91A-BE2093EFD494}"/>
    <cellStyle name="Normal 103 2 4 2 2" xfId="15469" xr:uid="{AECB53F6-B523-4A17-8CDC-2617409485CF}"/>
    <cellStyle name="Normal 103 2 4 3" xfId="13440" xr:uid="{6D524186-04CC-4B39-B50B-B409C8920F39}"/>
    <cellStyle name="Normal 103 2 5" xfId="9562" xr:uid="{FF184D5B-CC43-401A-8B00-E9BCD9C5CBDC}"/>
    <cellStyle name="Normal 103 2 5 2" xfId="11596" xr:uid="{CC546FE1-7EDE-458E-8B66-7005C144D618}"/>
    <cellStyle name="Normal 103 2 5 2 2" xfId="15802" xr:uid="{DFE0B343-981E-4ACF-9432-B18485BE9BAF}"/>
    <cellStyle name="Normal 103 2 5 3" xfId="13773" xr:uid="{4B3A8CAD-64C9-4FC6-810A-F8AA6A45C1CD}"/>
    <cellStyle name="Normal 103 2 6" xfId="9920" xr:uid="{DF82606A-BFE7-4321-9A4F-E6BC4461BA2F}"/>
    <cellStyle name="Normal 103 2 6 2" xfId="14126" xr:uid="{228EFB45-A349-4B31-9BEC-A205BAFAD865}"/>
    <cellStyle name="Normal 103 2 7" xfId="12097" xr:uid="{F94F9549-9CFB-4161-9D0F-C0A11E1569ED}"/>
    <cellStyle name="Normal 103 3" xfId="8022" xr:uid="{E31A66A5-0B00-4524-8594-B681C8343AD7}"/>
    <cellStyle name="Normal 103 3 2" xfId="8692" xr:uid="{FF75F033-5073-4355-A9E6-25B88BB90A5A}"/>
    <cellStyle name="Normal 103 3 2 2" xfId="10761" xr:uid="{6224AF9D-0672-46D6-871C-BDBB04C8744B}"/>
    <cellStyle name="Normal 103 3 2 2 2" xfId="14967" xr:uid="{2376D9F3-C083-4D77-9F74-B582CE48D21C}"/>
    <cellStyle name="Normal 103 3 2 3" xfId="12938" xr:uid="{4AE54FB6-6F4E-4AF3-A5FA-AA8F75D4164A}"/>
    <cellStyle name="Normal 103 3 3" xfId="10091" xr:uid="{16CB96FC-1EEE-4230-A3D3-A2B690435E37}"/>
    <cellStyle name="Normal 103 3 3 2" xfId="14297" xr:uid="{04341392-3AEC-48C5-AF70-78595673E239}"/>
    <cellStyle name="Normal 103 3 4" xfId="12268" xr:uid="{CB04C058-FD06-41FB-A1ED-91C9143E61FE}"/>
    <cellStyle name="Normal 103 4" xfId="8358" xr:uid="{B840EB93-70A2-4483-874D-F49EF6528F5A}"/>
    <cellStyle name="Normal 103 4 2" xfId="10427" xr:uid="{D5EFB04C-FF4E-4E44-B620-36D6E9068372}"/>
    <cellStyle name="Normal 103 4 2 2" xfId="14633" xr:uid="{D17C7990-37F4-41F9-A671-FBB5E256406F}"/>
    <cellStyle name="Normal 103 4 3" xfId="12604" xr:uid="{5BE6E5CB-45FC-4B1B-8025-FA74D6C7032F}"/>
    <cellStyle name="Normal 103 5" xfId="9031" xr:uid="{C85615C2-42BE-4CCC-A760-43E16BB989CE}"/>
    <cellStyle name="Normal 103 5 2" xfId="11100" xr:uid="{F2679124-D84A-465A-9BB9-3C7C615D3BF5}"/>
    <cellStyle name="Normal 103 5 2 2" xfId="15306" xr:uid="{DE33125B-4330-47E4-86F3-1D2D4034A4BA}"/>
    <cellStyle name="Normal 103 5 3" xfId="13277" xr:uid="{79A7D9B7-13DB-44BE-8944-92EA1DBC33AF}"/>
    <cellStyle name="Normal 103 6" xfId="9399" xr:uid="{13A8CD0A-9E5D-4C93-BFF3-66CF9CD23625}"/>
    <cellStyle name="Normal 103 6 2" xfId="11433" xr:uid="{A8751EF5-B394-47D1-8014-A0498324ED2B}"/>
    <cellStyle name="Normal 103 6 2 2" xfId="15639" xr:uid="{0CD48CB9-1D29-44BD-8A0D-F77C8BBD2772}"/>
    <cellStyle name="Normal 103 6 3" xfId="13610" xr:uid="{DF289A62-0564-40D8-AEA4-62D022434D15}"/>
    <cellStyle name="Normal 103 7" xfId="9757" xr:uid="{801ABAE1-19F1-48C3-8684-2FC4BF36D182}"/>
    <cellStyle name="Normal 103 7 2" xfId="13963" xr:uid="{6D0706C5-D576-4811-804C-8BB25472EAED}"/>
    <cellStyle name="Normal 103 8" xfId="11934" xr:uid="{0990A548-DACB-465B-8867-E14F43702313}"/>
    <cellStyle name="Normal 104" xfId="7616" xr:uid="{244D3B09-A5A4-4F77-96FF-4699B9D8CDDF}"/>
    <cellStyle name="Normal 104 2" xfId="7815" xr:uid="{F710AFD5-43AD-4368-B5AE-CB3A6B25D47A}"/>
    <cellStyle name="Normal 105" xfId="7617" xr:uid="{A32F4E2F-3AB7-4043-9CC5-76088921B403}"/>
    <cellStyle name="Normal 105 2" xfId="7816" xr:uid="{AA56FBA1-6194-4CB6-81AB-11B08390CE51}"/>
    <cellStyle name="Normal 105 2 2" xfId="8186" xr:uid="{DBC39C0D-8803-4E6E-AB95-04E6C9276D9F}"/>
    <cellStyle name="Normal 105 2 2 2" xfId="8856" xr:uid="{D91A6A85-2891-4A7C-B599-6D3D1A22D5C5}"/>
    <cellStyle name="Normal 105 2 2 2 2" xfId="10925" xr:uid="{C3AC9ABA-DB2E-4753-8098-DC7A3D9DF87C}"/>
    <cellStyle name="Normal 105 2 2 2 2 2" xfId="15131" xr:uid="{7026905F-CE65-47A1-A851-D3E1B50FD1CB}"/>
    <cellStyle name="Normal 105 2 2 2 3" xfId="13102" xr:uid="{32B320FE-485C-4F37-8588-7AF8E3ADA052}"/>
    <cellStyle name="Normal 105 2 2 3" xfId="10255" xr:uid="{EB8B4551-68D9-4C00-9356-0C36BAC341A6}"/>
    <cellStyle name="Normal 105 2 2 3 2" xfId="14461" xr:uid="{9B3AC01B-500F-4986-B3FE-3120FDACE8AA}"/>
    <cellStyle name="Normal 105 2 2 4" xfId="12432" xr:uid="{68ADE939-8CFE-4350-A958-AA2F35BAC8F1}"/>
    <cellStyle name="Normal 105 2 3" xfId="8522" xr:uid="{B798009E-C523-49E5-A0BA-8C8F7676D191}"/>
    <cellStyle name="Normal 105 2 3 2" xfId="10591" xr:uid="{23C716B4-8AE9-42E5-AF02-D659EFC6CED1}"/>
    <cellStyle name="Normal 105 2 3 2 2" xfId="14797" xr:uid="{08D3CCCF-17F2-47B0-AED9-B2A5336693C0}"/>
    <cellStyle name="Normal 105 2 3 3" xfId="12768" xr:uid="{FFE4F731-9EA2-44AE-945E-E5EB93BDF20C}"/>
    <cellStyle name="Normal 105 2 4" xfId="9195" xr:uid="{EC34E6F8-3316-4E68-A98C-7EBC2BFAE76D}"/>
    <cellStyle name="Normal 105 2 4 2" xfId="11264" xr:uid="{FD0337E2-DEA0-4717-873B-4F858CE1D0BF}"/>
    <cellStyle name="Normal 105 2 4 2 2" xfId="15470" xr:uid="{FB3B2E6C-A251-4CB6-876D-84F625BCCB8B}"/>
    <cellStyle name="Normal 105 2 4 3" xfId="13441" xr:uid="{AE7C4161-43BA-4D4B-B4F6-94CFA7055557}"/>
    <cellStyle name="Normal 105 2 5" xfId="9563" xr:uid="{C89D958E-FE5A-4B33-A44E-5A3ED4BCBE12}"/>
    <cellStyle name="Normal 105 2 5 2" xfId="11597" xr:uid="{5388845C-D8AE-4379-B520-EC8A3711C8A7}"/>
    <cellStyle name="Normal 105 2 5 2 2" xfId="15803" xr:uid="{91DE9764-4C26-430B-A94C-E00837BBF00A}"/>
    <cellStyle name="Normal 105 2 5 3" xfId="13774" xr:uid="{02B027C8-2231-4C27-87FF-B55A71E91B51}"/>
    <cellStyle name="Normal 105 2 6" xfId="9921" xr:uid="{96E0A7DB-5EC8-46A4-A23B-91E4E8F78855}"/>
    <cellStyle name="Normal 105 2 6 2" xfId="14127" xr:uid="{A0BC0D87-7440-4B31-9C00-14176274AD5D}"/>
    <cellStyle name="Normal 105 2 7" xfId="12098" xr:uid="{39553DA3-705B-44FE-A9DE-86010D794F38}"/>
    <cellStyle name="Normal 105 3" xfId="8023" xr:uid="{0849E507-BCD3-4DDD-BC4C-703EDF17620C}"/>
    <cellStyle name="Normal 105 3 2" xfId="8693" xr:uid="{382AE03B-027C-484F-A852-09543449F280}"/>
    <cellStyle name="Normal 105 3 2 2" xfId="10762" xr:uid="{3D11E69F-ECF3-49B0-8213-E23FC60D7BB1}"/>
    <cellStyle name="Normal 105 3 2 2 2" xfId="14968" xr:uid="{55987093-9153-4823-8D58-8BDF56CEE8BD}"/>
    <cellStyle name="Normal 105 3 2 3" xfId="12939" xr:uid="{2823A8A9-D43A-40FC-8064-DF0441883A1D}"/>
    <cellStyle name="Normal 105 3 3" xfId="10092" xr:uid="{604DFB47-00BC-4F51-BE02-ECF72A477840}"/>
    <cellStyle name="Normal 105 3 3 2" xfId="14298" xr:uid="{F180E65B-92E7-46B1-9FF8-DE5F10C82A78}"/>
    <cellStyle name="Normal 105 3 4" xfId="12269" xr:uid="{E753E97D-8D8E-43D1-BB59-39E7D7934657}"/>
    <cellStyle name="Normal 105 4" xfId="8359" xr:uid="{D693079E-7964-4906-9F99-A8BC0D70AF5B}"/>
    <cellStyle name="Normal 105 4 2" xfId="10428" xr:uid="{4A66DD21-DDAA-4A15-861C-B6739EF79F33}"/>
    <cellStyle name="Normal 105 4 2 2" xfId="14634" xr:uid="{AAEE05E3-834A-4F45-98D1-75037B1CCF09}"/>
    <cellStyle name="Normal 105 4 3" xfId="12605" xr:uid="{6980BBA5-9051-4828-9123-AD1D6F847102}"/>
    <cellStyle name="Normal 105 5" xfId="9032" xr:uid="{5856F7C3-0F18-4D2D-8BFC-9F5BA0A480C0}"/>
    <cellStyle name="Normal 105 5 2" xfId="11101" xr:uid="{C6D71E2D-00F9-4AF6-B27E-B62B9AAC0FD3}"/>
    <cellStyle name="Normal 105 5 2 2" xfId="15307" xr:uid="{119FD080-8192-46AB-94D0-A0C2C7F9C707}"/>
    <cellStyle name="Normal 105 5 3" xfId="13278" xr:uid="{A6D0C659-64BF-4489-B5FA-22F867133D6A}"/>
    <cellStyle name="Normal 105 6" xfId="9400" xr:uid="{51D171A4-66BF-4808-AA91-A39DD21C655C}"/>
    <cellStyle name="Normal 105 6 2" xfId="11434" xr:uid="{ACEB3A07-CC9D-4E65-8DA0-1AD54A6293A1}"/>
    <cellStyle name="Normal 105 6 2 2" xfId="15640" xr:uid="{1A400519-B55B-4DC2-BD8E-411BE9DC3B83}"/>
    <cellStyle name="Normal 105 6 3" xfId="13611" xr:uid="{CF3CF769-760D-465D-BB10-AE08E7DB39B1}"/>
    <cellStyle name="Normal 105 7" xfId="9758" xr:uid="{4EC857D5-3271-49A6-968A-F27284434131}"/>
    <cellStyle name="Normal 105 7 2" xfId="13964" xr:uid="{401391A3-BAE8-46CB-8B30-1D9581BDD6D4}"/>
    <cellStyle name="Normal 105 8" xfId="11935" xr:uid="{54DF1E58-B467-4046-BB23-108F0857DD4F}"/>
    <cellStyle name="Normal 106" xfId="7618" xr:uid="{5D91D30B-5E80-4F95-982E-542EBC7351FE}"/>
    <cellStyle name="Normal 106 2" xfId="7817" xr:uid="{F1A4CA01-4D25-4FE3-B823-C3285DA58622}"/>
    <cellStyle name="Normal 106 2 2" xfId="8187" xr:uid="{51CFB63C-82DE-47F4-806E-77EE843C9658}"/>
    <cellStyle name="Normal 106 2 2 2" xfId="8857" xr:uid="{F51D4E77-A49B-4AA3-9CC6-EE78B68D4F40}"/>
    <cellStyle name="Normal 106 2 2 2 2" xfId="10926" xr:uid="{0369BF1D-F795-4F90-B117-1A209EF14A42}"/>
    <cellStyle name="Normal 106 2 2 2 2 2" xfId="15132" xr:uid="{E9729499-89CE-44E8-8A2B-3F3817CE1914}"/>
    <cellStyle name="Normal 106 2 2 2 3" xfId="13103" xr:uid="{DABE1E11-6662-40B4-A9DA-855D84B7CDD5}"/>
    <cellStyle name="Normal 106 2 2 3" xfId="10256" xr:uid="{1786421C-3006-4825-B524-5C9866EF631C}"/>
    <cellStyle name="Normal 106 2 2 3 2" xfId="14462" xr:uid="{7E6AEA89-E405-447F-87E6-14246E9FB1F5}"/>
    <cellStyle name="Normal 106 2 2 4" xfId="12433" xr:uid="{3B0FE302-1ABF-4063-8795-0E13418D0A0A}"/>
    <cellStyle name="Normal 106 2 3" xfId="8523" xr:uid="{4B2E5AA2-E781-48F6-9B46-7079DF5C5026}"/>
    <cellStyle name="Normal 106 2 3 2" xfId="10592" xr:uid="{A03EEFB3-7FC9-442D-93B7-B7FBD3C92A87}"/>
    <cellStyle name="Normal 106 2 3 2 2" xfId="14798" xr:uid="{6DF20345-4122-45D1-976F-7EC54DA469C4}"/>
    <cellStyle name="Normal 106 2 3 3" xfId="12769" xr:uid="{C187E120-982D-4E36-B36A-D47872E571EA}"/>
    <cellStyle name="Normal 106 2 4" xfId="9196" xr:uid="{637E3EB2-6C4D-43E5-A636-D6948E70768E}"/>
    <cellStyle name="Normal 106 2 4 2" xfId="11265" xr:uid="{91326E02-FC5E-4927-A75F-AC891F2C53BA}"/>
    <cellStyle name="Normal 106 2 4 2 2" xfId="15471" xr:uid="{1E406DA3-2F6F-4C2D-A834-B703ECC4E244}"/>
    <cellStyle name="Normal 106 2 4 3" xfId="13442" xr:uid="{2257545B-0306-4AA3-89C8-899D0BC97400}"/>
    <cellStyle name="Normal 106 2 5" xfId="9564" xr:uid="{6A4BE608-FB83-4528-914D-46BB10945AFC}"/>
    <cellStyle name="Normal 106 2 5 2" xfId="11598" xr:uid="{2D7F9FC6-B52A-408B-AAEB-F2336EDBE5DC}"/>
    <cellStyle name="Normal 106 2 5 2 2" xfId="15804" xr:uid="{71A602B7-159D-4222-96DD-7E7C84CED072}"/>
    <cellStyle name="Normal 106 2 5 3" xfId="13775" xr:uid="{1A98B124-4B99-4EAC-91D3-DCD6F866B728}"/>
    <cellStyle name="Normal 106 2 6" xfId="9922" xr:uid="{70553EA6-DD58-4269-B714-C900FEF7A506}"/>
    <cellStyle name="Normal 106 2 6 2" xfId="14128" xr:uid="{24189B95-B21B-4B5A-8472-27C68462974E}"/>
    <cellStyle name="Normal 106 2 7" xfId="12099" xr:uid="{E7CDDB24-F7D5-41CC-A3E1-A1A64D357FCC}"/>
    <cellStyle name="Normal 106 3" xfId="8024" xr:uid="{E5BC3E11-F255-4DAE-BFF0-DE720E00929F}"/>
    <cellStyle name="Normal 106 3 2" xfId="8694" xr:uid="{572D9DC6-1F68-4C09-8A85-A57CFF8D2149}"/>
    <cellStyle name="Normal 106 3 2 2" xfId="10763" xr:uid="{FE00EDF5-1961-4294-A97D-D686B02BA892}"/>
    <cellStyle name="Normal 106 3 2 2 2" xfId="14969" xr:uid="{7BDD8FBF-907B-4854-9477-65313349AE12}"/>
    <cellStyle name="Normal 106 3 2 3" xfId="12940" xr:uid="{D971C624-EB65-4B46-8C08-DCD3B2706FCD}"/>
    <cellStyle name="Normal 106 3 3" xfId="10093" xr:uid="{BC916DB3-A33E-48CE-B1E1-D39E96B36DB4}"/>
    <cellStyle name="Normal 106 3 3 2" xfId="14299" xr:uid="{B745D05F-63A9-4F2D-9397-5F7D209DE3F1}"/>
    <cellStyle name="Normal 106 3 4" xfId="12270" xr:uid="{4F7BEB21-D190-468D-AD1A-7AFA32FB8543}"/>
    <cellStyle name="Normal 106 4" xfId="8360" xr:uid="{A843B005-9FEC-4712-8BFA-94746C6D7DFC}"/>
    <cellStyle name="Normal 106 4 2" xfId="10429" xr:uid="{EACCEEDB-93B9-4A3C-BBE6-ECE419228F5E}"/>
    <cellStyle name="Normal 106 4 2 2" xfId="14635" xr:uid="{E73DCAD2-652B-44FA-A2BA-23E6AE47787D}"/>
    <cellStyle name="Normal 106 4 3" xfId="12606" xr:uid="{FEE45707-8329-4610-9474-4B58F69F47AF}"/>
    <cellStyle name="Normal 106 5" xfId="9033" xr:uid="{DB380E4B-9672-4FA0-8A01-DC1836FF9A45}"/>
    <cellStyle name="Normal 106 5 2" xfId="11102" xr:uid="{77182163-3656-43F8-8679-23AED056E175}"/>
    <cellStyle name="Normal 106 5 2 2" xfId="15308" xr:uid="{B4447B47-225D-4595-8BA0-458D5F86400F}"/>
    <cellStyle name="Normal 106 5 3" xfId="13279" xr:uid="{ECFCC718-01DF-4A4B-8C23-9D2BE4ED19C5}"/>
    <cellStyle name="Normal 106 6" xfId="9401" xr:uid="{1472EE78-73D2-471A-9629-96B626ADCB08}"/>
    <cellStyle name="Normal 106 6 2" xfId="11435" xr:uid="{FF9AE517-B42E-4F7D-80B6-F90BC2E438DF}"/>
    <cellStyle name="Normal 106 6 2 2" xfId="15641" xr:uid="{7D24D09D-A41B-4645-936F-00A59CD84714}"/>
    <cellStyle name="Normal 106 6 3" xfId="13612" xr:uid="{8A5FF0EA-05AC-403F-B13A-B220CAF08A24}"/>
    <cellStyle name="Normal 106 7" xfId="9759" xr:uid="{4B46D77A-6517-4036-9DDE-39438912C02C}"/>
    <cellStyle name="Normal 106 7 2" xfId="13965" xr:uid="{8D1F25A9-D80F-4FCD-9BF5-F07E649E82B1}"/>
    <cellStyle name="Normal 106 8" xfId="11936" xr:uid="{9EB759BE-789F-43E0-B759-25A101EDD992}"/>
    <cellStyle name="Normal 107" xfId="7619" xr:uid="{B43AD85E-F078-4987-89AE-B30C97AF28CC}"/>
    <cellStyle name="Normal 107 2" xfId="7818" xr:uid="{E132A37C-DBC6-41EA-8EE4-16013DD5F11A}"/>
    <cellStyle name="Normal 107 2 2" xfId="8188" xr:uid="{C4EE9125-9CC2-43E7-8630-A6BAC4CEE4F7}"/>
    <cellStyle name="Normal 107 2 2 2" xfId="8858" xr:uid="{DE4F0F35-BCCE-4534-9800-573A6113C9C7}"/>
    <cellStyle name="Normal 107 2 2 2 2" xfId="10927" xr:uid="{1B22188C-E335-429C-8B02-CEC043C91A11}"/>
    <cellStyle name="Normal 107 2 2 2 2 2" xfId="15133" xr:uid="{A7AD60CB-2436-48B5-BED7-42B4F605ABA3}"/>
    <cellStyle name="Normal 107 2 2 2 3" xfId="13104" xr:uid="{064A4665-16FD-47F7-88B0-7829B0FFC2BB}"/>
    <cellStyle name="Normal 107 2 2 3" xfId="10257" xr:uid="{7B090475-B447-433C-A6C4-3F625816254A}"/>
    <cellStyle name="Normal 107 2 2 3 2" xfId="14463" xr:uid="{3E9CC5EB-609B-4868-AC32-6AB20BA647A8}"/>
    <cellStyle name="Normal 107 2 2 4" xfId="12434" xr:uid="{3DA1C31C-A09E-4C13-9BE8-0FD7BC36C0EA}"/>
    <cellStyle name="Normal 107 2 3" xfId="8524" xr:uid="{19522405-93D1-435A-A75F-61913A755068}"/>
    <cellStyle name="Normal 107 2 3 2" xfId="10593" xr:uid="{0D9A9B34-F95C-4843-88E8-79287E91E5F7}"/>
    <cellStyle name="Normal 107 2 3 2 2" xfId="14799" xr:uid="{94F2092C-39F0-4D71-9938-844384765F67}"/>
    <cellStyle name="Normal 107 2 3 3" xfId="12770" xr:uid="{FA57787D-6282-4B38-9D1C-2BD5179D25B1}"/>
    <cellStyle name="Normal 107 2 4" xfId="9197" xr:uid="{5D885195-E65B-414A-8528-7A980F9CD223}"/>
    <cellStyle name="Normal 107 2 4 2" xfId="11266" xr:uid="{AF8E4312-939A-4860-A4B0-B1B945FB4C81}"/>
    <cellStyle name="Normal 107 2 4 2 2" xfId="15472" xr:uid="{92577E3B-4027-4306-B532-AC920C611FAC}"/>
    <cellStyle name="Normal 107 2 4 3" xfId="13443" xr:uid="{1EEB6CE5-1692-4166-9E02-A04A50BC4A5B}"/>
    <cellStyle name="Normal 107 2 5" xfId="9565" xr:uid="{32BF40A0-E2C9-48B9-BEE7-5E190A5150F9}"/>
    <cellStyle name="Normal 107 2 5 2" xfId="11599" xr:uid="{6ED0795C-9DF7-4D2F-9B26-CAC0A36892A6}"/>
    <cellStyle name="Normal 107 2 5 2 2" xfId="15805" xr:uid="{DB7AB450-C60A-4B55-8B85-67C0124FE815}"/>
    <cellStyle name="Normal 107 2 5 3" xfId="13776" xr:uid="{1F2B5BA9-54F3-487E-A886-F672443742AA}"/>
    <cellStyle name="Normal 107 2 6" xfId="9923" xr:uid="{652E960E-002C-435F-9F60-8F00146789FB}"/>
    <cellStyle name="Normal 107 2 6 2" xfId="14129" xr:uid="{CEFB3EEF-0FD1-48A2-A023-7AA6366194C6}"/>
    <cellStyle name="Normal 107 2 7" xfId="12100" xr:uid="{25E03515-EDCE-4332-9E4B-EEA99630E759}"/>
    <cellStyle name="Normal 107 3" xfId="8025" xr:uid="{86A4DA30-6444-465C-AB28-5F85CEE1DB11}"/>
    <cellStyle name="Normal 107 3 2" xfId="8695" xr:uid="{10CD009B-6518-4D06-BA06-94308BB2A252}"/>
    <cellStyle name="Normal 107 3 2 2" xfId="10764" xr:uid="{15FF8DF8-86D7-4EDF-8A9F-3DDE2C13182C}"/>
    <cellStyle name="Normal 107 3 2 2 2" xfId="14970" xr:uid="{B2F3F8E5-FE7A-4330-9A5D-DC2BA8266BB2}"/>
    <cellStyle name="Normal 107 3 2 3" xfId="12941" xr:uid="{8573183E-2B56-4408-8818-7490E3F0C6FB}"/>
    <cellStyle name="Normal 107 3 3" xfId="10094" xr:uid="{C0276308-91D7-492A-BC41-35CC1F402044}"/>
    <cellStyle name="Normal 107 3 3 2" xfId="14300" xr:uid="{6AE18DE4-307E-4577-9672-E5F08BA1BD33}"/>
    <cellStyle name="Normal 107 3 4" xfId="12271" xr:uid="{AC78C26B-4CDC-4853-9101-DBE0CF009539}"/>
    <cellStyle name="Normal 107 4" xfId="8361" xr:uid="{65A7DA37-846B-4BC3-A461-15C9CAC043D2}"/>
    <cellStyle name="Normal 107 4 2" xfId="10430" xr:uid="{A3D3F001-BED0-4FE3-803E-9812E45939EB}"/>
    <cellStyle name="Normal 107 4 2 2" xfId="14636" xr:uid="{9F5C5A6E-186A-4C92-B0DA-A8FC52924FEE}"/>
    <cellStyle name="Normal 107 4 3" xfId="12607" xr:uid="{1647B033-B70D-4DD9-8507-60765E292425}"/>
    <cellStyle name="Normal 107 5" xfId="9034" xr:uid="{DBF74B55-5CF1-4A27-A9D6-F0E330CC5715}"/>
    <cellStyle name="Normal 107 5 2" xfId="11103" xr:uid="{880C29EE-B94C-4310-8FD0-8EC1D7295CC2}"/>
    <cellStyle name="Normal 107 5 2 2" xfId="15309" xr:uid="{92F602B2-EA4B-4838-9E90-9EA6B2424A24}"/>
    <cellStyle name="Normal 107 5 3" xfId="13280" xr:uid="{3AA2D0D0-7841-49AC-94EB-89E823EF51DF}"/>
    <cellStyle name="Normal 107 6" xfId="9402" xr:uid="{2CC980C0-66DA-4F86-9F31-07848CE25D5F}"/>
    <cellStyle name="Normal 107 6 2" xfId="11436" xr:uid="{4A6CCB9B-6F57-4A23-8F36-A336FB6C550E}"/>
    <cellStyle name="Normal 107 6 2 2" xfId="15642" xr:uid="{4547FCC0-56F1-4785-A187-78B61211FD04}"/>
    <cellStyle name="Normal 107 6 3" xfId="13613" xr:uid="{DD2A4018-64DC-4D3A-AB63-A71FCF2EF4C0}"/>
    <cellStyle name="Normal 107 7" xfId="9760" xr:uid="{47E6390C-3F3D-4360-89C8-84E612976266}"/>
    <cellStyle name="Normal 107 7 2" xfId="13966" xr:uid="{90BFFF9E-0972-472D-830A-8E4321B3EE71}"/>
    <cellStyle name="Normal 107 8" xfId="11937" xr:uid="{717630C4-5C87-4850-A9FD-FA013EC31477}"/>
    <cellStyle name="Normal 108" xfId="7620" xr:uid="{FC41F34E-0D3A-42A8-BF0D-447C8945BE5D}"/>
    <cellStyle name="Normal 108 2" xfId="7819" xr:uid="{51792E2C-29CB-4A5A-A23A-230565377592}"/>
    <cellStyle name="Normal 108 2 2" xfId="8189" xr:uid="{5A09C0F3-0E1F-4C10-B8E4-6E93B9BB7A0A}"/>
    <cellStyle name="Normal 108 2 2 2" xfId="8859" xr:uid="{3FC0E72F-206B-48B8-B14D-ECFF04DF28DF}"/>
    <cellStyle name="Normal 108 2 2 2 2" xfId="10928" xr:uid="{2C891E22-205F-479C-8109-DE4C4571EA3F}"/>
    <cellStyle name="Normal 108 2 2 2 2 2" xfId="15134" xr:uid="{B2E93284-ADB1-4DA7-9C01-58EC20D7E85D}"/>
    <cellStyle name="Normal 108 2 2 2 3" xfId="13105" xr:uid="{43A2B3AF-5FBE-40CD-A754-83F8E41936D7}"/>
    <cellStyle name="Normal 108 2 2 3" xfId="10258" xr:uid="{12A91D8B-BEF5-4AFA-9098-28765C07F022}"/>
    <cellStyle name="Normal 108 2 2 3 2" xfId="14464" xr:uid="{F114742D-DBB7-4C9C-AD5F-C9B314305DFB}"/>
    <cellStyle name="Normal 108 2 2 4" xfId="12435" xr:uid="{7384FEC6-9ED4-4703-8DAD-43557FBCEB3A}"/>
    <cellStyle name="Normal 108 2 3" xfId="8525" xr:uid="{BE62169C-32C0-4633-87C8-59832F64A0A6}"/>
    <cellStyle name="Normal 108 2 3 2" xfId="10594" xr:uid="{89AAC1CA-3897-4440-A50B-6041E5A99022}"/>
    <cellStyle name="Normal 108 2 3 2 2" xfId="14800" xr:uid="{42E6ECDA-7DB7-4F25-82D7-33B8C4EF7D8F}"/>
    <cellStyle name="Normal 108 2 3 3" xfId="12771" xr:uid="{024236B1-39D9-48CA-A24C-CBF91C7E60F0}"/>
    <cellStyle name="Normal 108 2 4" xfId="9198" xr:uid="{B0F036B9-ACD2-499F-9CD6-8010E522333D}"/>
    <cellStyle name="Normal 108 2 4 2" xfId="11267" xr:uid="{B9D8D93C-A4A1-45CC-B046-6B69055C64C1}"/>
    <cellStyle name="Normal 108 2 4 2 2" xfId="15473" xr:uid="{4C76EC49-F77A-4CE5-B983-52A74336292A}"/>
    <cellStyle name="Normal 108 2 4 3" xfId="13444" xr:uid="{B5C0ABDC-22BC-4D2D-AC2C-63D95B8245C5}"/>
    <cellStyle name="Normal 108 2 5" xfId="9566" xr:uid="{1F7B9C14-C534-429C-9DE4-C08AF82AFDC7}"/>
    <cellStyle name="Normal 108 2 5 2" xfId="11600" xr:uid="{D14646B1-F349-434D-A44B-1385D380BB9C}"/>
    <cellStyle name="Normal 108 2 5 2 2" xfId="15806" xr:uid="{11B1D2BE-610A-4410-91D3-55CAB1124F36}"/>
    <cellStyle name="Normal 108 2 5 3" xfId="13777" xr:uid="{0317C296-C59F-47EE-A369-057FDACF4819}"/>
    <cellStyle name="Normal 108 2 6" xfId="9924" xr:uid="{9D922071-3645-4259-B107-250D0D8CC39B}"/>
    <cellStyle name="Normal 108 2 6 2" xfId="14130" xr:uid="{8385FE66-8445-4C61-B7CB-67AD82FFB67A}"/>
    <cellStyle name="Normal 108 2 7" xfId="12101" xr:uid="{4F04697F-34BE-4829-AA36-B24BD79321F4}"/>
    <cellStyle name="Normal 108 3" xfId="8026" xr:uid="{E5452FF3-9D96-4513-BA5C-737643B93C5D}"/>
    <cellStyle name="Normal 108 3 2" xfId="8696" xr:uid="{086EABC7-B33E-44C8-A0F1-A145E243DD9D}"/>
    <cellStyle name="Normal 108 3 2 2" xfId="10765" xr:uid="{A051EDFC-DFAA-4FAE-9B71-6C0C6BDEADAA}"/>
    <cellStyle name="Normal 108 3 2 2 2" xfId="14971" xr:uid="{B35BF47D-84F2-4D18-8E18-E9B622DD2D26}"/>
    <cellStyle name="Normal 108 3 2 3" xfId="12942" xr:uid="{AC65A53D-55DB-43DB-9C7F-B11337716282}"/>
    <cellStyle name="Normal 108 3 3" xfId="10095" xr:uid="{6B54AF03-DCF4-457A-871F-4476CB414297}"/>
    <cellStyle name="Normal 108 3 3 2" xfId="14301" xr:uid="{41909DDE-A188-438C-97AA-3398583F9230}"/>
    <cellStyle name="Normal 108 3 4" xfId="12272" xr:uid="{6FF1CB5A-BC3E-45A1-BF04-7CA61B69C4B7}"/>
    <cellStyle name="Normal 108 4" xfId="8362" xr:uid="{103140F7-3EE0-48BA-B8BD-9EF34376A0F1}"/>
    <cellStyle name="Normal 108 4 2" xfId="10431" xr:uid="{F324B2DE-DDE3-41B2-B219-7B9A0D1134BF}"/>
    <cellStyle name="Normal 108 4 2 2" xfId="14637" xr:uid="{4BFAA3FA-AAA0-4B88-8128-272BCAE8BFBB}"/>
    <cellStyle name="Normal 108 4 3" xfId="12608" xr:uid="{A58E4F82-FD0C-4461-8343-69D9E08A7D78}"/>
    <cellStyle name="Normal 108 5" xfId="9035" xr:uid="{40E2C9D9-DF04-4E4D-9B2D-846CA15F283D}"/>
    <cellStyle name="Normal 108 5 2" xfId="11104" xr:uid="{73884A73-5D93-49EF-A417-77ECC66C0A1B}"/>
    <cellStyle name="Normal 108 5 2 2" xfId="15310" xr:uid="{C43034FD-1B0C-4336-94A5-D6708B659015}"/>
    <cellStyle name="Normal 108 5 3" xfId="13281" xr:uid="{FE488CDD-58E0-4B61-8129-3F6A50A83CE3}"/>
    <cellStyle name="Normal 108 6" xfId="9403" xr:uid="{7F08C16F-39CA-4570-A904-B020285A49BC}"/>
    <cellStyle name="Normal 108 6 2" xfId="11437" xr:uid="{F48A1CE8-B215-44F5-A675-FF75F22CC722}"/>
    <cellStyle name="Normal 108 6 2 2" xfId="15643" xr:uid="{FB9B1F1D-52FD-4830-9FAC-F472AAAB40E0}"/>
    <cellStyle name="Normal 108 6 3" xfId="13614" xr:uid="{2865E5F9-5E64-447C-BE6A-5A938B1667AD}"/>
    <cellStyle name="Normal 108 7" xfId="9761" xr:uid="{BD9EB605-7C6F-4935-B503-A22C5746ADB1}"/>
    <cellStyle name="Normal 108 7 2" xfId="13967" xr:uid="{B0B5CB15-1AF1-44FB-8522-65D6A2FBA45A}"/>
    <cellStyle name="Normal 108 8" xfId="11938" xr:uid="{9A483F88-0B09-41A3-BD4B-1D269A2CF158}"/>
    <cellStyle name="Normal 109" xfId="7621" xr:uid="{0A60D5F6-D5AF-4923-969C-801DFB01FF72}"/>
    <cellStyle name="Normal 109 2" xfId="7820" xr:uid="{76E1D353-A711-4471-944C-E032540A1B84}"/>
    <cellStyle name="Normal 109 2 2" xfId="8190" xr:uid="{6BAD569D-6D7C-4C4D-8CFA-C6F03B6B8485}"/>
    <cellStyle name="Normal 109 2 2 2" xfId="8860" xr:uid="{21B12509-DD77-4CF9-B8E9-AD737477C244}"/>
    <cellStyle name="Normal 109 2 2 2 2" xfId="10929" xr:uid="{B25EEBBB-8E44-4753-803E-A3C182863B57}"/>
    <cellStyle name="Normal 109 2 2 2 2 2" xfId="15135" xr:uid="{6438DB38-843A-462E-B3BD-FC53C9EEF246}"/>
    <cellStyle name="Normal 109 2 2 2 3" xfId="13106" xr:uid="{0BE4B819-5BBE-4A32-B6F5-E2FE1EAB3A8B}"/>
    <cellStyle name="Normal 109 2 2 3" xfId="10259" xr:uid="{0846D647-F9BE-48AC-8B9B-5EC8E9B7BB8B}"/>
    <cellStyle name="Normal 109 2 2 3 2" xfId="14465" xr:uid="{E7993986-A868-46C9-AE76-24BF3765E73B}"/>
    <cellStyle name="Normal 109 2 2 4" xfId="12436" xr:uid="{AA79F328-FB47-486C-BE72-B00C6BE9E1CC}"/>
    <cellStyle name="Normal 109 2 3" xfId="8526" xr:uid="{C1E9CED4-06B6-4D8D-8785-DDC5BE809B2E}"/>
    <cellStyle name="Normal 109 2 3 2" xfId="10595" xr:uid="{F0620029-5F91-4564-A6D5-9FD4F569A856}"/>
    <cellStyle name="Normal 109 2 3 2 2" xfId="14801" xr:uid="{C786DBA1-9E6A-48AD-9EBC-2EBAF6AF4F0D}"/>
    <cellStyle name="Normal 109 2 3 3" xfId="12772" xr:uid="{C785F67F-020D-4DF5-BE78-8350AD2DBC61}"/>
    <cellStyle name="Normal 109 2 4" xfId="9199" xr:uid="{6A7430FF-825C-4881-AE0D-4A5B85A076D2}"/>
    <cellStyle name="Normal 109 2 4 2" xfId="11268" xr:uid="{5BCED51E-EFC1-4AE8-A33D-A3BFEFD27473}"/>
    <cellStyle name="Normal 109 2 4 2 2" xfId="15474" xr:uid="{2D2CB951-1090-41BB-8477-1E759D737D11}"/>
    <cellStyle name="Normal 109 2 4 3" xfId="13445" xr:uid="{C3D8617E-C7B5-49DA-A27E-08572A01FB6B}"/>
    <cellStyle name="Normal 109 2 5" xfId="9567" xr:uid="{14490B94-49D4-439B-8FFA-BC0DC6FCA664}"/>
    <cellStyle name="Normal 109 2 5 2" xfId="11601" xr:uid="{415AD340-9968-412D-9C39-0DF11572EE9A}"/>
    <cellStyle name="Normal 109 2 5 2 2" xfId="15807" xr:uid="{D4BD8997-EE05-4CE6-8850-06453C9DF69B}"/>
    <cellStyle name="Normal 109 2 5 3" xfId="13778" xr:uid="{8BD5CDC6-FC00-4DC4-BCC4-C4FCF4043539}"/>
    <cellStyle name="Normal 109 2 6" xfId="9925" xr:uid="{617464C1-4236-4452-B81A-CE94D73B517D}"/>
    <cellStyle name="Normal 109 2 6 2" xfId="14131" xr:uid="{6C6C3B47-D5FB-4DBB-8C34-6F377C644435}"/>
    <cellStyle name="Normal 109 2 7" xfId="12102" xr:uid="{2E22FCBA-E053-4EAF-AD4D-372375642246}"/>
    <cellStyle name="Normal 109 3" xfId="8027" xr:uid="{A3433764-7F08-446D-B7A3-C387A4AA03A9}"/>
    <cellStyle name="Normal 109 3 2" xfId="8697" xr:uid="{A2A30DE2-7029-48D1-AB12-D0FCC03A9AB5}"/>
    <cellStyle name="Normal 109 3 2 2" xfId="10766" xr:uid="{0B42F9F5-5567-4131-A43B-2A9166F6FB5E}"/>
    <cellStyle name="Normal 109 3 2 2 2" xfId="14972" xr:uid="{E5FBE588-2CB2-43F7-95DF-CAB5CE7B60DF}"/>
    <cellStyle name="Normal 109 3 2 3" xfId="12943" xr:uid="{3EAD084B-BA2D-4CB3-921B-4896489C599D}"/>
    <cellStyle name="Normal 109 3 3" xfId="10096" xr:uid="{D1408001-0132-42EE-A085-C82ECCC3D89C}"/>
    <cellStyle name="Normal 109 3 3 2" xfId="14302" xr:uid="{A56FFEE2-83F9-4391-BFC0-323C4300713E}"/>
    <cellStyle name="Normal 109 3 4" xfId="12273" xr:uid="{A22A4053-F13C-456F-A6BA-917B3AEC2116}"/>
    <cellStyle name="Normal 109 4" xfId="8363" xr:uid="{462C18A6-AAC1-4429-A5EB-79EB87D7DA77}"/>
    <cellStyle name="Normal 109 4 2" xfId="10432" xr:uid="{4C192BB1-697C-4AEB-B122-7317E3A9BC10}"/>
    <cellStyle name="Normal 109 4 2 2" xfId="14638" xr:uid="{F02AD2F4-0CAF-4FE0-8E15-6B46DA4B005B}"/>
    <cellStyle name="Normal 109 4 3" xfId="12609" xr:uid="{F7F80889-D2ED-45A7-BC95-961AC4E8015B}"/>
    <cellStyle name="Normal 109 5" xfId="9036" xr:uid="{2CCB4AFD-88C3-4D75-8341-443B7B9ED1D1}"/>
    <cellStyle name="Normal 109 5 2" xfId="11105" xr:uid="{1449C368-4884-4663-BE96-778D1CE9687C}"/>
    <cellStyle name="Normal 109 5 2 2" xfId="15311" xr:uid="{7A9967D1-A033-45FF-943E-022EC985224F}"/>
    <cellStyle name="Normal 109 5 3" xfId="13282" xr:uid="{91BD90F9-0247-4FBD-B12A-861B079C6DF4}"/>
    <cellStyle name="Normal 109 6" xfId="9404" xr:uid="{14A22669-BBA3-4CB3-8DDB-D2F249463F90}"/>
    <cellStyle name="Normal 109 6 2" xfId="11438" xr:uid="{2101BCFE-F844-4815-AC27-8C34ED024369}"/>
    <cellStyle name="Normal 109 6 2 2" xfId="15644" xr:uid="{8C6B24C4-6DFB-4CF3-B306-5F256FAB0095}"/>
    <cellStyle name="Normal 109 6 3" xfId="13615" xr:uid="{12CE1D0B-C505-4ED1-AEEC-D3D406CC2C2A}"/>
    <cellStyle name="Normal 109 7" xfId="9762" xr:uid="{ACD54D55-A372-4121-AC2B-4DEEFAFE941A}"/>
    <cellStyle name="Normal 109 7 2" xfId="13968" xr:uid="{48F908D9-C22E-4060-8B79-C4BC4F528C9C}"/>
    <cellStyle name="Normal 109 8" xfId="11939" xr:uid="{A05B63E9-F200-46EE-B840-0F4628E73FCE}"/>
    <cellStyle name="Normal 11" xfId="1031" xr:uid="{708FAE78-3186-484A-B3D6-567750541AD1}"/>
    <cellStyle name="Normal 11 2" xfId="4" xr:uid="{00000000-0005-0000-0000-000002000000}"/>
    <cellStyle name="Normal 11 2 3" xfId="1032" xr:uid="{BBD8FB23-389B-4281-9A43-B900E8FA9C90}"/>
    <cellStyle name="Normal 110" xfId="7623" xr:uid="{B5CB67FD-C98C-4117-9164-F3B260AAA4A0}"/>
    <cellStyle name="Normal 110 2" xfId="7821" xr:uid="{F4BA8D60-29E4-4FC5-B18B-72DDEC3C0544}"/>
    <cellStyle name="Normal 110 2 2" xfId="8191" xr:uid="{E1EBA7ED-A3A5-4163-B3E3-98194746972F}"/>
    <cellStyle name="Normal 110 2 2 2" xfId="8861" xr:uid="{33039357-C425-4D45-A82C-A98CA67616E2}"/>
    <cellStyle name="Normal 110 2 2 2 2" xfId="10930" xr:uid="{9C00EC18-0C14-45F1-BA2C-17D1FE8FCAF2}"/>
    <cellStyle name="Normal 110 2 2 2 2 2" xfId="15136" xr:uid="{7610284C-5D9C-449B-9091-D5324FBFE897}"/>
    <cellStyle name="Normal 110 2 2 2 3" xfId="13107" xr:uid="{5062BB50-5CB7-4951-B772-213991301905}"/>
    <cellStyle name="Normal 110 2 2 3" xfId="10260" xr:uid="{A3F729F8-BB1A-406B-B72B-4815D7E64D94}"/>
    <cellStyle name="Normal 110 2 2 3 2" xfId="14466" xr:uid="{2A126AFB-8C13-430E-BBE9-BEC50566B73D}"/>
    <cellStyle name="Normal 110 2 2 4" xfId="12437" xr:uid="{DDFCEFBF-C8FE-4404-8871-A7DFE6B92885}"/>
    <cellStyle name="Normal 110 2 3" xfId="8527" xr:uid="{D5E05CE5-F13F-4E4E-9998-FC855B7AF54B}"/>
    <cellStyle name="Normal 110 2 3 2" xfId="10596" xr:uid="{01A2E5B5-0B2D-4C93-BF11-EA49E7F3FF40}"/>
    <cellStyle name="Normal 110 2 3 2 2" xfId="14802" xr:uid="{C80CCD13-E49F-4359-9354-F8EBE42D2795}"/>
    <cellStyle name="Normal 110 2 3 3" xfId="12773" xr:uid="{8DFA7577-4E6A-4386-A895-7415FC6088E4}"/>
    <cellStyle name="Normal 110 2 4" xfId="9200" xr:uid="{F666299E-0433-4B4C-AF68-070CBF42523C}"/>
    <cellStyle name="Normal 110 2 4 2" xfId="11269" xr:uid="{8F8A16A5-9661-47FF-B49E-72640B9C7A99}"/>
    <cellStyle name="Normal 110 2 4 2 2" xfId="15475" xr:uid="{02F4EA1C-C9D4-49EE-B34E-D8186B09D1D4}"/>
    <cellStyle name="Normal 110 2 4 3" xfId="13446" xr:uid="{E6C586F3-C8A2-4B08-A6FB-46B010AB0968}"/>
    <cellStyle name="Normal 110 2 5" xfId="9568" xr:uid="{88B54E3D-ECC6-455D-9F24-CAF0CDBE2E77}"/>
    <cellStyle name="Normal 110 2 5 2" xfId="11602" xr:uid="{B1185749-E3F4-48C9-8ABF-9CDDC7403549}"/>
    <cellStyle name="Normal 110 2 5 2 2" xfId="15808" xr:uid="{02B1FA9A-1FC5-46F5-9108-0F8243705495}"/>
    <cellStyle name="Normal 110 2 5 3" xfId="13779" xr:uid="{A2506201-D7AF-4552-8DE4-B8F027DD40B8}"/>
    <cellStyle name="Normal 110 2 6" xfId="9926" xr:uid="{1C65C59D-747C-4B85-9FFA-BE0EB47507DE}"/>
    <cellStyle name="Normal 110 2 6 2" xfId="14132" xr:uid="{6D445494-3C66-45B8-9234-BAED99486284}"/>
    <cellStyle name="Normal 110 2 7" xfId="12103" xr:uid="{C42BD02B-1055-45C5-BBFC-4881C1FA5085}"/>
    <cellStyle name="Normal 110 3" xfId="8028" xr:uid="{FC28C816-3C9E-4081-A964-290120203011}"/>
    <cellStyle name="Normal 110 3 2" xfId="8698" xr:uid="{B36FA3F5-1680-42F3-9C3F-C238125F7C25}"/>
    <cellStyle name="Normal 110 3 2 2" xfId="10767" xr:uid="{EAACA26D-DDF0-4D7A-A70E-C79FD18E0D38}"/>
    <cellStyle name="Normal 110 3 2 2 2" xfId="14973" xr:uid="{F67C72C4-182A-404A-87B6-7BC41B909107}"/>
    <cellStyle name="Normal 110 3 2 3" xfId="12944" xr:uid="{A3A58F6E-ECE4-4ADE-BB95-161D78CF563C}"/>
    <cellStyle name="Normal 110 3 3" xfId="10097" xr:uid="{1AA72EC5-4858-4A5E-A965-FF5D3D8D14AD}"/>
    <cellStyle name="Normal 110 3 3 2" xfId="14303" xr:uid="{AE3659BA-F4F3-4B42-9314-D17A277A6035}"/>
    <cellStyle name="Normal 110 3 4" xfId="12274" xr:uid="{DEAD630F-1EBD-4553-961D-7B85E742AC9A}"/>
    <cellStyle name="Normal 110 4" xfId="8364" xr:uid="{67E2FFFC-0678-4AAE-9814-CC1820F5EC80}"/>
    <cellStyle name="Normal 110 4 2" xfId="10433" xr:uid="{9CB04B65-3B97-4961-B60F-4DB30A67D646}"/>
    <cellStyle name="Normal 110 4 2 2" xfId="14639" xr:uid="{BCDD96E9-6B9E-4E3D-B422-9D25B10BF59E}"/>
    <cellStyle name="Normal 110 4 3" xfId="12610" xr:uid="{9482AF59-EDBE-4091-9161-B559555494F0}"/>
    <cellStyle name="Normal 110 5" xfId="9037" xr:uid="{D4F242DE-10AA-4040-9139-E8CAA505DE49}"/>
    <cellStyle name="Normal 110 5 2" xfId="11106" xr:uid="{125089A5-59D4-4E00-B11D-1A771BF373D9}"/>
    <cellStyle name="Normal 110 5 2 2" xfId="15312" xr:uid="{E322DCDB-375C-4790-A7A7-A5B991B4AE7A}"/>
    <cellStyle name="Normal 110 5 3" xfId="13283" xr:uid="{EF23DB6B-3730-4266-BA9B-70C2E80ABB50}"/>
    <cellStyle name="Normal 110 6" xfId="9405" xr:uid="{D2FE29A7-4480-4273-B8F9-91298F16E9FA}"/>
    <cellStyle name="Normal 110 6 2" xfId="11439" xr:uid="{86921819-5410-4549-BE55-F1384313650B}"/>
    <cellStyle name="Normal 110 6 2 2" xfId="15645" xr:uid="{970B5598-659F-43DA-AFC2-66F97A8F79D1}"/>
    <cellStyle name="Normal 110 6 3" xfId="13616" xr:uid="{74A06FD5-18E9-42F6-9F3A-ECC48B000DA2}"/>
    <cellStyle name="Normal 110 7" xfId="9763" xr:uid="{1AE35C2D-2992-4496-AB4A-38FE56947AC0}"/>
    <cellStyle name="Normal 110 7 2" xfId="13969" xr:uid="{35756490-BD4A-4E66-A2C7-0581DD7471DA}"/>
    <cellStyle name="Normal 110 8" xfId="11940" xr:uid="{5CFAFF0F-520B-42EB-8EAF-30D1C83006FB}"/>
    <cellStyle name="Normal 111" xfId="7624" xr:uid="{9D644280-43D0-44A6-B77F-545E39A39861}"/>
    <cellStyle name="Normal 111 2" xfId="7822" xr:uid="{7DBA319E-DBDA-4CCB-84D5-DD95A9962D0F}"/>
    <cellStyle name="Normal 111 2 2" xfId="8192" xr:uid="{C8CAF8A5-43B9-47B1-80EF-26DCA3816641}"/>
    <cellStyle name="Normal 111 2 2 2" xfId="8862" xr:uid="{92AF788D-CDFE-4BE2-8C1F-76E30A41D4B8}"/>
    <cellStyle name="Normal 111 2 2 2 2" xfId="10931" xr:uid="{80A25E23-5C9A-444F-AA61-03281F9B3F43}"/>
    <cellStyle name="Normal 111 2 2 2 2 2" xfId="15137" xr:uid="{E5728BA0-D686-43FD-AFDF-F9B83BB94302}"/>
    <cellStyle name="Normal 111 2 2 2 3" xfId="13108" xr:uid="{3453FE96-AF73-4428-9E84-4C4EE9B12C63}"/>
    <cellStyle name="Normal 111 2 2 3" xfId="10261" xr:uid="{5DB5F9F3-0EE2-488C-8670-3068C60DBFE8}"/>
    <cellStyle name="Normal 111 2 2 3 2" xfId="14467" xr:uid="{BF922683-47E8-4FC3-95A7-8C0554BC4B01}"/>
    <cellStyle name="Normal 111 2 2 4" xfId="12438" xr:uid="{367688BC-1E61-4DE7-84A4-CE4D08358DD3}"/>
    <cellStyle name="Normal 111 2 3" xfId="8528" xr:uid="{A982909C-BA18-4249-9017-F2F5E9F229AA}"/>
    <cellStyle name="Normal 111 2 3 2" xfId="10597" xr:uid="{3B0E8CBA-E661-42B5-BAE8-3E413E644170}"/>
    <cellStyle name="Normal 111 2 3 2 2" xfId="14803" xr:uid="{D994305E-A912-4FA6-9BA4-40609A837EF1}"/>
    <cellStyle name="Normal 111 2 3 3" xfId="12774" xr:uid="{A4113428-B5FF-4DC3-A78C-AE945996FCEF}"/>
    <cellStyle name="Normal 111 2 4" xfId="9201" xr:uid="{7B373816-EFC9-4AC2-AA13-CD019BCC559C}"/>
    <cellStyle name="Normal 111 2 4 2" xfId="11270" xr:uid="{42676F33-FEF2-45AC-A082-A91F7BC8E582}"/>
    <cellStyle name="Normal 111 2 4 2 2" xfId="15476" xr:uid="{4BF3A730-AC5A-4785-B180-D2AE264791BA}"/>
    <cellStyle name="Normal 111 2 4 3" xfId="13447" xr:uid="{99C5D060-E58D-4427-8FA3-188070C7D46B}"/>
    <cellStyle name="Normal 111 2 5" xfId="9569" xr:uid="{937C6CFD-5E9A-4C12-A1F2-D850F1D1BD2C}"/>
    <cellStyle name="Normal 111 2 5 2" xfId="11603" xr:uid="{77CD44F1-F912-4CB4-937A-95DA9041EEB9}"/>
    <cellStyle name="Normal 111 2 5 2 2" xfId="15809" xr:uid="{636B908B-E2E7-40A9-B532-432B4A55A72F}"/>
    <cellStyle name="Normal 111 2 5 3" xfId="13780" xr:uid="{378F7ED9-1061-49D4-AB67-E839AF2157C0}"/>
    <cellStyle name="Normal 111 2 6" xfId="9927" xr:uid="{A7F5F2C9-D311-429E-9676-992FD5A85A99}"/>
    <cellStyle name="Normal 111 2 6 2" xfId="14133" xr:uid="{2F9DC2F6-546A-4365-BC99-B694C9A0DD15}"/>
    <cellStyle name="Normal 111 2 7" xfId="12104" xr:uid="{29BF2798-D925-4ADE-9A3F-04DB291BB868}"/>
    <cellStyle name="Normal 111 3" xfId="8029" xr:uid="{68764E6F-8825-47F9-B4B4-9F61FFBE375C}"/>
    <cellStyle name="Normal 111 3 2" xfId="8699" xr:uid="{50C58880-1B88-4187-A56A-37E17A3BEDD0}"/>
    <cellStyle name="Normal 111 3 2 2" xfId="10768" xr:uid="{EE00FFB5-FD49-4155-AF12-C5A720A1D43C}"/>
    <cellStyle name="Normal 111 3 2 2 2" xfId="14974" xr:uid="{DB192071-71EA-4623-B202-4126785A0081}"/>
    <cellStyle name="Normal 111 3 2 3" xfId="12945" xr:uid="{8978F282-F97E-489C-BAD2-4F5C9038F005}"/>
    <cellStyle name="Normal 111 3 3" xfId="10098" xr:uid="{19B98AF1-E669-43CE-8D51-CA46A8960E74}"/>
    <cellStyle name="Normal 111 3 3 2" xfId="14304" xr:uid="{D67A1B00-8947-44C3-895B-068218428649}"/>
    <cellStyle name="Normal 111 3 4" xfId="12275" xr:uid="{37B9A5C2-9239-41FF-867D-372871E16C16}"/>
    <cellStyle name="Normal 111 4" xfId="8365" xr:uid="{1B37CBE7-2470-48B9-BAD4-63D26725FB10}"/>
    <cellStyle name="Normal 111 4 2" xfId="10434" xr:uid="{2742B74D-085B-4EC5-B3FF-9C64868FB4F0}"/>
    <cellStyle name="Normal 111 4 2 2" xfId="14640" xr:uid="{673A193D-541B-4D03-A427-37197B4B4BB8}"/>
    <cellStyle name="Normal 111 4 3" xfId="12611" xr:uid="{ED1B150C-77C1-44A3-9367-19B752B29E7A}"/>
    <cellStyle name="Normal 111 5" xfId="9038" xr:uid="{E189185D-B74E-4AC6-B751-4BF00825F09E}"/>
    <cellStyle name="Normal 111 5 2" xfId="11107" xr:uid="{D4FAFD06-0AC7-49CE-ACC6-2FF4EE851E43}"/>
    <cellStyle name="Normal 111 5 2 2" xfId="15313" xr:uid="{1F5AAB01-2D76-43EB-BAFC-389CDAC40E15}"/>
    <cellStyle name="Normal 111 5 3" xfId="13284" xr:uid="{4D2994E6-3957-42A5-8969-F7329061D9B6}"/>
    <cellStyle name="Normal 111 6" xfId="9406" xr:uid="{DB09A8A6-A817-451D-8589-B0DA2115145C}"/>
    <cellStyle name="Normal 111 6 2" xfId="11440" xr:uid="{5E2680BD-FF33-4B2D-92AD-22FF7E9DE42D}"/>
    <cellStyle name="Normal 111 6 2 2" xfId="15646" xr:uid="{2F9067DD-6541-4BE6-B82D-A58F49896A21}"/>
    <cellStyle name="Normal 111 6 3" xfId="13617" xr:uid="{7FB857AC-8A82-4A8A-BE53-8618113181E8}"/>
    <cellStyle name="Normal 111 7" xfId="9764" xr:uid="{01C8899F-5B97-4B03-A9FF-B1071521284B}"/>
    <cellStyle name="Normal 111 7 2" xfId="13970" xr:uid="{41F7B5B2-FC71-4B9F-B6FF-8BF6B267C7B7}"/>
    <cellStyle name="Normal 111 8" xfId="11941" xr:uid="{921EEE05-96BF-43F5-BA8E-6DB779B00D9D}"/>
    <cellStyle name="Normal 112" xfId="7625" xr:uid="{897922A0-56FB-4F8F-A480-98FC13A71689}"/>
    <cellStyle name="Normal 112 2" xfId="7823" xr:uid="{DF9AB1B2-B9F0-476E-A3B5-744359DE6FE0}"/>
    <cellStyle name="Normal 112 2 2" xfId="8193" xr:uid="{E90FFAD6-D581-45A9-B6FE-5BFBD3B774BB}"/>
    <cellStyle name="Normal 112 2 2 2" xfId="8863" xr:uid="{FE327A83-7BC1-4577-A37B-301EBE960623}"/>
    <cellStyle name="Normal 112 2 2 2 2" xfId="10932" xr:uid="{D676E296-C0D7-40ED-855D-04474C12DB98}"/>
    <cellStyle name="Normal 112 2 2 2 2 2" xfId="15138" xr:uid="{4C798672-D669-4EA0-A2B1-B1F7C187FC23}"/>
    <cellStyle name="Normal 112 2 2 2 3" xfId="13109" xr:uid="{F06FE52A-0D60-423A-A937-460F3B86E3CA}"/>
    <cellStyle name="Normal 112 2 2 3" xfId="10262" xr:uid="{ACEA6333-EB05-49A6-AEE5-2EE38B157B24}"/>
    <cellStyle name="Normal 112 2 2 3 2" xfId="14468" xr:uid="{85D67AFC-3970-4915-B807-33EE06ADA348}"/>
    <cellStyle name="Normal 112 2 2 4" xfId="12439" xr:uid="{9CA4E8EC-A8AE-4D50-B9EA-156E659C9EB1}"/>
    <cellStyle name="Normal 112 2 3" xfId="8529" xr:uid="{FD76B21F-CEE2-45FC-AA45-2CBD9518AD05}"/>
    <cellStyle name="Normal 112 2 3 2" xfId="10598" xr:uid="{E82F1B0D-6C40-4996-B653-E02673541EA9}"/>
    <cellStyle name="Normal 112 2 3 2 2" xfId="14804" xr:uid="{623D7FA0-1C0B-4559-821E-C8F02487F694}"/>
    <cellStyle name="Normal 112 2 3 3" xfId="12775" xr:uid="{5EC8D387-6FE7-4118-A9CE-BB6F1C942833}"/>
    <cellStyle name="Normal 112 2 4" xfId="9202" xr:uid="{44D1566D-8858-4B7E-98A0-9463FFE251DC}"/>
    <cellStyle name="Normal 112 2 4 2" xfId="11271" xr:uid="{8309E430-69C6-4068-B42F-4C071DFA9471}"/>
    <cellStyle name="Normal 112 2 4 2 2" xfId="15477" xr:uid="{D2E02DD0-B428-487B-9C67-6C2B570572B2}"/>
    <cellStyle name="Normal 112 2 4 3" xfId="13448" xr:uid="{751DAE2E-BB5A-4354-88B4-059E84BE81DC}"/>
    <cellStyle name="Normal 112 2 5" xfId="9570" xr:uid="{BE7402CF-1A8F-4E43-B09C-DD111A2FF151}"/>
    <cellStyle name="Normal 112 2 5 2" xfId="11604" xr:uid="{1FCC116D-F046-4531-B9BB-A2C995E2E962}"/>
    <cellStyle name="Normal 112 2 5 2 2" xfId="15810" xr:uid="{6FED883B-9A5A-46E8-85BD-F74FA65432EA}"/>
    <cellStyle name="Normal 112 2 5 3" xfId="13781" xr:uid="{E2E6DEB1-7E40-4FFC-905E-BABCC8CD47B3}"/>
    <cellStyle name="Normal 112 2 6" xfId="9928" xr:uid="{1B4AE4D0-D425-4DA2-B227-11D7BDEA6305}"/>
    <cellStyle name="Normal 112 2 6 2" xfId="14134" xr:uid="{56E1407C-2569-4C99-A794-0D2981D323AB}"/>
    <cellStyle name="Normal 112 2 7" xfId="12105" xr:uid="{C09618FF-89B2-46AF-8612-1A0A64C6F925}"/>
    <cellStyle name="Normal 112 3" xfId="8030" xr:uid="{37CE7F16-FF13-4F8F-880F-DA9A83DAFBBA}"/>
    <cellStyle name="Normal 112 3 2" xfId="8700" xr:uid="{18C8048D-F6F4-4D93-AD49-3BC41432061F}"/>
    <cellStyle name="Normal 112 3 2 2" xfId="10769" xr:uid="{7724BF73-7FAA-4B84-972B-30C9E30682B7}"/>
    <cellStyle name="Normal 112 3 2 2 2" xfId="14975" xr:uid="{F5E7D902-FBF3-483D-8D1F-09751CD57A9B}"/>
    <cellStyle name="Normal 112 3 2 3" xfId="12946" xr:uid="{10AEAE81-DCD1-4B5C-AA53-F170DE6646A2}"/>
    <cellStyle name="Normal 112 3 3" xfId="10099" xr:uid="{7AFD96E3-5CE5-40FE-A34E-F03242F121CE}"/>
    <cellStyle name="Normal 112 3 3 2" xfId="14305" xr:uid="{596C0EA1-D67E-414C-8235-7D9BE92E741E}"/>
    <cellStyle name="Normal 112 3 4" xfId="12276" xr:uid="{8149CAD7-31FB-40A7-B370-FC75501F68BD}"/>
    <cellStyle name="Normal 112 4" xfId="8366" xr:uid="{97DD1D94-D98B-4D7F-AA90-281A063B66DE}"/>
    <cellStyle name="Normal 112 4 2" xfId="10435" xr:uid="{2BD0FADD-129A-47AD-A21F-B678ECD4EB65}"/>
    <cellStyle name="Normal 112 4 2 2" xfId="14641" xr:uid="{3646D141-A419-4328-B615-32BE843B37C7}"/>
    <cellStyle name="Normal 112 4 3" xfId="12612" xr:uid="{EBB45395-4065-4842-BB64-31E241B7A656}"/>
    <cellStyle name="Normal 112 5" xfId="9039" xr:uid="{D3B86E18-3FD1-4E39-AF70-320784E61FCD}"/>
    <cellStyle name="Normal 112 5 2" xfId="11108" xr:uid="{33B1AA4C-A6C5-49FF-8977-C819BEFC3491}"/>
    <cellStyle name="Normal 112 5 2 2" xfId="15314" xr:uid="{4C35D453-9443-4649-BA0F-B0CBD2B9EAAE}"/>
    <cellStyle name="Normal 112 5 3" xfId="13285" xr:uid="{95E8057C-CA14-4AB6-A69B-8AA1B8FBCF2B}"/>
    <cellStyle name="Normal 112 6" xfId="9407" xr:uid="{73B09E24-3518-49F5-8A37-9AE116B0BC37}"/>
    <cellStyle name="Normal 112 6 2" xfId="11441" xr:uid="{E8E94944-22D9-40DE-A0B3-81D394398DF2}"/>
    <cellStyle name="Normal 112 6 2 2" xfId="15647" xr:uid="{DDCAC4CE-A152-4EC3-A129-FB3BC6625505}"/>
    <cellStyle name="Normal 112 6 3" xfId="13618" xr:uid="{2217976F-4B97-4F9E-95A0-E2D322BAF2D3}"/>
    <cellStyle name="Normal 112 7" xfId="9765" xr:uid="{484115D7-43BA-455F-A5DD-AAE9FDAF79AF}"/>
    <cellStyle name="Normal 112 7 2" xfId="13971" xr:uid="{4C7C3914-3875-45D7-AD6F-F82BFD639B66}"/>
    <cellStyle name="Normal 112 8" xfId="11942" xr:uid="{CF66097D-1C29-4CD8-8D84-9A3AF45018D6}"/>
    <cellStyle name="Normal 113" xfId="7626" xr:uid="{BA861370-D407-4B29-A191-3F11459D0C24}"/>
    <cellStyle name="Normal 113 2" xfId="7824" xr:uid="{1FF6C6C6-8EC0-4535-892D-2B0C00C311BD}"/>
    <cellStyle name="Normal 113 2 2" xfId="8194" xr:uid="{80646EE3-6B31-47B8-9B81-0CBF3DB3D581}"/>
    <cellStyle name="Normal 113 2 2 2" xfId="8864" xr:uid="{B2AB1050-7AD4-4B0E-89FF-77A87156E065}"/>
    <cellStyle name="Normal 113 2 2 2 2" xfId="10933" xr:uid="{D4C53FC7-867E-4CE6-9912-365DDC509125}"/>
    <cellStyle name="Normal 113 2 2 2 2 2" xfId="15139" xr:uid="{512DE12B-6B79-4B3B-BD28-4918DAEC813A}"/>
    <cellStyle name="Normal 113 2 2 2 3" xfId="13110" xr:uid="{6EB5971D-505E-42A4-9A3F-464C95A47AAD}"/>
    <cellStyle name="Normal 113 2 2 3" xfId="10263" xr:uid="{1580AB5E-4EEE-474F-9556-91402402F204}"/>
    <cellStyle name="Normal 113 2 2 3 2" xfId="14469" xr:uid="{90F584F1-E3FD-40F8-A831-D1D81AA4FE91}"/>
    <cellStyle name="Normal 113 2 2 4" xfId="12440" xr:uid="{08F79726-B2E1-409B-8019-B655DDD0B9D4}"/>
    <cellStyle name="Normal 113 2 3" xfId="8530" xr:uid="{2509EDDF-D35C-41ED-8056-2E58EAD42ED3}"/>
    <cellStyle name="Normal 113 2 3 2" xfId="10599" xr:uid="{65F4408D-AED5-4BE6-89CD-0D4E8C6BDBF3}"/>
    <cellStyle name="Normal 113 2 3 2 2" xfId="14805" xr:uid="{B0A16D61-DA4A-414E-AA61-05D2E5CA5090}"/>
    <cellStyle name="Normal 113 2 3 3" xfId="12776" xr:uid="{7896C931-1473-46D7-B610-0C6CB638A312}"/>
    <cellStyle name="Normal 113 2 4" xfId="9203" xr:uid="{4058B662-D64D-4589-B9D0-D77BDC684C6A}"/>
    <cellStyle name="Normal 113 2 4 2" xfId="11272" xr:uid="{4CD943D3-BA7C-4933-849D-5AB19B835D01}"/>
    <cellStyle name="Normal 113 2 4 2 2" xfId="15478" xr:uid="{3A0BDD95-949F-408B-A247-15AB02C66C19}"/>
    <cellStyle name="Normal 113 2 4 3" xfId="13449" xr:uid="{98DB9AE9-75FB-4644-BFAF-37253B7B9497}"/>
    <cellStyle name="Normal 113 2 5" xfId="9571" xr:uid="{77C5D055-CE7A-4475-8728-E53145FECE3D}"/>
    <cellStyle name="Normal 113 2 5 2" xfId="11605" xr:uid="{01C535E9-EC86-4836-AA93-F7653435DF8D}"/>
    <cellStyle name="Normal 113 2 5 2 2" xfId="15811" xr:uid="{F2E21919-EC14-42F5-B2DE-44516B8AC30C}"/>
    <cellStyle name="Normal 113 2 5 3" xfId="13782" xr:uid="{6D68F069-85F1-4EEF-85CE-42BA3F6C28B7}"/>
    <cellStyle name="Normal 113 2 6" xfId="9929" xr:uid="{7DB397D6-16B9-40DE-B0E6-B6A8CE0D9C4B}"/>
    <cellStyle name="Normal 113 2 6 2" xfId="14135" xr:uid="{69A750CC-6912-4FAC-B501-180AA48CB5A3}"/>
    <cellStyle name="Normal 113 2 7" xfId="12106" xr:uid="{C7431831-6265-4967-A7F1-CD409A40D6E4}"/>
    <cellStyle name="Normal 113 3" xfId="8031" xr:uid="{402DB0FE-DCD8-4B59-846E-9C1936F13217}"/>
    <cellStyle name="Normal 113 3 2" xfId="8701" xr:uid="{7F2425DB-274B-4312-9D5C-6DA859A85D61}"/>
    <cellStyle name="Normal 113 3 2 2" xfId="10770" xr:uid="{4E44B840-B935-46F6-82F2-DBDF04B7A952}"/>
    <cellStyle name="Normal 113 3 2 2 2" xfId="14976" xr:uid="{4BECB2BD-F83D-499D-827F-B70A6A25EB23}"/>
    <cellStyle name="Normal 113 3 2 3" xfId="12947" xr:uid="{8F6C03F6-798F-406E-AC4E-30A9CA8F793B}"/>
    <cellStyle name="Normal 113 3 3" xfId="10100" xr:uid="{C943AEF3-010D-423F-8134-1D216E7FCF70}"/>
    <cellStyle name="Normal 113 3 3 2" xfId="14306" xr:uid="{6B7FCABE-6817-49DF-85AE-85D2E2367E6B}"/>
    <cellStyle name="Normal 113 3 4" xfId="12277" xr:uid="{A30BB055-A83A-4C91-8097-1368936D9A85}"/>
    <cellStyle name="Normal 113 4" xfId="8367" xr:uid="{5C8065EB-D822-4386-BE28-5D90C29E8800}"/>
    <cellStyle name="Normal 113 4 2" xfId="10436" xr:uid="{06F9EFAB-D95B-48B6-82D4-C1EFBEA32B10}"/>
    <cellStyle name="Normal 113 4 2 2" xfId="14642" xr:uid="{D54910D8-6DED-482A-BAAA-0B7305EBA2FE}"/>
    <cellStyle name="Normal 113 4 3" xfId="12613" xr:uid="{CA3DF951-B18E-4A42-8160-6375166C6E57}"/>
    <cellStyle name="Normal 113 5" xfId="9040" xr:uid="{FF1D9A88-ECDF-4ACD-B897-75C608468A84}"/>
    <cellStyle name="Normal 113 5 2" xfId="11109" xr:uid="{E424B87A-ED7B-4758-8790-88349D1ED7B3}"/>
    <cellStyle name="Normal 113 5 2 2" xfId="15315" xr:uid="{466A424D-7DD5-4885-8414-B2CA772FC369}"/>
    <cellStyle name="Normal 113 5 3" xfId="13286" xr:uid="{F33E4C03-0669-47EC-90A3-5D8185CD8194}"/>
    <cellStyle name="Normal 113 6" xfId="9408" xr:uid="{C6884639-C5F6-429B-9AE6-03F0835E369F}"/>
    <cellStyle name="Normal 113 6 2" xfId="11442" xr:uid="{09BECA84-401A-498E-AF48-350B6C53B6F3}"/>
    <cellStyle name="Normal 113 6 2 2" xfId="15648" xr:uid="{CEDFBC7A-8D06-4AAD-A840-D974BD8F85A0}"/>
    <cellStyle name="Normal 113 6 3" xfId="13619" xr:uid="{195D5306-61C3-489A-ADB4-6218654C0FA4}"/>
    <cellStyle name="Normal 113 7" xfId="9766" xr:uid="{426BB72F-E36C-44B0-B865-41F7DCE72048}"/>
    <cellStyle name="Normal 113 7 2" xfId="13972" xr:uid="{0D91C3A7-F98E-4D99-BB8B-97DEAB1052AE}"/>
    <cellStyle name="Normal 113 8" xfId="11943" xr:uid="{2516558F-B5D6-478D-91DD-E3E9727D54B5}"/>
    <cellStyle name="Normal 114" xfId="7628" xr:uid="{4EF0D069-AFD1-45A0-94D1-79A7B29A23AE}"/>
    <cellStyle name="Normal 114 10" xfId="9767" xr:uid="{8F604CAD-148F-46D0-BE90-E6014D8F6516}"/>
    <cellStyle name="Normal 114 10 2" xfId="13973" xr:uid="{09E9BF92-61C1-4DA8-A355-773FB212F118}"/>
    <cellStyle name="Normal 114 11" xfId="11662" xr:uid="{98AABC8B-D46A-45C7-8409-42F8CA7C8EC3}"/>
    <cellStyle name="Normal 114 11 2" xfId="15868" xr:uid="{29BF7CD0-DEE8-48A9-ABCE-D9FF833439DC}"/>
    <cellStyle name="Normal 114 12" xfId="11679" xr:uid="{A07F9F40-0E35-4B64-88A8-D9DF3A53A82C}"/>
    <cellStyle name="Normal 114 12 2" xfId="15884" xr:uid="{2F273AF3-E621-42B2-8BAD-9F3579EFB3B6}"/>
    <cellStyle name="Normal 114 13" xfId="11688" xr:uid="{D197ACB3-3A75-4222-B803-9AE0815AF179}"/>
    <cellStyle name="Normal 114 13 2" xfId="15892" xr:uid="{B17CBC0B-C51E-48FD-B0BF-77E14F962E2B}"/>
    <cellStyle name="Normal 114 14" xfId="11715" xr:uid="{CAAA5474-1578-42CF-A424-5539F54A2DD9}"/>
    <cellStyle name="Normal 114 14 2" xfId="15919" xr:uid="{FA39E028-E49E-40C5-B412-33A7427DA637}"/>
    <cellStyle name="Normal 114 15" xfId="11740" xr:uid="{72331DB4-D2C8-4853-A7BF-1F92824CFD1A}"/>
    <cellStyle name="Normal 114 15 2" xfId="15942" xr:uid="{2D04B8B0-6112-4C9A-832F-53BBD86303FA}"/>
    <cellStyle name="Normal 114 16" xfId="11766" xr:uid="{0CDC491C-9FAA-4758-945A-652B279092C0}"/>
    <cellStyle name="Normal 114 16 2" xfId="15967" xr:uid="{FEBE12D2-A93C-4B92-865D-AF68BB232DEA}"/>
    <cellStyle name="Normal 114 17" xfId="11944" xr:uid="{9E217C65-A1AC-4BE5-A239-871A99E1F217}"/>
    <cellStyle name="Normal 114 2" xfId="7638" xr:uid="{47C5E8A5-5DB7-468D-85F3-5DD45A9D9234}"/>
    <cellStyle name="Normal 114 2 2" xfId="7832" xr:uid="{57EA666A-098A-4C03-AD6C-2CACD74830A8}"/>
    <cellStyle name="Normal 114 2 2 2" xfId="8202" xr:uid="{80DA6E1A-89D5-4D7E-B0F9-9031C3E00749}"/>
    <cellStyle name="Normal 114 2 2 2 2" xfId="8872" xr:uid="{34E366A3-75E7-41BF-BBFF-B503CF26121B}"/>
    <cellStyle name="Normal 114 2 2 2 2 2" xfId="10941" xr:uid="{3BCF6644-E4BC-43BD-B091-72981F69D2E0}"/>
    <cellStyle name="Normal 114 2 2 2 2 2 2" xfId="15147" xr:uid="{FB70BD70-B953-4EA1-BBE1-1F00AD4021CA}"/>
    <cellStyle name="Normal 114 2 2 2 2 3" xfId="13118" xr:uid="{4D947C76-95E3-4FBF-BEAC-D1DBEDA3CA70}"/>
    <cellStyle name="Normal 114 2 2 2 3" xfId="10271" xr:uid="{4D596E4F-7D24-4D8D-86D7-C4B34076009F}"/>
    <cellStyle name="Normal 114 2 2 2 3 2" xfId="14477" xr:uid="{F1B1F2D0-A990-4CF0-A4D7-B236C026969A}"/>
    <cellStyle name="Normal 114 2 2 2 4" xfId="12448" xr:uid="{D39A65A8-2DF1-4B8D-8B72-442D16D7D3AC}"/>
    <cellStyle name="Normal 114 2 2 3" xfId="8538" xr:uid="{B9876FCE-4375-4595-9298-DE020A203B39}"/>
    <cellStyle name="Normal 114 2 2 3 2" xfId="10607" xr:uid="{AA39D2EA-72BF-4D46-8B49-39ACF3CCFE11}"/>
    <cellStyle name="Normal 114 2 2 3 2 2" xfId="14813" xr:uid="{B0E84B03-EFFE-449B-B083-710C71F58396}"/>
    <cellStyle name="Normal 114 2 2 3 3" xfId="12784" xr:uid="{DA2944A8-6FB0-430C-820D-FC8133D7058B}"/>
    <cellStyle name="Normal 114 2 2 4" xfId="9211" xr:uid="{6D0A7C16-4F4D-469C-90FC-12BBDDC4E425}"/>
    <cellStyle name="Normal 114 2 2 4 2" xfId="11280" xr:uid="{4F73E52A-9299-4C7E-9364-6C14B5F6BCE8}"/>
    <cellStyle name="Normal 114 2 2 4 2 2" xfId="15486" xr:uid="{754BA6E4-26C8-4742-BB9D-C977A1553B5B}"/>
    <cellStyle name="Normal 114 2 2 4 3" xfId="13457" xr:uid="{969C0322-7FDE-482F-987E-8144F1F11E08}"/>
    <cellStyle name="Normal 114 2 2 5" xfId="9579" xr:uid="{C8C4C859-812B-4EF8-9FDD-41C0B3BCC3A6}"/>
    <cellStyle name="Normal 114 2 2 5 2" xfId="11613" xr:uid="{D2122BA5-7DCB-46D5-B142-B2E9D0132B99}"/>
    <cellStyle name="Normal 114 2 2 5 2 2" xfId="15819" xr:uid="{7FB1B38A-D631-4283-A952-95939974CDA2}"/>
    <cellStyle name="Normal 114 2 2 5 3" xfId="13790" xr:uid="{88794BDE-8D6F-4AF7-BE96-DC0969523CEE}"/>
    <cellStyle name="Normal 114 2 2 6" xfId="9937" xr:uid="{2F96BA3F-C508-4154-86EE-7CAE327C0DC3}"/>
    <cellStyle name="Normal 114 2 2 6 2" xfId="14143" xr:uid="{997F803F-6C9E-4631-95ED-7019A5A80B92}"/>
    <cellStyle name="Normal 114 2 2 7" xfId="12114" xr:uid="{A1D48DE0-74D3-4F75-B9FA-84B65462EA3A}"/>
    <cellStyle name="Normal 114 2 3" xfId="8039" xr:uid="{0534727A-5B82-4ABE-AE10-ADB75AB38B37}"/>
    <cellStyle name="Normal 114 2 3 2" xfId="8709" xr:uid="{3B1168BC-DC7C-42B5-A911-70295C42150F}"/>
    <cellStyle name="Normal 114 2 3 2 2" xfId="10778" xr:uid="{68133539-6C02-4009-9940-A6FC763704F4}"/>
    <cellStyle name="Normal 114 2 3 2 2 2" xfId="14984" xr:uid="{AAA30B6F-9CAF-472E-B8D2-9F0E1257F972}"/>
    <cellStyle name="Normal 114 2 3 2 3" xfId="12955" xr:uid="{B17A55C3-B443-4EDE-8DF4-4D87AC68BA11}"/>
    <cellStyle name="Normal 114 2 3 3" xfId="10108" xr:uid="{D13AD509-67F1-44F3-A03C-901F8CF7F430}"/>
    <cellStyle name="Normal 114 2 3 3 2" xfId="14314" xr:uid="{A736D6D1-A253-473B-9B45-5C25EB23A8E0}"/>
    <cellStyle name="Normal 114 2 3 4" xfId="12285" xr:uid="{86B22CCD-BB86-4107-B500-9DAD7BCD4358}"/>
    <cellStyle name="Normal 114 2 4" xfId="8375" xr:uid="{5C1C4815-26AB-4908-A7D7-0EF0787FA81D}"/>
    <cellStyle name="Normal 114 2 4 2" xfId="10444" xr:uid="{91B95D0E-69BA-4B6A-915E-80634CF09700}"/>
    <cellStyle name="Normal 114 2 4 2 2" xfId="14650" xr:uid="{E41819E3-0990-4F61-8A4F-60A7124A955C}"/>
    <cellStyle name="Normal 114 2 4 3" xfId="12621" xr:uid="{13F2067D-88B3-4846-8E1C-F931A276DDC4}"/>
    <cellStyle name="Normal 114 2 5" xfId="9048" xr:uid="{DFF6AB6C-2CE3-4EB6-9075-4736DC131246}"/>
    <cellStyle name="Normal 114 2 5 2" xfId="11117" xr:uid="{76C7B305-036E-437E-B735-0A92437BA030}"/>
    <cellStyle name="Normal 114 2 5 2 2" xfId="15323" xr:uid="{8C2DA166-DAB4-419A-B5C9-6A3F695840A5}"/>
    <cellStyle name="Normal 114 2 5 3" xfId="13294" xr:uid="{AAABAF6A-DDE5-458A-B3F1-C28BF7EE3D7F}"/>
    <cellStyle name="Normal 114 2 6" xfId="9416" xr:uid="{A7364582-4940-4224-85A9-5A854EF6F286}"/>
    <cellStyle name="Normal 114 2 6 2" xfId="11450" xr:uid="{02EC44A0-DB85-494E-A3E7-EA8E700E967B}"/>
    <cellStyle name="Normal 114 2 6 2 2" xfId="15656" xr:uid="{C25213CB-2950-47FD-92CD-5093A6F0A448}"/>
    <cellStyle name="Normal 114 2 6 3" xfId="13627" xr:uid="{452711A2-F936-46D8-9563-FFAD8DD8A2E3}"/>
    <cellStyle name="Normal 114 2 7" xfId="9774" xr:uid="{161BD0FD-866E-4D51-A1A2-9D7F1FB0777B}"/>
    <cellStyle name="Normal 114 2 7 2" xfId="13980" xr:uid="{BAE6D9EB-26D5-4997-9EC3-C9B469842D11}"/>
    <cellStyle name="Normal 114 2 8" xfId="11951" xr:uid="{9639AAF1-7BE8-4F47-82AB-10298B5C3290}"/>
    <cellStyle name="Normal 114 3" xfId="7639" xr:uid="{07B536A7-314E-4ADB-A1F5-B4497CB896CD}"/>
    <cellStyle name="Normal 114 3 2" xfId="7833" xr:uid="{2E120BD9-165D-4C8F-91DB-030AE5A96132}"/>
    <cellStyle name="Normal 114 3 2 2" xfId="8203" xr:uid="{B0BDEBA0-5481-4F0E-87D6-9ECD5462144C}"/>
    <cellStyle name="Normal 114 3 2 2 2" xfId="8873" xr:uid="{5801B126-15C5-4801-8489-2190FE7A5545}"/>
    <cellStyle name="Normal 114 3 2 2 2 2" xfId="10942" xr:uid="{2274C952-53D1-4EA8-B9CA-413CE2232750}"/>
    <cellStyle name="Normal 114 3 2 2 2 2 2" xfId="15148" xr:uid="{25E8C626-A229-4AF5-8781-5EC24F48BC08}"/>
    <cellStyle name="Normal 114 3 2 2 2 3" xfId="13119" xr:uid="{7C169A16-B5BD-41AA-AF91-78ACDBD8CED8}"/>
    <cellStyle name="Normal 114 3 2 2 3" xfId="10272" xr:uid="{88A92027-B4B8-4EAD-9EA9-71C799287F2F}"/>
    <cellStyle name="Normal 114 3 2 2 3 2" xfId="14478" xr:uid="{5010FC21-91BA-4784-8109-1F26E12A4E67}"/>
    <cellStyle name="Normal 114 3 2 2 4" xfId="12449" xr:uid="{0D2A045B-B790-4256-86A1-81AFA8624F4E}"/>
    <cellStyle name="Normal 114 3 2 3" xfId="8539" xr:uid="{56614E35-5A78-48B9-9324-364489C310D7}"/>
    <cellStyle name="Normal 114 3 2 3 2" xfId="10608" xr:uid="{D7A690E2-8314-452D-BBA8-653557D045A5}"/>
    <cellStyle name="Normal 114 3 2 3 2 2" xfId="14814" xr:uid="{3420A329-6359-4CC0-8E3E-96B84023ABFA}"/>
    <cellStyle name="Normal 114 3 2 3 3" xfId="12785" xr:uid="{1797CA20-1D76-4C4C-881C-F0898330C7F3}"/>
    <cellStyle name="Normal 114 3 2 4" xfId="9212" xr:uid="{5F0C274C-9A4D-43F8-AADD-BFC7E4D8D7B8}"/>
    <cellStyle name="Normal 114 3 2 4 2" xfId="11281" xr:uid="{D457945A-9285-4A33-B2F9-060B34FC9A7F}"/>
    <cellStyle name="Normal 114 3 2 4 2 2" xfId="15487" xr:uid="{C2F645B7-81A0-4B4B-9F21-25889A02C8B6}"/>
    <cellStyle name="Normal 114 3 2 4 3" xfId="13458" xr:uid="{378F587F-C088-493E-B3B4-335E0B3073D9}"/>
    <cellStyle name="Normal 114 3 2 5" xfId="9580" xr:uid="{0D22C271-AF4D-4C1C-85A1-BD216952BEC2}"/>
    <cellStyle name="Normal 114 3 2 5 2" xfId="11614" xr:uid="{BF0D593B-E4D5-44C1-96F1-CEE53A626E04}"/>
    <cellStyle name="Normal 114 3 2 5 2 2" xfId="15820" xr:uid="{26AAB086-F8BB-487E-BC09-A5070B9FA589}"/>
    <cellStyle name="Normal 114 3 2 5 3" xfId="13791" xr:uid="{EAC28662-BD79-408B-AEDF-57867C63CCBF}"/>
    <cellStyle name="Normal 114 3 2 6" xfId="9938" xr:uid="{7B4BA01D-132B-4819-80CA-AA4D1E9BC59D}"/>
    <cellStyle name="Normal 114 3 2 6 2" xfId="14144" xr:uid="{700111BC-E4A9-4EF2-A47C-1B5690FAF349}"/>
    <cellStyle name="Normal 114 3 2 7" xfId="12115" xr:uid="{E31A36CA-9303-4BB9-BB7F-56D5A566B364}"/>
    <cellStyle name="Normal 114 3 3" xfId="8040" xr:uid="{8AD5762B-4137-4732-8975-ED7DAE56E8E0}"/>
    <cellStyle name="Normal 114 3 3 2" xfId="8710" xr:uid="{B057991C-D2A6-439E-9E1F-79A01C61E9F7}"/>
    <cellStyle name="Normal 114 3 3 2 2" xfId="10779" xr:uid="{99A3BC54-6163-413C-A5E3-9E57A08265B4}"/>
    <cellStyle name="Normal 114 3 3 2 2 2" xfId="14985" xr:uid="{39EFB5F4-C1F8-4514-BB9C-627B721C77A1}"/>
    <cellStyle name="Normal 114 3 3 2 3" xfId="12956" xr:uid="{2D0ADD13-7DCF-4E45-9E2B-5E81FD65B621}"/>
    <cellStyle name="Normal 114 3 3 3" xfId="10109" xr:uid="{B1D17654-492A-4229-B84D-7462E886B34C}"/>
    <cellStyle name="Normal 114 3 3 3 2" xfId="14315" xr:uid="{4316D7B6-151E-4172-9D9C-F3B31B5D6D08}"/>
    <cellStyle name="Normal 114 3 3 4" xfId="12286" xr:uid="{4CD02268-C651-44B7-8EAF-171DA9CBF587}"/>
    <cellStyle name="Normal 114 3 4" xfId="8376" xr:uid="{A30789B9-D3BF-4386-97E6-0DDE70F663B5}"/>
    <cellStyle name="Normal 114 3 4 2" xfId="10445" xr:uid="{C3214F81-89E5-4C33-B2FA-CDFAC3A3E9C9}"/>
    <cellStyle name="Normal 114 3 4 2 2" xfId="14651" xr:uid="{57B53C1D-6F26-4023-B537-4D28F94CA4E0}"/>
    <cellStyle name="Normal 114 3 4 3" xfId="12622" xr:uid="{3CFE71EB-30F5-4D85-A1B6-AA0B0883337D}"/>
    <cellStyle name="Normal 114 3 5" xfId="9049" xr:uid="{E5E76156-4188-4C4B-8BBC-6F9A63DAA2CE}"/>
    <cellStyle name="Normal 114 3 5 2" xfId="11118" xr:uid="{006C2685-923C-4392-B09F-ABB6A012FBA4}"/>
    <cellStyle name="Normal 114 3 5 2 2" xfId="15324" xr:uid="{B2386EA6-2290-4A86-BF4F-352E21CCAA4B}"/>
    <cellStyle name="Normal 114 3 5 3" xfId="13295" xr:uid="{B15B9B96-9C0E-4947-8BDF-0DD7607A1A23}"/>
    <cellStyle name="Normal 114 3 6" xfId="9417" xr:uid="{7C27C381-024E-4BC8-8756-B614FF165CAF}"/>
    <cellStyle name="Normal 114 3 6 2" xfId="11451" xr:uid="{DCFB0792-91BC-4CBD-896C-8ABA15EBE286}"/>
    <cellStyle name="Normal 114 3 6 2 2" xfId="15657" xr:uid="{402D791B-4BAD-4921-9469-3EA4B74CC16C}"/>
    <cellStyle name="Normal 114 3 6 3" xfId="13628" xr:uid="{CDBFF1E8-A6D7-4996-86B4-2D7BCBF3215A}"/>
    <cellStyle name="Normal 114 3 7" xfId="9775" xr:uid="{9CF55C7E-9670-49CA-99CC-2C80EFF5DA6B}"/>
    <cellStyle name="Normal 114 3 7 2" xfId="13981" xr:uid="{84CCC58B-25F2-413D-8C2E-76B10EB82CD7}"/>
    <cellStyle name="Normal 114 3 8" xfId="11952" xr:uid="{011C3724-492C-4FDE-8EBB-B7025466F9BC}"/>
    <cellStyle name="Normal 114 4" xfId="7825" xr:uid="{98805E69-1850-46E6-98B1-8D69934DC5A1}"/>
    <cellStyle name="Normal 114 4 2" xfId="8195" xr:uid="{3D88C3C7-5EF9-4AF4-9231-FB802D508EF0}"/>
    <cellStyle name="Normal 114 4 2 2" xfId="8865" xr:uid="{B4FB9F4E-4E50-41E1-99DC-2BF7532F1DF3}"/>
    <cellStyle name="Normal 114 4 2 2 2" xfId="10934" xr:uid="{B040C269-9021-4F8E-978F-A9F4BC77F417}"/>
    <cellStyle name="Normal 114 4 2 2 2 2" xfId="15140" xr:uid="{E097A0B7-C46C-403A-BF1D-E7DE859BA378}"/>
    <cellStyle name="Normal 114 4 2 2 3" xfId="13111" xr:uid="{1DF651B3-2B3D-4744-AA2E-AB337710BCE1}"/>
    <cellStyle name="Normal 114 4 2 3" xfId="10264" xr:uid="{95A45CF4-0050-4925-BC9C-A0C88681CFF0}"/>
    <cellStyle name="Normal 114 4 2 3 2" xfId="14470" xr:uid="{B06D98D0-3F8C-4A08-A847-4AABC65FE213}"/>
    <cellStyle name="Normal 114 4 2 4" xfId="12441" xr:uid="{DEF0837C-B990-4920-8826-541E1A001676}"/>
    <cellStyle name="Normal 114 4 3" xfId="8531" xr:uid="{DC47F8B2-C9C9-44D4-AF4E-8BC6793F02F9}"/>
    <cellStyle name="Normal 114 4 3 2" xfId="10600" xr:uid="{6ECF1FA4-74F9-4569-84AD-85A935D931D2}"/>
    <cellStyle name="Normal 114 4 3 2 2" xfId="14806" xr:uid="{9391FAA5-1ED2-4EA7-9ECD-A339F88236A3}"/>
    <cellStyle name="Normal 114 4 3 3" xfId="12777" xr:uid="{5D7ED7FE-1479-475A-BAA5-5C8040CA68DE}"/>
    <cellStyle name="Normal 114 4 4" xfId="9204" xr:uid="{65953D60-E3C8-41F7-8A1C-AEDE603B435E}"/>
    <cellStyle name="Normal 114 4 4 2" xfId="11273" xr:uid="{D0B7CDE9-624A-4A25-8D37-B42552D2404E}"/>
    <cellStyle name="Normal 114 4 4 2 2" xfId="15479" xr:uid="{6A66498A-76F0-4F09-B40A-2B1FE9EC4950}"/>
    <cellStyle name="Normal 114 4 4 3" xfId="13450" xr:uid="{6111A79F-E2A2-45C6-96DE-DA476D22F105}"/>
    <cellStyle name="Normal 114 4 5" xfId="9572" xr:uid="{40A4FD3E-A217-4C44-BD9E-623489FEA4AC}"/>
    <cellStyle name="Normal 114 4 5 2" xfId="11606" xr:uid="{33A78FCA-2F70-4377-A540-B89014D9AE57}"/>
    <cellStyle name="Normal 114 4 5 2 2" xfId="15812" xr:uid="{C959F630-BF8A-401E-82B3-F15C91438797}"/>
    <cellStyle name="Normal 114 4 5 3" xfId="13783" xr:uid="{540ADA09-C74C-4EF9-9651-BEA33E839EB3}"/>
    <cellStyle name="Normal 114 4 6" xfId="9930" xr:uid="{04C4A916-7EFB-4C4A-964F-32D878097640}"/>
    <cellStyle name="Normal 114 4 6 2" xfId="14136" xr:uid="{58341CDF-55B0-43D7-B61D-14F642B08B58}"/>
    <cellStyle name="Normal 114 4 7" xfId="12107" xr:uid="{4AF319E1-5411-4CDE-B9E3-DEDE1492DFBA}"/>
    <cellStyle name="Normal 114 5" xfId="8032" xr:uid="{70E53FF6-42AF-419F-9B72-D63A4A5DBE8B}"/>
    <cellStyle name="Normal 114 5 2" xfId="8702" xr:uid="{3B3C7D35-16FA-48CC-9C9E-817BE09F5B83}"/>
    <cellStyle name="Normal 114 5 2 2" xfId="10771" xr:uid="{B59BB75C-2C1E-43BD-B08A-12D3D4DCF08C}"/>
    <cellStyle name="Normal 114 5 2 2 2" xfId="14977" xr:uid="{B185B813-2E0E-4412-9D9D-EC4A5481F134}"/>
    <cellStyle name="Normal 114 5 2 3" xfId="12948" xr:uid="{20BA9AC6-06CE-4105-8319-A5318F0C7A59}"/>
    <cellStyle name="Normal 114 5 3" xfId="10101" xr:uid="{C68936AA-23A4-4BD7-9C66-E85DB9D8E2B3}"/>
    <cellStyle name="Normal 114 5 3 2" xfId="14307" xr:uid="{BEC1703E-6759-4BCF-9105-57E69882B45F}"/>
    <cellStyle name="Normal 114 5 4" xfId="12278" xr:uid="{FA34ECB9-8C5F-4D6B-A32A-EFD3F70DBE88}"/>
    <cellStyle name="Normal 114 6" xfId="8368" xr:uid="{BE401D78-2730-41C6-AE05-6C27DA1F0235}"/>
    <cellStyle name="Normal 114 6 2" xfId="10437" xr:uid="{0B50B840-A326-4DFB-A609-C8DDB2D346E2}"/>
    <cellStyle name="Normal 114 6 2 2" xfId="14643" xr:uid="{2B1B31D1-0EC5-4CD0-8A9B-2A805B73DB45}"/>
    <cellStyle name="Normal 114 6 3" xfId="12614" xr:uid="{DE137E24-87EF-44AB-96BF-804A8CFD3B15}"/>
    <cellStyle name="Normal 114 7" xfId="9041" xr:uid="{DB07E209-15BB-48B3-94B7-ABF027E71C09}"/>
    <cellStyle name="Normal 114 7 2" xfId="11110" xr:uid="{29C13F38-0303-481E-AA98-3B1008F18971}"/>
    <cellStyle name="Normal 114 7 2 2" xfId="15316" xr:uid="{0B48019F-F914-41D8-A56E-B5697743DCD2}"/>
    <cellStyle name="Normal 114 7 3" xfId="13287" xr:uid="{6B42FA78-828A-422A-AC21-56D716F06BCA}"/>
    <cellStyle name="Normal 114 8" xfId="9409" xr:uid="{11FC9DAE-9940-4F2C-B862-F74A6B3910A2}"/>
    <cellStyle name="Normal 114 8 2" xfId="11443" xr:uid="{1E644D4F-1050-4AFB-8A23-429AE14243D2}"/>
    <cellStyle name="Normal 114 8 2 2" xfId="15649" xr:uid="{D58392B0-A0A3-468A-94A5-267364503DAE}"/>
    <cellStyle name="Normal 114 8 3" xfId="13620" xr:uid="{906BFBA3-56C0-4D28-8E6E-5EC1DC1EB3D0}"/>
    <cellStyle name="Normal 114 9" xfId="9638" xr:uid="{0EB7EE8B-41F0-4252-8D28-B369EA1F9AC2}"/>
    <cellStyle name="Normal 114 9 2" xfId="13845" xr:uid="{A79FC5E3-28B7-4DE8-870B-6E30DC3502A6}"/>
    <cellStyle name="Normal 115" xfId="7629" xr:uid="{A79DA7F4-2E29-45C7-B053-87CDDC2658CA}"/>
    <cellStyle name="Normal 115 2" xfId="7826" xr:uid="{E3530A0C-A188-409E-B01C-EA927C99315D}"/>
    <cellStyle name="Normal 115 2 2" xfId="8196" xr:uid="{DB326999-98A0-4CE9-950C-F97DCFFC622F}"/>
    <cellStyle name="Normal 115 2 2 2" xfId="8866" xr:uid="{FE42EEC8-BD3F-44FC-A30A-3ACD9BF77BC8}"/>
    <cellStyle name="Normal 115 2 2 2 2" xfId="10935" xr:uid="{D2EF302E-5A0A-4753-AF29-08012D423CBA}"/>
    <cellStyle name="Normal 115 2 2 2 2 2" xfId="15141" xr:uid="{6005F5D4-8423-499A-9ECD-8BD9CF0B76E6}"/>
    <cellStyle name="Normal 115 2 2 2 3" xfId="13112" xr:uid="{84180E48-7D35-4582-B1EE-D8CEF58684EF}"/>
    <cellStyle name="Normal 115 2 2 3" xfId="10265" xr:uid="{785EC270-402B-4B77-9413-0E4F715AE1AF}"/>
    <cellStyle name="Normal 115 2 2 3 2" xfId="14471" xr:uid="{0230F978-86B9-4B18-9A82-08BDD75249F8}"/>
    <cellStyle name="Normal 115 2 2 4" xfId="12442" xr:uid="{F75397A6-6F64-439F-B01E-5CFA588BE059}"/>
    <cellStyle name="Normal 115 2 3" xfId="8532" xr:uid="{94F0F379-621C-4F4F-AE71-115477C9F592}"/>
    <cellStyle name="Normal 115 2 3 2" xfId="10601" xr:uid="{950E0FDF-A66F-412C-B316-E81BB7DEBE44}"/>
    <cellStyle name="Normal 115 2 3 2 2" xfId="14807" xr:uid="{BAD39FA8-FA56-4748-B398-DBF7D9454ED4}"/>
    <cellStyle name="Normal 115 2 3 3" xfId="12778" xr:uid="{F3AC22BC-C5BC-496D-9684-65C9365B2150}"/>
    <cellStyle name="Normal 115 2 4" xfId="9205" xr:uid="{D2C5D7D9-7EEE-4624-AD5E-7A2B554BD215}"/>
    <cellStyle name="Normal 115 2 4 2" xfId="11274" xr:uid="{2F755BBE-3A03-4889-A9F1-E0632C366BA5}"/>
    <cellStyle name="Normal 115 2 4 2 2" xfId="15480" xr:uid="{97077CC5-44E5-4B94-8602-3C146B2C8E6B}"/>
    <cellStyle name="Normal 115 2 4 3" xfId="13451" xr:uid="{81C9A411-16C0-408F-8339-63BE4019903A}"/>
    <cellStyle name="Normal 115 2 5" xfId="9573" xr:uid="{BAC61ED4-09F2-4C2A-9CAE-6128DF8FE789}"/>
    <cellStyle name="Normal 115 2 5 2" xfId="11607" xr:uid="{86FCE549-1AB7-431F-84EE-6373CC9174A4}"/>
    <cellStyle name="Normal 115 2 5 2 2" xfId="15813" xr:uid="{D437D361-0D90-4CDA-AA13-3F2D504208A9}"/>
    <cellStyle name="Normal 115 2 5 3" xfId="13784" xr:uid="{C76B0D6E-B810-4BDC-A75A-B981D741BFE2}"/>
    <cellStyle name="Normal 115 2 6" xfId="9931" xr:uid="{9C3A5E22-171F-4FC1-A755-D1746BDF1756}"/>
    <cellStyle name="Normal 115 2 6 2" xfId="14137" xr:uid="{F233B524-C7FB-4532-B79B-27915AA0627F}"/>
    <cellStyle name="Normal 115 2 7" xfId="12108" xr:uid="{B971349B-7890-4366-BEC1-6B80FB6F6696}"/>
    <cellStyle name="Normal 115 3" xfId="8033" xr:uid="{F9F35ADC-4F98-4DDD-852D-CF037FDE3E34}"/>
    <cellStyle name="Normal 115 3 2" xfId="8703" xr:uid="{180538FF-5643-4CFB-AC95-5FB0EFBDB469}"/>
    <cellStyle name="Normal 115 3 2 2" xfId="10772" xr:uid="{7FDF9B1E-16DB-41F2-A4FA-AE7ACAD7C3CA}"/>
    <cellStyle name="Normal 115 3 2 2 2" xfId="14978" xr:uid="{96D5800F-8507-419C-B753-E07DAFF210F5}"/>
    <cellStyle name="Normal 115 3 2 3" xfId="12949" xr:uid="{84F448CD-A7EC-4986-A8B6-75DC1E4F68A9}"/>
    <cellStyle name="Normal 115 3 3" xfId="10102" xr:uid="{8F0EC23F-0888-46A1-81D3-EE809AA58EEA}"/>
    <cellStyle name="Normal 115 3 3 2" xfId="14308" xr:uid="{015F8886-D283-4198-8AE2-5A764416A968}"/>
    <cellStyle name="Normal 115 3 4" xfId="12279" xr:uid="{547493FD-0A49-444B-A793-9194F61DC83B}"/>
    <cellStyle name="Normal 115 4" xfId="8369" xr:uid="{F0827DEF-723E-4A18-8471-5847813C01D7}"/>
    <cellStyle name="Normal 115 4 2" xfId="10438" xr:uid="{3B5CE4E4-F4BC-4EB7-B50B-EC4DEE6E7F32}"/>
    <cellStyle name="Normal 115 4 2 2" xfId="14644" xr:uid="{F76BCD98-9102-4526-B2E0-3BC7F3186DB3}"/>
    <cellStyle name="Normal 115 4 3" xfId="12615" xr:uid="{FCD9739A-5E0E-4B2F-B2CC-62AF081FEE67}"/>
    <cellStyle name="Normal 115 5" xfId="9042" xr:uid="{5DF4DD7D-980E-4E85-9892-919DB07F8743}"/>
    <cellStyle name="Normal 115 5 2" xfId="11111" xr:uid="{59C64A38-537F-4E9B-8A6B-02D92516FCBB}"/>
    <cellStyle name="Normal 115 5 2 2" xfId="15317" xr:uid="{2410EC4C-6D7A-456C-96AE-7AB45C02F5FD}"/>
    <cellStyle name="Normal 115 5 3" xfId="13288" xr:uid="{DB401778-9613-4CB6-96F0-110DD87F3DA8}"/>
    <cellStyle name="Normal 115 6" xfId="9410" xr:uid="{2464DA9D-AF23-432D-9CA3-6883635ED5EC}"/>
    <cellStyle name="Normal 115 6 2" xfId="11444" xr:uid="{330B58DB-2EB6-4155-B89D-FC42917F5B92}"/>
    <cellStyle name="Normal 115 6 2 2" xfId="15650" xr:uid="{D4F7A4A6-A150-4451-B4EF-A54FA8CDE877}"/>
    <cellStyle name="Normal 115 6 3" xfId="13621" xr:uid="{765A5CDD-8659-4914-A5C7-1314A6AD79EE}"/>
    <cellStyle name="Normal 115 7" xfId="9768" xr:uid="{399033CD-6E9A-4F73-B009-6DC7D825C018}"/>
    <cellStyle name="Normal 115 7 2" xfId="13974" xr:uid="{0921A3B5-EDCC-4DCF-9355-D9F96DA89FB9}"/>
    <cellStyle name="Normal 115 8" xfId="11945" xr:uid="{FCC54DAA-9017-4381-9AE0-AF844D8EE5A5}"/>
    <cellStyle name="Normal 116" xfId="7630" xr:uid="{F1804DB3-608F-41FB-9E44-DC2F97A7E76C}"/>
    <cellStyle name="Normal 116 2" xfId="7827" xr:uid="{59A71BF6-0114-4292-934E-AEF6748FC64A}"/>
    <cellStyle name="Normal 116 2 2" xfId="8197" xr:uid="{F4DEA727-45D7-4E99-8BB5-39A1432701A2}"/>
    <cellStyle name="Normal 116 2 2 2" xfId="8867" xr:uid="{6A3EF97A-EBA4-4EE3-8262-3BC461A9DBB3}"/>
    <cellStyle name="Normal 116 2 2 2 2" xfId="10936" xr:uid="{7C316C9E-0734-444B-BE84-95F445A880A2}"/>
    <cellStyle name="Normal 116 2 2 2 2 2" xfId="15142" xr:uid="{428D9DFD-83C9-4CF9-B8D0-BA5DF8A10EEB}"/>
    <cellStyle name="Normal 116 2 2 2 3" xfId="13113" xr:uid="{407FECEB-9D78-4058-93D9-3F252416D3CC}"/>
    <cellStyle name="Normal 116 2 2 3" xfId="10266" xr:uid="{6812850F-94A2-49AA-B488-478E34FD607E}"/>
    <cellStyle name="Normal 116 2 2 3 2" xfId="14472" xr:uid="{A88A4868-9ECB-437F-BADE-FB22231DE6CE}"/>
    <cellStyle name="Normal 116 2 2 4" xfId="12443" xr:uid="{2BFF19CA-7884-4F98-801F-0C510F861EE0}"/>
    <cellStyle name="Normal 116 2 3" xfId="8533" xr:uid="{C3E0D7E2-F730-4A47-A2FA-82DBB84C742E}"/>
    <cellStyle name="Normal 116 2 3 2" xfId="10602" xr:uid="{D04B674D-F81C-459F-AC71-45EAF0FC52CC}"/>
    <cellStyle name="Normal 116 2 3 2 2" xfId="14808" xr:uid="{CFA34F5A-1772-4A1C-AE5C-6B4E7BE5D5D1}"/>
    <cellStyle name="Normal 116 2 3 3" xfId="12779" xr:uid="{B2D211B3-9F35-4F1A-AF62-F9AD7A0C5D4E}"/>
    <cellStyle name="Normal 116 2 4" xfId="9206" xr:uid="{3E263E6E-319F-43E9-B9E3-B9FEA8EC89DD}"/>
    <cellStyle name="Normal 116 2 4 2" xfId="11275" xr:uid="{577271E0-02D1-4517-BE0F-EA008793C2F3}"/>
    <cellStyle name="Normal 116 2 4 2 2" xfId="15481" xr:uid="{15CAF377-BEE1-436F-B7EF-D911BCC466AB}"/>
    <cellStyle name="Normal 116 2 4 3" xfId="13452" xr:uid="{433A045F-2435-4362-9877-F5ED0DB8D756}"/>
    <cellStyle name="Normal 116 2 5" xfId="9574" xr:uid="{4A39FB12-A24F-4523-BF7B-C4851F46D971}"/>
    <cellStyle name="Normal 116 2 5 2" xfId="11608" xr:uid="{575D5A7F-28A3-4004-BD97-9CD690744B81}"/>
    <cellStyle name="Normal 116 2 5 2 2" xfId="15814" xr:uid="{76A83CE3-AB33-451E-AC05-A0F4FCEB4C0F}"/>
    <cellStyle name="Normal 116 2 5 3" xfId="13785" xr:uid="{7D18F128-26CB-4013-95BF-F32DD3406AF4}"/>
    <cellStyle name="Normal 116 2 6" xfId="9932" xr:uid="{543D9F8E-DCAF-4F81-8138-A7A016995AA7}"/>
    <cellStyle name="Normal 116 2 6 2" xfId="14138" xr:uid="{921B255F-72A1-4104-867A-1DA8518A85E3}"/>
    <cellStyle name="Normal 116 2 7" xfId="12109" xr:uid="{834671F0-9463-4E39-AEA6-282BFB1AF0D3}"/>
    <cellStyle name="Normal 116 3" xfId="8034" xr:uid="{28251322-8ABB-4F02-A2F6-97B79BB39827}"/>
    <cellStyle name="Normal 116 3 2" xfId="8704" xr:uid="{CAF69F7C-0801-4081-848D-FACF4E4361C1}"/>
    <cellStyle name="Normal 116 3 2 2" xfId="10773" xr:uid="{8F076AC7-9FCB-414A-9BA3-DD46150377E1}"/>
    <cellStyle name="Normal 116 3 2 2 2" xfId="14979" xr:uid="{1FB072FF-5A39-4DDE-99C3-B6884A4E5BDA}"/>
    <cellStyle name="Normal 116 3 2 3" xfId="12950" xr:uid="{FCD654B1-F75C-44BA-91FE-0C0581E71412}"/>
    <cellStyle name="Normal 116 3 3" xfId="10103" xr:uid="{EF6EF56F-C804-4F8E-915D-C70A5C2B3AF5}"/>
    <cellStyle name="Normal 116 3 3 2" xfId="14309" xr:uid="{6CD9737A-DD86-43D6-B7F6-18F4A6113EA3}"/>
    <cellStyle name="Normal 116 3 4" xfId="12280" xr:uid="{7B76EAE0-CE8A-4DD4-9174-874D85E5376C}"/>
    <cellStyle name="Normal 116 4" xfId="8370" xr:uid="{C6D267E9-F6CB-4249-8C78-D05BACCFE137}"/>
    <cellStyle name="Normal 116 4 2" xfId="10439" xr:uid="{855498CA-14DB-421C-86F1-F08149AE7747}"/>
    <cellStyle name="Normal 116 4 2 2" xfId="14645" xr:uid="{458A3D5C-573B-422B-8069-2F9D190BF5C0}"/>
    <cellStyle name="Normal 116 4 3" xfId="12616" xr:uid="{57112AA6-68EF-4F25-935A-92D284D527DE}"/>
    <cellStyle name="Normal 116 5" xfId="9043" xr:uid="{05EF65ED-ACE3-49BE-BF0D-69BD0160FBB4}"/>
    <cellStyle name="Normal 116 5 2" xfId="11112" xr:uid="{BDFAFFA2-C0F9-425B-8B54-C825B1146594}"/>
    <cellStyle name="Normal 116 5 2 2" xfId="15318" xr:uid="{EFF9A2E3-6162-4B58-913A-D08C9B0A2BF3}"/>
    <cellStyle name="Normal 116 5 3" xfId="13289" xr:uid="{2C777B59-2716-438A-92D8-0960F514879B}"/>
    <cellStyle name="Normal 116 6" xfId="9411" xr:uid="{F39C24FD-44C8-4971-982A-33BCE006B844}"/>
    <cellStyle name="Normal 116 6 2" xfId="11445" xr:uid="{353B4217-4CAE-497C-90A7-CBE729F1490D}"/>
    <cellStyle name="Normal 116 6 2 2" xfId="15651" xr:uid="{D88ADABD-4E48-4F0F-85E4-DBF60C857683}"/>
    <cellStyle name="Normal 116 6 3" xfId="13622" xr:uid="{62AB565B-D12F-42E2-8FC9-419B5943DB2F}"/>
    <cellStyle name="Normal 116 7" xfId="9769" xr:uid="{14563CAD-0784-4C9A-A534-FA720B012A43}"/>
    <cellStyle name="Normal 116 7 2" xfId="13975" xr:uid="{246A9007-48D4-41CE-93BB-E089F1BE2D8C}"/>
    <cellStyle name="Normal 116 8" xfId="11946" xr:uid="{2144081C-D578-49A2-B19F-A659CAD1DB9D}"/>
    <cellStyle name="Normal 117" xfId="7631" xr:uid="{AA51EF12-0C16-4671-A58F-E5807C897900}"/>
    <cellStyle name="Normal 117 2" xfId="7828" xr:uid="{EBA95483-13E1-486D-A83B-599E8FF10EA3}"/>
    <cellStyle name="Normal 117 2 2" xfId="8198" xr:uid="{75F15902-8A93-458C-8D22-4FF0AF852358}"/>
    <cellStyle name="Normal 117 2 2 2" xfId="8868" xr:uid="{395B276D-5842-4AEF-BFEE-5DCDB4131DEF}"/>
    <cellStyle name="Normal 117 2 2 2 2" xfId="10937" xr:uid="{78BE6B0E-7E8E-4A27-9AFE-BB025B063BBF}"/>
    <cellStyle name="Normal 117 2 2 2 2 2" xfId="15143" xr:uid="{083AB416-B4A0-4DCB-9177-BB750F7BFA77}"/>
    <cellStyle name="Normal 117 2 2 2 3" xfId="13114" xr:uid="{3C0AA295-B7EA-419C-A7EF-6406A5676E7B}"/>
    <cellStyle name="Normal 117 2 2 3" xfId="10267" xr:uid="{F8E1D0C6-0D2C-427C-A407-E46A373DE547}"/>
    <cellStyle name="Normal 117 2 2 3 2" xfId="14473" xr:uid="{96EC149A-277B-4AA4-8323-09737F247DFC}"/>
    <cellStyle name="Normal 117 2 2 4" xfId="12444" xr:uid="{B74F6A65-6B0A-4893-B0AC-D11528F40E91}"/>
    <cellStyle name="Normal 117 2 3" xfId="8534" xr:uid="{82BB261A-D566-4863-8F40-2D45E06E5020}"/>
    <cellStyle name="Normal 117 2 3 2" xfId="10603" xr:uid="{F14E7AC0-0ED6-468F-A193-BED52A6D23E3}"/>
    <cellStyle name="Normal 117 2 3 2 2" xfId="14809" xr:uid="{96FC5003-15EE-4708-BAF9-6441F1CBB55E}"/>
    <cellStyle name="Normal 117 2 3 3" xfId="12780" xr:uid="{E5756303-78B5-4BB6-BB8B-6DCC79B1BEE8}"/>
    <cellStyle name="Normal 117 2 4" xfId="9207" xr:uid="{6B17401E-1B5A-4DF8-AB9C-DB9D8D270AAD}"/>
    <cellStyle name="Normal 117 2 4 2" xfId="11276" xr:uid="{037F0F9F-609E-473A-B461-B6612A74330A}"/>
    <cellStyle name="Normal 117 2 4 2 2" xfId="15482" xr:uid="{7C6AD5D9-B806-4613-89B0-E31B3A38224B}"/>
    <cellStyle name="Normal 117 2 4 3" xfId="13453" xr:uid="{B6EB7731-4973-4DDA-9784-0A08030E7816}"/>
    <cellStyle name="Normal 117 2 5" xfId="9575" xr:uid="{B25905B9-6745-485D-8F0D-957AC2515017}"/>
    <cellStyle name="Normal 117 2 5 2" xfId="11609" xr:uid="{FF3B5964-AF60-48D1-B8D6-70083686ECDA}"/>
    <cellStyle name="Normal 117 2 5 2 2" xfId="15815" xr:uid="{76A30297-D2EB-4FA8-AE3D-E6D770672C80}"/>
    <cellStyle name="Normal 117 2 5 3" xfId="13786" xr:uid="{C3541679-2B7E-4E27-A634-E5DEDF004517}"/>
    <cellStyle name="Normal 117 2 6" xfId="9933" xr:uid="{432825B5-8452-40AF-B0A4-4705EDAE47D9}"/>
    <cellStyle name="Normal 117 2 6 2" xfId="14139" xr:uid="{93041959-E3C0-47A0-98DE-9819565137AD}"/>
    <cellStyle name="Normal 117 2 7" xfId="12110" xr:uid="{3B854F90-990B-40A6-955B-596DBBAA2461}"/>
    <cellStyle name="Normal 117 3" xfId="8035" xr:uid="{24B46A63-9959-4073-A358-FF5F54898AC5}"/>
    <cellStyle name="Normal 117 3 2" xfId="8705" xr:uid="{75441142-4226-468E-8A9E-F9E947872A7E}"/>
    <cellStyle name="Normal 117 3 2 2" xfId="10774" xr:uid="{2DE31419-52AC-4FE2-93BC-C76E6799743B}"/>
    <cellStyle name="Normal 117 3 2 2 2" xfId="14980" xr:uid="{2820CD7E-F872-409A-B927-ABC9214D4DD0}"/>
    <cellStyle name="Normal 117 3 2 3" xfId="12951" xr:uid="{A840C61F-48B5-4C48-AFEB-EAFCA3EB53F7}"/>
    <cellStyle name="Normal 117 3 3" xfId="10104" xr:uid="{8C4762D3-962F-4EAF-926E-84AD02A0B483}"/>
    <cellStyle name="Normal 117 3 3 2" xfId="14310" xr:uid="{8A338D0B-D0D2-49B5-966D-358FFDC6FFC3}"/>
    <cellStyle name="Normal 117 3 4" xfId="12281" xr:uid="{7DFD4CE1-B24C-42C8-92C9-9F52C8FB2AD3}"/>
    <cellStyle name="Normal 117 4" xfId="8371" xr:uid="{B788D4B3-B9CB-4F6A-991E-57D3A5CC349F}"/>
    <cellStyle name="Normal 117 4 2" xfId="10440" xr:uid="{323B8159-BB23-4BE9-ADFC-738DCBF1E5D1}"/>
    <cellStyle name="Normal 117 4 2 2" xfId="14646" xr:uid="{4394C966-35CA-4D4F-B81B-C1AEE152B78C}"/>
    <cellStyle name="Normal 117 4 3" xfId="12617" xr:uid="{BC8E9AA4-1DEE-4BB1-A75D-9447F396AD88}"/>
    <cellStyle name="Normal 117 5" xfId="9044" xr:uid="{4666A2CB-BF8E-4F09-94AD-D5DBCDB9BE7D}"/>
    <cellStyle name="Normal 117 5 2" xfId="11113" xr:uid="{49BB735B-B2BB-4B01-919E-328A9F441965}"/>
    <cellStyle name="Normal 117 5 2 2" xfId="15319" xr:uid="{7638CE56-2288-4394-90A9-0C4731875DFF}"/>
    <cellStyle name="Normal 117 5 3" xfId="13290" xr:uid="{AAE6BF26-454E-4D79-9D65-3AAD93194C0A}"/>
    <cellStyle name="Normal 117 6" xfId="9412" xr:uid="{1C87E87F-54BB-4196-836A-5B6E5AC6AA31}"/>
    <cellStyle name="Normal 117 6 2" xfId="11446" xr:uid="{8139DC15-14D8-4E4A-A156-E67F211E7AAA}"/>
    <cellStyle name="Normal 117 6 2 2" xfId="15652" xr:uid="{EC82CCD5-5989-434F-99A1-39147F923E8C}"/>
    <cellStyle name="Normal 117 6 3" xfId="13623" xr:uid="{B33C2DCE-CAE9-4D35-A026-C097210E91C9}"/>
    <cellStyle name="Normal 117 7" xfId="9770" xr:uid="{8BCF9E27-0CAB-4FFF-8887-B363E3508E1F}"/>
    <cellStyle name="Normal 117 7 2" xfId="13976" xr:uid="{F359EFE5-D5E3-4FF8-9D8A-F60C83A138B8}"/>
    <cellStyle name="Normal 117 8" xfId="11947" xr:uid="{3FEC1116-AC32-4BC0-B8A4-676368E97B09}"/>
    <cellStyle name="Normal 118" xfId="7632" xr:uid="{ABF403BE-E6D3-423D-8DBA-F8AB581C7429}"/>
    <cellStyle name="Normal 118 2" xfId="7829" xr:uid="{B613F793-5C03-443F-B599-F54BAD2C82F2}"/>
    <cellStyle name="Normal 118 2 2" xfId="8199" xr:uid="{B16833A9-AF3B-4F70-8F4A-C29D0112B9DB}"/>
    <cellStyle name="Normal 118 2 2 2" xfId="8869" xr:uid="{B127144B-C69F-4A53-89DF-F5388C29A229}"/>
    <cellStyle name="Normal 118 2 2 2 2" xfId="10938" xr:uid="{5A8461EC-E895-4C53-83D3-FE3B2361AC83}"/>
    <cellStyle name="Normal 118 2 2 2 2 2" xfId="15144" xr:uid="{C61C4807-0E58-43FB-B050-706B5C377275}"/>
    <cellStyle name="Normal 118 2 2 2 3" xfId="13115" xr:uid="{99427EE0-6E15-4C1D-A8C4-F592E708600B}"/>
    <cellStyle name="Normal 118 2 2 3" xfId="10268" xr:uid="{23190173-3E5C-4C5D-89E7-A0E4E548DDF8}"/>
    <cellStyle name="Normal 118 2 2 3 2" xfId="14474" xr:uid="{8660CD74-2172-486D-813C-567F549FF7A1}"/>
    <cellStyle name="Normal 118 2 2 4" xfId="12445" xr:uid="{291419DC-6F20-407D-A8AA-E1C7BAAB81AF}"/>
    <cellStyle name="Normal 118 2 3" xfId="8535" xr:uid="{B2224275-B905-43E0-A296-B2A7641CC312}"/>
    <cellStyle name="Normal 118 2 3 2" xfId="10604" xr:uid="{565A7B75-8935-4C5E-B030-8D2F7E685B97}"/>
    <cellStyle name="Normal 118 2 3 2 2" xfId="14810" xr:uid="{FBB3EA84-E813-49A1-9AE3-B2E947456AEB}"/>
    <cellStyle name="Normal 118 2 3 3" xfId="12781" xr:uid="{DF85C1E3-B5E8-4572-8F09-E76D9323E6ED}"/>
    <cellStyle name="Normal 118 2 4" xfId="9208" xr:uid="{2EB4989D-D397-44EB-B8EA-7B59C6F2B0F7}"/>
    <cellStyle name="Normal 118 2 4 2" xfId="11277" xr:uid="{723DE561-B9F5-4E8D-B81C-6EE1B2E19DFA}"/>
    <cellStyle name="Normal 118 2 4 2 2" xfId="15483" xr:uid="{05EC1553-85BF-4655-BFD4-6483583901E5}"/>
    <cellStyle name="Normal 118 2 4 3" xfId="13454" xr:uid="{7CF35523-2A38-4BC1-AEA5-C040F7396D59}"/>
    <cellStyle name="Normal 118 2 5" xfId="9576" xr:uid="{8492ECBD-9133-483D-9905-FB4FD7E194D3}"/>
    <cellStyle name="Normal 118 2 5 2" xfId="11610" xr:uid="{1A9672DA-5996-4641-9CB0-5935166B8CEC}"/>
    <cellStyle name="Normal 118 2 5 2 2" xfId="15816" xr:uid="{3678D81F-9131-474C-8C97-03494F48781A}"/>
    <cellStyle name="Normal 118 2 5 3" xfId="13787" xr:uid="{81FB4220-0554-4233-809C-CED93F469E8F}"/>
    <cellStyle name="Normal 118 2 6" xfId="9934" xr:uid="{B98D04DE-5799-4488-AF02-A17540C1DB56}"/>
    <cellStyle name="Normal 118 2 6 2" xfId="14140" xr:uid="{F9590F1B-5215-4938-847A-3E7401EE8BC7}"/>
    <cellStyle name="Normal 118 2 7" xfId="12111" xr:uid="{3862CF2B-CE3A-472C-ADB1-B62410F076E1}"/>
    <cellStyle name="Normal 118 3" xfId="8036" xr:uid="{606E009F-BC54-4896-A039-414F53772796}"/>
    <cellStyle name="Normal 118 3 2" xfId="8706" xr:uid="{E20393A1-789C-4918-8589-E5C14B3D3AD4}"/>
    <cellStyle name="Normal 118 3 2 2" xfId="10775" xr:uid="{CEFBC093-3D3E-432A-AC57-3CDA5B0E6A9E}"/>
    <cellStyle name="Normal 118 3 2 2 2" xfId="14981" xr:uid="{D6610BE2-03B8-4D97-8171-88A9DB94A8CA}"/>
    <cellStyle name="Normal 118 3 2 3" xfId="12952" xr:uid="{39A4116E-6952-40A2-8445-7E42269C10BC}"/>
    <cellStyle name="Normal 118 3 3" xfId="10105" xr:uid="{464C3177-2F23-41F6-8E26-7E13CD2F559F}"/>
    <cellStyle name="Normal 118 3 3 2" xfId="14311" xr:uid="{775C2905-69EC-48F1-9DB1-1835102E4E28}"/>
    <cellStyle name="Normal 118 3 4" xfId="12282" xr:uid="{A988BF3F-700C-402E-A454-3798D17D27C8}"/>
    <cellStyle name="Normal 118 4" xfId="8372" xr:uid="{76015BCB-780E-4C31-A3F2-751A4715C17B}"/>
    <cellStyle name="Normal 118 4 2" xfId="10441" xr:uid="{FE3DC6DD-4D22-4921-A9B1-40EFDE5C7060}"/>
    <cellStyle name="Normal 118 4 2 2" xfId="14647" xr:uid="{68BC694E-C0AC-4BAB-B5BA-74594646C6C1}"/>
    <cellStyle name="Normal 118 4 3" xfId="12618" xr:uid="{DF1D481F-3946-4DA3-87BB-BBC8E7895F47}"/>
    <cellStyle name="Normal 118 5" xfId="9045" xr:uid="{EC70F3CF-0661-44B7-A251-B1ECCA11D3D8}"/>
    <cellStyle name="Normal 118 5 2" xfId="11114" xr:uid="{781EF3D3-DFF7-4B33-82DF-96CEAAEE1032}"/>
    <cellStyle name="Normal 118 5 2 2" xfId="15320" xr:uid="{E55D9711-F051-4A13-9AA3-389A13815933}"/>
    <cellStyle name="Normal 118 5 3" xfId="13291" xr:uid="{D57CC4AF-BEAE-472F-A185-9AC955A5E674}"/>
    <cellStyle name="Normal 118 6" xfId="9413" xr:uid="{E1278386-02F3-4ECC-A5A6-10F90EA8AE87}"/>
    <cellStyle name="Normal 118 6 2" xfId="11447" xr:uid="{3819434D-01E7-49D0-A045-CB7E87FF5E79}"/>
    <cellStyle name="Normal 118 6 2 2" xfId="15653" xr:uid="{5BD87C61-DBF2-4DDD-96FA-DD4147A9E5B5}"/>
    <cellStyle name="Normal 118 6 3" xfId="13624" xr:uid="{6DF3D532-772D-4C14-ACB0-A5F617630409}"/>
    <cellStyle name="Normal 118 7" xfId="9771" xr:uid="{96603A20-A3DB-43F5-AC3D-7E8958008967}"/>
    <cellStyle name="Normal 118 7 2" xfId="13977" xr:uid="{7BFEFD29-AAA2-45E0-8E56-E3D2D78A1B61}"/>
    <cellStyle name="Normal 118 8" xfId="11948" xr:uid="{2BEA6B38-8BA7-4F21-873D-AD92B9AC9283}"/>
    <cellStyle name="Normal 119" xfId="7636" xr:uid="{4D88E20D-4E71-4558-ACCE-1654135EB568}"/>
    <cellStyle name="Normal 119 10" xfId="11680" xr:uid="{01E007ED-78D6-4C71-9072-E1142687B749}"/>
    <cellStyle name="Normal 119 10 2" xfId="15885" xr:uid="{E73221B2-C765-4808-BFC5-0FC0908E47A6}"/>
    <cellStyle name="Normal 119 11" xfId="11689" xr:uid="{76CE0DAF-3067-40CF-850A-BBA30300BE8C}"/>
    <cellStyle name="Normal 119 11 2" xfId="15893" xr:uid="{5AF73036-DA3A-4776-85A8-009C965FB362}"/>
    <cellStyle name="Normal 119 12" xfId="11716" xr:uid="{6695FCC1-0439-4F9A-A7E0-BF8FF80B99DD}"/>
    <cellStyle name="Normal 119 12 2" xfId="15920" xr:uid="{1DAAA81F-CB84-463A-9DC0-54930CF3A1D5}"/>
    <cellStyle name="Normal 119 13" xfId="11742" xr:uid="{7A11DDB4-AC5B-49B7-B2E0-1A8A9CAA672D}"/>
    <cellStyle name="Normal 119 13 2" xfId="15943" xr:uid="{C05D9239-B126-4107-AD82-774EC1048E2D}"/>
    <cellStyle name="Normal 119 14" xfId="11767" xr:uid="{7E1EC310-E211-46BE-AF3F-755AFDABFA5A}"/>
    <cellStyle name="Normal 119 14 2" xfId="15968" xr:uid="{E5F81ACE-EED0-4A2A-9C8F-A52DE08D8777}"/>
    <cellStyle name="Normal 119 15" xfId="11949" xr:uid="{5F341002-0D6E-4586-A679-C06C33D61D70}"/>
    <cellStyle name="Normal 119 2" xfId="7830" xr:uid="{1AD130F2-0E61-4FAB-9AC2-40BA459DDB52}"/>
    <cellStyle name="Normal 119 2 2" xfId="8200" xr:uid="{4C845342-3521-47A3-8444-83F6C6B7CA7C}"/>
    <cellStyle name="Normal 119 2 2 2" xfId="8870" xr:uid="{A10E334F-DC41-4709-8B80-9D8A22961D31}"/>
    <cellStyle name="Normal 119 2 2 2 2" xfId="10939" xr:uid="{1059495C-21FE-4860-B458-F84C80CB17E6}"/>
    <cellStyle name="Normal 119 2 2 2 2 2" xfId="15145" xr:uid="{C5249EDF-EF36-467D-8606-34AAAFCF4DF7}"/>
    <cellStyle name="Normal 119 2 2 2 3" xfId="13116" xr:uid="{B2DAA49A-D2E1-4588-9365-9472165750E1}"/>
    <cellStyle name="Normal 119 2 2 3" xfId="10269" xr:uid="{CEAB5A17-9DA6-407B-A536-CB1888DCAA9D}"/>
    <cellStyle name="Normal 119 2 2 3 2" xfId="14475" xr:uid="{43A16A9F-6DB5-4B67-9AD1-A75CF6A59D4C}"/>
    <cellStyle name="Normal 119 2 2 4" xfId="12446" xr:uid="{1DE57473-78DA-4DF2-9316-4D4301FABE84}"/>
    <cellStyle name="Normal 119 2 3" xfId="8536" xr:uid="{000EDD49-FAB6-4F21-9DF3-26A5ACBF29C0}"/>
    <cellStyle name="Normal 119 2 3 2" xfId="10605" xr:uid="{6CD13CC7-8F3E-4F8A-A98D-611FEB3834A3}"/>
    <cellStyle name="Normal 119 2 3 2 2" xfId="14811" xr:uid="{0E135408-FB60-421E-8530-C6C7EF1F5784}"/>
    <cellStyle name="Normal 119 2 3 3" xfId="12782" xr:uid="{916EB56A-4975-45DE-A795-C73505397F6D}"/>
    <cellStyle name="Normal 119 2 4" xfId="9209" xr:uid="{ED2CC057-6810-44C8-A621-896BCB222A14}"/>
    <cellStyle name="Normal 119 2 4 2" xfId="11278" xr:uid="{4DDFCDA5-752E-4525-B619-9A21BBAA131E}"/>
    <cellStyle name="Normal 119 2 4 2 2" xfId="15484" xr:uid="{2E44109E-3CE3-4C68-997F-C6B8E98A31D2}"/>
    <cellStyle name="Normal 119 2 4 3" xfId="13455" xr:uid="{5C1B256E-840D-47D0-851B-58C14A40F435}"/>
    <cellStyle name="Normal 119 2 5" xfId="9577" xr:uid="{3336CCFC-D8A6-4C94-8421-6A566732CF7E}"/>
    <cellStyle name="Normal 119 2 5 2" xfId="11611" xr:uid="{AF2FC874-83AF-438C-B302-BD7A0F4CC6C0}"/>
    <cellStyle name="Normal 119 2 5 2 2" xfId="15817" xr:uid="{A3276899-EB80-4F9D-BC69-235BC72FB199}"/>
    <cellStyle name="Normal 119 2 5 3" xfId="13788" xr:uid="{5A8056AB-C3D6-4A34-87A8-D7CDC79695B4}"/>
    <cellStyle name="Normal 119 2 6" xfId="9935" xr:uid="{4B75DEC4-BE23-4138-8820-55ABEC874A67}"/>
    <cellStyle name="Normal 119 2 6 2" xfId="14141" xr:uid="{33EF80F9-12C6-42AE-A62A-2F22AB587964}"/>
    <cellStyle name="Normal 119 2 7" xfId="12112" xr:uid="{5D49F476-79E4-4560-B8AD-94377B1D0E68}"/>
    <cellStyle name="Normal 119 3" xfId="8037" xr:uid="{026E4CA0-7C64-4DF8-9DBB-7C7BC2565028}"/>
    <cellStyle name="Normal 119 3 2" xfId="8707" xr:uid="{C72CA84B-99DE-4326-8C63-A6AE7E40FACF}"/>
    <cellStyle name="Normal 119 3 2 2" xfId="10776" xr:uid="{C0CBC516-E748-4EBE-A527-7243E60769F8}"/>
    <cellStyle name="Normal 119 3 2 2 2" xfId="14982" xr:uid="{60DD8721-0DBF-46FA-A348-2083C5BA0404}"/>
    <cellStyle name="Normal 119 3 2 3" xfId="12953" xr:uid="{ABE122C5-8AC0-4A91-9175-51D4722DDF13}"/>
    <cellStyle name="Normal 119 3 3" xfId="10106" xr:uid="{DB76033A-F2DE-4038-AB06-4902FDD0209E}"/>
    <cellStyle name="Normal 119 3 3 2" xfId="14312" xr:uid="{0F543909-D32C-429C-ABFC-E5B21B84FF87}"/>
    <cellStyle name="Normal 119 3 4" xfId="12283" xr:uid="{A9D3100B-D4F3-4019-B036-8E3BB248DFF0}"/>
    <cellStyle name="Normal 119 4" xfId="8373" xr:uid="{AD303094-1432-421D-8C13-C8009B0310B1}"/>
    <cellStyle name="Normal 119 4 2" xfId="10442" xr:uid="{376D367C-9B5B-487B-A024-EB4800260630}"/>
    <cellStyle name="Normal 119 4 2 2" xfId="14648" xr:uid="{0B842841-0AD6-49D1-A6FE-3A4B42FE929F}"/>
    <cellStyle name="Normal 119 4 3" xfId="12619" xr:uid="{68D6C88A-8391-4FEA-99E4-14224F9FCB60}"/>
    <cellStyle name="Normal 119 5" xfId="9046" xr:uid="{2EB8A2FB-3324-40B4-883B-CC38083E435D}"/>
    <cellStyle name="Normal 119 5 2" xfId="11115" xr:uid="{8407E95B-91F5-4045-8C80-13B3780BB186}"/>
    <cellStyle name="Normal 119 5 2 2" xfId="15321" xr:uid="{F0E5FBAD-8CC0-492B-BAB1-64B82EDAA5E4}"/>
    <cellStyle name="Normal 119 5 3" xfId="13292" xr:uid="{A8D5D789-1D5F-4F6E-B79B-E9CB3945A51C}"/>
    <cellStyle name="Normal 119 6" xfId="9414" xr:uid="{2249AE82-2D24-4898-BEE2-4B3789511E9C}"/>
    <cellStyle name="Normal 119 6 2" xfId="11448" xr:uid="{D9CF0CFB-4F2F-4FCB-945C-93099465927A}"/>
    <cellStyle name="Normal 119 6 2 2" xfId="15654" xr:uid="{94063BDF-0F56-4874-8FC0-A5CEDD339FAA}"/>
    <cellStyle name="Normal 119 6 3" xfId="13625" xr:uid="{FE0C656C-A173-4792-B45B-009773370A23}"/>
    <cellStyle name="Normal 119 7" xfId="9639" xr:uid="{3D0DC279-1F8E-48AD-AA1C-3AB7B5D6B4FC}"/>
    <cellStyle name="Normal 119 7 2" xfId="13846" xr:uid="{93BFC546-EF23-4C37-8E69-A57E4B0F5AA3}"/>
    <cellStyle name="Normal 119 8" xfId="9772" xr:uid="{2C010DD6-7650-4778-A0E3-0D61BD3F453E}"/>
    <cellStyle name="Normal 119 8 2" xfId="13978" xr:uid="{22700914-2768-4C4C-B535-47FD446C7803}"/>
    <cellStyle name="Normal 119 9" xfId="11663" xr:uid="{0FF66681-3557-4942-A869-CC7189C0EC34}"/>
    <cellStyle name="Normal 119 9 2" xfId="15869" xr:uid="{95CE20E9-6A84-45BD-9384-D1A267CBA02F}"/>
    <cellStyle name="Normal 12" xfId="1033" xr:uid="{5620F652-2FDC-4166-8AF8-AE2928346016}"/>
    <cellStyle name="Normal 12 10" xfId="1034" xr:uid="{12F49C92-C7D6-4766-88A3-EA2E622652DD}"/>
    <cellStyle name="Normal 12 10 2" xfId="1035" xr:uid="{73C47B6F-A005-4D21-BD8F-D64BC10485CF}"/>
    <cellStyle name="Normal 12 10 2 2" xfId="1036" xr:uid="{0D59193F-ED45-4FC9-A1F5-209B45B889A2}"/>
    <cellStyle name="Normal 12 10 3" xfId="1037" xr:uid="{5D4FB795-FF5E-464E-8E31-64BAD27F8EF0}"/>
    <cellStyle name="Normal 12 11" xfId="1038" xr:uid="{902563BB-0269-4762-8EAF-59CFB5E665BF}"/>
    <cellStyle name="Normal 12 11 2" xfId="1039" xr:uid="{522097E4-47A9-4F41-AC6C-A18BE5B59F6E}"/>
    <cellStyle name="Normal 12 11 2 2" xfId="1040" xr:uid="{32178254-68E7-4CB7-8593-C8FFF0A4206B}"/>
    <cellStyle name="Normal 12 11 3" xfId="1041" xr:uid="{B4B54FA9-C52E-4E2C-BF7C-D3D16CDAA926}"/>
    <cellStyle name="Normal 12 12" xfId="1042" xr:uid="{0DDE6500-9F19-4B5D-8784-BC5B41994F13}"/>
    <cellStyle name="Normal 12 12 2" xfId="1043" xr:uid="{7FD4EFD8-65C4-4ED4-9173-4696FB843307}"/>
    <cellStyle name="Normal 12 13" xfId="1044" xr:uid="{316C47F5-E1ED-4139-AB40-CDD9ACEF38FA}"/>
    <cellStyle name="Normal 12 2" xfId="1045" xr:uid="{4180174A-C7E7-4F27-B4AF-422E9EF0041C}"/>
    <cellStyle name="Normal 12 2 10" xfId="1046" xr:uid="{7881195B-C285-4397-9199-42AA2383FBCE}"/>
    <cellStyle name="Normal 12 2 10 2" xfId="1047" xr:uid="{09CE545E-5674-4587-B2EC-1B50D991F6C2}"/>
    <cellStyle name="Normal 12 2 11" xfId="1048" xr:uid="{9EE704AA-89FA-44DF-91C1-DA47874F3460}"/>
    <cellStyle name="Normal 12 2 2" xfId="1049" xr:uid="{5B87331A-6C04-44C6-8E9D-70E8170D5CB9}"/>
    <cellStyle name="Normal 12 2 2 2" xfId="1050" xr:uid="{2B5B4BD9-8AF5-4EAB-8672-33E028F7D501}"/>
    <cellStyle name="Normal 12 2 2 2 2" xfId="1051" xr:uid="{1967AFEF-5FC4-4FDF-AE2B-E90BE396CC8D}"/>
    <cellStyle name="Normal 12 2 2 2 2 2" xfId="1052" xr:uid="{B4D92FC5-580A-4E47-B986-A0933EE11D1F}"/>
    <cellStyle name="Normal 12 2 2 2 2 2 2" xfId="1053" xr:uid="{79EE82E6-DBEC-4FE1-9363-AA8629C6E45C}"/>
    <cellStyle name="Normal 12 2 2 2 2 2 2 2" xfId="1054" xr:uid="{EB6211E6-11B0-4584-B1AD-845E7AAB1307}"/>
    <cellStyle name="Normal 12 2 2 2 2 2 3" xfId="1055" xr:uid="{24B18153-898F-4845-953C-D233098DEA8F}"/>
    <cellStyle name="Normal 12 2 2 2 2 3" xfId="1056" xr:uid="{1C70D8D8-8A5D-418A-97D5-4446696E7E29}"/>
    <cellStyle name="Normal 12 2 2 2 2 3 2" xfId="1057" xr:uid="{B4C553FC-25D6-4A2A-84A5-7B9B08693FF8}"/>
    <cellStyle name="Normal 12 2 2 2 2 3 2 2" xfId="1058" xr:uid="{57F1F97E-D429-4CB9-9772-6743355FF803}"/>
    <cellStyle name="Normal 12 2 2 2 2 3 3" xfId="1059" xr:uid="{FBCAD46A-0CDA-42AA-A7B8-25ACEFDAB50A}"/>
    <cellStyle name="Normal 12 2 2 2 2 4" xfId="1060" xr:uid="{B76AEB14-63CA-459E-9105-6FD44C1B10DC}"/>
    <cellStyle name="Normal 12 2 2 2 2 4 2" xfId="1061" xr:uid="{3A3A9EB0-869C-4486-83AF-01799DF2488A}"/>
    <cellStyle name="Normal 12 2 2 2 2 4 2 2" xfId="1062" xr:uid="{80D0944D-431D-4A9C-BCCA-4DF9B3C806C0}"/>
    <cellStyle name="Normal 12 2 2 2 2 4 3" xfId="1063" xr:uid="{050F7C12-7ABA-4FAB-B2FC-4CA277A2351E}"/>
    <cellStyle name="Normal 12 2 2 2 2 5" xfId="1064" xr:uid="{AC86ECAD-185A-414B-9E32-133275DBA27B}"/>
    <cellStyle name="Normal 12 2 2 2 2 5 2" xfId="1065" xr:uid="{FC71D703-C679-44E6-882B-E1B96A3A3E50}"/>
    <cellStyle name="Normal 12 2 2 2 2 6" xfId="1066" xr:uid="{2DEFD167-4FCA-4AB5-A439-A92C2D601FA5}"/>
    <cellStyle name="Normal 12 2 2 2 3" xfId="1067" xr:uid="{41365ACB-51DD-462E-BB56-26DE38415126}"/>
    <cellStyle name="Normal 12 2 2 2 3 2" xfId="1068" xr:uid="{20130C66-96F6-4376-9048-8BC116E8304F}"/>
    <cellStyle name="Normal 12 2 2 2 3 2 2" xfId="1069" xr:uid="{3CB5C53D-B986-4825-BC75-02D6B2A42B4D}"/>
    <cellStyle name="Normal 12 2 2 2 3 3" xfId="1070" xr:uid="{26E8E8C3-8CC0-4326-BC55-AEC591F881BD}"/>
    <cellStyle name="Normal 12 2 2 2 4" xfId="1071" xr:uid="{CBFE221F-669F-4B14-BE53-6CAE5AAAA623}"/>
    <cellStyle name="Normal 12 2 2 2 4 2" xfId="1072" xr:uid="{CD503CF8-E913-45CC-A1BD-4430D591F617}"/>
    <cellStyle name="Normal 12 2 2 2 4 2 2" xfId="1073" xr:uid="{24000D0E-0500-4320-B8EC-BF1B91CB8CE6}"/>
    <cellStyle name="Normal 12 2 2 2 4 3" xfId="1074" xr:uid="{559FC69C-652E-4728-940C-CF9756AB0712}"/>
    <cellStyle name="Normal 12 2 2 2 5" xfId="1075" xr:uid="{AAEC166B-8DC0-422D-B271-108A1E3BE272}"/>
    <cellStyle name="Normal 12 2 2 2 5 2" xfId="1076" xr:uid="{8095029F-5D05-4CFC-A90A-9DA57FDFEB11}"/>
    <cellStyle name="Normal 12 2 2 2 5 2 2" xfId="1077" xr:uid="{19925F2C-89CB-4316-9F6B-A212941DABAB}"/>
    <cellStyle name="Normal 12 2 2 2 5 3" xfId="1078" xr:uid="{E8362C82-019C-445B-A1E0-B4B80CAC0DD0}"/>
    <cellStyle name="Normal 12 2 2 2 6" xfId="1079" xr:uid="{D9A3B796-C4F7-4C43-89FF-4BBDF030684B}"/>
    <cellStyle name="Normal 12 2 2 2 6 2" xfId="1080" xr:uid="{B7BBA251-B46C-4C45-8C32-A04183A7E0B9}"/>
    <cellStyle name="Normal 12 2 2 2 7" xfId="1081" xr:uid="{F2FDACC9-AD77-4BC3-B98E-285E04DA911C}"/>
    <cellStyle name="Normal 12 2 2 3" xfId="1082" xr:uid="{619AB92D-B9D9-4D60-A440-D4A43C1D391A}"/>
    <cellStyle name="Normal 12 2 2 3 2" xfId="1083" xr:uid="{3FF47FF6-5041-4120-8F53-FF486C337B55}"/>
    <cellStyle name="Normal 12 2 2 3 2 2" xfId="1084" xr:uid="{08D6FDA1-DB01-4F64-9A18-6A16180A7B85}"/>
    <cellStyle name="Normal 12 2 2 3 2 2 2" xfId="1085" xr:uid="{99BAA5AF-7CF3-40DC-9D7D-90C6C192520C}"/>
    <cellStyle name="Normal 12 2 2 3 2 3" xfId="1086" xr:uid="{D37A4A73-538D-4991-84C8-17B56729CA64}"/>
    <cellStyle name="Normal 12 2 2 3 3" xfId="1087" xr:uid="{7DCBFC05-2134-457F-9A3C-635BBAB934F6}"/>
    <cellStyle name="Normal 12 2 2 3 3 2" xfId="1088" xr:uid="{3F3CA942-DF69-4E8B-B7AB-661CDA31AC18}"/>
    <cellStyle name="Normal 12 2 2 3 3 2 2" xfId="1089" xr:uid="{286F0DE0-5893-4097-8D90-31DE980AA992}"/>
    <cellStyle name="Normal 12 2 2 3 3 3" xfId="1090" xr:uid="{12FBA83D-7E2E-4D5A-9694-8AB7C2351162}"/>
    <cellStyle name="Normal 12 2 2 3 4" xfId="1091" xr:uid="{1AECE546-0E45-41D2-A02C-CDAE6ABDAD4C}"/>
    <cellStyle name="Normal 12 2 2 3 4 2" xfId="1092" xr:uid="{F8B2B004-DCD4-46E4-A348-8CDD0D341222}"/>
    <cellStyle name="Normal 12 2 2 3 4 2 2" xfId="1093" xr:uid="{5CC47D5D-A929-4261-8839-3FF04C2DF233}"/>
    <cellStyle name="Normal 12 2 2 3 4 3" xfId="1094" xr:uid="{1173C687-E708-447F-9ABF-728D6B69FFE1}"/>
    <cellStyle name="Normal 12 2 2 3 5" xfId="1095" xr:uid="{BC2B491F-B6D9-4CE5-B721-0EB31A972286}"/>
    <cellStyle name="Normal 12 2 2 3 5 2" xfId="1096" xr:uid="{7AEAF4F0-59C2-448B-BA3A-89AFAF6CA27C}"/>
    <cellStyle name="Normal 12 2 2 3 6" xfId="1097" xr:uid="{6C9F84FF-8BE8-4DD1-A1D5-42595D31A5C3}"/>
    <cellStyle name="Normal 12 2 2 4" xfId="1098" xr:uid="{7998138D-41E7-43F7-8A04-0300843328AD}"/>
    <cellStyle name="Normal 12 2 2 4 2" xfId="1099" xr:uid="{58D3D250-6ED5-4842-B1FD-3AB1954A534E}"/>
    <cellStyle name="Normal 12 2 2 4 2 2" xfId="1100" xr:uid="{0D6CC877-2FAD-40C5-8B96-4A84B2BB65E2}"/>
    <cellStyle name="Normal 12 2 2 4 3" xfId="1101" xr:uid="{FEA2F357-4AE1-4E25-A9BF-325F439F1B36}"/>
    <cellStyle name="Normal 12 2 2 5" xfId="1102" xr:uid="{011C1E0C-FD2C-4F49-AAC5-944B4B209985}"/>
    <cellStyle name="Normal 12 2 2 5 2" xfId="1103" xr:uid="{4BE74761-42FC-449A-83E4-B2AAEC919BB3}"/>
    <cellStyle name="Normal 12 2 2 5 2 2" xfId="1104" xr:uid="{6857402B-8005-47A8-A982-97236C6CF0F1}"/>
    <cellStyle name="Normal 12 2 2 5 3" xfId="1105" xr:uid="{F75C7FE8-B553-40DB-A3B6-105125BE3124}"/>
    <cellStyle name="Normal 12 2 2 6" xfId="1106" xr:uid="{B961C65A-FE77-4BCB-9C26-E1CE3F11F609}"/>
    <cellStyle name="Normal 12 2 2 6 2" xfId="1107" xr:uid="{66CFB391-6088-4DCF-85CE-FD50776CBB8A}"/>
    <cellStyle name="Normal 12 2 2 6 2 2" xfId="1108" xr:uid="{603CEE76-994B-465F-BCD2-BE6A1EB0952E}"/>
    <cellStyle name="Normal 12 2 2 6 3" xfId="1109" xr:uid="{9F7F95CD-0AB0-4C86-9B64-83D282AABAD2}"/>
    <cellStyle name="Normal 12 2 2 7" xfId="1110" xr:uid="{5D861961-3D6D-4142-9351-A558E3991129}"/>
    <cellStyle name="Normal 12 2 2 7 2" xfId="1111" xr:uid="{1DA670EE-14E5-4AC5-A121-6BF7DE57E1DC}"/>
    <cellStyle name="Normal 12 2 2 8" xfId="1112" xr:uid="{0992B947-700B-4635-ACAF-6D488E863CE9}"/>
    <cellStyle name="Normal 12 2 3" xfId="1113" xr:uid="{0F7F77BB-7B2B-4553-9BFC-EF833A15D529}"/>
    <cellStyle name="Normal 12 2 3 2" xfId="1114" xr:uid="{A2097F51-CF78-452A-8FC7-2D823AEB6F86}"/>
    <cellStyle name="Normal 12 2 3 2 2" xfId="1115" xr:uid="{051DAF8F-28B7-44CF-90B2-86C03C504008}"/>
    <cellStyle name="Normal 12 2 3 2 2 2" xfId="1116" xr:uid="{46E0472F-4BC9-4BE5-9498-F425E98F7932}"/>
    <cellStyle name="Normal 12 2 3 2 2 2 2" xfId="1117" xr:uid="{A8403978-5EC2-4409-82B1-DB02E2CFBAE8}"/>
    <cellStyle name="Normal 12 2 3 2 2 2 2 2" xfId="1118" xr:uid="{2D3CDEEC-FD3B-4C8C-A06A-9DCA8675ED35}"/>
    <cellStyle name="Normal 12 2 3 2 2 2 3" xfId="1119" xr:uid="{37552C6C-CEA9-4D4E-B91B-527DCB845F92}"/>
    <cellStyle name="Normal 12 2 3 2 2 3" xfId="1120" xr:uid="{DBDB247F-5A39-494B-859A-B0981EB46737}"/>
    <cellStyle name="Normal 12 2 3 2 2 3 2" xfId="1121" xr:uid="{7977FF89-DDB0-4B9E-B0F1-F9E59B558648}"/>
    <cellStyle name="Normal 12 2 3 2 2 3 2 2" xfId="1122" xr:uid="{BD5344B5-F10D-4F96-AA0E-443AE04B1418}"/>
    <cellStyle name="Normal 12 2 3 2 2 3 3" xfId="1123" xr:uid="{6311E6DB-E4C2-4DA3-8311-629F7A6475FB}"/>
    <cellStyle name="Normal 12 2 3 2 2 4" xfId="1124" xr:uid="{50F15873-F763-40DF-84E4-732259E3BBC0}"/>
    <cellStyle name="Normal 12 2 3 2 2 4 2" xfId="1125" xr:uid="{821E3C93-4003-437C-ACAA-A0D6D3F129D1}"/>
    <cellStyle name="Normal 12 2 3 2 2 4 2 2" xfId="1126" xr:uid="{74BAD23C-48E3-4504-A53F-BE85101DA427}"/>
    <cellStyle name="Normal 12 2 3 2 2 4 3" xfId="1127" xr:uid="{B4DA6709-1ABF-48A8-869C-BEC19958BA9F}"/>
    <cellStyle name="Normal 12 2 3 2 2 5" xfId="1128" xr:uid="{3D7491FC-250E-4341-A18E-FE542A282442}"/>
    <cellStyle name="Normal 12 2 3 2 2 5 2" xfId="1129" xr:uid="{04251C89-8323-428A-8298-6763EEF699EE}"/>
    <cellStyle name="Normal 12 2 3 2 2 6" xfId="1130" xr:uid="{D80A2306-8359-4170-BC22-3E10F9A59C8F}"/>
    <cellStyle name="Normal 12 2 3 2 3" xfId="1131" xr:uid="{BB569791-A36C-4C9C-8964-D2DB85F8406F}"/>
    <cellStyle name="Normal 12 2 3 2 3 2" xfId="1132" xr:uid="{7D2AA47E-F871-42F4-A709-7F97B17C634F}"/>
    <cellStyle name="Normal 12 2 3 2 3 2 2" xfId="1133" xr:uid="{D9819B98-F1EA-48BE-9328-17979552220A}"/>
    <cellStyle name="Normal 12 2 3 2 3 3" xfId="1134" xr:uid="{9251973F-111C-480C-8C9A-775DB66226BB}"/>
    <cellStyle name="Normal 12 2 3 2 4" xfId="1135" xr:uid="{80C6958E-979C-45E2-B6C9-74D235FB5994}"/>
    <cellStyle name="Normal 12 2 3 2 4 2" xfId="1136" xr:uid="{1543092A-416B-417F-AC04-BD286DF39984}"/>
    <cellStyle name="Normal 12 2 3 2 4 2 2" xfId="1137" xr:uid="{F30C6577-055F-4060-9ED6-75AC386D7181}"/>
    <cellStyle name="Normal 12 2 3 2 4 3" xfId="1138" xr:uid="{16C869CB-23D6-4BF3-8A31-61493F0F33A8}"/>
    <cellStyle name="Normal 12 2 3 2 5" xfId="1139" xr:uid="{7643EA50-4BF5-4099-B3A6-A96DDB8916B5}"/>
    <cellStyle name="Normal 12 2 3 2 5 2" xfId="1140" xr:uid="{D334A23F-ED9E-4680-8189-D80037844D41}"/>
    <cellStyle name="Normal 12 2 3 2 5 2 2" xfId="1141" xr:uid="{39E2523C-1141-4AAB-843D-E66AF9BB8899}"/>
    <cellStyle name="Normal 12 2 3 2 5 3" xfId="1142" xr:uid="{3449338B-EB3B-4B6D-8DD0-ACACF4658E67}"/>
    <cellStyle name="Normal 12 2 3 2 6" xfId="1143" xr:uid="{2B105920-B544-4501-87AD-8F1DF6B53FE6}"/>
    <cellStyle name="Normal 12 2 3 2 6 2" xfId="1144" xr:uid="{0E8DD481-8F95-469B-A436-BB1E85D36CC2}"/>
    <cellStyle name="Normal 12 2 3 2 7" xfId="1145" xr:uid="{FF04DA7C-CBA2-4FE4-8B90-9E39D69DCE97}"/>
    <cellStyle name="Normal 12 2 3 3" xfId="1146" xr:uid="{988B0344-7921-4F18-AF28-DA84A9B52187}"/>
    <cellStyle name="Normal 12 2 3 3 2" xfId="1147" xr:uid="{9255F3C4-9951-4E51-9783-FBFF5687AD72}"/>
    <cellStyle name="Normal 12 2 3 3 2 2" xfId="1148" xr:uid="{1E1686C4-9EA0-4FBC-9024-C39171CA6199}"/>
    <cellStyle name="Normal 12 2 3 3 2 2 2" xfId="1149" xr:uid="{148DB006-7FBA-4358-9871-EC370C672BAD}"/>
    <cellStyle name="Normal 12 2 3 3 2 3" xfId="1150" xr:uid="{FF456A1D-50F5-4C43-9CA1-79B8A44DEAB2}"/>
    <cellStyle name="Normal 12 2 3 3 3" xfId="1151" xr:uid="{E3B9EE05-F9F1-446E-8627-0F0ED059EA29}"/>
    <cellStyle name="Normal 12 2 3 3 3 2" xfId="1152" xr:uid="{C0C3D134-D463-4829-95EF-62D023932DDA}"/>
    <cellStyle name="Normal 12 2 3 3 3 2 2" xfId="1153" xr:uid="{5385A16A-F4FF-4039-A6C8-11ADDCFD9346}"/>
    <cellStyle name="Normal 12 2 3 3 3 3" xfId="1154" xr:uid="{5BE9C10B-3DF5-4C7D-87AC-DB8C2B0438BC}"/>
    <cellStyle name="Normal 12 2 3 3 4" xfId="1155" xr:uid="{46D2AAFA-42BE-441D-AF90-1EE4D1695D23}"/>
    <cellStyle name="Normal 12 2 3 3 4 2" xfId="1156" xr:uid="{29471EB5-4450-4E1F-9809-86DF2B93943F}"/>
    <cellStyle name="Normal 12 2 3 3 4 2 2" xfId="1157" xr:uid="{B18256AF-F69B-4BBB-A633-45810AADB8FA}"/>
    <cellStyle name="Normal 12 2 3 3 4 3" xfId="1158" xr:uid="{6BD0E7E6-877F-49F0-82F0-9BAC0502C01A}"/>
    <cellStyle name="Normal 12 2 3 3 5" xfId="1159" xr:uid="{D491FCCD-CDAF-430F-945E-B7781DD903F2}"/>
    <cellStyle name="Normal 12 2 3 3 5 2" xfId="1160" xr:uid="{F826FA78-D7DF-450E-B799-DF8EAA71AA68}"/>
    <cellStyle name="Normal 12 2 3 3 6" xfId="1161" xr:uid="{B869D241-EA57-43BA-8CCD-D4A3872ACC40}"/>
    <cellStyle name="Normal 12 2 3 4" xfId="1162" xr:uid="{05937AC3-B91D-448A-AFF6-7ED926005438}"/>
    <cellStyle name="Normal 12 2 3 4 2" xfId="1163" xr:uid="{E35AF207-D7DD-45C2-A950-19859FC58417}"/>
    <cellStyle name="Normal 12 2 3 4 2 2" xfId="1164" xr:uid="{549DAEB7-4F48-47AE-A3E9-5799B40BC0E6}"/>
    <cellStyle name="Normal 12 2 3 4 3" xfId="1165" xr:uid="{9B5B5ECE-9683-4C54-9995-3CB3B6735444}"/>
    <cellStyle name="Normal 12 2 3 5" xfId="1166" xr:uid="{E6E7797A-8202-445D-BEB0-8B4C8AFD290A}"/>
    <cellStyle name="Normal 12 2 3 5 2" xfId="1167" xr:uid="{806CD88D-A52B-457A-9A21-01EAB2EDB3F4}"/>
    <cellStyle name="Normal 12 2 3 5 2 2" xfId="1168" xr:uid="{0668E6BD-84C9-4C03-A11D-D43BC335AB39}"/>
    <cellStyle name="Normal 12 2 3 5 3" xfId="1169" xr:uid="{BB56D958-D506-4A1C-8640-2E94596E431E}"/>
    <cellStyle name="Normal 12 2 3 6" xfId="1170" xr:uid="{F13225AD-BCF9-483C-B332-5B5A8696CCDB}"/>
    <cellStyle name="Normal 12 2 3 6 2" xfId="1171" xr:uid="{8E5FD39A-B9DB-4C59-9472-9A03998C5C0E}"/>
    <cellStyle name="Normal 12 2 3 6 2 2" xfId="1172" xr:uid="{B4A34733-D846-4B85-A94B-4F8E9EB56F10}"/>
    <cellStyle name="Normal 12 2 3 6 3" xfId="1173" xr:uid="{8D2C7E98-A5E2-45D6-93D1-179AD9BD4C5F}"/>
    <cellStyle name="Normal 12 2 3 7" xfId="1174" xr:uid="{E50AECFE-DC94-47DE-A290-A2B1751481B2}"/>
    <cellStyle name="Normal 12 2 3 7 2" xfId="1175" xr:uid="{E344C390-2B3C-4B92-8AD3-934A087FA292}"/>
    <cellStyle name="Normal 12 2 3 8" xfId="1176" xr:uid="{535631AB-9E03-4DD8-8BA7-4B94933BE0D1}"/>
    <cellStyle name="Normal 12 2 4" xfId="1177" xr:uid="{9E6F84BB-5386-4270-BBF5-8D62F2FC3163}"/>
    <cellStyle name="Normal 12 2 4 2" xfId="1178" xr:uid="{CA197773-05F5-4CCB-9D96-6B790908D721}"/>
    <cellStyle name="Normal 12 2 4 2 2" xfId="1179" xr:uid="{FCDC9615-10B3-4690-BACC-05F0320F03E2}"/>
    <cellStyle name="Normal 12 2 4 2 2 2" xfId="1180" xr:uid="{32537FFA-AF87-4C77-91CE-7C45893EEA75}"/>
    <cellStyle name="Normal 12 2 4 2 2 2 2" xfId="1181" xr:uid="{6AFD0207-691A-4DE4-8C99-4A80B30C209C}"/>
    <cellStyle name="Normal 12 2 4 2 2 3" xfId="1182" xr:uid="{544F2480-09DA-4E79-9B6D-3DC6B48A511B}"/>
    <cellStyle name="Normal 12 2 4 2 3" xfId="1183" xr:uid="{C8101BFD-31DB-4BEF-BAF8-2A5F7EE83BD0}"/>
    <cellStyle name="Normal 12 2 4 2 3 2" xfId="1184" xr:uid="{0896E7E0-4F0C-4F08-9D9D-2B328C321D84}"/>
    <cellStyle name="Normal 12 2 4 2 3 2 2" xfId="1185" xr:uid="{21B44553-DCBC-444C-BA2C-92AC60DE52FB}"/>
    <cellStyle name="Normal 12 2 4 2 3 3" xfId="1186" xr:uid="{8192CD15-C278-4DCA-8A2B-6D66FE9E06AD}"/>
    <cellStyle name="Normal 12 2 4 2 4" xfId="1187" xr:uid="{C153AD80-4B0A-4C09-A4E5-D0972AC2D30C}"/>
    <cellStyle name="Normal 12 2 4 2 4 2" xfId="1188" xr:uid="{2C0EBC4C-B5A1-4C2C-94A4-E9DDC2E82800}"/>
    <cellStyle name="Normal 12 2 4 2 4 2 2" xfId="1189" xr:uid="{41A9BA19-4782-4A3B-A8E6-29AB8979BF7E}"/>
    <cellStyle name="Normal 12 2 4 2 4 3" xfId="1190" xr:uid="{3A55F596-5FB2-4599-9D51-ABCE55583F03}"/>
    <cellStyle name="Normal 12 2 4 2 5" xfId="1191" xr:uid="{3FE104E0-31F7-44BF-BC89-C941606094EA}"/>
    <cellStyle name="Normal 12 2 4 2 5 2" xfId="1192" xr:uid="{F9A8559A-2D16-456C-BF26-46405DF3F841}"/>
    <cellStyle name="Normal 12 2 4 2 6" xfId="1193" xr:uid="{0D816C8F-588B-485D-BD49-1AB912BFBB60}"/>
    <cellStyle name="Normal 12 2 4 3" xfId="1194" xr:uid="{5BD95FF6-7823-4916-8317-A4D31110006A}"/>
    <cellStyle name="Normal 12 2 4 3 2" xfId="1195" xr:uid="{78A75BD1-7DBC-4FB3-B872-41E54601A7F1}"/>
    <cellStyle name="Normal 12 2 4 3 2 2" xfId="1196" xr:uid="{432DDE3E-8998-4809-8EFE-67C47F773A8F}"/>
    <cellStyle name="Normal 12 2 4 3 3" xfId="1197" xr:uid="{54B5E5F9-C675-4F95-B42D-97F9D5255C4D}"/>
    <cellStyle name="Normal 12 2 4 4" xfId="1198" xr:uid="{EF0E543C-B7C8-4480-8DDE-2286D29838ED}"/>
    <cellStyle name="Normal 12 2 4 4 2" xfId="1199" xr:uid="{BC81C8AF-3177-415B-9FF4-72D560BAB7CD}"/>
    <cellStyle name="Normal 12 2 4 4 2 2" xfId="1200" xr:uid="{36D406BB-D0D3-462B-A944-E554A1540777}"/>
    <cellStyle name="Normal 12 2 4 4 3" xfId="1201" xr:uid="{C81B2126-9393-44C7-9306-B15A884B8356}"/>
    <cellStyle name="Normal 12 2 4 5" xfId="1202" xr:uid="{7F16E5D7-8C5C-474B-9F70-B6A44C28A41A}"/>
    <cellStyle name="Normal 12 2 4 5 2" xfId="1203" xr:uid="{1BF1471B-EEDC-4316-A1E8-2809ECE3455F}"/>
    <cellStyle name="Normal 12 2 4 5 2 2" xfId="1204" xr:uid="{29105987-706F-4882-8BC3-236EA18F1263}"/>
    <cellStyle name="Normal 12 2 4 5 3" xfId="1205" xr:uid="{AFD918EE-26FE-4805-8A43-ED6162719EEF}"/>
    <cellStyle name="Normal 12 2 4 6" xfId="1206" xr:uid="{68402195-850E-4B70-80FF-9ED338028E76}"/>
    <cellStyle name="Normal 12 2 4 6 2" xfId="1207" xr:uid="{02B5BAF7-DA04-43A3-B96A-5C7F8CB292F9}"/>
    <cellStyle name="Normal 12 2 4 7" xfId="1208" xr:uid="{C0435E21-49A6-4193-A691-BA5306E68CEE}"/>
    <cellStyle name="Normal 12 2 5" xfId="1209" xr:uid="{FFC34EA1-7280-42DC-B3F1-22B2305DC2B2}"/>
    <cellStyle name="Normal 12 2 5 2" xfId="1210" xr:uid="{F17F6068-33BF-4763-A367-7A92CBD5CD1B}"/>
    <cellStyle name="Normal 12 2 5 2 2" xfId="1211" xr:uid="{487123F2-D9F3-4CE1-968B-341BBD155B71}"/>
    <cellStyle name="Normal 12 2 5 2 2 2" xfId="1212" xr:uid="{709F15E9-858B-40CA-8830-62CFAFEDA0B7}"/>
    <cellStyle name="Normal 12 2 5 2 3" xfId="1213" xr:uid="{EFB53868-1F93-4579-91B8-7F656949B78F}"/>
    <cellStyle name="Normal 12 2 5 3" xfId="1214" xr:uid="{7D49EB6B-4C72-4359-AC7C-3E78C309589A}"/>
    <cellStyle name="Normal 12 2 5 3 2" xfId="1215" xr:uid="{4958D5F1-CA2D-4DBD-B496-62C1011C381C}"/>
    <cellStyle name="Normal 12 2 5 3 2 2" xfId="1216" xr:uid="{E5685ED2-729A-4C53-8FCE-DC65FBE49A0A}"/>
    <cellStyle name="Normal 12 2 5 3 3" xfId="1217" xr:uid="{DEDA1A56-F68D-4E3A-AECB-1043C550F02D}"/>
    <cellStyle name="Normal 12 2 5 4" xfId="1218" xr:uid="{02125DA6-1A4E-4048-B84A-958DB5B611E0}"/>
    <cellStyle name="Normal 12 2 5 4 2" xfId="1219" xr:uid="{A4EA9E4F-4D41-4A92-8848-E1D81991DF53}"/>
    <cellStyle name="Normal 12 2 5 4 2 2" xfId="1220" xr:uid="{28E58C17-2C30-4CD6-B678-16918019CE3B}"/>
    <cellStyle name="Normal 12 2 5 4 3" xfId="1221" xr:uid="{7B7C8121-B1B0-41C9-8F49-E79AA83A5FBD}"/>
    <cellStyle name="Normal 12 2 5 5" xfId="1222" xr:uid="{662FF1D8-DB7F-4581-AB62-82D55254A6C0}"/>
    <cellStyle name="Normal 12 2 5 5 2" xfId="1223" xr:uid="{30B6AB5F-65F4-484C-B894-8B4A18A2BCCE}"/>
    <cellStyle name="Normal 12 2 5 6" xfId="1224" xr:uid="{C985428A-8104-44DE-BFAB-2FF8ECE43300}"/>
    <cellStyle name="Normal 12 2 6" xfId="1225" xr:uid="{028F7C25-310F-4FE2-9941-1D0F12011F1A}"/>
    <cellStyle name="Normal 12 2 6 2" xfId="1226" xr:uid="{83CF1AC3-F93B-4C93-AE3F-375F7DA2FE6F}"/>
    <cellStyle name="Normal 12 2 6 2 2" xfId="1227" xr:uid="{0C05D91D-4930-4207-A394-ECC263C54C7C}"/>
    <cellStyle name="Normal 12 2 6 3" xfId="1228" xr:uid="{4A188D2F-0EAE-4623-A88E-5E1C075B256B}"/>
    <cellStyle name="Normal 12 2 7" xfId="1229" xr:uid="{82217716-19BB-49B5-ADE5-4CD9A550EDE0}"/>
    <cellStyle name="Normal 12 2 7 2" xfId="1230" xr:uid="{790C5E50-2BC0-47B6-8432-80BCAC05AD86}"/>
    <cellStyle name="Normal 12 2 7 2 2" xfId="1231" xr:uid="{0145B49D-7209-4208-9CF5-83336D97374F}"/>
    <cellStyle name="Normal 12 2 7 3" xfId="1232" xr:uid="{165A352C-DE19-41E4-A792-3277EA80A677}"/>
    <cellStyle name="Normal 12 2 8" xfId="1233" xr:uid="{E008AF7F-3302-4AF1-99B2-41C4AF85E34D}"/>
    <cellStyle name="Normal 12 2 8 2" xfId="1234" xr:uid="{BEB6EB57-96AA-4689-B6C7-AD85A1322DEF}"/>
    <cellStyle name="Normal 12 2 8 2 2" xfId="1235" xr:uid="{CC8DC7C8-55BB-4CAF-96B3-326C529D7233}"/>
    <cellStyle name="Normal 12 2 8 3" xfId="1236" xr:uid="{0F181F6D-C2AF-4AF1-AF93-9C8BC01BE819}"/>
    <cellStyle name="Normal 12 2 9" xfId="1237" xr:uid="{32A80912-56A0-4FBB-86D8-2D8B136DCB55}"/>
    <cellStyle name="Normal 12 2 9 2" xfId="1238" xr:uid="{CF8FF3AF-D26B-4222-89AB-3BADC070919E}"/>
    <cellStyle name="Normal 12 2 9 2 2" xfId="1239" xr:uid="{480AE9BE-F659-4B64-8D8B-E831E30DD305}"/>
    <cellStyle name="Normal 12 2 9 3" xfId="1240" xr:uid="{7B5D6106-02D9-480D-B70D-45896EEBC3D3}"/>
    <cellStyle name="Normal 12 3" xfId="1241" xr:uid="{52C56CEB-D799-405C-9101-06B444A1BEA9}"/>
    <cellStyle name="Normal 12 3 2" xfId="1242" xr:uid="{D77150BC-E174-487E-8CD5-C7D9CD3F6DD1}"/>
    <cellStyle name="Normal 12 3 2 2" xfId="1243" xr:uid="{8883E1BA-3A6E-4A80-B7A9-215649C6F121}"/>
    <cellStyle name="Normal 12 3 2 2 2" xfId="1244" xr:uid="{78218173-5273-4DC6-8D4E-F7CA018313DE}"/>
    <cellStyle name="Normal 12 3 2 2 2 2" xfId="1245" xr:uid="{9C5FA3CD-92F0-4AF7-A638-B79CB843F46B}"/>
    <cellStyle name="Normal 12 3 2 2 2 2 2" xfId="1246" xr:uid="{E43D59B3-FEFA-4C2B-BAA3-7202197851DE}"/>
    <cellStyle name="Normal 12 3 2 2 2 3" xfId="1247" xr:uid="{6DD42261-FB5A-454B-8FAA-F021325C877D}"/>
    <cellStyle name="Normal 12 3 2 2 3" xfId="1248" xr:uid="{51467C12-1594-4209-A7B8-591EBAEAA018}"/>
    <cellStyle name="Normal 12 3 2 2 3 2" xfId="1249" xr:uid="{8F145906-C6AE-46B9-B58A-8C97317C0B03}"/>
    <cellStyle name="Normal 12 3 2 2 3 2 2" xfId="1250" xr:uid="{3A64BD27-D101-4DF3-B856-6ED3B0EC4246}"/>
    <cellStyle name="Normal 12 3 2 2 3 3" xfId="1251" xr:uid="{0CB2A6DA-7729-4DDE-A56F-BBEAC9E15BF9}"/>
    <cellStyle name="Normal 12 3 2 2 4" xfId="1252" xr:uid="{95F374C3-753B-413F-B1F7-AF2A21C7DA98}"/>
    <cellStyle name="Normal 12 3 2 2 4 2" xfId="1253" xr:uid="{C810E8D8-8F31-452A-8E39-F43F87C985E4}"/>
    <cellStyle name="Normal 12 3 2 2 4 2 2" xfId="1254" xr:uid="{6AFFAE5D-6D42-4C54-8FF9-8F1496058F05}"/>
    <cellStyle name="Normal 12 3 2 2 4 3" xfId="1255" xr:uid="{F701BA67-82C2-44EC-9406-A178C5EFF174}"/>
    <cellStyle name="Normal 12 3 2 2 5" xfId="1256" xr:uid="{E98BEA7E-8EC2-434F-BD61-DA36EE63F0A7}"/>
    <cellStyle name="Normal 12 3 2 2 5 2" xfId="1257" xr:uid="{D22791E4-B977-46E7-8425-E92207A4329C}"/>
    <cellStyle name="Normal 12 3 2 2 6" xfId="1258" xr:uid="{A5185882-6893-4446-A6C5-EBA483B8547D}"/>
    <cellStyle name="Normal 12 3 2 3" xfId="1259" xr:uid="{13BCEFEB-4235-47EF-9B5D-0C129C0D0F63}"/>
    <cellStyle name="Normal 12 3 2 3 2" xfId="1260" xr:uid="{EE837FA0-859C-447F-AE2D-D8391770493D}"/>
    <cellStyle name="Normal 12 3 2 3 2 2" xfId="1261" xr:uid="{E51FEC68-4C4A-460F-AF06-6AE1ED253E54}"/>
    <cellStyle name="Normal 12 3 2 3 3" xfId="1262" xr:uid="{D36F02EB-2D42-487B-9742-9DADD88DCF00}"/>
    <cellStyle name="Normal 12 3 2 4" xfId="1263" xr:uid="{F678D4A7-D07E-4501-A159-A5639C8D4F1A}"/>
    <cellStyle name="Normal 12 3 2 4 2" xfId="1264" xr:uid="{86E18142-5E0D-494F-97ED-E721A248FDE6}"/>
    <cellStyle name="Normal 12 3 2 4 2 2" xfId="1265" xr:uid="{9EE5DBB0-468D-4488-9518-4795C19FF1D4}"/>
    <cellStyle name="Normal 12 3 2 4 3" xfId="1266" xr:uid="{3414F88E-2F3C-45D6-A6A6-8D4EEDE0547A}"/>
    <cellStyle name="Normal 12 3 2 5" xfId="1267" xr:uid="{0B95F261-077D-4010-B557-2ADDF6E23A28}"/>
    <cellStyle name="Normal 12 3 2 5 2" xfId="1268" xr:uid="{0106FBF5-79C6-4051-96FB-BAB075EC5B66}"/>
    <cellStyle name="Normal 12 3 2 5 2 2" xfId="1269" xr:uid="{0B407763-02AA-42B3-9937-DE7A4CF28354}"/>
    <cellStyle name="Normal 12 3 2 5 3" xfId="1270" xr:uid="{6BF8B42E-3F0F-4F5B-91E5-19391B55AA32}"/>
    <cellStyle name="Normal 12 3 2 6" xfId="1271" xr:uid="{BA9580FB-8AA4-43F7-9FE5-D1C17CDBDA98}"/>
    <cellStyle name="Normal 12 3 2 6 2" xfId="1272" xr:uid="{A785317F-3DBE-4076-8E88-8F26B556A2FC}"/>
    <cellStyle name="Normal 12 3 2 7" xfId="1273" xr:uid="{40085BB8-FE77-4DE4-A1EB-F76B607D1688}"/>
    <cellStyle name="Normal 12 3 3" xfId="1274" xr:uid="{8ACC982D-1452-4DF1-93BE-A7123DE40CC2}"/>
    <cellStyle name="Normal 12 3 3 2" xfId="1275" xr:uid="{B0E6ED17-5245-42E3-9C5F-4B8130F3CF73}"/>
    <cellStyle name="Normal 12 3 3 2 2" xfId="1276" xr:uid="{D48C6E6E-8790-4A9A-B12A-338C0E31B024}"/>
    <cellStyle name="Normal 12 3 3 2 2 2" xfId="1277" xr:uid="{E5F86DF1-5D39-434D-950C-BC217887B4D9}"/>
    <cellStyle name="Normal 12 3 3 2 3" xfId="1278" xr:uid="{10882C01-862B-46A0-9CEC-2ADA86FBD824}"/>
    <cellStyle name="Normal 12 3 3 3" xfId="1279" xr:uid="{39F42ACE-7BA6-465D-BD68-231383F661E0}"/>
    <cellStyle name="Normal 12 3 3 3 2" xfId="1280" xr:uid="{76DAB692-B254-4747-87B7-A0E96F5559D1}"/>
    <cellStyle name="Normal 12 3 3 3 2 2" xfId="1281" xr:uid="{343759FE-EEF8-4990-B364-783B57BD1F76}"/>
    <cellStyle name="Normal 12 3 3 3 3" xfId="1282" xr:uid="{792EB425-AE50-4A7F-BB09-77EFF75B2BB6}"/>
    <cellStyle name="Normal 12 3 3 4" xfId="1283" xr:uid="{74D7B3F1-A73C-4A43-B3B1-D94E34F009D1}"/>
    <cellStyle name="Normal 12 3 3 4 2" xfId="1284" xr:uid="{B749B384-DDDF-486F-AD17-9D825D1B7557}"/>
    <cellStyle name="Normal 12 3 3 4 2 2" xfId="1285" xr:uid="{5047548F-96EF-40CA-A4C1-3460EA310F7C}"/>
    <cellStyle name="Normal 12 3 3 4 3" xfId="1286" xr:uid="{C8120F98-4783-44F6-953F-1BC10F05C869}"/>
    <cellStyle name="Normal 12 3 3 5" xfId="1287" xr:uid="{C3C9E89B-83E4-4C34-9F59-D601A27AAB81}"/>
    <cellStyle name="Normal 12 3 3 5 2" xfId="1288" xr:uid="{D900EC1A-CAEE-425F-ACE9-90107A028F63}"/>
    <cellStyle name="Normal 12 3 3 6" xfId="1289" xr:uid="{8213227C-CC16-4E8B-BD56-19CC2DA10551}"/>
    <cellStyle name="Normal 12 3 4" xfId="1290" xr:uid="{5C37B9F8-31B9-42EC-8F4F-904A4AD75565}"/>
    <cellStyle name="Normal 12 3 4 2" xfId="1291" xr:uid="{981F08B2-4862-4618-ACBD-621DC7183C21}"/>
    <cellStyle name="Normal 12 3 4 2 2" xfId="1292" xr:uid="{02DC7D40-B49F-4D5F-B114-C2A423610F09}"/>
    <cellStyle name="Normal 12 3 4 3" xfId="1293" xr:uid="{188B1248-0948-4650-BE61-BECA643281BD}"/>
    <cellStyle name="Normal 12 3 5" xfId="1294" xr:uid="{CBF2F4D7-242C-4CE9-A2A9-B15E7385F49C}"/>
    <cellStyle name="Normal 12 3 5 2" xfId="1295" xr:uid="{70371E0F-ACAB-479A-8483-47FADC320EC6}"/>
    <cellStyle name="Normal 12 3 5 2 2" xfId="1296" xr:uid="{708086C6-1110-455A-AB12-47F25BE1CE84}"/>
    <cellStyle name="Normal 12 3 5 3" xfId="1297" xr:uid="{84F578DF-BC52-43EC-AB7F-EDF2E5E8B6D4}"/>
    <cellStyle name="Normal 12 3 6" xfId="1298" xr:uid="{B6C2509C-2289-42B8-BEA8-7E4B8291800C}"/>
    <cellStyle name="Normal 12 3 6 2" xfId="1299" xr:uid="{A644B6BA-C0AF-4BBB-BEA7-607CBBBB18FE}"/>
    <cellStyle name="Normal 12 3 6 2 2" xfId="1300" xr:uid="{781A0027-DD3E-45E4-A936-66606BC586BF}"/>
    <cellStyle name="Normal 12 3 6 3" xfId="1301" xr:uid="{2C5AD743-2020-469B-BB31-E15116F5D7BB}"/>
    <cellStyle name="Normal 12 3 7" xfId="1302" xr:uid="{1326AB12-3A44-48F5-AF27-5D96B4B595A8}"/>
    <cellStyle name="Normal 12 3 7 2" xfId="1303" xr:uid="{95664796-A22E-4425-BB54-690524F5A79A}"/>
    <cellStyle name="Normal 12 3 8" xfId="1304" xr:uid="{736EC9AD-2D2D-47B4-8C70-622FEAC9AC6C}"/>
    <cellStyle name="Normal 12 4" xfId="1305" xr:uid="{9ACE431B-2504-4BE8-8AB1-EA5D1CE31E0F}"/>
    <cellStyle name="Normal 12 4 2" xfId="1306" xr:uid="{332D0ACD-4DFD-43DD-B55B-7532F098DD4D}"/>
    <cellStyle name="Normal 12 4 2 2" xfId="1307" xr:uid="{829C7001-1583-4DFB-8372-7055BB93F3B3}"/>
    <cellStyle name="Normal 12 4 2 2 2" xfId="1308" xr:uid="{CAE5B94B-8676-462B-9D1C-75CA17E83EE5}"/>
    <cellStyle name="Normal 12 4 2 2 2 2" xfId="1309" xr:uid="{6C6D6535-F324-424C-ADFC-7070A55FEA0E}"/>
    <cellStyle name="Normal 12 4 2 2 2 2 2" xfId="1310" xr:uid="{2A63EBF2-883F-4E39-B9FE-D4C23AC56466}"/>
    <cellStyle name="Normal 12 4 2 2 2 3" xfId="1311" xr:uid="{79E5B99C-BFBE-47E8-B55D-BF14720AE952}"/>
    <cellStyle name="Normal 12 4 2 2 3" xfId="1312" xr:uid="{1264E457-100D-4026-BA0F-1F5804AC1B4A}"/>
    <cellStyle name="Normal 12 4 2 2 3 2" xfId="1313" xr:uid="{F9958F57-38AE-4715-A18B-8CFB3C58F001}"/>
    <cellStyle name="Normal 12 4 2 2 3 2 2" xfId="1314" xr:uid="{723C218E-A1AF-4A09-9443-C8A57D8CB19E}"/>
    <cellStyle name="Normal 12 4 2 2 3 3" xfId="1315" xr:uid="{58884D99-0095-4691-808C-A558C450FAB3}"/>
    <cellStyle name="Normal 12 4 2 2 4" xfId="1316" xr:uid="{E5FD32AA-707F-409E-AEAD-96226ECAD9CB}"/>
    <cellStyle name="Normal 12 4 2 2 4 2" xfId="1317" xr:uid="{D42D2ADF-C6F6-4B98-8E16-7C346F36516D}"/>
    <cellStyle name="Normal 12 4 2 2 4 2 2" xfId="1318" xr:uid="{81A4D0D4-DDA2-4C6A-B7CB-0DE57B9D31BF}"/>
    <cellStyle name="Normal 12 4 2 2 4 3" xfId="1319" xr:uid="{3960EE96-50D5-45B7-ABEC-61770519EF53}"/>
    <cellStyle name="Normal 12 4 2 2 5" xfId="1320" xr:uid="{644B8115-5D74-4DAF-8E14-B589D48AEF8B}"/>
    <cellStyle name="Normal 12 4 2 2 5 2" xfId="1321" xr:uid="{92C9CA96-EED9-4126-8C91-FD3B80B378D7}"/>
    <cellStyle name="Normal 12 4 2 2 6" xfId="1322" xr:uid="{7A382EAE-53C8-416E-A347-C959234785F3}"/>
    <cellStyle name="Normal 12 4 2 3" xfId="1323" xr:uid="{DB97A0BE-A0D1-4477-BC45-DE9BE767296B}"/>
    <cellStyle name="Normal 12 4 2 3 2" xfId="1324" xr:uid="{93F71EDA-4F6C-415D-9CF1-693A5529F7FD}"/>
    <cellStyle name="Normal 12 4 2 3 2 2" xfId="1325" xr:uid="{40B4D087-C409-40F7-8550-1E359735E53D}"/>
    <cellStyle name="Normal 12 4 2 3 3" xfId="1326" xr:uid="{90062A8D-4224-4DAD-87E1-1ABB86E3A7AD}"/>
    <cellStyle name="Normal 12 4 2 4" xfId="1327" xr:uid="{3C693144-35D6-4618-A4D5-B1FBBFB2752C}"/>
    <cellStyle name="Normal 12 4 2 4 2" xfId="1328" xr:uid="{9A20F24D-EC33-4001-8937-AE7179A93629}"/>
    <cellStyle name="Normal 12 4 2 4 2 2" xfId="1329" xr:uid="{299EA863-2448-4B05-82C7-3FBDB891D851}"/>
    <cellStyle name="Normal 12 4 2 4 3" xfId="1330" xr:uid="{88FE399D-9B7B-411E-99D2-A433D4151808}"/>
    <cellStyle name="Normal 12 4 2 5" xfId="1331" xr:uid="{8ABD66C4-FAFA-4414-9CA9-F1ECBF108F49}"/>
    <cellStyle name="Normal 12 4 2 5 2" xfId="1332" xr:uid="{E1EE0C67-48CB-4E13-80C3-52AD6797453C}"/>
    <cellStyle name="Normal 12 4 2 5 2 2" xfId="1333" xr:uid="{C2E5E8DD-B12A-4ECA-913C-0224C9413A29}"/>
    <cellStyle name="Normal 12 4 2 5 3" xfId="1334" xr:uid="{DF40539E-C861-4AAF-81B7-D0923ECC13A3}"/>
    <cellStyle name="Normal 12 4 2 6" xfId="1335" xr:uid="{92696B1C-1D0E-44CB-8A8F-0B5FAC04F2D1}"/>
    <cellStyle name="Normal 12 4 2 6 2" xfId="1336" xr:uid="{075AB027-A909-4094-85A9-F2C563D4965E}"/>
    <cellStyle name="Normal 12 4 2 7" xfId="1337" xr:uid="{5C416A3C-6941-4DDF-AF94-13AF82460814}"/>
    <cellStyle name="Normal 12 4 3" xfId="1338" xr:uid="{9CA4A00B-6D60-43B3-B4AC-A3A114045D11}"/>
    <cellStyle name="Normal 12 4 3 2" xfId="1339" xr:uid="{A2713A14-1E7E-4598-A4C5-36205681A6F5}"/>
    <cellStyle name="Normal 12 4 3 2 2" xfId="1340" xr:uid="{641E72D9-9393-4D44-823F-ED3D5B9F7056}"/>
    <cellStyle name="Normal 12 4 3 2 2 2" xfId="1341" xr:uid="{AE402FEF-6295-4A58-9B4A-CBDC0D0A246B}"/>
    <cellStyle name="Normal 12 4 3 2 3" xfId="1342" xr:uid="{4397BBAB-E1E4-4973-8B9F-7442208B3DAA}"/>
    <cellStyle name="Normal 12 4 3 3" xfId="1343" xr:uid="{5A82EF79-A77E-4BC7-A199-D00B7681A19F}"/>
    <cellStyle name="Normal 12 4 3 3 2" xfId="1344" xr:uid="{DEB817BD-731A-430B-BDFF-42EFF908BC8F}"/>
    <cellStyle name="Normal 12 4 3 3 2 2" xfId="1345" xr:uid="{81CABD52-1E38-4FCA-B30F-FE79BD7F5854}"/>
    <cellStyle name="Normal 12 4 3 3 3" xfId="1346" xr:uid="{0AF7616A-5F2A-475D-922B-E08D1D48F89B}"/>
    <cellStyle name="Normal 12 4 3 4" xfId="1347" xr:uid="{65DE044B-F8E6-4AF8-8731-02AD89A02C0F}"/>
    <cellStyle name="Normal 12 4 3 4 2" xfId="1348" xr:uid="{A1D1857E-FA47-43BA-80BC-BF812FD8637C}"/>
    <cellStyle name="Normal 12 4 3 4 2 2" xfId="1349" xr:uid="{43F9AF0F-D14E-424F-8144-38C159A8D5C3}"/>
    <cellStyle name="Normal 12 4 3 4 3" xfId="1350" xr:uid="{B95A66D4-1307-43EF-90EC-E7A6EE11246A}"/>
    <cellStyle name="Normal 12 4 3 5" xfId="1351" xr:uid="{630184C5-3ED0-4BB7-B28C-CF4A7FC861E0}"/>
    <cellStyle name="Normal 12 4 3 5 2" xfId="1352" xr:uid="{1C4EB10D-352E-4CC5-96A5-268BFACC3D79}"/>
    <cellStyle name="Normal 12 4 3 6" xfId="1353" xr:uid="{93BC2697-F3A9-41F0-8F9C-C2AC79B3C2D9}"/>
    <cellStyle name="Normal 12 4 4" xfId="1354" xr:uid="{7D1F7AC2-8128-4CC1-B78C-CEFDA06A8963}"/>
    <cellStyle name="Normal 12 4 4 2" xfId="1355" xr:uid="{92BF7350-4C57-4FB8-B56A-EAC66BBDB608}"/>
    <cellStyle name="Normal 12 4 4 2 2" xfId="1356" xr:uid="{8EB9D95A-9C00-4225-8A0D-D638327AF96E}"/>
    <cellStyle name="Normal 12 4 4 3" xfId="1357" xr:uid="{9A15732E-5952-4E1F-869E-86724EFF39AD}"/>
    <cellStyle name="Normal 12 4 5" xfId="1358" xr:uid="{7EDE6C1D-D2FB-4174-B5D7-45F211D0CF67}"/>
    <cellStyle name="Normal 12 4 5 2" xfId="1359" xr:uid="{A885818E-8EBD-44E2-B53F-DCF1B7EFFC15}"/>
    <cellStyle name="Normal 12 4 5 2 2" xfId="1360" xr:uid="{BE69FC60-17EE-459B-953D-BCBC09C2A13B}"/>
    <cellStyle name="Normal 12 4 5 3" xfId="1361" xr:uid="{3FCAD9EE-ECA1-42BE-B1E1-BF8C26C7AC90}"/>
    <cellStyle name="Normal 12 4 6" xfId="1362" xr:uid="{B1D36795-B69C-4628-AF5A-9FD308363C09}"/>
    <cellStyle name="Normal 12 4 6 2" xfId="1363" xr:uid="{F1C9245A-1966-462A-87D7-55E688E3D936}"/>
    <cellStyle name="Normal 12 4 6 2 2" xfId="1364" xr:uid="{6413310D-78B2-4533-A9F3-4902C4F714B9}"/>
    <cellStyle name="Normal 12 4 6 3" xfId="1365" xr:uid="{2239E18C-FA95-4E7C-958C-97442BE351A2}"/>
    <cellStyle name="Normal 12 4 7" xfId="1366" xr:uid="{0943D425-BFA9-4E7F-86F5-1ECE0E00B159}"/>
    <cellStyle name="Normal 12 4 7 2" xfId="1367" xr:uid="{6CBC727F-9B81-42A2-916E-53D99BDFE644}"/>
    <cellStyle name="Normal 12 4 8" xfId="1368" xr:uid="{E0296924-B41A-49FE-A053-95BE18A0D08C}"/>
    <cellStyle name="Normal 12 5" xfId="1369" xr:uid="{9E06A31C-3DBD-4218-92A9-549F9BEDAC3D}"/>
    <cellStyle name="Normal 12 5 2" xfId="1370" xr:uid="{B9A26071-2D5F-4073-871F-EC0E33A850DA}"/>
    <cellStyle name="Normal 12 5 2 2" xfId="1371" xr:uid="{251FF4AE-0E5B-4393-AC70-73419D5117B6}"/>
    <cellStyle name="Normal 12 5 2 2 2" xfId="1372" xr:uid="{EC4F7833-5280-437A-942F-63C5862D5976}"/>
    <cellStyle name="Normal 12 5 2 2 2 2" xfId="1373" xr:uid="{ED6B1462-8A8E-4DE4-B4D7-148CFD85DB10}"/>
    <cellStyle name="Normal 12 5 2 2 3" xfId="1374" xr:uid="{3FD5CABA-F79E-4D52-9711-26A9F0D3E374}"/>
    <cellStyle name="Normal 12 5 2 3" xfId="1375" xr:uid="{0DEF4AAC-5C1C-470D-ACFF-C56069B884EB}"/>
    <cellStyle name="Normal 12 5 2 3 2" xfId="1376" xr:uid="{05348505-7266-4AC3-8802-6A590F9A0009}"/>
    <cellStyle name="Normal 12 5 2 3 2 2" xfId="1377" xr:uid="{F582AD4D-74B7-4EC5-AF21-D5FFDEE41F24}"/>
    <cellStyle name="Normal 12 5 2 3 3" xfId="1378" xr:uid="{316C6100-F46F-49C3-8380-813029A86832}"/>
    <cellStyle name="Normal 12 5 2 4" xfId="1379" xr:uid="{5EC48D71-515B-486C-A584-4D4DE546C618}"/>
    <cellStyle name="Normal 12 5 2 4 2" xfId="1380" xr:uid="{E7CF4B4C-0232-48A6-86B1-90D36B83ACE9}"/>
    <cellStyle name="Normal 12 5 2 4 2 2" xfId="1381" xr:uid="{B74909D0-2AD6-4DCF-BD5B-3BE0F3615024}"/>
    <cellStyle name="Normal 12 5 2 4 3" xfId="1382" xr:uid="{CD2BE34B-CF0D-40B7-A5EC-50F02318F0F3}"/>
    <cellStyle name="Normal 12 5 2 5" xfId="1383" xr:uid="{DEC873F6-4EDD-43F7-A438-E952F09BF133}"/>
    <cellStyle name="Normal 12 5 2 5 2" xfId="1384" xr:uid="{46E14453-B30E-40E7-95AE-3DB785B6C8CF}"/>
    <cellStyle name="Normal 12 5 2 6" xfId="1385" xr:uid="{D5AC34C6-3818-4770-880C-229A005BB940}"/>
    <cellStyle name="Normal 12 5 3" xfId="1386" xr:uid="{CA41BE08-8411-476E-94E7-5D159726D8D0}"/>
    <cellStyle name="Normal 12 5 3 2" xfId="1387" xr:uid="{7B3AF904-64DE-459B-AC0B-6F5836A4F9BD}"/>
    <cellStyle name="Normal 12 5 3 2 2" xfId="1388" xr:uid="{50822C3F-D33A-4C5C-9287-3ADB86F4D281}"/>
    <cellStyle name="Normal 12 5 3 3" xfId="1389" xr:uid="{CC0E2DCB-5527-4C2E-B729-1794EF575E94}"/>
    <cellStyle name="Normal 12 5 4" xfId="1390" xr:uid="{6C24BE08-C735-4EF5-8AE5-C9245F2A7458}"/>
    <cellStyle name="Normal 12 5 4 2" xfId="1391" xr:uid="{A87DCA48-C71D-40E9-BD79-6E527F411F47}"/>
    <cellStyle name="Normal 12 5 4 2 2" xfId="1392" xr:uid="{33809FEE-E72F-4757-B700-18D58975BADD}"/>
    <cellStyle name="Normal 12 5 4 3" xfId="1393" xr:uid="{76025063-DB16-4A57-9518-AA418C947F2F}"/>
    <cellStyle name="Normal 12 5 5" xfId="1394" xr:uid="{A35F80DE-53AD-4A04-8605-A3C808CB993C}"/>
    <cellStyle name="Normal 12 5 5 2" xfId="1395" xr:uid="{3951465C-8F30-41E4-AA4F-D23B1D8DF9F1}"/>
    <cellStyle name="Normal 12 5 5 2 2" xfId="1396" xr:uid="{D4309262-23D8-46D8-84F4-A0B09B01C903}"/>
    <cellStyle name="Normal 12 5 5 3" xfId="1397" xr:uid="{E9ACB1AA-2263-4BD9-8FBE-9347DB388546}"/>
    <cellStyle name="Normal 12 5 6" xfId="1398" xr:uid="{FD04477A-33B8-49C0-A63E-8C57B983DCCB}"/>
    <cellStyle name="Normal 12 5 6 2" xfId="1399" xr:uid="{F119F3D0-2753-4CE8-B1CF-77C554C97066}"/>
    <cellStyle name="Normal 12 5 7" xfId="1400" xr:uid="{5A0E4D03-84FA-4DD2-A651-79AFB62E79F9}"/>
    <cellStyle name="Normal 12 6" xfId="1401" xr:uid="{44191657-18EF-414B-B198-7948702F220F}"/>
    <cellStyle name="Normal 12 6 2" xfId="1402" xr:uid="{087D9778-5CA0-4CBD-9626-F405925329D1}"/>
    <cellStyle name="Normal 12 6 2 2" xfId="1403" xr:uid="{72FF9753-3D1D-4821-9C04-EF7A213FD257}"/>
    <cellStyle name="Normal 12 6 2 2 2" xfId="1404" xr:uid="{23CF6492-8494-49F4-B6BF-4EAE8BAFCCFC}"/>
    <cellStyle name="Normal 12 6 2 3" xfId="1405" xr:uid="{A29F339A-D9DD-4983-AA0C-5E04CE8DDC37}"/>
    <cellStyle name="Normal 12 6 3" xfId="1406" xr:uid="{29288188-D755-4F0E-A0DF-B8CD56C97944}"/>
    <cellStyle name="Normal 12 6 3 2" xfId="1407" xr:uid="{C379E029-CDF6-42E7-8A3E-3EB7813B30CF}"/>
    <cellStyle name="Normal 12 6 3 2 2" xfId="1408" xr:uid="{EAA2D9DF-6D65-4594-879C-69B92ACC6E97}"/>
    <cellStyle name="Normal 12 6 3 3" xfId="1409" xr:uid="{8CF41E03-6CBD-400C-9B5F-88FB92B08998}"/>
    <cellStyle name="Normal 12 6 4" xfId="1410" xr:uid="{14F1EDF0-9696-4711-83AA-4F57A12ACD2A}"/>
    <cellStyle name="Normal 12 6 4 2" xfId="1411" xr:uid="{59E2C41E-89C5-4306-A10E-CAED0FB4FBC9}"/>
    <cellStyle name="Normal 12 6 4 2 2" xfId="1412" xr:uid="{A9CCE955-81C0-4F62-9297-D91588AA6D8C}"/>
    <cellStyle name="Normal 12 6 4 3" xfId="1413" xr:uid="{65D43F6D-EB54-4F0D-B7B8-2AA8836A4766}"/>
    <cellStyle name="Normal 12 6 5" xfId="1414" xr:uid="{C1450C44-4FC6-42E2-AE77-48690CE653BC}"/>
    <cellStyle name="Normal 12 6 5 2" xfId="1415" xr:uid="{0D949ED4-733A-4CBD-B53C-ADA46F868F73}"/>
    <cellStyle name="Normal 12 6 6" xfId="1416" xr:uid="{1F53E03C-9D41-4923-A636-A16D24823C5C}"/>
    <cellStyle name="Normal 12 7" xfId="1417" xr:uid="{D3D86F84-0A72-47F3-ABDC-B0AD397D5DCA}"/>
    <cellStyle name="Normal 12 7 2" xfId="1418" xr:uid="{6B5DA063-5E34-4FC8-91BC-E0F0878CAD1F}"/>
    <cellStyle name="Normal 12 7 2 2" xfId="1419" xr:uid="{C3A390A3-5D4A-4EF1-BDAB-C0DB0A8DD082}"/>
    <cellStyle name="Normal 12 7 3" xfId="1420" xr:uid="{A67A5446-AB3D-46C7-A012-35FCD2851E89}"/>
    <cellStyle name="Normal 12 8" xfId="1421" xr:uid="{DE31EA90-A8E8-411B-9B09-51D249CEAE21}"/>
    <cellStyle name="Normal 12 8 2" xfId="1422" xr:uid="{A4598843-BF4D-478A-AA91-02D9D4BC84C6}"/>
    <cellStyle name="Normal 12 8 2 2" xfId="1423" xr:uid="{2392313A-1F92-43B3-BC3A-94B1E60A37CB}"/>
    <cellStyle name="Normal 12 8 3" xfId="1424" xr:uid="{B10C0A9A-235B-46B3-9993-E547FF37D10E}"/>
    <cellStyle name="Normal 12 9" xfId="1425" xr:uid="{C5CD6723-1661-4714-863A-140C9123E490}"/>
    <cellStyle name="Normal 12 9 2" xfId="1426" xr:uid="{2EAA168E-770D-4D4A-837A-1BD7AED23F1F}"/>
    <cellStyle name="Normal 12 9 2 2" xfId="1427" xr:uid="{CC9276E6-6639-4893-A390-592466335702}"/>
    <cellStyle name="Normal 12 9 3" xfId="1428" xr:uid="{FF6A4664-B508-4FCD-B4DA-DAF73E25978E}"/>
    <cellStyle name="Normal 120" xfId="7637" xr:uid="{B4EC7411-CA4C-4E2E-BCE8-BC53B4E5AC81}"/>
    <cellStyle name="Normal 120 2" xfId="7831" xr:uid="{FB1B49DE-26D8-4C83-B019-0FAF4BCDEF0B}"/>
    <cellStyle name="Normal 120 2 2" xfId="8201" xr:uid="{22A3A6B5-4EFA-4916-9BF6-5105FE4EAA53}"/>
    <cellStyle name="Normal 120 2 2 2" xfId="8871" xr:uid="{5BE3EE70-0200-4633-907F-382BCA85C49D}"/>
    <cellStyle name="Normal 120 2 2 2 2" xfId="10940" xr:uid="{785EE5F8-3183-4CA3-9E1F-2825A28B24F7}"/>
    <cellStyle name="Normal 120 2 2 2 2 2" xfId="15146" xr:uid="{2E9816D3-4759-4BB4-86F4-BABBF74D38DC}"/>
    <cellStyle name="Normal 120 2 2 2 3" xfId="13117" xr:uid="{CEA1B3CF-17E2-4CBC-ACAE-1C6DC735FF9C}"/>
    <cellStyle name="Normal 120 2 2 3" xfId="10270" xr:uid="{18A920E8-3EA9-4B6F-897A-FADF751EA083}"/>
    <cellStyle name="Normal 120 2 2 3 2" xfId="14476" xr:uid="{821D7112-521E-4D86-AAAE-CF08E4BC0BE2}"/>
    <cellStyle name="Normal 120 2 2 4" xfId="12447" xr:uid="{2D18C464-DF97-46BE-B7A8-7D6472348E4A}"/>
    <cellStyle name="Normal 120 2 3" xfId="8537" xr:uid="{44E82016-F2D6-44CD-BABB-C77626034FF8}"/>
    <cellStyle name="Normal 120 2 3 2" xfId="10606" xr:uid="{886B24D0-32D2-47B1-AEDB-4CE22D3BC806}"/>
    <cellStyle name="Normal 120 2 3 2 2" xfId="14812" xr:uid="{5463ED68-E716-402F-A1E2-224CEF2E8C9D}"/>
    <cellStyle name="Normal 120 2 3 3" xfId="12783" xr:uid="{798A555D-10AD-432A-A03E-46AFBCAA87A4}"/>
    <cellStyle name="Normal 120 2 4" xfId="9210" xr:uid="{E3EED071-C397-4468-851D-EE0954F35BE5}"/>
    <cellStyle name="Normal 120 2 4 2" xfId="11279" xr:uid="{127579C4-4824-478C-AF3A-785266FBBA9F}"/>
    <cellStyle name="Normal 120 2 4 2 2" xfId="15485" xr:uid="{FB573A3A-8B7A-475C-8DBF-73CBFE6C5926}"/>
    <cellStyle name="Normal 120 2 4 3" xfId="13456" xr:uid="{8CAEE31A-872B-43C7-BECC-64CB71F6A8CC}"/>
    <cellStyle name="Normal 120 2 5" xfId="9578" xr:uid="{8ABA251B-BC33-4A1C-8235-5FA113C85AC9}"/>
    <cellStyle name="Normal 120 2 5 2" xfId="11612" xr:uid="{91519D0C-6DEA-406F-81B5-F04A673E078B}"/>
    <cellStyle name="Normal 120 2 5 2 2" xfId="15818" xr:uid="{C8737ACA-0FE1-4307-A451-40D4D449E48E}"/>
    <cellStyle name="Normal 120 2 5 3" xfId="13789" xr:uid="{42E381B3-CEF6-4427-95A6-6A651C7F86A3}"/>
    <cellStyle name="Normal 120 2 6" xfId="9936" xr:uid="{25F39C26-E32E-4A81-AB57-65DF4B549197}"/>
    <cellStyle name="Normal 120 2 6 2" xfId="14142" xr:uid="{026CCED0-22AE-4AD0-86C9-EC078F265390}"/>
    <cellStyle name="Normal 120 2 7" xfId="12113" xr:uid="{A47A7EC1-A6BA-4C4C-9B7E-14BF242AB2C3}"/>
    <cellStyle name="Normal 120 3" xfId="8038" xr:uid="{1708B176-5FE2-4B6D-B0DD-3A45E4EFC2B7}"/>
    <cellStyle name="Normal 120 3 2" xfId="8708" xr:uid="{4FA5755A-D0C4-4C3F-BB45-D2CF9CF7128C}"/>
    <cellStyle name="Normal 120 3 2 2" xfId="10777" xr:uid="{966708A9-FE70-4D7F-9A17-980116A81767}"/>
    <cellStyle name="Normal 120 3 2 2 2" xfId="14983" xr:uid="{14E3ACB1-E08E-4426-B6CC-C327BE318B43}"/>
    <cellStyle name="Normal 120 3 2 3" xfId="12954" xr:uid="{8FC0D125-CEEA-4C73-9779-AC92D0E24DB0}"/>
    <cellStyle name="Normal 120 3 3" xfId="10107" xr:uid="{437B85FF-487D-4524-80CB-5EA05A9F30CD}"/>
    <cellStyle name="Normal 120 3 3 2" xfId="14313" xr:uid="{DB7A8523-67D7-42D9-81D0-6FEFB6F9852E}"/>
    <cellStyle name="Normal 120 3 4" xfId="12284" xr:uid="{BADAE0C6-8502-4123-940B-5F52A35F4379}"/>
    <cellStyle name="Normal 120 4" xfId="8374" xr:uid="{18E64C2E-34FB-4068-ACF6-68BF24468535}"/>
    <cellStyle name="Normal 120 4 2" xfId="10443" xr:uid="{C7DD9225-8D76-400B-8341-94EA320E8296}"/>
    <cellStyle name="Normal 120 4 2 2" xfId="14649" xr:uid="{279F112E-A9B8-4F95-849C-4D8D7A15641E}"/>
    <cellStyle name="Normal 120 4 3" xfId="12620" xr:uid="{35094676-04FA-4B66-A0A4-44CB16906F1A}"/>
    <cellStyle name="Normal 120 5" xfId="9047" xr:uid="{50E76D33-4252-4617-BDB0-56800DF8F517}"/>
    <cellStyle name="Normal 120 5 2" xfId="11116" xr:uid="{2B60B55D-9E72-455C-85F9-C24CF03C9D50}"/>
    <cellStyle name="Normal 120 5 2 2" xfId="15322" xr:uid="{68173555-DEFE-47A9-B252-6665B8D4FC02}"/>
    <cellStyle name="Normal 120 5 3" xfId="13293" xr:uid="{B9F381A3-621A-4EEF-99C9-92A5768CB48F}"/>
    <cellStyle name="Normal 120 6" xfId="9415" xr:uid="{4F0891AA-003B-4227-93DA-09D0122EFBC4}"/>
    <cellStyle name="Normal 120 6 2" xfId="11449" xr:uid="{D19F1684-68BA-4116-A96A-148D48B40836}"/>
    <cellStyle name="Normal 120 6 2 2" xfId="15655" xr:uid="{D35561CC-B230-490D-85E4-BEA622B9DDB6}"/>
    <cellStyle name="Normal 120 6 3" xfId="13626" xr:uid="{7DC2E7F4-1B49-480F-9141-3219CF458C6E}"/>
    <cellStyle name="Normal 120 7" xfId="9773" xr:uid="{C8B877CF-A99F-4BCC-AB7B-3F215D1335DD}"/>
    <cellStyle name="Normal 120 7 2" xfId="13979" xr:uid="{9143414A-E8E3-404D-B943-F4953C0A0980}"/>
    <cellStyle name="Normal 120 8" xfId="11950" xr:uid="{3C958E9E-EA63-4D06-A9E3-5BF978DC419D}"/>
    <cellStyle name="Normal 121" xfId="7640" xr:uid="{F58E362F-CFB7-47BA-90B6-10B77C09B5F5}"/>
    <cellStyle name="Normal 121 2" xfId="7834" xr:uid="{9CF10736-F9D4-4748-89D3-C17535C0DA2F}"/>
    <cellStyle name="Normal 121 2 2" xfId="8204" xr:uid="{08093B2B-592C-4284-B5E5-764E771FB2C9}"/>
    <cellStyle name="Normal 121 2 2 2" xfId="8874" xr:uid="{C681BCD7-BECE-4B33-B0EA-AA5A2170BFF8}"/>
    <cellStyle name="Normal 121 2 2 2 2" xfId="10943" xr:uid="{5A515CFA-0519-4FDB-929A-AC0A80718F4E}"/>
    <cellStyle name="Normal 121 2 2 2 2 2" xfId="15149" xr:uid="{161AE19D-F2B8-43F6-8113-EBC6536E78E8}"/>
    <cellStyle name="Normal 121 2 2 2 3" xfId="13120" xr:uid="{7F868E5E-F7BD-4B88-9417-A634AEADFBAB}"/>
    <cellStyle name="Normal 121 2 2 3" xfId="10273" xr:uid="{01A1D1AA-76AB-4144-BAB8-93B0E0ABCBBD}"/>
    <cellStyle name="Normal 121 2 2 3 2" xfId="14479" xr:uid="{BF4E71E9-230E-4118-9E81-CA9A71593FF6}"/>
    <cellStyle name="Normal 121 2 2 4" xfId="12450" xr:uid="{8CB32AD1-DCAB-4D82-932B-CF6C0CCC2B0A}"/>
    <cellStyle name="Normal 121 2 3" xfId="8540" xr:uid="{12B05D8F-88BE-4AA5-BC92-44224554CB42}"/>
    <cellStyle name="Normal 121 2 3 2" xfId="10609" xr:uid="{93FD49EF-C418-4F90-9CF1-4AD11BF42147}"/>
    <cellStyle name="Normal 121 2 3 2 2" xfId="14815" xr:uid="{93762731-C741-4EE4-B750-B98F54707FE7}"/>
    <cellStyle name="Normal 121 2 3 3" xfId="12786" xr:uid="{DD1DA53C-C3A3-4E0C-B380-2EC3E8CC8FAC}"/>
    <cellStyle name="Normal 121 2 4" xfId="9213" xr:uid="{D5D9C031-9E76-4CB0-8E57-68AFBE8ACAEC}"/>
    <cellStyle name="Normal 121 2 4 2" xfId="11282" xr:uid="{CC8160B1-4EBB-4E07-B462-C14D62868681}"/>
    <cellStyle name="Normal 121 2 4 2 2" xfId="15488" xr:uid="{127450E5-DFA3-45DB-93B6-3C2BE72A256A}"/>
    <cellStyle name="Normal 121 2 4 3" xfId="13459" xr:uid="{39119AC9-C3F3-4898-850F-BF0789B63205}"/>
    <cellStyle name="Normal 121 2 5" xfId="9581" xr:uid="{25A698A7-1847-4AEB-B18E-AF14133748F0}"/>
    <cellStyle name="Normal 121 2 5 2" xfId="11615" xr:uid="{5256E5FC-A6B1-48D1-A0BD-748DC60FB60F}"/>
    <cellStyle name="Normal 121 2 5 2 2" xfId="15821" xr:uid="{0847DE79-7B20-4721-BC9C-D02209D89608}"/>
    <cellStyle name="Normal 121 2 5 3" xfId="13792" xr:uid="{2E10DCF3-C357-4A4F-BEBE-E1B4D15C5CBE}"/>
    <cellStyle name="Normal 121 2 6" xfId="9939" xr:uid="{B3CBF17E-4073-474F-9326-0BBFA0E00DDC}"/>
    <cellStyle name="Normal 121 2 6 2" xfId="14145" xr:uid="{7A51AEC4-66E1-406D-8060-E060EF21294F}"/>
    <cellStyle name="Normal 121 2 7" xfId="12116" xr:uid="{92FF2A0E-0D9B-4E24-930D-E04D3FB333CE}"/>
    <cellStyle name="Normal 121 3" xfId="8041" xr:uid="{D922200B-5345-4C0D-B050-4C5128E0539A}"/>
    <cellStyle name="Normal 121 3 2" xfId="8711" xr:uid="{FE966D68-A8F2-4534-A749-BBBA374292D2}"/>
    <cellStyle name="Normal 121 3 2 2" xfId="10780" xr:uid="{FDD90BE2-D82F-4371-922A-874D320803B5}"/>
    <cellStyle name="Normal 121 3 2 2 2" xfId="14986" xr:uid="{908049A4-FC5F-4CFD-894B-08F85DF29CF3}"/>
    <cellStyle name="Normal 121 3 2 3" xfId="12957" xr:uid="{C5CE5FDF-823A-45E6-9722-C39C14845262}"/>
    <cellStyle name="Normal 121 3 3" xfId="10110" xr:uid="{5B0B8CD3-1506-4B97-8D67-9057D93A88E3}"/>
    <cellStyle name="Normal 121 3 3 2" xfId="14316" xr:uid="{7F22C07A-DA54-458C-9657-3277086AE04D}"/>
    <cellStyle name="Normal 121 3 4" xfId="12287" xr:uid="{662A208A-EE20-4449-9BD4-BBAE11F43CE5}"/>
    <cellStyle name="Normal 121 4" xfId="8377" xr:uid="{6AECC293-8CE2-4C7D-A86E-AB86D4D5FAE6}"/>
    <cellStyle name="Normal 121 4 2" xfId="10446" xr:uid="{7CF53563-644C-4F76-BFF8-68B476C55F44}"/>
    <cellStyle name="Normal 121 4 2 2" xfId="14652" xr:uid="{7982822F-DF48-440F-95B7-84D8079E7500}"/>
    <cellStyle name="Normal 121 4 3" xfId="12623" xr:uid="{2EF8729D-9E23-4527-A531-92F33A265866}"/>
    <cellStyle name="Normal 121 5" xfId="9050" xr:uid="{399E4CD9-7E4A-4E9E-8C4D-CCC1362B5C4B}"/>
    <cellStyle name="Normal 121 5 2" xfId="11119" xr:uid="{F23E7533-9678-4BE4-873C-45EC88A801ED}"/>
    <cellStyle name="Normal 121 5 2 2" xfId="15325" xr:uid="{C6F7149F-DAF1-42E0-8104-962D9EBF8850}"/>
    <cellStyle name="Normal 121 5 3" xfId="13296" xr:uid="{822B65F7-5A3C-46E2-B790-B75E816DB87C}"/>
    <cellStyle name="Normal 121 6" xfId="9418" xr:uid="{04389633-39A2-4E86-A66C-2F2277AAE700}"/>
    <cellStyle name="Normal 121 6 2" xfId="11452" xr:uid="{98B8F55E-9993-49AE-A169-8D8B969CC146}"/>
    <cellStyle name="Normal 121 6 2 2" xfId="15658" xr:uid="{85D896B3-EB64-4C65-B69C-3CCAF8BF3567}"/>
    <cellStyle name="Normal 121 6 3" xfId="13629" xr:uid="{D03169A4-467A-42F7-B9A3-F1A14D9BCFD4}"/>
    <cellStyle name="Normal 121 7" xfId="9776" xr:uid="{47FC4633-9FD5-456A-8CD8-6AD75AE56AF2}"/>
    <cellStyle name="Normal 121 7 2" xfId="13982" xr:uid="{9F2E0D83-869F-4659-AD55-F4731B54E256}"/>
    <cellStyle name="Normal 121 8" xfId="11953" xr:uid="{6DB1F68B-9694-47FE-9179-A7C2075163CC}"/>
    <cellStyle name="Normal 122" xfId="7641" xr:uid="{29DAC4A7-093F-435E-B9FD-9FE51FE44FD5}"/>
    <cellStyle name="Normal 122 2" xfId="7835" xr:uid="{02D69C50-3635-4D42-ADB5-A653D089BD16}"/>
    <cellStyle name="Normal 122 2 2" xfId="8205" xr:uid="{6623294F-EB9A-481E-B41C-FA50FAACF072}"/>
    <cellStyle name="Normal 122 2 2 2" xfId="8875" xr:uid="{E30424B4-B0F5-4F3E-A253-731900C92FD5}"/>
    <cellStyle name="Normal 122 2 2 2 2" xfId="10944" xr:uid="{BF908D66-EFB5-45B3-8990-F6FC6C83511A}"/>
    <cellStyle name="Normal 122 2 2 2 2 2" xfId="15150" xr:uid="{83729ECF-59A9-4D35-BBB4-BFE528E8DD93}"/>
    <cellStyle name="Normal 122 2 2 2 3" xfId="13121" xr:uid="{F79EED5A-8990-4746-AC0F-00E6FA839552}"/>
    <cellStyle name="Normal 122 2 2 3" xfId="10274" xr:uid="{4C603F48-238C-477F-A0C9-C82E7C5318FA}"/>
    <cellStyle name="Normal 122 2 2 3 2" xfId="14480" xr:uid="{2E038452-2E69-44DA-A75E-CB004FE7553F}"/>
    <cellStyle name="Normal 122 2 2 4" xfId="12451" xr:uid="{EDBB4827-B884-4153-91A2-E2916A4D93BF}"/>
    <cellStyle name="Normal 122 2 3" xfId="8541" xr:uid="{DCBA5D2E-3CE3-4227-B463-98EB003B9A97}"/>
    <cellStyle name="Normal 122 2 3 2" xfId="10610" xr:uid="{2214C928-DC19-4240-A249-A845ADBBA296}"/>
    <cellStyle name="Normal 122 2 3 2 2" xfId="14816" xr:uid="{62CDC939-7EFF-4BA7-BAC4-9499C391DF3F}"/>
    <cellStyle name="Normal 122 2 3 3" xfId="12787" xr:uid="{E938E6B1-FCD1-41CD-8D32-5671C055ABF6}"/>
    <cellStyle name="Normal 122 2 4" xfId="9214" xr:uid="{4BD64D7B-2B41-4C08-BABB-F8D6495EA5A7}"/>
    <cellStyle name="Normal 122 2 4 2" xfId="11283" xr:uid="{097C829D-86D2-4124-B968-41B5D4AA6617}"/>
    <cellStyle name="Normal 122 2 4 2 2" xfId="15489" xr:uid="{00710D65-DDD1-4ED7-AE6A-9B3C55B2611D}"/>
    <cellStyle name="Normal 122 2 4 3" xfId="13460" xr:uid="{E12B7FCA-BAF4-4D0A-A6F3-760789B41998}"/>
    <cellStyle name="Normal 122 2 5" xfId="9582" xr:uid="{34476FCC-9C40-4B30-B7D0-7627741CE0E7}"/>
    <cellStyle name="Normal 122 2 5 2" xfId="11616" xr:uid="{58687E11-72B6-4491-8E34-3D4549F2E513}"/>
    <cellStyle name="Normal 122 2 5 2 2" xfId="15822" xr:uid="{051A2020-2A18-4B44-A543-A9B48B4C87C9}"/>
    <cellStyle name="Normal 122 2 5 3" xfId="13793" xr:uid="{A02AFA25-E709-4046-88B4-85313D71CE69}"/>
    <cellStyle name="Normal 122 2 6" xfId="9940" xr:uid="{12BF8236-F1D5-4644-8759-C58BDB378FA6}"/>
    <cellStyle name="Normal 122 2 6 2" xfId="14146" xr:uid="{40CBAA22-80B9-4FC7-8FA9-27C9EC1BEE53}"/>
    <cellStyle name="Normal 122 2 7" xfId="12117" xr:uid="{1A71C68F-143F-4C34-B773-E86100D3D2B0}"/>
    <cellStyle name="Normal 122 3" xfId="8042" xr:uid="{FE099569-C8F5-4F95-AA50-AAE863D0A64D}"/>
    <cellStyle name="Normal 122 3 2" xfId="8712" xr:uid="{158888D4-7469-400E-A9C0-1CFCCD29675B}"/>
    <cellStyle name="Normal 122 3 2 2" xfId="10781" xr:uid="{EADB2F9B-C580-48E1-9D7B-70C66109F8AD}"/>
    <cellStyle name="Normal 122 3 2 2 2" xfId="14987" xr:uid="{EA7E1073-FA60-4E37-988C-348F300DBAA2}"/>
    <cellStyle name="Normal 122 3 2 3" xfId="12958" xr:uid="{643C517F-44C6-44AB-A7F0-D1553845CFA5}"/>
    <cellStyle name="Normal 122 3 3" xfId="10111" xr:uid="{744561AB-565E-4757-983A-E1B7379417CF}"/>
    <cellStyle name="Normal 122 3 3 2" xfId="14317" xr:uid="{566A1461-5625-4A0F-9A62-A26DACF64D10}"/>
    <cellStyle name="Normal 122 3 4" xfId="12288" xr:uid="{546677AB-40CB-4805-A2E3-ECDCCB9CE751}"/>
    <cellStyle name="Normal 122 4" xfId="8378" xr:uid="{7BBE9205-BA75-4A19-9393-1E2BDEBB9A3A}"/>
    <cellStyle name="Normal 122 4 2" xfId="10447" xr:uid="{43CC93FB-68E6-4E47-96B4-F53012C7E2A9}"/>
    <cellStyle name="Normal 122 4 2 2" xfId="14653" xr:uid="{CBE3E98E-F5C1-43D7-AF37-3210DDA40A62}"/>
    <cellStyle name="Normal 122 4 3" xfId="12624" xr:uid="{15EB0FA3-C16C-4500-A7EF-94106B8378FA}"/>
    <cellStyle name="Normal 122 5" xfId="9051" xr:uid="{CC5D7660-746C-4DB3-BB64-659C2C2173E4}"/>
    <cellStyle name="Normal 122 5 2" xfId="11120" xr:uid="{E84A3607-4662-4129-863B-364E054E84EC}"/>
    <cellStyle name="Normal 122 5 2 2" xfId="15326" xr:uid="{D9C67897-E05F-4AF3-8D93-ACABC3018365}"/>
    <cellStyle name="Normal 122 5 3" xfId="13297" xr:uid="{82BFF22F-F453-4082-AC86-76CDC8C6DCFB}"/>
    <cellStyle name="Normal 122 6" xfId="9419" xr:uid="{E48F1110-D136-419C-94B1-AA7277E99FC4}"/>
    <cellStyle name="Normal 122 6 2" xfId="11453" xr:uid="{FE0E2175-AE2C-4C3A-BE46-AE63DBECE086}"/>
    <cellStyle name="Normal 122 6 2 2" xfId="15659" xr:uid="{658A008D-994C-4A20-B406-4A938E77410B}"/>
    <cellStyle name="Normal 122 6 3" xfId="13630" xr:uid="{F3407A78-EFF4-47AE-BDA2-6D6151F61E1A}"/>
    <cellStyle name="Normal 122 7" xfId="9777" xr:uid="{A8AC7907-405B-4406-87C6-E23B1781F097}"/>
    <cellStyle name="Normal 122 7 2" xfId="13983" xr:uid="{DF0F2BD6-41FC-43FF-BC65-70195CCD5703}"/>
    <cellStyle name="Normal 122 8" xfId="11954" xr:uid="{885722D4-16A8-4DDA-AA9C-91D41CFD8457}"/>
    <cellStyle name="Normal 123" xfId="7642" xr:uid="{523A02BF-6BBA-4457-AA25-742A22E26647}"/>
    <cellStyle name="Normal 123 2" xfId="7836" xr:uid="{BD5159B5-8940-4DBA-AAA2-605E8B16999C}"/>
    <cellStyle name="Normal 123 2 2" xfId="8206" xr:uid="{E9F88D22-0B8D-43A8-8424-1145A7536CD5}"/>
    <cellStyle name="Normal 123 2 2 2" xfId="8876" xr:uid="{F7C82D04-D72D-4259-A936-252D85BB4FF0}"/>
    <cellStyle name="Normal 123 2 2 2 2" xfId="10945" xr:uid="{A128A08B-B016-41AF-B07F-73903762779D}"/>
    <cellStyle name="Normal 123 2 2 2 2 2" xfId="15151" xr:uid="{881CFECB-BF34-4EA8-9D80-6E35AA65B6E4}"/>
    <cellStyle name="Normal 123 2 2 2 3" xfId="13122" xr:uid="{0AB31B4B-477D-4F26-A835-D3DE354EF969}"/>
    <cellStyle name="Normal 123 2 2 3" xfId="10275" xr:uid="{51CA09CF-F7BF-48AD-887F-21D2D9A66BD4}"/>
    <cellStyle name="Normal 123 2 2 3 2" xfId="14481" xr:uid="{A39527E5-BD59-49A2-A384-002217188A28}"/>
    <cellStyle name="Normal 123 2 2 4" xfId="12452" xr:uid="{9B65698A-7F07-459A-BEB5-47FDF9E3383E}"/>
    <cellStyle name="Normal 123 2 3" xfId="8542" xr:uid="{6074DFFF-4D20-4B9C-A151-6D74B623A38A}"/>
    <cellStyle name="Normal 123 2 3 2" xfId="10611" xr:uid="{0A54A99C-A43A-42A4-985E-BECE407B44B9}"/>
    <cellStyle name="Normal 123 2 3 2 2" xfId="14817" xr:uid="{52817E66-EE46-409B-826A-8715F51C08D3}"/>
    <cellStyle name="Normal 123 2 3 3" xfId="12788" xr:uid="{65C016E6-01CF-4226-AA1E-758FC8D1A7BB}"/>
    <cellStyle name="Normal 123 2 4" xfId="9215" xr:uid="{0EEF07AB-E941-4557-A0B8-9FC0D07BA31E}"/>
    <cellStyle name="Normal 123 2 4 2" xfId="11284" xr:uid="{7D3B8CEE-0967-49B5-B511-CD3F6C52389F}"/>
    <cellStyle name="Normal 123 2 4 2 2" xfId="15490" xr:uid="{7B9E485B-D094-4737-A29A-16148207F307}"/>
    <cellStyle name="Normal 123 2 4 3" xfId="13461" xr:uid="{4EA4A87E-3DA4-46C7-AA78-60321A6C2FA0}"/>
    <cellStyle name="Normal 123 2 5" xfId="9583" xr:uid="{1F84EF0C-A875-4910-B006-506E4A325D60}"/>
    <cellStyle name="Normal 123 2 5 2" xfId="11617" xr:uid="{7EB6F5CD-6575-4D6B-8BA5-D77060A0A8FD}"/>
    <cellStyle name="Normal 123 2 5 2 2" xfId="15823" xr:uid="{4D60194A-1999-49BA-8F0C-EDA375E4661D}"/>
    <cellStyle name="Normal 123 2 5 3" xfId="13794" xr:uid="{B6263AAA-DB81-407D-B15E-089770D85A6F}"/>
    <cellStyle name="Normal 123 2 6" xfId="9941" xr:uid="{8C8E4F97-8366-4A2B-B859-B1AB11184EE0}"/>
    <cellStyle name="Normal 123 2 6 2" xfId="14147" xr:uid="{19CA4310-2BE8-4F6B-A9A0-164351DAE650}"/>
    <cellStyle name="Normal 123 2 7" xfId="12118" xr:uid="{A986D0EA-AA33-4D6D-9E89-E4A342448125}"/>
    <cellStyle name="Normal 123 3" xfId="8043" xr:uid="{41DE6E4C-C013-40B7-A571-0FEB41CF3E93}"/>
    <cellStyle name="Normal 123 3 2" xfId="8713" xr:uid="{6E15620A-DB14-49A9-9C94-9B95567516CE}"/>
    <cellStyle name="Normal 123 3 2 2" xfId="10782" xr:uid="{FD233A01-F9A2-406A-B931-A679E0D59197}"/>
    <cellStyle name="Normal 123 3 2 2 2" xfId="14988" xr:uid="{1FECB997-D7BF-4FFB-B20D-8D7662FF6C3A}"/>
    <cellStyle name="Normal 123 3 2 3" xfId="12959" xr:uid="{4BCCC348-5C25-48D4-8E53-DC2842D51E46}"/>
    <cellStyle name="Normal 123 3 3" xfId="10112" xr:uid="{052499E1-8F15-46A6-A5ED-30AD8B292873}"/>
    <cellStyle name="Normal 123 3 3 2" xfId="14318" xr:uid="{C283199C-4245-4457-9A26-B473C4A3C27F}"/>
    <cellStyle name="Normal 123 3 4" xfId="12289" xr:uid="{DDB1A730-FB4B-4D0B-BD1F-29018719411F}"/>
    <cellStyle name="Normal 123 4" xfId="8379" xr:uid="{94359151-E308-4D24-A33F-D232BAF2C869}"/>
    <cellStyle name="Normal 123 4 2" xfId="10448" xr:uid="{3717E28E-FBF5-47C7-8731-8168139A51C3}"/>
    <cellStyle name="Normal 123 4 2 2" xfId="14654" xr:uid="{AE017554-2EF9-49FA-BAB6-10DB4F91D8A0}"/>
    <cellStyle name="Normal 123 4 3" xfId="12625" xr:uid="{8F74DA31-B5CC-40DC-A52E-18719E93001B}"/>
    <cellStyle name="Normal 123 5" xfId="9052" xr:uid="{333D8EF9-6E7A-4BC6-AD57-FF7880650D5D}"/>
    <cellStyle name="Normal 123 5 2" xfId="11121" xr:uid="{183F85BC-C076-4811-97C1-6B634F3B5BC7}"/>
    <cellStyle name="Normal 123 5 2 2" xfId="15327" xr:uid="{7321007F-7CA3-469C-81A3-97F1CDFD604A}"/>
    <cellStyle name="Normal 123 5 3" xfId="13298" xr:uid="{A2325766-EA6F-4691-8FF0-3A654C2DBF71}"/>
    <cellStyle name="Normal 123 6" xfId="9420" xr:uid="{EFF2EC3A-336B-4824-A5D7-C7FF4D2ECB14}"/>
    <cellStyle name="Normal 123 6 2" xfId="11454" xr:uid="{9F0AC2A1-DDE1-4DE3-8513-8038B9E0B248}"/>
    <cellStyle name="Normal 123 6 2 2" xfId="15660" xr:uid="{090571F1-6E65-4DFB-8703-D916BA7F903E}"/>
    <cellStyle name="Normal 123 6 3" xfId="13631" xr:uid="{B3E38FB4-6883-4A90-B7B6-22DE9C0B0B63}"/>
    <cellStyle name="Normal 123 7" xfId="9778" xr:uid="{0CD7705E-70E3-4F51-ABB8-EC2A72EDF036}"/>
    <cellStyle name="Normal 123 7 2" xfId="13984" xr:uid="{46C10899-7D53-40C3-92BD-2292CF06AFAA}"/>
    <cellStyle name="Normal 123 8" xfId="11955" xr:uid="{442737B6-415E-48F4-B121-290DC16F5CA3}"/>
    <cellStyle name="Normal 124" xfId="7643" xr:uid="{7AFDB1EF-DB5C-4AC3-98E5-6B8A78EDDA9A}"/>
    <cellStyle name="Normal 124 2" xfId="7837" xr:uid="{FD4AD095-9DD5-481E-A400-3B22DAB19C25}"/>
    <cellStyle name="Normal 124 2 2" xfId="8207" xr:uid="{30B5D954-B354-4DBE-8857-FA01C6768DDB}"/>
    <cellStyle name="Normal 124 2 2 2" xfId="8877" xr:uid="{DEDD794D-0188-4552-A518-6BDDCA19FBF1}"/>
    <cellStyle name="Normal 124 2 2 2 2" xfId="10946" xr:uid="{209E7A98-DAFF-4293-AE80-A0751533BEEA}"/>
    <cellStyle name="Normal 124 2 2 2 2 2" xfId="15152" xr:uid="{A88D5837-E39B-4F67-A269-D587399A91C9}"/>
    <cellStyle name="Normal 124 2 2 2 3" xfId="13123" xr:uid="{080EC17C-77B7-41DA-8C23-F487247DAE25}"/>
    <cellStyle name="Normal 124 2 2 3" xfId="10276" xr:uid="{EC197004-7DF6-4134-8077-6DF967F4FDF1}"/>
    <cellStyle name="Normal 124 2 2 3 2" xfId="14482" xr:uid="{4FCE66C1-D357-4C12-A44A-D683A23536C5}"/>
    <cellStyle name="Normal 124 2 2 4" xfId="12453" xr:uid="{9DD5579E-4C09-432A-BF9F-9F4CF4D5C32F}"/>
    <cellStyle name="Normal 124 2 3" xfId="8543" xr:uid="{9D6F2286-3019-433C-857E-EE10617CD544}"/>
    <cellStyle name="Normal 124 2 3 2" xfId="10612" xr:uid="{9F96C43D-C9B9-42E0-9147-22ED2C1D88BA}"/>
    <cellStyle name="Normal 124 2 3 2 2" xfId="14818" xr:uid="{BC9F1A82-2732-44A1-A9EE-9F01133D6DBF}"/>
    <cellStyle name="Normal 124 2 3 3" xfId="12789" xr:uid="{CE9CC4C8-71DA-457A-BE1C-F9F65BBC8421}"/>
    <cellStyle name="Normal 124 2 4" xfId="9216" xr:uid="{BC24B01C-D239-4117-A475-1A0B33509E9D}"/>
    <cellStyle name="Normal 124 2 4 2" xfId="11285" xr:uid="{EB7EDA3A-47F1-4A3D-9C82-B318105C8C93}"/>
    <cellStyle name="Normal 124 2 4 2 2" xfId="15491" xr:uid="{858B3E27-DE29-43CC-87D3-794427D31BBE}"/>
    <cellStyle name="Normal 124 2 4 3" xfId="13462" xr:uid="{F192F22E-FF75-4E23-9A7E-2F0F542061C0}"/>
    <cellStyle name="Normal 124 2 5" xfId="9584" xr:uid="{874B9E94-CF6D-43C7-B7F4-77AFABC4D9D3}"/>
    <cellStyle name="Normal 124 2 5 2" xfId="11618" xr:uid="{C7FDF2D8-AA73-42A0-9EC9-4C4AF8EEFFFD}"/>
    <cellStyle name="Normal 124 2 5 2 2" xfId="15824" xr:uid="{37A5725F-70A1-41C4-9AC6-A0A623A7465D}"/>
    <cellStyle name="Normal 124 2 5 3" xfId="13795" xr:uid="{9D6208C2-606A-45D4-9E3E-7FE1BECF0317}"/>
    <cellStyle name="Normal 124 2 6" xfId="9942" xr:uid="{1B98D861-9CB5-4214-98A0-55701652788D}"/>
    <cellStyle name="Normal 124 2 6 2" xfId="14148" xr:uid="{932843A9-8B68-44FC-B2D6-7332872FB91C}"/>
    <cellStyle name="Normal 124 2 7" xfId="12119" xr:uid="{AF2A0AA4-6E85-4A4A-8E87-720B6F77EB33}"/>
    <cellStyle name="Normal 124 3" xfId="8044" xr:uid="{66FE8A61-6EFF-4F33-8837-7F35149BFAE1}"/>
    <cellStyle name="Normal 124 3 2" xfId="8714" xr:uid="{6866198E-7C2F-4C4F-AEE5-EE00F0866D7A}"/>
    <cellStyle name="Normal 124 3 2 2" xfId="10783" xr:uid="{FE3E7DAE-5AEF-4038-BEDE-96954DCE1DA0}"/>
    <cellStyle name="Normal 124 3 2 2 2" xfId="14989" xr:uid="{97201B56-C3CA-4D45-870A-CE31E4DB5FC1}"/>
    <cellStyle name="Normal 124 3 2 3" xfId="12960" xr:uid="{E18E1148-A419-4A5D-A6C5-E920D3B54C37}"/>
    <cellStyle name="Normal 124 3 3" xfId="10113" xr:uid="{733A0D21-5A1C-4D9D-A747-7462557723E3}"/>
    <cellStyle name="Normal 124 3 3 2" xfId="14319" xr:uid="{4B6E991D-808A-4058-81F1-4B2A24C60F41}"/>
    <cellStyle name="Normal 124 3 4" xfId="12290" xr:uid="{89466591-B47A-4534-8F01-C5419DB3F028}"/>
    <cellStyle name="Normal 124 4" xfId="8380" xr:uid="{EE11C9FD-8DB2-40DF-A7B2-2DC84D605A6A}"/>
    <cellStyle name="Normal 124 4 2" xfId="10449" xr:uid="{4221F33B-5D5A-460F-B19A-7C9D94D289EB}"/>
    <cellStyle name="Normal 124 4 2 2" xfId="14655" xr:uid="{796BA886-D027-4523-ACB8-3B752D3A1026}"/>
    <cellStyle name="Normal 124 4 3" xfId="12626" xr:uid="{471730DA-CF09-46A9-9C38-ADCE4F2B2F4B}"/>
    <cellStyle name="Normal 124 5" xfId="9053" xr:uid="{69D11D5F-B643-4101-A257-69D2A056660D}"/>
    <cellStyle name="Normal 124 5 2" xfId="11122" xr:uid="{3F4BA497-6387-4064-AC01-34B480F4498E}"/>
    <cellStyle name="Normal 124 5 2 2" xfId="15328" xr:uid="{BB572E61-4CC4-4AA0-AF87-E8947D9E3DF6}"/>
    <cellStyle name="Normal 124 5 3" xfId="13299" xr:uid="{05461D57-2645-4656-AA0F-39F477A8E8B2}"/>
    <cellStyle name="Normal 124 6" xfId="9421" xr:uid="{50AC7189-751C-4D45-B4F7-49221C60A5E4}"/>
    <cellStyle name="Normal 124 6 2" xfId="11455" xr:uid="{E9E83999-02E1-4448-B9C8-2B225E17133B}"/>
    <cellStyle name="Normal 124 6 2 2" xfId="15661" xr:uid="{FCC24124-850F-484E-B90C-9EB7674E99D5}"/>
    <cellStyle name="Normal 124 6 3" xfId="13632" xr:uid="{4E390070-F84D-408B-8F6C-EA2B12A68949}"/>
    <cellStyle name="Normal 124 7" xfId="9779" xr:uid="{E5E429C7-D564-4CB0-9229-B62F5799F241}"/>
    <cellStyle name="Normal 124 7 2" xfId="13985" xr:uid="{E431AF0F-5A2C-44FC-A5F2-38A13CBEB00F}"/>
    <cellStyle name="Normal 124 8" xfId="11956" xr:uid="{773C3464-7D3B-43D7-8D68-64B381CE9105}"/>
    <cellStyle name="Normal 125" xfId="7647" xr:uid="{CE3989AE-4146-4E44-B52F-8B06D2F20B03}"/>
    <cellStyle name="Normal 125 2" xfId="7838" xr:uid="{3219482B-6CEA-42E8-BCE1-40AFB4ED3B8C}"/>
    <cellStyle name="Normal 125 2 2" xfId="8208" xr:uid="{DA4464EC-F2B8-484A-A23F-0E220BC811FA}"/>
    <cellStyle name="Normal 125 2 2 2" xfId="8878" xr:uid="{6EA6C0F2-21DF-4651-B052-1F0ECA1332CF}"/>
    <cellStyle name="Normal 125 2 2 2 2" xfId="10947" xr:uid="{D05A0E37-DD6B-477E-BBF4-B49A1F42590E}"/>
    <cellStyle name="Normal 125 2 2 2 2 2" xfId="15153" xr:uid="{656A3C70-91A3-4DBB-8AA9-F9EB842CAD08}"/>
    <cellStyle name="Normal 125 2 2 2 3" xfId="13124" xr:uid="{FC8822B6-E346-45BD-8F4D-18FFA7F0B107}"/>
    <cellStyle name="Normal 125 2 2 3" xfId="10277" xr:uid="{0F8283A3-E46A-4518-9592-A5CA4D043714}"/>
    <cellStyle name="Normal 125 2 2 3 2" xfId="14483" xr:uid="{9D70899D-5EB7-4E71-9E58-5F1E6B40D0D3}"/>
    <cellStyle name="Normal 125 2 2 4" xfId="12454" xr:uid="{F96176F3-6B0B-4054-8F49-0AE4C6DE2EF1}"/>
    <cellStyle name="Normal 125 2 3" xfId="8544" xr:uid="{2512D360-8D04-4DBC-B1AC-322D42D3072D}"/>
    <cellStyle name="Normal 125 2 3 2" xfId="10613" xr:uid="{8D168901-7669-4991-B8BD-4A26B5A49460}"/>
    <cellStyle name="Normal 125 2 3 2 2" xfId="14819" xr:uid="{63A0EBB5-CD40-4C2E-A8FF-FAEC0A78F27F}"/>
    <cellStyle name="Normal 125 2 3 3" xfId="12790" xr:uid="{A01D6A74-208F-4DDC-A6D7-2A989C547CF9}"/>
    <cellStyle name="Normal 125 2 4" xfId="9217" xr:uid="{E90F94CB-E345-448C-8F20-7F0DCAF586F2}"/>
    <cellStyle name="Normal 125 2 4 2" xfId="11286" xr:uid="{023D00C6-6F9A-481E-A30D-A359CA452E27}"/>
    <cellStyle name="Normal 125 2 4 2 2" xfId="15492" xr:uid="{E7BFE617-C5C8-48E1-A878-6D284DAEA0E6}"/>
    <cellStyle name="Normal 125 2 4 3" xfId="13463" xr:uid="{4B8A5B3B-9934-4E47-817D-DA5BA37A3FC3}"/>
    <cellStyle name="Normal 125 2 5" xfId="9585" xr:uid="{3F56E319-94E3-498A-8FFA-68240911A118}"/>
    <cellStyle name="Normal 125 2 5 2" xfId="11619" xr:uid="{96D188D6-8911-4609-9247-1CD59E748EF2}"/>
    <cellStyle name="Normal 125 2 5 2 2" xfId="15825" xr:uid="{9227CAB9-8BE2-46E3-A83C-BAD416491DFE}"/>
    <cellStyle name="Normal 125 2 5 3" xfId="13796" xr:uid="{0E03E80F-6350-4094-854E-24E3B3E4CE49}"/>
    <cellStyle name="Normal 125 2 6" xfId="9943" xr:uid="{FE9872BC-F648-4E08-98F1-D9EE6CB2F8A8}"/>
    <cellStyle name="Normal 125 2 6 2" xfId="14149" xr:uid="{89FC27BD-BBEC-4188-A12D-C67DD4836A2A}"/>
    <cellStyle name="Normal 125 2 7" xfId="12120" xr:uid="{A5FC01DD-0064-4DF9-9866-F9D438405DC7}"/>
    <cellStyle name="Normal 125 3" xfId="8045" xr:uid="{61ECC14D-3AAE-4C36-A89B-BEECCD4C7CC7}"/>
    <cellStyle name="Normal 125 3 2" xfId="8715" xr:uid="{2B488DFB-0AE3-4DE7-AD78-F1B1CEBE3999}"/>
    <cellStyle name="Normal 125 3 2 2" xfId="10784" xr:uid="{0318C6C7-B958-4008-8DF3-E617C8003750}"/>
    <cellStyle name="Normal 125 3 2 2 2" xfId="14990" xr:uid="{64AAFF1A-A7D2-4EED-B7D9-D5BE99FE7B89}"/>
    <cellStyle name="Normal 125 3 2 3" xfId="12961" xr:uid="{B8083D82-63E3-44C6-980E-5269931EB077}"/>
    <cellStyle name="Normal 125 3 3" xfId="10114" xr:uid="{4C316B68-E7B0-4DCE-92E6-391F1C357FEA}"/>
    <cellStyle name="Normal 125 3 3 2" xfId="14320" xr:uid="{261DE5C5-F66C-47DC-B157-1E27D28CA779}"/>
    <cellStyle name="Normal 125 3 4" xfId="12291" xr:uid="{32DEE4C4-DC75-40E0-AEDB-21B41B474E9F}"/>
    <cellStyle name="Normal 125 4" xfId="8381" xr:uid="{1515ACE1-4E29-438B-BF84-EABED9F4432C}"/>
    <cellStyle name="Normal 125 4 2" xfId="10450" xr:uid="{2BC72193-E843-41D7-874A-B8F572218D0F}"/>
    <cellStyle name="Normal 125 4 2 2" xfId="14656" xr:uid="{A932F47F-8D0F-40B9-B869-D56B75E6A151}"/>
    <cellStyle name="Normal 125 4 3" xfId="12627" xr:uid="{6C98C703-A6CC-43E2-B630-FCB3CC37846A}"/>
    <cellStyle name="Normal 125 5" xfId="9054" xr:uid="{EB582E3C-065F-4699-B849-73BE9A95D577}"/>
    <cellStyle name="Normal 125 5 2" xfId="11123" xr:uid="{F01407A5-1BD8-46BF-9FFE-22ED0BD67455}"/>
    <cellStyle name="Normal 125 5 2 2" xfId="15329" xr:uid="{C4A4C155-7D21-461B-9E71-E42ED8BDAA53}"/>
    <cellStyle name="Normal 125 5 3" xfId="13300" xr:uid="{75813BF3-A00B-4F02-9CA3-CB4F36AF921F}"/>
    <cellStyle name="Normal 125 6" xfId="9422" xr:uid="{BFD14609-9A61-4991-BC01-6E2F7D3161DC}"/>
    <cellStyle name="Normal 125 6 2" xfId="11456" xr:uid="{E798E49F-98D7-4F47-A2C9-2543C00FA139}"/>
    <cellStyle name="Normal 125 6 2 2" xfId="15662" xr:uid="{9BF5B915-1A46-4DFF-950D-4DB3F6627D61}"/>
    <cellStyle name="Normal 125 6 3" xfId="13633" xr:uid="{D73FC5FE-E4C6-4D8E-9339-62F49EF79BAD}"/>
    <cellStyle name="Normal 125 7" xfId="9780" xr:uid="{B5801254-8E4E-4324-A778-3C003F652826}"/>
    <cellStyle name="Normal 125 7 2" xfId="13986" xr:uid="{369CA039-BA98-479A-90C2-B4DD6259F67A}"/>
    <cellStyle name="Normal 125 8" xfId="11957" xr:uid="{9E2BDA2B-18C4-4B3A-9CED-9C6E07CD995F}"/>
    <cellStyle name="Normal 126" xfId="7652" xr:uid="{52893C13-38EB-436D-8C99-15F7E4436FC9}"/>
    <cellStyle name="Normal 126 2" xfId="7841" xr:uid="{AC6ED9E0-5BD6-48D3-958E-571453E9FFF4}"/>
    <cellStyle name="Normal 126 2 2" xfId="8211" xr:uid="{9440DC6B-ABED-46BA-95CE-5F6E65B60293}"/>
    <cellStyle name="Normal 126 2 2 2" xfId="8881" xr:uid="{93C07148-DE6B-4E2D-B9AB-E86D2B80FF0A}"/>
    <cellStyle name="Normal 126 2 2 2 2" xfId="10950" xr:uid="{DD0C57F1-B3D8-4234-BCD1-0C528FAE8BD2}"/>
    <cellStyle name="Normal 126 2 2 2 2 2" xfId="15156" xr:uid="{D7F14E9E-8391-4DC6-8CC5-A30255DF5509}"/>
    <cellStyle name="Normal 126 2 2 2 3" xfId="13127" xr:uid="{88480542-DCEC-4458-907E-C8A923E640CC}"/>
    <cellStyle name="Normal 126 2 2 3" xfId="10280" xr:uid="{2FC254B8-8389-4359-A2AD-0C58B6F622AB}"/>
    <cellStyle name="Normal 126 2 2 3 2" xfId="14486" xr:uid="{8154F4FC-FF19-4212-9F3C-CC24792A6C0E}"/>
    <cellStyle name="Normal 126 2 2 4" xfId="12457" xr:uid="{AA429913-8137-4963-83EE-889CC78DA698}"/>
    <cellStyle name="Normal 126 2 3" xfId="8547" xr:uid="{482A38FD-577C-4212-AE54-47BA816CB68A}"/>
    <cellStyle name="Normal 126 2 3 2" xfId="10616" xr:uid="{D683C987-AE0E-4527-B385-BDC1BB540ADA}"/>
    <cellStyle name="Normal 126 2 3 2 2" xfId="14822" xr:uid="{0BA61EE4-395E-4F6D-82E4-F9D4C31ED52F}"/>
    <cellStyle name="Normal 126 2 3 3" xfId="12793" xr:uid="{B7FDB9B0-23B8-4A99-8C89-0E7481007F21}"/>
    <cellStyle name="Normal 126 2 4" xfId="9220" xr:uid="{D3E601AF-7CF2-484E-8DBC-28B883739B20}"/>
    <cellStyle name="Normal 126 2 4 2" xfId="11289" xr:uid="{DE4030A5-D91B-4E99-B7E4-5429A622FF65}"/>
    <cellStyle name="Normal 126 2 4 2 2" xfId="15495" xr:uid="{D3F1E2BC-7075-45DB-A144-9BE28474F331}"/>
    <cellStyle name="Normal 126 2 4 3" xfId="13466" xr:uid="{27907878-32C8-4157-B49E-30375AF71319}"/>
    <cellStyle name="Normal 126 2 5" xfId="9588" xr:uid="{01866EFD-55D5-44CD-A383-75221E44E459}"/>
    <cellStyle name="Normal 126 2 5 2" xfId="11622" xr:uid="{AE211AC7-5F4F-4445-8578-199C3A04C556}"/>
    <cellStyle name="Normal 126 2 5 2 2" xfId="15828" xr:uid="{C4FCB5B4-19FE-48A7-909B-8280CBB6AD71}"/>
    <cellStyle name="Normal 126 2 5 3" xfId="13799" xr:uid="{E524776E-8BAB-44C9-97BB-C6137CBBD96A}"/>
    <cellStyle name="Normal 126 2 6" xfId="9946" xr:uid="{448897F1-E6E2-44F6-B30B-0139381D97FD}"/>
    <cellStyle name="Normal 126 2 6 2" xfId="14152" xr:uid="{5628315E-5EF1-4E63-B680-547DE7428073}"/>
    <cellStyle name="Normal 126 2 7" xfId="12123" xr:uid="{071D6A34-5421-4784-AF6A-3837AF30A525}"/>
    <cellStyle name="Normal 126 3" xfId="8048" xr:uid="{4F98D859-25A1-40F2-97FB-FFAA5FEEBC6D}"/>
    <cellStyle name="Normal 126 3 2" xfId="8718" xr:uid="{09AC795D-666C-4D82-9D8E-46BD3C13AEF5}"/>
    <cellStyle name="Normal 126 3 2 2" xfId="10787" xr:uid="{97D2C80F-FA5F-4443-8178-34521F1C8731}"/>
    <cellStyle name="Normal 126 3 2 2 2" xfId="14993" xr:uid="{B668DF42-ED85-400D-B2CA-4DA44B301B19}"/>
    <cellStyle name="Normal 126 3 2 3" xfId="12964" xr:uid="{B3606C68-1FFC-434C-8A4E-0395C537E93E}"/>
    <cellStyle name="Normal 126 3 3" xfId="10117" xr:uid="{BCDA185C-91F7-4059-9A7C-DF38DFB2D31D}"/>
    <cellStyle name="Normal 126 3 3 2" xfId="14323" xr:uid="{CA877F04-9E04-4A49-B158-42EEF9755B62}"/>
    <cellStyle name="Normal 126 3 4" xfId="12294" xr:uid="{5A95A260-F69E-4C36-A688-EA1077183F7A}"/>
    <cellStyle name="Normal 126 4" xfId="8384" xr:uid="{07BBAC34-E971-4093-A090-5C137B2F5298}"/>
    <cellStyle name="Normal 126 4 2" xfId="10453" xr:uid="{157EE004-6C78-4802-BCC0-7023F54BFD57}"/>
    <cellStyle name="Normal 126 4 2 2" xfId="14659" xr:uid="{271574C8-FED1-4ED3-971E-D6E9F3DCC59A}"/>
    <cellStyle name="Normal 126 4 3" xfId="12630" xr:uid="{4075E75C-0FFE-49C1-8F8B-E16E0BE8D044}"/>
    <cellStyle name="Normal 126 5" xfId="9057" xr:uid="{5D2AC88A-03BC-428D-863A-6A960EB1B4F3}"/>
    <cellStyle name="Normal 126 5 2" xfId="11126" xr:uid="{089D9772-4E23-45A1-B482-86A6941F38B0}"/>
    <cellStyle name="Normal 126 5 2 2" xfId="15332" xr:uid="{76E359BA-AB51-4F35-BE5A-CDC36AC05BCE}"/>
    <cellStyle name="Normal 126 5 3" xfId="13303" xr:uid="{70F6172F-928B-4D12-B8B1-E1F5B8CFCD6C}"/>
    <cellStyle name="Normal 126 6" xfId="9425" xr:uid="{BD5A1D48-E03B-42A5-A5EA-EEF660B5AD6C}"/>
    <cellStyle name="Normal 126 6 2" xfId="11459" xr:uid="{FB113557-9881-40BB-85F6-992F1FDAF595}"/>
    <cellStyle name="Normal 126 6 2 2" xfId="15665" xr:uid="{43B6E8FE-B207-4E47-ADD1-9EC477D8134E}"/>
    <cellStyle name="Normal 126 6 3" xfId="13636" xr:uid="{7E869CFA-9D55-41C9-BFDF-A027D37FAB6F}"/>
    <cellStyle name="Normal 126 7" xfId="9783" xr:uid="{C0230AE9-4F48-4F0C-BB65-D47ECE061F22}"/>
    <cellStyle name="Normal 126 7 2" xfId="13989" xr:uid="{4D8D14C9-3E05-4FAF-9AEC-C7E3BB6D237B}"/>
    <cellStyle name="Normal 126 8" xfId="11960" xr:uid="{CFBCED21-BD94-4EDC-BC25-63B3B9789FBB}"/>
    <cellStyle name="Normal 127" xfId="7653" xr:uid="{40CD3C86-4958-4E3C-8809-B695BDDAC9AE}"/>
    <cellStyle name="Normal 127 2" xfId="7842" xr:uid="{77F80BBA-735F-4FAD-B9D5-6D4D9C54DB1E}"/>
    <cellStyle name="Normal 127 2 2" xfId="8212" xr:uid="{56118DBA-74E7-474A-AC4B-3EF61A960710}"/>
    <cellStyle name="Normal 127 2 2 2" xfId="8882" xr:uid="{49DB2085-3696-4328-AECF-38851AC211C3}"/>
    <cellStyle name="Normal 127 2 2 2 2" xfId="10951" xr:uid="{B7D75248-40B0-4E61-AA61-ADE2080E64D9}"/>
    <cellStyle name="Normal 127 2 2 2 2 2" xfId="15157" xr:uid="{E42814F0-8351-4995-9C74-697CB11CA629}"/>
    <cellStyle name="Normal 127 2 2 2 3" xfId="13128" xr:uid="{9B801506-A0C8-4F05-BCC2-D3975DC687E3}"/>
    <cellStyle name="Normal 127 2 2 3" xfId="10281" xr:uid="{5B65A6D2-5DC6-4CB1-8CD0-C8A38F18510B}"/>
    <cellStyle name="Normal 127 2 2 3 2" xfId="14487" xr:uid="{A3354DD5-74CA-428F-9D22-CA1CB391F2B5}"/>
    <cellStyle name="Normal 127 2 2 4" xfId="12458" xr:uid="{D4EE0E7D-6054-4CE8-B084-1AFF458C3C6A}"/>
    <cellStyle name="Normal 127 2 3" xfId="8548" xr:uid="{83D62B73-50C0-43A1-8827-61DA72D8B3D8}"/>
    <cellStyle name="Normal 127 2 3 2" xfId="10617" xr:uid="{FDAA3499-9132-4C31-836B-EEB7F4554817}"/>
    <cellStyle name="Normal 127 2 3 2 2" xfId="14823" xr:uid="{5681A145-7C08-4248-AECE-1D4E4C3CA00C}"/>
    <cellStyle name="Normal 127 2 3 3" xfId="12794" xr:uid="{941E371F-7E75-4A7E-88DA-F88E23E36254}"/>
    <cellStyle name="Normal 127 2 4" xfId="9221" xr:uid="{4EDE9210-8A8B-4845-A073-79E388D07BCB}"/>
    <cellStyle name="Normal 127 2 4 2" xfId="11290" xr:uid="{A8214EB0-1265-4B21-9BE4-36E10AE8AE51}"/>
    <cellStyle name="Normal 127 2 4 2 2" xfId="15496" xr:uid="{33237EEE-A0A0-4A90-874F-8CB2529D18BD}"/>
    <cellStyle name="Normal 127 2 4 3" xfId="13467" xr:uid="{91002239-DF55-41AE-96AB-44EBE9200349}"/>
    <cellStyle name="Normal 127 2 5" xfId="9589" xr:uid="{FC0FBA73-7C03-4404-81F7-B7C9341D5F78}"/>
    <cellStyle name="Normal 127 2 5 2" xfId="11623" xr:uid="{EFE07DA5-B81D-450C-A45C-8BD7077F2884}"/>
    <cellStyle name="Normal 127 2 5 2 2" xfId="15829" xr:uid="{674AAEED-FB16-4760-BAF8-5FF8755F093A}"/>
    <cellStyle name="Normal 127 2 5 3" xfId="13800" xr:uid="{C6A9FCE2-7DEA-4189-AED4-8CF6BC7B22F3}"/>
    <cellStyle name="Normal 127 2 6" xfId="9947" xr:uid="{08FEB59B-A030-41B4-AD03-A1893A8C9DAF}"/>
    <cellStyle name="Normal 127 2 6 2" xfId="14153" xr:uid="{29427C4C-785C-43DA-9C95-142D80F7D879}"/>
    <cellStyle name="Normal 127 2 7" xfId="12124" xr:uid="{3499EA39-379E-400F-AB92-9323FC85C929}"/>
    <cellStyle name="Normal 127 3" xfId="8049" xr:uid="{D8DB2611-EB3E-451C-8ABA-7F5B503625C6}"/>
    <cellStyle name="Normal 127 3 2" xfId="8719" xr:uid="{145E49DC-8FB0-4C0C-AB05-4FE264D40C57}"/>
    <cellStyle name="Normal 127 3 2 2" xfId="10788" xr:uid="{737662FC-1725-483C-9016-88421CB8CE41}"/>
    <cellStyle name="Normal 127 3 2 2 2" xfId="14994" xr:uid="{95B3E8D5-C3A3-4B4A-BA0D-3A71A54045A1}"/>
    <cellStyle name="Normal 127 3 2 3" xfId="12965" xr:uid="{AEABE993-C998-4970-9C3F-4E7FD63CD4E6}"/>
    <cellStyle name="Normal 127 3 3" xfId="10118" xr:uid="{97097489-9F7F-4477-A15E-1F014F4BF19D}"/>
    <cellStyle name="Normal 127 3 3 2" xfId="14324" xr:uid="{92959D4E-647A-4ADD-B7DF-06C264850411}"/>
    <cellStyle name="Normal 127 3 4" xfId="12295" xr:uid="{1D7FD6E9-CC7D-41B6-BE9F-10E06935BAB4}"/>
    <cellStyle name="Normal 127 4" xfId="8385" xr:uid="{4A67EBA3-0768-4643-A290-8FF552DDBB95}"/>
    <cellStyle name="Normal 127 4 2" xfId="10454" xr:uid="{6373412B-921F-4DCD-866A-20A0D9C6D083}"/>
    <cellStyle name="Normal 127 4 2 2" xfId="14660" xr:uid="{55CA9CDE-12EA-4FB9-9F3B-A09E5FE5899D}"/>
    <cellStyle name="Normal 127 4 3" xfId="12631" xr:uid="{0E9A820C-789D-43A6-98B5-534718BFAC51}"/>
    <cellStyle name="Normal 127 5" xfId="9058" xr:uid="{E0803776-D359-4FC3-A1DE-5919D7D69A80}"/>
    <cellStyle name="Normal 127 5 2" xfId="11127" xr:uid="{7EA25260-24EF-4FEB-A53B-10AE9A83EC12}"/>
    <cellStyle name="Normal 127 5 2 2" xfId="15333" xr:uid="{54306C17-8BEB-4EFC-8545-792F281D02CA}"/>
    <cellStyle name="Normal 127 5 3" xfId="13304" xr:uid="{DBC75BC5-F2FC-45B7-8550-6ABE5BBDBD24}"/>
    <cellStyle name="Normal 127 6" xfId="9426" xr:uid="{BEDB3A49-1530-4DC6-B913-D9D18A573EFA}"/>
    <cellStyle name="Normal 127 6 2" xfId="11460" xr:uid="{EC267DE0-6174-4FCF-8145-E68B8C3F9B6E}"/>
    <cellStyle name="Normal 127 6 2 2" xfId="15666" xr:uid="{26DFAAAD-CCD8-450B-A747-45BA12FC14BB}"/>
    <cellStyle name="Normal 127 6 3" xfId="13637" xr:uid="{BCDB1740-3E7C-4A6E-92AE-3D99662F9F45}"/>
    <cellStyle name="Normal 127 7" xfId="9784" xr:uid="{D84F1F3C-46DD-4966-BD6A-805594730FFB}"/>
    <cellStyle name="Normal 127 7 2" xfId="13990" xr:uid="{635CBCA2-F289-4633-9E06-771EA1E6327F}"/>
    <cellStyle name="Normal 127 8" xfId="11961" xr:uid="{78DCF0B9-00B9-4A67-9F9E-A006937B3ED4}"/>
    <cellStyle name="Normal 128" xfId="7654" xr:uid="{58E845CE-D2ED-4458-A25E-DA7B5614531C}"/>
    <cellStyle name="Normal 128 2" xfId="7843" xr:uid="{546E0EB1-532B-4EA5-B49A-A85BF0614B53}"/>
    <cellStyle name="Normal 128 2 2" xfId="8213" xr:uid="{B3727E58-64D3-4EB6-B200-C5B4C5637C83}"/>
    <cellStyle name="Normal 128 2 2 2" xfId="8883" xr:uid="{3C32B5C8-669A-4320-8120-FF18791D4C6A}"/>
    <cellStyle name="Normal 128 2 2 2 2" xfId="10952" xr:uid="{209CC00F-8CCD-4327-8870-DEEF7CBF49A5}"/>
    <cellStyle name="Normal 128 2 2 2 2 2" xfId="15158" xr:uid="{4E56D8B6-8B3E-4197-ADA3-ED77B4CE64A9}"/>
    <cellStyle name="Normal 128 2 2 2 3" xfId="13129" xr:uid="{26EE3EC8-2508-40B7-9549-D97536BF554B}"/>
    <cellStyle name="Normal 128 2 2 3" xfId="10282" xr:uid="{CAF722EB-C0A9-4371-A14C-EFB246AD15C1}"/>
    <cellStyle name="Normal 128 2 2 3 2" xfId="14488" xr:uid="{64D963F6-2A9A-4B51-AB89-523DF2AA490F}"/>
    <cellStyle name="Normal 128 2 2 4" xfId="12459" xr:uid="{9EA5E894-4380-4809-8237-ED1BEA3FBA5D}"/>
    <cellStyle name="Normal 128 2 3" xfId="8549" xr:uid="{BCF60F60-72D7-4E37-B564-4E67DA1D359B}"/>
    <cellStyle name="Normal 128 2 3 2" xfId="10618" xr:uid="{C29FAB77-7FF0-4C66-8C89-3407B4F66333}"/>
    <cellStyle name="Normal 128 2 3 2 2" xfId="14824" xr:uid="{AA78275A-296B-4789-AE72-D73BA5BFEF8C}"/>
    <cellStyle name="Normal 128 2 3 3" xfId="12795" xr:uid="{3423DCC7-4BAC-422B-B496-B88310E61638}"/>
    <cellStyle name="Normal 128 2 4" xfId="9222" xr:uid="{F11E2509-A670-489B-A98B-B4B332202D45}"/>
    <cellStyle name="Normal 128 2 4 2" xfId="11291" xr:uid="{49E695A2-778D-4295-AAB9-6B82799A7929}"/>
    <cellStyle name="Normal 128 2 4 2 2" xfId="15497" xr:uid="{87C3B942-A816-4582-8EAF-901EE7B5D385}"/>
    <cellStyle name="Normal 128 2 4 3" xfId="13468" xr:uid="{50104890-4249-42AD-AA45-3DB8D46A9C8E}"/>
    <cellStyle name="Normal 128 2 5" xfId="9590" xr:uid="{14D907A2-8A19-4BF5-8F3C-25C9A056EFEC}"/>
    <cellStyle name="Normal 128 2 5 2" xfId="11624" xr:uid="{5E0647E0-3B5C-40B9-8722-931DEC40F5BE}"/>
    <cellStyle name="Normal 128 2 5 2 2" xfId="15830" xr:uid="{EEFB3A6F-8B80-4430-9C15-BA2AEAF2E7B4}"/>
    <cellStyle name="Normal 128 2 5 3" xfId="13801" xr:uid="{D2CA0929-A1B4-4B52-9C62-45E60B50E9FB}"/>
    <cellStyle name="Normal 128 2 6" xfId="9948" xr:uid="{7DF2AB1C-2A1D-48FF-B6A0-60DF81156581}"/>
    <cellStyle name="Normal 128 2 6 2" xfId="14154" xr:uid="{4E096DC8-7964-4F55-8E25-F49ED69A3399}"/>
    <cellStyle name="Normal 128 2 7" xfId="12125" xr:uid="{6707AD4A-F09A-4D12-8277-748471A5A5BC}"/>
    <cellStyle name="Normal 128 3" xfId="8050" xr:uid="{4D2CCBE8-CF5C-405D-AE26-42D21AC3EC11}"/>
    <cellStyle name="Normal 128 3 2" xfId="8720" xr:uid="{C5B8EAB3-6E3E-4F80-A722-DE8BAC55ABF4}"/>
    <cellStyle name="Normal 128 3 2 2" xfId="10789" xr:uid="{1FA822E8-6214-47B6-BCDC-3E4CCE618D3F}"/>
    <cellStyle name="Normal 128 3 2 2 2" xfId="14995" xr:uid="{05688D37-497F-47E5-BC78-D9A458CCB8C5}"/>
    <cellStyle name="Normal 128 3 2 3" xfId="12966" xr:uid="{F28B332D-ED6D-48D8-ACE6-D50E24A33F08}"/>
    <cellStyle name="Normal 128 3 3" xfId="10119" xr:uid="{10FD9C49-4994-4BB5-BC00-FC215682940B}"/>
    <cellStyle name="Normal 128 3 3 2" xfId="14325" xr:uid="{439D8629-1EE1-4718-BD9C-D3CBF53680B3}"/>
    <cellStyle name="Normal 128 3 4" xfId="12296" xr:uid="{4250AD1D-5148-453A-B7F7-12135DEA4D7D}"/>
    <cellStyle name="Normal 128 4" xfId="8386" xr:uid="{CA3F2B27-BE1A-40FD-A8E9-0EDAB30E24F4}"/>
    <cellStyle name="Normal 128 4 2" xfId="10455" xr:uid="{9AA4C6E5-18FD-4852-8EEB-B982D57EF70C}"/>
    <cellStyle name="Normal 128 4 2 2" xfId="14661" xr:uid="{D6104611-3F73-4514-B0A1-EEB38A3619D8}"/>
    <cellStyle name="Normal 128 4 3" xfId="12632" xr:uid="{D9384BCB-012A-4187-B3E4-CDB8EA904523}"/>
    <cellStyle name="Normal 128 5" xfId="9059" xr:uid="{FB1BB5E0-13F3-4D07-A8B9-D63F4AA789EC}"/>
    <cellStyle name="Normal 128 5 2" xfId="11128" xr:uid="{3A7C8176-2445-4E9A-9A17-885AC33E985A}"/>
    <cellStyle name="Normal 128 5 2 2" xfId="15334" xr:uid="{FF199126-DB2A-4E76-9231-454315A0C4CE}"/>
    <cellStyle name="Normal 128 5 3" xfId="13305" xr:uid="{9FCF4990-83D5-4268-9B9C-C79B2B2B7564}"/>
    <cellStyle name="Normal 128 6" xfId="9427" xr:uid="{F655C395-4811-4BCD-8372-F45EB7F73E5A}"/>
    <cellStyle name="Normal 128 6 2" xfId="11461" xr:uid="{F8723505-DC25-4D2B-81C9-B2B90C6747C3}"/>
    <cellStyle name="Normal 128 6 2 2" xfId="15667" xr:uid="{3F5F66A0-1DD0-47F1-8964-0A12D9996A38}"/>
    <cellStyle name="Normal 128 6 3" xfId="13638" xr:uid="{61E3D61D-CD68-43CB-B222-0120D9395D4C}"/>
    <cellStyle name="Normal 128 7" xfId="9785" xr:uid="{3A6D0632-60E3-4D3A-9E30-2A18A674B7AE}"/>
    <cellStyle name="Normal 128 7 2" xfId="13991" xr:uid="{2E4EAAF2-0055-4496-A56B-FCC54089D08E}"/>
    <cellStyle name="Normal 128 8" xfId="11962" xr:uid="{0159F62B-D800-478E-9415-3CE273506E07}"/>
    <cellStyle name="Normal 129" xfId="7655" xr:uid="{66D9E405-4741-46AF-8F6C-5A4132E16D00}"/>
    <cellStyle name="Normal 129 2" xfId="7844" xr:uid="{4D3A2285-D18E-4ECE-9419-0C13E50F6573}"/>
    <cellStyle name="Normal 129 2 2" xfId="8214" xr:uid="{13A43986-21A8-4E85-8234-DF848364898A}"/>
    <cellStyle name="Normal 129 2 2 2" xfId="8884" xr:uid="{58112952-B7D7-480D-88DF-E799AAF03A1F}"/>
    <cellStyle name="Normal 129 2 2 2 2" xfId="10953" xr:uid="{CA9ACC77-E698-4BF8-A09D-6EE2247A951A}"/>
    <cellStyle name="Normal 129 2 2 2 2 2" xfId="15159" xr:uid="{8F678B86-1745-4CC3-B982-E2AE9FE747DC}"/>
    <cellStyle name="Normal 129 2 2 2 3" xfId="13130" xr:uid="{753E023C-C9BB-4A0A-BBD4-EFDD8E518646}"/>
    <cellStyle name="Normal 129 2 2 3" xfId="10283" xr:uid="{574E5EBB-8A82-4B19-B892-524C34169FE9}"/>
    <cellStyle name="Normal 129 2 2 3 2" xfId="14489" xr:uid="{035CFDD7-7E40-4EAB-9D66-46960A3767EB}"/>
    <cellStyle name="Normal 129 2 2 4" xfId="12460" xr:uid="{C7F6A6F1-D835-4F49-BD56-13B66D21CCEF}"/>
    <cellStyle name="Normal 129 2 3" xfId="8550" xr:uid="{A0617CCE-EBCC-496F-93AF-34930645E0E8}"/>
    <cellStyle name="Normal 129 2 3 2" xfId="10619" xr:uid="{2DC3F6CF-4142-4757-9AA4-0DD3E46259D0}"/>
    <cellStyle name="Normal 129 2 3 2 2" xfId="14825" xr:uid="{AA9A90EA-6B10-4306-B07E-9643623520A9}"/>
    <cellStyle name="Normal 129 2 3 3" xfId="12796" xr:uid="{9639E999-547F-4DB1-826F-8F89C938D0B9}"/>
    <cellStyle name="Normal 129 2 4" xfId="9223" xr:uid="{675578B0-6222-4E80-9129-1EA91D88C16F}"/>
    <cellStyle name="Normal 129 2 4 2" xfId="11292" xr:uid="{397E6466-CE13-4ED4-A8A5-7C14CB7D120C}"/>
    <cellStyle name="Normal 129 2 4 2 2" xfId="15498" xr:uid="{5E057EB4-1CAC-43B1-9C1F-7B6ECFB3FF77}"/>
    <cellStyle name="Normal 129 2 4 3" xfId="13469" xr:uid="{F2146926-452C-4246-8551-67C5AFA81F89}"/>
    <cellStyle name="Normal 129 2 5" xfId="9591" xr:uid="{021200B9-DA13-4D18-8F6A-6EE6668CE2BF}"/>
    <cellStyle name="Normal 129 2 5 2" xfId="11625" xr:uid="{B0682A86-1191-4CD6-93F4-36729E0BEA4B}"/>
    <cellStyle name="Normal 129 2 5 2 2" xfId="15831" xr:uid="{6251FF2E-1228-4994-AF9F-B6C32A09FB53}"/>
    <cellStyle name="Normal 129 2 5 3" xfId="13802" xr:uid="{A47B8142-A4AD-4303-A803-96C70747E4ED}"/>
    <cellStyle name="Normal 129 2 6" xfId="9949" xr:uid="{82F8201C-44F9-456A-8029-A6B89C0C7330}"/>
    <cellStyle name="Normal 129 2 6 2" xfId="14155" xr:uid="{876B63DD-3091-4DA3-8D1D-6B46B68B67C8}"/>
    <cellStyle name="Normal 129 2 7" xfId="12126" xr:uid="{DCEC0EF5-9025-4037-93A2-F8946427815A}"/>
    <cellStyle name="Normal 129 3" xfId="8051" xr:uid="{995D863F-C454-4A7D-BF5A-4973805F3993}"/>
    <cellStyle name="Normal 129 3 2" xfId="8721" xr:uid="{4267E486-8837-4E4E-9BA5-6093AF2B8A7A}"/>
    <cellStyle name="Normal 129 3 2 2" xfId="10790" xr:uid="{FBC33A09-8EC3-428A-84CB-B9D904395A96}"/>
    <cellStyle name="Normal 129 3 2 2 2" xfId="14996" xr:uid="{88124B7D-2B78-4A25-A362-2C7C9F0D1B8F}"/>
    <cellStyle name="Normal 129 3 2 3" xfId="12967" xr:uid="{840640B4-8961-4D24-85D8-419D86D72C96}"/>
    <cellStyle name="Normal 129 3 3" xfId="10120" xr:uid="{71F1EB2F-2CB6-44C2-86F6-8DAA3143FAEF}"/>
    <cellStyle name="Normal 129 3 3 2" xfId="14326" xr:uid="{06F77214-E85E-4208-9927-B6A4982D2E62}"/>
    <cellStyle name="Normal 129 3 4" xfId="12297" xr:uid="{642F00DD-AFEB-4C64-A4FF-2F6E36322562}"/>
    <cellStyle name="Normal 129 4" xfId="8387" xr:uid="{31AE14A7-EE4A-4B39-BE1F-F58147C28474}"/>
    <cellStyle name="Normal 129 4 2" xfId="10456" xr:uid="{2187DEF1-9BC6-4287-AA20-41DDC959E242}"/>
    <cellStyle name="Normal 129 4 2 2" xfId="14662" xr:uid="{3A2E7E37-9C08-41F7-9358-502CBDA7E46B}"/>
    <cellStyle name="Normal 129 4 3" xfId="12633" xr:uid="{9E8082C4-AE12-4B7C-A455-56BCCA86B42D}"/>
    <cellStyle name="Normal 129 5" xfId="9060" xr:uid="{50465A0C-3133-4B40-9A0D-A466386FA79E}"/>
    <cellStyle name="Normal 129 5 2" xfId="11129" xr:uid="{9DB115E5-7F08-410A-AC12-CB5F792C8FC9}"/>
    <cellStyle name="Normal 129 5 2 2" xfId="15335" xr:uid="{6C1AFA54-2597-497D-A8CF-FFC17F664722}"/>
    <cellStyle name="Normal 129 5 3" xfId="13306" xr:uid="{503978A4-6DCD-4B19-8054-41713A77A246}"/>
    <cellStyle name="Normal 129 6" xfId="9428" xr:uid="{6FDF3C60-2832-4A0F-A0A2-ED1657BDF2D4}"/>
    <cellStyle name="Normal 129 6 2" xfId="11462" xr:uid="{1F55C0C8-DC09-41A3-A405-CEC9EE1B9420}"/>
    <cellStyle name="Normal 129 6 2 2" xfId="15668" xr:uid="{C842C9A1-9BA9-4C12-9DBB-70E8436A905D}"/>
    <cellStyle name="Normal 129 6 3" xfId="13639" xr:uid="{BF75573D-EF4B-43E3-BECA-7F476A4131A5}"/>
    <cellStyle name="Normal 129 7" xfId="9786" xr:uid="{185AD913-40C7-4665-8D23-8B4F69F801DA}"/>
    <cellStyle name="Normal 129 7 2" xfId="13992" xr:uid="{27C52654-D849-4A94-86D4-8FF63CE761D7}"/>
    <cellStyle name="Normal 129 8" xfId="11963" xr:uid="{77D51CFA-A61E-4B2B-AD6C-C1BD4D5B73D2}"/>
    <cellStyle name="Normal 13" xfId="1429" xr:uid="{C895C6ED-D8CF-4819-AF64-DD116DC7062E}"/>
    <cellStyle name="Normal 130" xfId="7656" xr:uid="{8CFDCDDD-1C6C-48A1-99FD-6BAA9F735D58}"/>
    <cellStyle name="Normal 130 2" xfId="7845" xr:uid="{3B9EA60D-0DAE-4AB7-BECE-8B496B69FFD9}"/>
    <cellStyle name="Normal 130 2 2" xfId="8215" xr:uid="{71B1440E-59DA-4A7B-ABBE-FFBD8BEF22E7}"/>
    <cellStyle name="Normal 130 2 2 2" xfId="8885" xr:uid="{6AB06C5A-92D0-4DBE-9C15-1E91CA7919BD}"/>
    <cellStyle name="Normal 130 2 2 2 2" xfId="10954" xr:uid="{EE8A718F-58D4-4D02-B453-59724BAA3670}"/>
    <cellStyle name="Normal 130 2 2 2 2 2" xfId="15160" xr:uid="{0A655EE4-AD20-40B4-94AF-9441B39EBB2E}"/>
    <cellStyle name="Normal 130 2 2 2 3" xfId="13131" xr:uid="{2F1C52F6-3F80-49C8-92DB-E99674447633}"/>
    <cellStyle name="Normal 130 2 2 3" xfId="10284" xr:uid="{803EE186-C74A-4E0E-BF89-8A1D9914820B}"/>
    <cellStyle name="Normal 130 2 2 3 2" xfId="14490" xr:uid="{49030B1A-D5B9-4618-A660-F592270C1331}"/>
    <cellStyle name="Normal 130 2 2 4" xfId="12461" xr:uid="{4FD44EEE-2033-4F83-B73F-61230B8E58A1}"/>
    <cellStyle name="Normal 130 2 3" xfId="8551" xr:uid="{03EFAF91-0BB6-4237-A37D-1F4693AD8177}"/>
    <cellStyle name="Normal 130 2 3 2" xfId="10620" xr:uid="{2C9C8A40-448D-4345-AB5A-9DE94C5523D3}"/>
    <cellStyle name="Normal 130 2 3 2 2" xfId="14826" xr:uid="{8D90A589-36FA-46D3-A568-41F82A8FB5D9}"/>
    <cellStyle name="Normal 130 2 3 3" xfId="12797" xr:uid="{99B8C00A-049D-4CC1-99D1-D82557B648D0}"/>
    <cellStyle name="Normal 130 2 4" xfId="9224" xr:uid="{BA8A9F81-ABEC-4F8B-9F7C-E2F4E7918B65}"/>
    <cellStyle name="Normal 130 2 4 2" xfId="11293" xr:uid="{3DCB0AE2-F6CC-4BBF-BA7C-2C1FED8AA0B9}"/>
    <cellStyle name="Normal 130 2 4 2 2" xfId="15499" xr:uid="{B9C1DF63-2A28-4E8C-8A77-62E37ADBAD58}"/>
    <cellStyle name="Normal 130 2 4 3" xfId="13470" xr:uid="{DAB9CE38-612D-4709-A871-30AAD8238C7C}"/>
    <cellStyle name="Normal 130 2 5" xfId="9592" xr:uid="{170DE695-F5D4-4E8F-AA33-A60595168B88}"/>
    <cellStyle name="Normal 130 2 5 2" xfId="11626" xr:uid="{5D865994-B9CB-4A9A-8E8A-2E7D00175B27}"/>
    <cellStyle name="Normal 130 2 5 2 2" xfId="15832" xr:uid="{4C3754E1-5779-4E96-A8B6-008C7FD20ABF}"/>
    <cellStyle name="Normal 130 2 5 3" xfId="13803" xr:uid="{720679DD-27EE-45EC-A9F9-26E707038609}"/>
    <cellStyle name="Normal 130 2 6" xfId="9950" xr:uid="{C7FE5498-5E4D-432C-A4AD-A7370BBAB4B6}"/>
    <cellStyle name="Normal 130 2 6 2" xfId="14156" xr:uid="{3457F61E-462A-4F1D-A12E-F50E4B857975}"/>
    <cellStyle name="Normal 130 2 7" xfId="12127" xr:uid="{964BBD2A-704B-423E-986C-D68E69B7164F}"/>
    <cellStyle name="Normal 130 3" xfId="8052" xr:uid="{919C3264-F903-4B0E-B56D-44F0846BFA5C}"/>
    <cellStyle name="Normal 130 3 2" xfId="8722" xr:uid="{8F3B9176-0F31-453B-A1CF-0905B40DF5CB}"/>
    <cellStyle name="Normal 130 3 2 2" xfId="10791" xr:uid="{AC8D7776-F1BA-4495-A845-30CF2F499FD9}"/>
    <cellStyle name="Normal 130 3 2 2 2" xfId="14997" xr:uid="{E062CD56-FE2C-4FD2-9B7A-38353392FB71}"/>
    <cellStyle name="Normal 130 3 2 3" xfId="12968" xr:uid="{E42286FC-F629-4418-BFD8-678CBF7BA08E}"/>
    <cellStyle name="Normal 130 3 3" xfId="10121" xr:uid="{F907A3C6-7731-4AC6-BC6D-DF7D75F7E733}"/>
    <cellStyle name="Normal 130 3 3 2" xfId="14327" xr:uid="{71F4DEA5-F644-4809-A13A-F220522F7E5B}"/>
    <cellStyle name="Normal 130 3 4" xfId="12298" xr:uid="{A16B7473-0B19-40A4-A5CA-C6D9DD3188DA}"/>
    <cellStyle name="Normal 130 4" xfId="8388" xr:uid="{41DB8FF0-222C-481E-86E0-F1382FD2ED85}"/>
    <cellStyle name="Normal 130 4 2" xfId="10457" xr:uid="{63B4C1FC-B527-4815-BA25-0169F258884D}"/>
    <cellStyle name="Normal 130 4 2 2" xfId="14663" xr:uid="{DE913698-26CF-44F7-864A-47DF7D908A58}"/>
    <cellStyle name="Normal 130 4 3" xfId="12634" xr:uid="{35EB13FF-E08D-450A-A390-9C28E33C82E2}"/>
    <cellStyle name="Normal 130 5" xfId="9061" xr:uid="{C2DFC283-0D02-463B-97BE-F8A990E57C52}"/>
    <cellStyle name="Normal 130 5 2" xfId="11130" xr:uid="{6668AB24-8BB7-4616-8053-97EA27B87E61}"/>
    <cellStyle name="Normal 130 5 2 2" xfId="15336" xr:uid="{B09CA76B-C52E-46CC-87CF-42D33C6D2744}"/>
    <cellStyle name="Normal 130 5 3" xfId="13307" xr:uid="{9AA55613-1082-4259-978B-6AE36EA30BBC}"/>
    <cellStyle name="Normal 130 6" xfId="9429" xr:uid="{8043F3C4-6423-42CB-BCB3-5E412E9CE134}"/>
    <cellStyle name="Normal 130 6 2" xfId="11463" xr:uid="{2BC5E086-C1B3-4609-831A-4399F5A6D288}"/>
    <cellStyle name="Normal 130 6 2 2" xfId="15669" xr:uid="{30E04C62-AF04-45EA-863B-61B182F800A5}"/>
    <cellStyle name="Normal 130 6 3" xfId="13640" xr:uid="{D899A8B9-B398-413F-AC7A-CA7463718F7F}"/>
    <cellStyle name="Normal 130 7" xfId="9787" xr:uid="{E69BA03F-CFE3-426A-B29D-9DDBFC2E6A6F}"/>
    <cellStyle name="Normal 130 7 2" xfId="13993" xr:uid="{EF584BCC-C346-45C5-A682-49AA2EE6B2C3}"/>
    <cellStyle name="Normal 130 8" xfId="11964" xr:uid="{73922750-9D2E-4598-AE15-839F6FEB9A69}"/>
    <cellStyle name="Normal 131" xfId="7657" xr:uid="{C5EB7BAC-15FF-4679-A19E-BF4A2E1257D8}"/>
    <cellStyle name="Normal 131 2" xfId="7846" xr:uid="{0954ECA8-CD39-4F99-A1EF-E5B574CA9B97}"/>
    <cellStyle name="Normal 131 2 2" xfId="8216" xr:uid="{EB4CA9A5-E4A5-4E1B-AE91-6C28CBA4155D}"/>
    <cellStyle name="Normal 131 2 2 2" xfId="8886" xr:uid="{F7884FAC-6170-43E9-A30A-6BB1C960B315}"/>
    <cellStyle name="Normal 131 2 2 2 2" xfId="10955" xr:uid="{01BC25BE-974E-4962-B110-BD9255DAF503}"/>
    <cellStyle name="Normal 131 2 2 2 2 2" xfId="15161" xr:uid="{8F88049D-A14F-492D-9A15-3D30A5F65765}"/>
    <cellStyle name="Normal 131 2 2 2 3" xfId="13132" xr:uid="{0F74C1FE-6693-48E8-8D91-D0B8D1F71566}"/>
    <cellStyle name="Normal 131 2 2 3" xfId="10285" xr:uid="{85CC7613-476E-4CCA-AC0B-17A14225C29C}"/>
    <cellStyle name="Normal 131 2 2 3 2" xfId="14491" xr:uid="{2931993B-4B42-4DDC-9EA4-936B07FB7B5E}"/>
    <cellStyle name="Normal 131 2 2 4" xfId="12462" xr:uid="{E301598A-8340-40D7-A5A0-C87CC14181C3}"/>
    <cellStyle name="Normal 131 2 3" xfId="8552" xr:uid="{AE5B4D0D-5FA0-48A9-BBF1-3F6B93730375}"/>
    <cellStyle name="Normal 131 2 3 2" xfId="10621" xr:uid="{40B64629-C1CE-4BDA-A887-6D4F1E7B7C10}"/>
    <cellStyle name="Normal 131 2 3 2 2" xfId="14827" xr:uid="{C71FB7DC-12E9-4F56-AAAC-9A1228BBA4C5}"/>
    <cellStyle name="Normal 131 2 3 3" xfId="12798" xr:uid="{41F746F5-1A08-4022-8B1B-0231E3D8192B}"/>
    <cellStyle name="Normal 131 2 4" xfId="9225" xr:uid="{77749530-8A3E-4F55-B96B-2CCECE9F635C}"/>
    <cellStyle name="Normal 131 2 4 2" xfId="11294" xr:uid="{2867157E-74BC-471B-B178-503FCDA059C7}"/>
    <cellStyle name="Normal 131 2 4 2 2" xfId="15500" xr:uid="{19BBA4B0-8002-4564-8128-39593AFDDF4B}"/>
    <cellStyle name="Normal 131 2 4 3" xfId="13471" xr:uid="{5AD748F0-CDE4-430D-87FE-839D391DBDA2}"/>
    <cellStyle name="Normal 131 2 5" xfId="9593" xr:uid="{BE7AA86F-7482-4241-B61D-37ACEA91DDA4}"/>
    <cellStyle name="Normal 131 2 5 2" xfId="11627" xr:uid="{A11F7ABA-C4DA-4AB7-B47D-E1E89F047515}"/>
    <cellStyle name="Normal 131 2 5 2 2" xfId="15833" xr:uid="{A090F1FD-99D3-40F8-B81D-2F2F3733BBEF}"/>
    <cellStyle name="Normal 131 2 5 3" xfId="13804" xr:uid="{4407B1D7-3CA0-4563-9FED-51EB028A4C53}"/>
    <cellStyle name="Normal 131 2 6" xfId="9951" xr:uid="{62797D8C-793A-422C-84D8-70F28912638C}"/>
    <cellStyle name="Normal 131 2 6 2" xfId="14157" xr:uid="{727B4DB9-D440-4553-9F94-67DCA0F5CAEC}"/>
    <cellStyle name="Normal 131 2 7" xfId="12128" xr:uid="{6E734A6D-6F84-46BF-91E5-CBB4D8A75AB9}"/>
    <cellStyle name="Normal 131 3" xfId="8053" xr:uid="{D1EFD468-34A2-44AA-AB02-22F85F85775F}"/>
    <cellStyle name="Normal 131 3 2" xfId="8723" xr:uid="{89D3C483-C547-49F7-A365-BA4A042CE248}"/>
    <cellStyle name="Normal 131 3 2 2" xfId="10792" xr:uid="{7CDC7EFF-4011-4C57-9783-B1AFB6297CD0}"/>
    <cellStyle name="Normal 131 3 2 2 2" xfId="14998" xr:uid="{4D5948E1-4FE3-4844-AEF5-E2CAD3551697}"/>
    <cellStyle name="Normal 131 3 2 3" xfId="12969" xr:uid="{5E45DAB2-4C26-410C-BF73-54F878D33998}"/>
    <cellStyle name="Normal 131 3 3" xfId="10122" xr:uid="{76234C20-9208-42F2-8149-D2A7DC4B538F}"/>
    <cellStyle name="Normal 131 3 3 2" xfId="14328" xr:uid="{763F194E-84C6-4C8A-8E17-CEB9F77A2735}"/>
    <cellStyle name="Normal 131 3 4" xfId="12299" xr:uid="{6573FA9E-B8A1-484C-B69F-AE6233C01A22}"/>
    <cellStyle name="Normal 131 4" xfId="8389" xr:uid="{754EF308-9EBF-45D6-9699-21304258D797}"/>
    <cellStyle name="Normal 131 4 2" xfId="10458" xr:uid="{1D97CFB4-24EB-4A49-AA34-BAD837363F76}"/>
    <cellStyle name="Normal 131 4 2 2" xfId="14664" xr:uid="{2566251B-AA28-4729-A21B-F5E240F08FB0}"/>
    <cellStyle name="Normal 131 4 3" xfId="12635" xr:uid="{6FEEFEAC-24A5-40F9-9843-DA19D6ED85C6}"/>
    <cellStyle name="Normal 131 5" xfId="9062" xr:uid="{4B3FBB4A-F55D-44EE-811E-34F33E227CDB}"/>
    <cellStyle name="Normal 131 5 2" xfId="11131" xr:uid="{77F2D70B-BDC9-416F-85D9-6EC3B5D2B482}"/>
    <cellStyle name="Normal 131 5 2 2" xfId="15337" xr:uid="{0940743A-011B-4C15-BB5C-62C9D04F7F94}"/>
    <cellStyle name="Normal 131 5 3" xfId="13308" xr:uid="{32A63CBA-4E37-4138-BBA4-E478FB560556}"/>
    <cellStyle name="Normal 131 6" xfId="9430" xr:uid="{68FE4364-472A-46EA-AEE4-42DEDC6717DB}"/>
    <cellStyle name="Normal 131 6 2" xfId="11464" xr:uid="{DA42C064-44B7-4A29-A16A-98DDE29832C1}"/>
    <cellStyle name="Normal 131 6 2 2" xfId="15670" xr:uid="{02E6B216-4AFB-4F5C-81B7-56668DA86EB6}"/>
    <cellStyle name="Normal 131 6 3" xfId="13641" xr:uid="{3594D5DE-627B-4035-9D66-4729E11CCB35}"/>
    <cellStyle name="Normal 131 7" xfId="9788" xr:uid="{1DF2CA14-A6D6-4A6F-8621-259620065BB5}"/>
    <cellStyle name="Normal 131 7 2" xfId="13994" xr:uid="{113860A9-8B86-407A-BE88-5BE73596D512}"/>
    <cellStyle name="Normal 131 8" xfId="11965" xr:uid="{A3F0E5E4-EADC-4803-8F44-1D2A1B8F9E57}"/>
    <cellStyle name="Normal 132" xfId="7658" xr:uid="{B5191ED2-C78E-44D8-9F94-9AC3EDC574A0}"/>
    <cellStyle name="Normal 132 2" xfId="7847" xr:uid="{FE31F78C-F2C1-4AF8-9007-1C56ADFEE102}"/>
    <cellStyle name="Normal 132 2 2" xfId="8217" xr:uid="{9A35DD59-2DB3-4DF6-83D7-6C2334E2125E}"/>
    <cellStyle name="Normal 132 2 2 2" xfId="8887" xr:uid="{C544A039-3BCE-425A-B8D3-538F1E52C9D6}"/>
    <cellStyle name="Normal 132 2 2 2 2" xfId="10956" xr:uid="{DA389FF9-4CD7-4D59-97E6-B33D702A36A6}"/>
    <cellStyle name="Normal 132 2 2 2 2 2" xfId="15162" xr:uid="{F48F7D84-ECE0-43D5-800A-077FB339D759}"/>
    <cellStyle name="Normal 132 2 2 2 3" xfId="13133" xr:uid="{DFA8DC42-EF52-4BF2-A01C-F06C8BE5A6EF}"/>
    <cellStyle name="Normal 132 2 2 3" xfId="10286" xr:uid="{76173519-7896-462C-B8E0-09BA573DF701}"/>
    <cellStyle name="Normal 132 2 2 3 2" xfId="14492" xr:uid="{386A0293-2D46-4DC6-A568-00F81B1206DC}"/>
    <cellStyle name="Normal 132 2 2 4" xfId="12463" xr:uid="{40D7F98F-18D3-42DA-A892-25E643DC3260}"/>
    <cellStyle name="Normal 132 2 3" xfId="8553" xr:uid="{DDEEA02E-5159-43A7-A800-3E15F36F412B}"/>
    <cellStyle name="Normal 132 2 3 2" xfId="10622" xr:uid="{8F6EB265-5A8A-4FBE-9112-34F806457A56}"/>
    <cellStyle name="Normal 132 2 3 2 2" xfId="14828" xr:uid="{80A76FED-D53C-4A28-AAD4-E2ADB4BC1844}"/>
    <cellStyle name="Normal 132 2 3 3" xfId="12799" xr:uid="{4E32DD47-6883-4E6C-86C6-0ABF00C52D93}"/>
    <cellStyle name="Normal 132 2 4" xfId="9226" xr:uid="{1FEEFFD3-A9A8-464B-B5D7-D42C1BB30AC1}"/>
    <cellStyle name="Normal 132 2 4 2" xfId="11295" xr:uid="{C1BBDA13-E0ED-4F52-975A-AA82AE47F97D}"/>
    <cellStyle name="Normal 132 2 4 2 2" xfId="15501" xr:uid="{3A97AB95-256E-4512-9421-62511BBADE3D}"/>
    <cellStyle name="Normal 132 2 4 3" xfId="13472" xr:uid="{0252B9F7-58C9-432D-B084-AD67209130B1}"/>
    <cellStyle name="Normal 132 2 5" xfId="9594" xr:uid="{60BC389A-60AC-40DB-90A9-ADD222211C36}"/>
    <cellStyle name="Normal 132 2 5 2" xfId="11628" xr:uid="{45B2EE57-A49B-4865-8196-4EA15C9A8A92}"/>
    <cellStyle name="Normal 132 2 5 2 2" xfId="15834" xr:uid="{E353B145-78C4-4621-AE82-6BD212445349}"/>
    <cellStyle name="Normal 132 2 5 3" xfId="13805" xr:uid="{4D14FBF6-BD4B-4093-9A7B-1B83CDDBE0CE}"/>
    <cellStyle name="Normal 132 2 6" xfId="9952" xr:uid="{36957D24-EAF9-4A2D-986A-15C6B15DF860}"/>
    <cellStyle name="Normal 132 2 6 2" xfId="14158" xr:uid="{4EB744B1-1E36-4F2B-A315-A52D7D0A9C9C}"/>
    <cellStyle name="Normal 132 2 7" xfId="12129" xr:uid="{7AF16FF1-C651-4C44-BDC7-96BD7BE26CE7}"/>
    <cellStyle name="Normal 132 3" xfId="8054" xr:uid="{0E1592AB-A543-4F20-95C9-CE3C49B38C88}"/>
    <cellStyle name="Normal 132 3 2" xfId="8724" xr:uid="{093C5A34-41D2-4797-AF26-8CD8AE2727D7}"/>
    <cellStyle name="Normal 132 3 2 2" xfId="10793" xr:uid="{3DC2530D-A71F-49FB-A060-DDECD76760E0}"/>
    <cellStyle name="Normal 132 3 2 2 2" xfId="14999" xr:uid="{BCD4C586-FFBA-4100-B920-C8F4A021AFA1}"/>
    <cellStyle name="Normal 132 3 2 3" xfId="12970" xr:uid="{B71281EF-7A93-4C8E-BA08-43C4DD54DE3A}"/>
    <cellStyle name="Normal 132 3 3" xfId="10123" xr:uid="{E034C230-6A86-4A8D-979B-E4A3C7886EBF}"/>
    <cellStyle name="Normal 132 3 3 2" xfId="14329" xr:uid="{3D2DEBF7-815C-4EC6-B324-8FDB5E4AF3B7}"/>
    <cellStyle name="Normal 132 3 4" xfId="12300" xr:uid="{E9FCA266-4F7C-484A-BF9C-37C57BDFBA6C}"/>
    <cellStyle name="Normal 132 4" xfId="8390" xr:uid="{D159BAAB-5B01-4868-B1CC-8532ACC5E2C1}"/>
    <cellStyle name="Normal 132 4 2" xfId="10459" xr:uid="{1385D3D5-946E-404B-B76B-518CE29AF19E}"/>
    <cellStyle name="Normal 132 4 2 2" xfId="14665" xr:uid="{96D33847-B89B-40D2-8695-D2AB89B3EA95}"/>
    <cellStyle name="Normal 132 4 3" xfId="12636" xr:uid="{03800D62-4C65-4CE5-9D7E-EC7308D050A7}"/>
    <cellStyle name="Normal 132 5" xfId="9063" xr:uid="{53BBA953-DBC2-4BB5-AFEC-538F907747DE}"/>
    <cellStyle name="Normal 132 5 2" xfId="11132" xr:uid="{D381BFC2-28AB-41FC-87FD-E986AA62516D}"/>
    <cellStyle name="Normal 132 5 2 2" xfId="15338" xr:uid="{5DDC975A-59E9-410D-85B9-D374B13E236A}"/>
    <cellStyle name="Normal 132 5 3" xfId="13309" xr:uid="{09087572-D75E-40AA-B5C6-22B834B9B346}"/>
    <cellStyle name="Normal 132 6" xfId="9431" xr:uid="{BCA0F722-99FD-4161-8BDE-3E1687775A47}"/>
    <cellStyle name="Normal 132 6 2" xfId="11465" xr:uid="{ED804686-1284-4684-988A-BEEAAA8B4516}"/>
    <cellStyle name="Normal 132 6 2 2" xfId="15671" xr:uid="{B9425DD1-A17B-42F9-AC31-09B370B4B3E8}"/>
    <cellStyle name="Normal 132 6 3" xfId="13642" xr:uid="{EE1C63F5-3D62-4E29-B170-500D42F5776F}"/>
    <cellStyle name="Normal 132 7" xfId="9789" xr:uid="{84CF108E-55B1-482C-B166-C8E2520A695A}"/>
    <cellStyle name="Normal 132 7 2" xfId="13995" xr:uid="{520221BB-B7C6-4516-BF94-71A00E68AFC1}"/>
    <cellStyle name="Normal 132 8" xfId="11966" xr:uid="{618BCFF3-744A-4E34-9C35-12699772FB2D}"/>
    <cellStyle name="Normal 133" xfId="7695" xr:uid="{DE211CCB-9E5A-4CC0-A6BC-A069A1E63E91}"/>
    <cellStyle name="Normal 133 2" xfId="7861" xr:uid="{3DE85AF7-9109-460B-A8C5-72B48046EDBE}"/>
    <cellStyle name="Normal 133 2 2" xfId="8231" xr:uid="{F2C34AC3-CF29-402F-A26F-84F2E32451C0}"/>
    <cellStyle name="Normal 133 2 2 2" xfId="8901" xr:uid="{CE3E1B81-2E24-4A4E-A9E8-5219E520E4EF}"/>
    <cellStyle name="Normal 133 2 2 2 2" xfId="10970" xr:uid="{57C5C22C-BE59-4AAE-8AC8-2D197BEEE1AF}"/>
    <cellStyle name="Normal 133 2 2 2 2 2" xfId="15176" xr:uid="{9A22C510-745F-4E19-9051-06BDFF78830E}"/>
    <cellStyle name="Normal 133 2 2 2 3" xfId="13147" xr:uid="{8801B15D-B9A5-4A0D-94ED-011FDD363C2E}"/>
    <cellStyle name="Normal 133 2 2 3" xfId="10300" xr:uid="{0CAC7E17-195C-443E-85B4-CD3CF71B3BF2}"/>
    <cellStyle name="Normal 133 2 2 3 2" xfId="14506" xr:uid="{FAF15B06-53D0-4C7C-A3C6-6D8D44B7E31E}"/>
    <cellStyle name="Normal 133 2 2 4" xfId="12477" xr:uid="{C3C86FFE-6BC7-4D1C-B3D2-5CE8E77B0405}"/>
    <cellStyle name="Normal 133 2 3" xfId="8567" xr:uid="{64DB816C-280E-4DB6-89B9-1481053C6C41}"/>
    <cellStyle name="Normal 133 2 3 2" xfId="10636" xr:uid="{A9AF9F58-AD4D-4619-A796-319211B4A7BE}"/>
    <cellStyle name="Normal 133 2 3 2 2" xfId="14842" xr:uid="{26F99F1B-4587-420C-B863-08AEFB026FAE}"/>
    <cellStyle name="Normal 133 2 3 3" xfId="12813" xr:uid="{461EE746-C465-4FEB-B71D-51FBA5DFFDC4}"/>
    <cellStyle name="Normal 133 2 4" xfId="9240" xr:uid="{9A1D46C0-48BD-4CFE-AB83-0DF138DE7CFA}"/>
    <cellStyle name="Normal 133 2 4 2" xfId="11309" xr:uid="{6E9351DD-D195-45D2-82FE-C594DEB3B148}"/>
    <cellStyle name="Normal 133 2 4 2 2" xfId="15515" xr:uid="{2D3ADC5D-B54A-48ED-91E7-E3D8FB89B7DD}"/>
    <cellStyle name="Normal 133 2 4 3" xfId="13486" xr:uid="{C6B9B777-796C-4012-8E9C-0DB8DA08C0E6}"/>
    <cellStyle name="Normal 133 2 5" xfId="9608" xr:uid="{0BB1EBC2-D7E7-4FB3-989E-CEFD313D94A6}"/>
    <cellStyle name="Normal 133 2 5 2" xfId="11642" xr:uid="{F982BBD2-29FC-4845-9404-9AE4A31E2480}"/>
    <cellStyle name="Normal 133 2 5 2 2" xfId="15848" xr:uid="{7CF91A0F-D7AD-412F-9F95-382268D7A1D0}"/>
    <cellStyle name="Normal 133 2 5 3" xfId="13819" xr:uid="{F9710F17-58AC-4173-BC24-0C02C81463DA}"/>
    <cellStyle name="Normal 133 2 6" xfId="9966" xr:uid="{EF9E2BA7-B94A-4984-AA24-0EBFC167882D}"/>
    <cellStyle name="Normal 133 2 6 2" xfId="14172" xr:uid="{718F4CC3-57DE-43BC-B93B-D97C826C8BE7}"/>
    <cellStyle name="Normal 133 2 7" xfId="12143" xr:uid="{F169B72D-514E-41E7-A1D8-25D588E057F8}"/>
    <cellStyle name="Normal 133 3" xfId="8068" xr:uid="{493347D6-BE81-4543-964C-489F65141A9F}"/>
    <cellStyle name="Normal 133 3 2" xfId="8738" xr:uid="{2C4CB630-A90B-4E15-869A-94507A464383}"/>
    <cellStyle name="Normal 133 3 2 2" xfId="10807" xr:uid="{FE3AC792-432D-4E33-9520-7195A8FD6615}"/>
    <cellStyle name="Normal 133 3 2 2 2" xfId="15013" xr:uid="{9FAEF869-F976-4C1D-A04E-9638A17C6A73}"/>
    <cellStyle name="Normal 133 3 2 3" xfId="12984" xr:uid="{3B7B4F01-7D32-42DE-9063-DA18D9515CE2}"/>
    <cellStyle name="Normal 133 3 3" xfId="10137" xr:uid="{7EA30401-BFAF-4985-939F-918EFE2147A8}"/>
    <cellStyle name="Normal 133 3 3 2" xfId="14343" xr:uid="{2C2DC8F3-0F16-4D8A-A101-1583C4393C40}"/>
    <cellStyle name="Normal 133 3 4" xfId="12314" xr:uid="{83AB8182-4B2F-4A6C-A8D4-41D366DF747A}"/>
    <cellStyle name="Normal 133 4" xfId="8404" xr:uid="{4BD9383D-EE29-4ABC-A2BF-9407A835556E}"/>
    <cellStyle name="Normal 133 4 2" xfId="10473" xr:uid="{11E12436-63FA-4F85-9A9E-5842F9A660AD}"/>
    <cellStyle name="Normal 133 4 2 2" xfId="14679" xr:uid="{230BA2DA-ABA3-4166-BD7F-51F1E04D9040}"/>
    <cellStyle name="Normal 133 4 3" xfId="12650" xr:uid="{2BF98586-B0D9-49FB-B5B3-E8BE10A2626F}"/>
    <cellStyle name="Normal 133 5" xfId="9077" xr:uid="{6E0FD089-7FF5-4E4C-A59D-9A8C293CBAAA}"/>
    <cellStyle name="Normal 133 5 2" xfId="11146" xr:uid="{3A4276FD-0BFE-43ED-A8DF-E13FCD08889B}"/>
    <cellStyle name="Normal 133 5 2 2" xfId="15352" xr:uid="{16766CD4-66F6-4436-8860-7533F72D83BB}"/>
    <cellStyle name="Normal 133 5 3" xfId="13323" xr:uid="{E7349BD5-388A-4BCC-992E-FD4E4C3D66FB}"/>
    <cellStyle name="Normal 133 6" xfId="9445" xr:uid="{763407DF-89E5-4622-873F-BD47EB87ED95}"/>
    <cellStyle name="Normal 133 6 2" xfId="11479" xr:uid="{8B163ADA-A6A7-4716-B45A-20647DFDB212}"/>
    <cellStyle name="Normal 133 6 2 2" xfId="15685" xr:uid="{B6948252-9CCB-4353-B18D-10EA47D3FECD}"/>
    <cellStyle name="Normal 133 6 3" xfId="13656" xr:uid="{D0DDAEDD-F2B9-43BD-ACE2-B48EFD3695DC}"/>
    <cellStyle name="Normal 133 7" xfId="9803" xr:uid="{5CAADA71-2329-46FB-8C6C-6960AA836846}"/>
    <cellStyle name="Normal 133 7 2" xfId="14009" xr:uid="{3A4B563A-5C0B-4E4F-A787-0C7939D1B42E}"/>
    <cellStyle name="Normal 133 8" xfId="11980" xr:uid="{E7B1CFE9-C330-4CE6-A236-4391572091C0}"/>
    <cellStyle name="Normal 134" xfId="7696" xr:uid="{85535C22-0C38-484A-9534-CDB20C7A29BE}"/>
    <cellStyle name="Normal 134 2" xfId="7862" xr:uid="{BC388366-440F-4E28-A0E6-543135D26748}"/>
    <cellStyle name="Normal 134 2 2" xfId="8232" xr:uid="{834DD569-8558-487C-9FC2-62CA69B81392}"/>
    <cellStyle name="Normal 134 2 2 2" xfId="8902" xr:uid="{6D84EE35-3137-4167-9017-95258E75BBFF}"/>
    <cellStyle name="Normal 134 2 2 2 2" xfId="10971" xr:uid="{2C89F0D4-97E1-40AC-98AE-AE57BAB9E4C6}"/>
    <cellStyle name="Normal 134 2 2 2 2 2" xfId="15177" xr:uid="{63863D6E-3F77-4A43-9154-D30E0CEA39A4}"/>
    <cellStyle name="Normal 134 2 2 2 3" xfId="13148" xr:uid="{F87AB4F2-1A69-4F6F-83A2-9F1A827B60E3}"/>
    <cellStyle name="Normal 134 2 2 3" xfId="10301" xr:uid="{FF6C1FA5-F295-4647-858F-2B852D506904}"/>
    <cellStyle name="Normal 134 2 2 3 2" xfId="14507" xr:uid="{C897D4E3-2634-43F6-A2E4-0C8989416CC6}"/>
    <cellStyle name="Normal 134 2 2 4" xfId="12478" xr:uid="{03EB1062-55BB-4A8E-A372-2D26A60D8251}"/>
    <cellStyle name="Normal 134 2 3" xfId="8568" xr:uid="{AD1B4F63-B186-40E7-AAE3-B42D2F318355}"/>
    <cellStyle name="Normal 134 2 3 2" xfId="10637" xr:uid="{202CCA64-4F7F-4991-995C-4A9B096E150F}"/>
    <cellStyle name="Normal 134 2 3 2 2" xfId="14843" xr:uid="{7D0CEACB-7047-405E-B45F-3DABE938BD58}"/>
    <cellStyle name="Normal 134 2 3 3" xfId="12814" xr:uid="{C9EEA447-099D-4970-922E-32CB329FD5F0}"/>
    <cellStyle name="Normal 134 2 4" xfId="9241" xr:uid="{5B15628F-B10D-4D6C-9D44-C41B3CD4DC7E}"/>
    <cellStyle name="Normal 134 2 4 2" xfId="11310" xr:uid="{8AA330BB-EFFA-4C17-A0E0-BACB4FF778B7}"/>
    <cellStyle name="Normal 134 2 4 2 2" xfId="15516" xr:uid="{AAF299AB-28D8-42A7-8611-0343DBC83048}"/>
    <cellStyle name="Normal 134 2 4 3" xfId="13487" xr:uid="{C7126483-3136-4DE1-ADA9-D9F8A79C105A}"/>
    <cellStyle name="Normal 134 2 5" xfId="9609" xr:uid="{885DCF01-8CC3-4F90-9D13-00D68A83502E}"/>
    <cellStyle name="Normal 134 2 5 2" xfId="11643" xr:uid="{0600D37D-D4DD-4986-A8EC-D0C3F91B40B8}"/>
    <cellStyle name="Normal 134 2 5 2 2" xfId="15849" xr:uid="{D9EF7A4F-5202-496B-96D2-47DA97E5E7CF}"/>
    <cellStyle name="Normal 134 2 5 3" xfId="13820" xr:uid="{1805E076-8033-4328-939C-727D5BEDA9A5}"/>
    <cellStyle name="Normal 134 2 6" xfId="9967" xr:uid="{C365D515-E863-4118-BFCE-2731AE353303}"/>
    <cellStyle name="Normal 134 2 6 2" xfId="14173" xr:uid="{BCBC68AE-2F71-4F92-926B-0BF38B53CF0D}"/>
    <cellStyle name="Normal 134 2 7" xfId="12144" xr:uid="{7AA84F92-7881-4A5F-BC4B-7F54658B6BFE}"/>
    <cellStyle name="Normal 134 3" xfId="8069" xr:uid="{4E6F33BB-8953-44A3-A134-9C70EDF58032}"/>
    <cellStyle name="Normal 134 3 2" xfId="8739" xr:uid="{7218A326-4391-4216-9A4F-D11F03537D6F}"/>
    <cellStyle name="Normal 134 3 2 2" xfId="10808" xr:uid="{B6B8A3C2-2232-409D-A3AD-8C472E84B495}"/>
    <cellStyle name="Normal 134 3 2 2 2" xfId="15014" xr:uid="{2A694B7A-A313-4F2D-853A-8F746817FBF0}"/>
    <cellStyle name="Normal 134 3 2 3" xfId="12985" xr:uid="{AA2D5446-A028-4772-90D8-AAB98B566D98}"/>
    <cellStyle name="Normal 134 3 3" xfId="10138" xr:uid="{29CB419A-FB14-4100-AEFF-BA28D67C2D44}"/>
    <cellStyle name="Normal 134 3 3 2" xfId="14344" xr:uid="{3B380B33-DA0E-4559-B9CF-CABA428974B5}"/>
    <cellStyle name="Normal 134 3 4" xfId="12315" xr:uid="{22EBF43C-A787-420D-8F8C-A691CE61BC70}"/>
    <cellStyle name="Normal 134 4" xfId="8405" xr:uid="{A0FA31F2-7862-4F34-9D2A-64ED0C8B157E}"/>
    <cellStyle name="Normal 134 4 2" xfId="10474" xr:uid="{0CB9FCB1-A2A4-465B-9145-7EDD297676EA}"/>
    <cellStyle name="Normal 134 4 2 2" xfId="14680" xr:uid="{77F82095-B502-443C-8940-C9DA1F1B34E8}"/>
    <cellStyle name="Normal 134 4 3" xfId="12651" xr:uid="{FAE29DAC-CABE-40A0-B232-DAC6EE5DC201}"/>
    <cellStyle name="Normal 134 5" xfId="9078" xr:uid="{E26A121C-0DB0-4827-BC4D-B7755BEA263E}"/>
    <cellStyle name="Normal 134 5 2" xfId="11147" xr:uid="{276E8D7A-A6DC-4692-A9A7-6BC6E16BC9DC}"/>
    <cellStyle name="Normal 134 5 2 2" xfId="15353" xr:uid="{1F796DE9-98E4-4328-AF80-758437FB9870}"/>
    <cellStyle name="Normal 134 5 3" xfId="13324" xr:uid="{53934DC7-9D09-486F-92EA-F78985E0B11E}"/>
    <cellStyle name="Normal 134 6" xfId="9446" xr:uid="{94ADDB3F-4FE2-4D25-BC83-048F93FAE643}"/>
    <cellStyle name="Normal 134 6 2" xfId="11480" xr:uid="{18E5AFB3-DA1F-40AB-A014-7A00F54D3481}"/>
    <cellStyle name="Normal 134 6 2 2" xfId="15686" xr:uid="{1D2223A7-FCEC-4752-8E75-1089919BD916}"/>
    <cellStyle name="Normal 134 6 3" xfId="13657" xr:uid="{87EA41F6-7331-4918-B216-C5A18AEF4F07}"/>
    <cellStyle name="Normal 134 7" xfId="9804" xr:uid="{75B23566-35ED-4AE7-870B-C23154F8DB4D}"/>
    <cellStyle name="Normal 134 7 2" xfId="14010" xr:uid="{B470BBAA-89D8-4C7B-AA7D-996140C1CB02}"/>
    <cellStyle name="Normal 134 8" xfId="11981" xr:uid="{F2DF65C9-148D-429C-B445-CDE9975C96D3}"/>
    <cellStyle name="Normal 135" xfId="7697" xr:uid="{A30F7639-615A-4B7A-8622-EF100BA5A6CB}"/>
    <cellStyle name="Normal 135 2" xfId="7863" xr:uid="{C97D21A1-8CC9-4E59-8DC1-F14758F621B6}"/>
    <cellStyle name="Normal 135 2 2" xfId="8233" xr:uid="{56BCE4D3-8997-49F6-9F7E-3BB3411A6F2A}"/>
    <cellStyle name="Normal 135 2 2 2" xfId="8903" xr:uid="{8061B2FE-5F18-4861-B979-0A40DBE90E47}"/>
    <cellStyle name="Normal 135 2 2 2 2" xfId="10972" xr:uid="{C10E9418-FAEF-482E-B905-D08CCBA47D56}"/>
    <cellStyle name="Normal 135 2 2 2 2 2" xfId="15178" xr:uid="{7516BDA5-6487-4995-A2EC-842C847DD9E6}"/>
    <cellStyle name="Normal 135 2 2 2 3" xfId="13149" xr:uid="{0CBAB293-337D-42F7-838D-BE055E313BBB}"/>
    <cellStyle name="Normal 135 2 2 3" xfId="10302" xr:uid="{6EE62BDD-7902-4051-BB53-8DC46D22990F}"/>
    <cellStyle name="Normal 135 2 2 3 2" xfId="14508" xr:uid="{5881B445-6C5A-4D21-8FE5-F56C24A5E9E0}"/>
    <cellStyle name="Normal 135 2 2 4" xfId="12479" xr:uid="{CFC7A429-29C2-4649-9776-3CE502340785}"/>
    <cellStyle name="Normal 135 2 3" xfId="8569" xr:uid="{4C0BB462-BB6F-4364-BC74-DD99D2342305}"/>
    <cellStyle name="Normal 135 2 3 2" xfId="10638" xr:uid="{E2D8D151-CFD1-4414-99D9-A1C1BD06CEB6}"/>
    <cellStyle name="Normal 135 2 3 2 2" xfId="14844" xr:uid="{84DE4D92-5159-4A18-9FD0-FE0557412FCD}"/>
    <cellStyle name="Normal 135 2 3 3" xfId="12815" xr:uid="{86D59F61-9141-43E9-A731-B18C6DD1CDC7}"/>
    <cellStyle name="Normal 135 2 4" xfId="9242" xr:uid="{60332C3E-CD69-4147-9CBE-A7899B7C9E4E}"/>
    <cellStyle name="Normal 135 2 4 2" xfId="11311" xr:uid="{47A8D160-7B30-4943-834C-80216CC135E8}"/>
    <cellStyle name="Normal 135 2 4 2 2" xfId="15517" xr:uid="{657F4A03-9DBE-4BAD-B6BC-C296D3E6EF15}"/>
    <cellStyle name="Normal 135 2 4 3" xfId="13488" xr:uid="{25780F68-1C53-4789-A015-367A7F9B8492}"/>
    <cellStyle name="Normal 135 2 5" xfId="9610" xr:uid="{B8D8DCC8-BAD3-44C1-A30D-A048EC34F73A}"/>
    <cellStyle name="Normal 135 2 5 2" xfId="11644" xr:uid="{7E10967F-BBF9-44C0-8ED2-5F0385AF55ED}"/>
    <cellStyle name="Normal 135 2 5 2 2" xfId="15850" xr:uid="{F8BBC90B-3513-4691-8868-28A86E809691}"/>
    <cellStyle name="Normal 135 2 5 3" xfId="13821" xr:uid="{E38833AD-2283-48A9-8765-ACD217588129}"/>
    <cellStyle name="Normal 135 2 6" xfId="9968" xr:uid="{7897B965-10EE-4AD6-AA6C-D66C089C9B9E}"/>
    <cellStyle name="Normal 135 2 6 2" xfId="14174" xr:uid="{A942EB8E-77CC-44F3-8EFE-202E6738208D}"/>
    <cellStyle name="Normal 135 2 7" xfId="12145" xr:uid="{3A6792E0-01C2-4212-A023-9A92E4BB58F2}"/>
    <cellStyle name="Normal 135 3" xfId="8070" xr:uid="{52875E80-0067-464B-A02B-DC1FD8FA0937}"/>
    <cellStyle name="Normal 135 3 2" xfId="8740" xr:uid="{223EEFB6-6882-42D4-ACE4-6F2825A5912A}"/>
    <cellStyle name="Normal 135 3 2 2" xfId="10809" xr:uid="{C3DF58F1-84BA-4894-BA18-AEE56AB72B6C}"/>
    <cellStyle name="Normal 135 3 2 2 2" xfId="15015" xr:uid="{C9053606-3877-4865-8091-3064DC75469B}"/>
    <cellStyle name="Normal 135 3 2 3" xfId="12986" xr:uid="{CF8167E7-D77D-442B-885C-5F0B1647DE3A}"/>
    <cellStyle name="Normal 135 3 3" xfId="10139" xr:uid="{47E710B3-9EAD-4C36-AFD4-EE22C613AC02}"/>
    <cellStyle name="Normal 135 3 3 2" xfId="14345" xr:uid="{9FCE5696-CB52-4BA7-AB10-8467752A473E}"/>
    <cellStyle name="Normal 135 3 4" xfId="12316" xr:uid="{B0D30B87-8F23-4C38-BA47-016A4B9167B5}"/>
    <cellStyle name="Normal 135 4" xfId="8406" xr:uid="{CDBFD892-3FB1-431B-B1B1-59EF29E26899}"/>
    <cellStyle name="Normal 135 4 2" xfId="10475" xr:uid="{E1FDAA63-79B4-401A-A3AC-590507DC8A9A}"/>
    <cellStyle name="Normal 135 4 2 2" xfId="14681" xr:uid="{DBA245FB-D7E4-4FEC-A2A6-3D772D2E6DD9}"/>
    <cellStyle name="Normal 135 4 3" xfId="12652" xr:uid="{93829A9A-7574-4FCB-A4A2-D677E82FAC13}"/>
    <cellStyle name="Normal 135 5" xfId="9079" xr:uid="{0997DAE9-8965-4BFC-946F-2F7E8E6AF57D}"/>
    <cellStyle name="Normal 135 5 2" xfId="11148" xr:uid="{1880013E-E909-47F7-A1A7-734F5D9228F7}"/>
    <cellStyle name="Normal 135 5 2 2" xfId="15354" xr:uid="{6BE45A99-96A8-4784-9AF0-CB85FD00AD1F}"/>
    <cellStyle name="Normal 135 5 3" xfId="13325" xr:uid="{23CF6C79-0AD8-4F92-AC5D-5E1E05B431C3}"/>
    <cellStyle name="Normal 135 6" xfId="9447" xr:uid="{ACE9D3AA-7DF4-411E-9FA7-344FF0F38AC9}"/>
    <cellStyle name="Normal 135 6 2" xfId="11481" xr:uid="{21151C89-CE33-4E5B-9082-1CDA0ED45DDD}"/>
    <cellStyle name="Normal 135 6 2 2" xfId="15687" xr:uid="{68DD511B-D653-4669-98E8-29D6A1356B47}"/>
    <cellStyle name="Normal 135 6 3" xfId="13658" xr:uid="{77EF035F-D810-4715-B0C0-750C95F9EDE4}"/>
    <cellStyle name="Normal 135 7" xfId="9805" xr:uid="{57813DAF-F11E-4D3D-BB3F-D20374D62D6D}"/>
    <cellStyle name="Normal 135 7 2" xfId="14011" xr:uid="{82C08698-CB17-4B13-9273-437D9027158C}"/>
    <cellStyle name="Normal 135 8" xfId="11982" xr:uid="{6FE9BF1B-2BE5-4F82-B0A3-852ED8F57519}"/>
    <cellStyle name="Normal 136" xfId="7699" xr:uid="{2B69DBAD-5EF8-4C38-9343-1BD31CFC2E9A}"/>
    <cellStyle name="Normal 136 2" xfId="7864" xr:uid="{E1B97875-34A7-45E3-B382-DE58F1208F90}"/>
    <cellStyle name="Normal 136 2 2" xfId="8234" xr:uid="{89E16C57-B972-4DFE-AE81-E7E760DE7595}"/>
    <cellStyle name="Normal 136 2 2 2" xfId="8904" xr:uid="{4E5C6D74-DA1C-46FD-8238-74AC9E5EE8EB}"/>
    <cellStyle name="Normal 136 2 2 2 2" xfId="10973" xr:uid="{EC0EB9AE-C331-443F-9596-712602EE1186}"/>
    <cellStyle name="Normal 136 2 2 2 2 2" xfId="15179" xr:uid="{2650B455-50DF-4C14-A37F-2884502351A1}"/>
    <cellStyle name="Normal 136 2 2 2 3" xfId="13150" xr:uid="{4501B3A9-585A-48B3-8ACE-86E4244DCF37}"/>
    <cellStyle name="Normal 136 2 2 3" xfId="10303" xr:uid="{851C6206-DBCE-4F11-80BB-578812C9CC99}"/>
    <cellStyle name="Normal 136 2 2 3 2" xfId="14509" xr:uid="{4C3B58F8-D832-48A9-B96D-C5FC8DE7A4C6}"/>
    <cellStyle name="Normal 136 2 2 4" xfId="12480" xr:uid="{5D3F1B4C-1DF8-4BD6-9FA1-757D0AED6EA0}"/>
    <cellStyle name="Normal 136 2 3" xfId="8570" xr:uid="{5D3E6733-EA9C-4D11-A606-2744D287111E}"/>
    <cellStyle name="Normal 136 2 3 2" xfId="10639" xr:uid="{77E9276B-65FD-48E0-92A6-6EE69AC230C7}"/>
    <cellStyle name="Normal 136 2 3 2 2" xfId="14845" xr:uid="{29F02832-9FA0-4FC2-9348-E10807E75FAE}"/>
    <cellStyle name="Normal 136 2 3 3" xfId="12816" xr:uid="{E3063D26-A60F-4811-8963-2A5BDC7F0BF3}"/>
    <cellStyle name="Normal 136 2 4" xfId="9243" xr:uid="{5FC55AAA-D9D7-4A26-87C5-F0EC9A3390C8}"/>
    <cellStyle name="Normal 136 2 4 2" xfId="11312" xr:uid="{A267273B-8634-445D-BD07-F157A633FCFD}"/>
    <cellStyle name="Normal 136 2 4 2 2" xfId="15518" xr:uid="{F70988C0-27FA-4277-AD81-4585E5C4550B}"/>
    <cellStyle name="Normal 136 2 4 3" xfId="13489" xr:uid="{5E2B375C-97F1-4AEC-8D3B-058171DA4156}"/>
    <cellStyle name="Normal 136 2 5" xfId="9611" xr:uid="{586303F7-145D-4412-9E47-FE28B43FD147}"/>
    <cellStyle name="Normal 136 2 5 2" xfId="11645" xr:uid="{FFBF0637-5D2E-4934-A4C7-F018C894296D}"/>
    <cellStyle name="Normal 136 2 5 2 2" xfId="15851" xr:uid="{CFF79F89-66DA-4B1F-A8FF-FEEDD3CC19C1}"/>
    <cellStyle name="Normal 136 2 5 3" xfId="13822" xr:uid="{F4198F11-C52B-42AD-B4DA-79C1D56A3A31}"/>
    <cellStyle name="Normal 136 2 6" xfId="9969" xr:uid="{96522DE4-22F4-47A9-87B2-9BB812C26830}"/>
    <cellStyle name="Normal 136 2 6 2" xfId="14175" xr:uid="{2F61075C-47A1-4C8C-B410-FA661D6E7D86}"/>
    <cellStyle name="Normal 136 2 7" xfId="12146" xr:uid="{0F5EECCF-538B-462D-B0A1-17B62B5F3742}"/>
    <cellStyle name="Normal 136 3" xfId="8071" xr:uid="{9D37EB87-7D90-49D4-839C-FEDFDC4436C6}"/>
    <cellStyle name="Normal 136 3 2" xfId="8741" xr:uid="{F1FCB089-2873-4FA7-B73D-F0C4BA650CDF}"/>
    <cellStyle name="Normal 136 3 2 2" xfId="10810" xr:uid="{081DD796-1857-4DB0-AC00-8F169126C78F}"/>
    <cellStyle name="Normal 136 3 2 2 2" xfId="15016" xr:uid="{C266243B-3167-4A40-B76F-AA120B6886DC}"/>
    <cellStyle name="Normal 136 3 2 3" xfId="12987" xr:uid="{FB0C54BD-F4DE-4408-9395-FB86C5087B1B}"/>
    <cellStyle name="Normal 136 3 3" xfId="10140" xr:uid="{70CEA6B1-04C6-43D8-8149-6B1D2C2D6478}"/>
    <cellStyle name="Normal 136 3 3 2" xfId="14346" xr:uid="{5E08374A-9E4C-469F-8041-D606662CD161}"/>
    <cellStyle name="Normal 136 3 4" xfId="12317" xr:uid="{0429CCEE-53B8-4E9A-80F6-DAF7BBB5189D}"/>
    <cellStyle name="Normal 136 4" xfId="8407" xr:uid="{213AABFE-AD84-40AD-A97A-7FC716C23C17}"/>
    <cellStyle name="Normal 136 4 2" xfId="10476" xr:uid="{95C87567-A97E-491D-B392-BF07C3AAE8AB}"/>
    <cellStyle name="Normal 136 4 2 2" xfId="14682" xr:uid="{709BDA56-0066-41A1-85B9-5689730BC1D2}"/>
    <cellStyle name="Normal 136 4 3" xfId="12653" xr:uid="{40AE7521-B8EF-456F-BA59-FC1C910CAE9D}"/>
    <cellStyle name="Normal 136 5" xfId="9080" xr:uid="{B29AE12C-054D-4443-BB8B-4AADCB939B49}"/>
    <cellStyle name="Normal 136 5 2" xfId="11149" xr:uid="{E846DB59-5902-4BE8-A9B5-92DD805F8339}"/>
    <cellStyle name="Normal 136 5 2 2" xfId="15355" xr:uid="{4B0A141A-E5C3-4C5A-8D36-44DCDCB04EB7}"/>
    <cellStyle name="Normal 136 5 3" xfId="13326" xr:uid="{A31A047A-B967-4470-B936-D7265C83313A}"/>
    <cellStyle name="Normal 136 6" xfId="9448" xr:uid="{211BC136-902C-4263-866B-A18BCCB8E5AB}"/>
    <cellStyle name="Normal 136 6 2" xfId="11482" xr:uid="{9D17DE8F-B797-4650-B1BC-F3D5BB6F7799}"/>
    <cellStyle name="Normal 136 6 2 2" xfId="15688" xr:uid="{42931417-9BB9-4141-ACEA-324C01674E1F}"/>
    <cellStyle name="Normal 136 6 3" xfId="13659" xr:uid="{937343B2-C47D-42CD-9D42-591064BC654B}"/>
    <cellStyle name="Normal 136 7" xfId="9806" xr:uid="{4CEA8E2D-19F3-4625-8A57-1E3D802509E4}"/>
    <cellStyle name="Normal 136 7 2" xfId="14012" xr:uid="{0DDFB048-6153-4971-B608-561D4E48E8C5}"/>
    <cellStyle name="Normal 136 8" xfId="11983" xr:uid="{3CD9E3C7-44D6-4189-ABD2-BCF3C0BC6C44}"/>
    <cellStyle name="Normal 137" xfId="7700" xr:uid="{FE3F97D7-8751-474E-9956-751DE105B0F4}"/>
    <cellStyle name="Normal 137 2" xfId="8072" xr:uid="{0DEC76DF-96AF-4836-A14F-AE2E96D4A3E8}"/>
    <cellStyle name="Normal 137 2 2" xfId="8742" xr:uid="{59F957F8-3FF0-42C3-A0FD-67E49F388E2B}"/>
    <cellStyle name="Normal 137 2 2 2" xfId="10811" xr:uid="{D19183E0-A59A-4C33-A150-45B8580A5259}"/>
    <cellStyle name="Normal 137 2 2 2 2" xfId="15017" xr:uid="{6BF85E0E-06ED-4C7B-AE40-8B5FC12905DA}"/>
    <cellStyle name="Normal 137 2 2 3" xfId="12988" xr:uid="{30986A7F-F26C-4191-99A1-5EAC83133DD0}"/>
    <cellStyle name="Normal 137 2 3" xfId="10141" xr:uid="{74C1D384-C84C-4A93-9C2B-603618C051EE}"/>
    <cellStyle name="Normal 137 2 3 2" xfId="14347" xr:uid="{C4EDE0EA-1879-4611-AE27-D1C0134E3322}"/>
    <cellStyle name="Normal 137 2 4" xfId="12318" xr:uid="{348BFDFC-DF6B-4AF8-B767-CACA4AECA39D}"/>
    <cellStyle name="Normal 137 3" xfId="8408" xr:uid="{FB7BCA80-7D46-41E2-8A11-9956A80B549D}"/>
    <cellStyle name="Normal 137 3 2" xfId="10477" xr:uid="{EE075A29-72A8-403A-BA5B-EE2CA2141332}"/>
    <cellStyle name="Normal 137 3 2 2" xfId="14683" xr:uid="{F19BC3B4-407A-480B-B9CC-DEA8930873C2}"/>
    <cellStyle name="Normal 137 3 3" xfId="12654" xr:uid="{FFAE9D2E-8348-411F-857B-CA253613DCAC}"/>
    <cellStyle name="Normal 137 4" xfId="9081" xr:uid="{54EFCFCB-CF3B-4C4A-AC9A-DE367F12E849}"/>
    <cellStyle name="Normal 137 4 2" xfId="11150" xr:uid="{9C2E611C-95E9-4BA9-8EBA-B966AE74EEBF}"/>
    <cellStyle name="Normal 137 4 2 2" xfId="15356" xr:uid="{61E933C8-D518-44AE-859E-05721FDD6BF9}"/>
    <cellStyle name="Normal 137 4 3" xfId="13327" xr:uid="{ED7EE95C-3C23-4F64-BCEE-6F95336BEA39}"/>
    <cellStyle name="Normal 137 5" xfId="9449" xr:uid="{7C717D50-7DED-42CA-B9F6-E547539C68AF}"/>
    <cellStyle name="Normal 137 5 2" xfId="11483" xr:uid="{F6C8318A-3C55-4744-8C68-BAECA296D703}"/>
    <cellStyle name="Normal 137 5 2 2" xfId="15689" xr:uid="{EF4C0807-29FD-46C7-85E1-0874C2443904}"/>
    <cellStyle name="Normal 137 5 3" xfId="13660" xr:uid="{EDA9FC0B-E31A-4E79-A63A-8DD3BF189F4C}"/>
    <cellStyle name="Normal 137 6" xfId="9807" xr:uid="{CA481DF9-754A-4A12-98BB-E71363E14961}"/>
    <cellStyle name="Normal 137 6 2" xfId="14013" xr:uid="{BEF91A7E-C2D8-4094-BA0F-EB673A395EA6}"/>
    <cellStyle name="Normal 137 7" xfId="11984" xr:uid="{48ACA6D1-201A-4967-BECB-F2F94A98666F}"/>
    <cellStyle name="Normal 138" xfId="7865" xr:uid="{8AEC83A6-A64D-4498-A1DC-87AF99E445A8}"/>
    <cellStyle name="Normal 138 2" xfId="8235" xr:uid="{9EF661E7-6C54-47FF-9129-7F2E09980E64}"/>
    <cellStyle name="Normal 138 2 2" xfId="8905" xr:uid="{3053480A-1040-4346-BACA-C6C0DD4009FA}"/>
    <cellStyle name="Normal 138 2 2 2" xfId="10974" xr:uid="{AEB588AB-E92C-4FEC-877A-36814667A63B}"/>
    <cellStyle name="Normal 138 2 2 2 2" xfId="15180" xr:uid="{AC6999D2-B315-400B-B74D-9BEE22C92312}"/>
    <cellStyle name="Normal 138 2 2 3" xfId="13151" xr:uid="{ABEA600D-5F8D-4EAD-BCA8-9C78DACDBB1B}"/>
    <cellStyle name="Normal 138 2 3" xfId="10304" xr:uid="{C38B939A-6706-4A9C-9604-6F8F09145673}"/>
    <cellStyle name="Normal 138 2 3 2" xfId="14510" xr:uid="{437AEE96-B5D0-4B74-8E5C-1DE18D6E3708}"/>
    <cellStyle name="Normal 138 2 4" xfId="12481" xr:uid="{E843C5FD-DE60-46A5-9712-5947239C5AF7}"/>
    <cellStyle name="Normal 138 3" xfId="8571" xr:uid="{8C453323-C066-4BCA-8EFD-BC5F5FEDF28C}"/>
    <cellStyle name="Normal 138 3 2" xfId="10640" xr:uid="{B72E1908-2BFD-4899-8295-A0C3251DBEFD}"/>
    <cellStyle name="Normal 138 3 2 2" xfId="14846" xr:uid="{32223BA4-7E03-4C1D-AE60-82546CB96C5A}"/>
    <cellStyle name="Normal 138 3 3" xfId="12817" xr:uid="{13147F17-A0D1-4894-B32E-5802FFB8265F}"/>
    <cellStyle name="Normal 138 4" xfId="9244" xr:uid="{5D152CC8-2710-4C47-B531-C90FBB97F1CE}"/>
    <cellStyle name="Normal 138 4 2" xfId="11313" xr:uid="{9727B6F4-1122-42DE-A96A-D2EB348732D0}"/>
    <cellStyle name="Normal 138 4 2 2" xfId="15519" xr:uid="{0589C426-45F0-4591-A34D-494E49707405}"/>
    <cellStyle name="Normal 138 4 3" xfId="13490" xr:uid="{2F3E9A45-6399-4020-B072-AAAD3F25A4BD}"/>
    <cellStyle name="Normal 138 5" xfId="9612" xr:uid="{6EE42583-0F57-4765-9FD2-3120B018A326}"/>
    <cellStyle name="Normal 138 5 2" xfId="11646" xr:uid="{2C5BE2FF-0436-48C5-BA40-8BC6C3AC557C}"/>
    <cellStyle name="Normal 138 5 2 2" xfId="15852" xr:uid="{04841ED9-3B8F-4BC8-A42A-7F995E6D09D1}"/>
    <cellStyle name="Normal 138 5 3" xfId="13823" xr:uid="{8F24744C-4F38-4C53-A57D-2A81E19F9B5F}"/>
    <cellStyle name="Normal 138 6" xfId="9970" xr:uid="{9D436596-DF9C-4C29-875D-D759B60DD453}"/>
    <cellStyle name="Normal 138 6 2" xfId="14176" xr:uid="{EA6AF818-95A6-4821-943D-06A537C753B0}"/>
    <cellStyle name="Normal 138 7" xfId="12147" xr:uid="{A8514233-5890-4A56-8189-3271D89914A2}"/>
    <cellStyle name="Normal 139" xfId="7866" xr:uid="{988BE6AA-47F7-4D32-9F8E-B93BB5BC9B54}"/>
    <cellStyle name="Normal 139 2" xfId="8236" xr:uid="{31BF577F-4186-4812-88DA-56AB6D2B31EB}"/>
    <cellStyle name="Normal 139 2 2" xfId="8906" xr:uid="{1D8D9557-31F7-4809-B71C-4BB5F32CFE87}"/>
    <cellStyle name="Normal 139 2 2 2" xfId="10975" xr:uid="{2CCE9AC9-1162-4E1C-A570-50E6F4E77004}"/>
    <cellStyle name="Normal 139 2 2 2 2" xfId="15181" xr:uid="{766D1F91-4A59-426A-99F9-71BD93AEB326}"/>
    <cellStyle name="Normal 139 2 2 3" xfId="13152" xr:uid="{E529338E-5D19-4873-8B08-EDDE7FEE45F5}"/>
    <cellStyle name="Normal 139 2 3" xfId="10305" xr:uid="{8F2475CF-C5D4-46CA-AA93-B2E933275EC2}"/>
    <cellStyle name="Normal 139 2 3 2" xfId="14511" xr:uid="{3D1C6BCA-710B-4A8D-AC70-24749F56D639}"/>
    <cellStyle name="Normal 139 2 4" xfId="12482" xr:uid="{33BB09EC-A2FB-4BDD-BD4C-904BD3926668}"/>
    <cellStyle name="Normal 139 3" xfId="8572" xr:uid="{89248D97-E0EF-4448-A0F2-F6AB6B806573}"/>
    <cellStyle name="Normal 139 3 2" xfId="10641" xr:uid="{7B0FCEB4-CE47-4941-B172-B153FE44CC15}"/>
    <cellStyle name="Normal 139 3 2 2" xfId="14847" xr:uid="{E2C51AAB-FD9D-41D5-95D6-C0E7F8BC4128}"/>
    <cellStyle name="Normal 139 3 3" xfId="12818" xr:uid="{BE6F5F86-9F61-4703-8316-268F3A73F1B7}"/>
    <cellStyle name="Normal 139 4" xfId="9245" xr:uid="{66A26D15-97FD-45EA-89C5-8B1AC6152E69}"/>
    <cellStyle name="Normal 139 4 2" xfId="11314" xr:uid="{97078E32-E6FD-415C-81DD-AC08E345FFC3}"/>
    <cellStyle name="Normal 139 4 2 2" xfId="15520" xr:uid="{C79EDB6D-D328-4EC5-A1EF-B4F3819FEAD4}"/>
    <cellStyle name="Normal 139 4 3" xfId="13491" xr:uid="{4B8517B8-B733-45B0-9AF8-9C4B58D452BD}"/>
    <cellStyle name="Normal 139 5" xfId="9613" xr:uid="{3BC567AE-8B31-423A-A477-44DBF0DE8299}"/>
    <cellStyle name="Normal 139 5 2" xfId="11647" xr:uid="{A8A08CF1-8B66-4F0F-A1F5-1867E252F32C}"/>
    <cellStyle name="Normal 139 5 2 2" xfId="15853" xr:uid="{4BC19569-2F71-4240-9649-0E1CF38002E0}"/>
    <cellStyle name="Normal 139 5 3" xfId="13824" xr:uid="{D00D04C0-BC21-44E0-82B5-A03E4053DBA1}"/>
    <cellStyle name="Normal 139 6" xfId="9971" xr:uid="{6CC8483B-FB54-4049-80E6-474C8677DB73}"/>
    <cellStyle name="Normal 139 6 2" xfId="14177" xr:uid="{BA8A00E4-3C58-41AC-9484-0009EAE4C569}"/>
    <cellStyle name="Normal 139 7" xfId="12148" xr:uid="{FE82CC3A-9EAF-479C-8C71-ABDFE58E813E}"/>
    <cellStyle name="Normal 14" xfId="1430" xr:uid="{E8B86622-1462-448D-B4F8-7F39E74B119F}"/>
    <cellStyle name="Normal 140" xfId="7867" xr:uid="{05DECFD4-CF5F-49B0-8E25-3142E9402E93}"/>
    <cellStyle name="Normal 140 2" xfId="8237" xr:uid="{9D1C1DBA-CEED-4F64-BD00-D643AE5BA783}"/>
    <cellStyle name="Normal 140 2 2" xfId="8907" xr:uid="{14872B5D-385C-4A63-BD64-8A14B9E15BEE}"/>
    <cellStyle name="Normal 140 2 2 2" xfId="10976" xr:uid="{9301ED59-DA3A-429C-9967-95E05B050B91}"/>
    <cellStyle name="Normal 140 2 2 2 2" xfId="15182" xr:uid="{997AFEC6-0E61-4F9C-B812-133ED4E07B56}"/>
    <cellStyle name="Normal 140 2 2 3" xfId="13153" xr:uid="{EFDEE90B-0297-4281-806F-E6861012AA05}"/>
    <cellStyle name="Normal 140 2 3" xfId="10306" xr:uid="{9BCB7123-AC2C-492E-9A66-8DFCD8EB9405}"/>
    <cellStyle name="Normal 140 2 3 2" xfId="14512" xr:uid="{99C294AC-B8C6-4BA2-9C1D-28B81589F35A}"/>
    <cellStyle name="Normal 140 2 4" xfId="12483" xr:uid="{D64C3C41-2731-4FD4-9E03-04DF73F795B0}"/>
    <cellStyle name="Normal 140 3" xfId="8573" xr:uid="{1B41B64A-FA45-4E1A-8D4A-4779458ED423}"/>
    <cellStyle name="Normal 140 3 2" xfId="10642" xr:uid="{AC654286-B752-4685-A394-772247523674}"/>
    <cellStyle name="Normal 140 3 2 2" xfId="14848" xr:uid="{7575FDD7-FE42-47CA-93D2-865390C1514D}"/>
    <cellStyle name="Normal 140 3 3" xfId="12819" xr:uid="{39280EE1-C01B-42D2-B6C0-6E5387A3237A}"/>
    <cellStyle name="Normal 140 4" xfId="9246" xr:uid="{0C5BCFB8-833E-4D98-867A-29B20C400BF8}"/>
    <cellStyle name="Normal 140 4 2" xfId="11315" xr:uid="{7D6BB0CE-6E06-494C-97E6-15910160834C}"/>
    <cellStyle name="Normal 140 4 2 2" xfId="15521" xr:uid="{0800DA47-0B37-419D-B752-BC1CB233C7EE}"/>
    <cellStyle name="Normal 140 4 3" xfId="13492" xr:uid="{0E15F652-3149-4922-8CE6-10228F5CE2BE}"/>
    <cellStyle name="Normal 140 5" xfId="9614" xr:uid="{05FCE4D0-7841-4112-BE97-9145775D3312}"/>
    <cellStyle name="Normal 140 5 2" xfId="11648" xr:uid="{2758D9AB-53D9-403A-A459-17CAD2D896C4}"/>
    <cellStyle name="Normal 140 5 2 2" xfId="15854" xr:uid="{7D2B9B4C-704E-4135-9ACA-958EAE7F6DAB}"/>
    <cellStyle name="Normal 140 5 3" xfId="13825" xr:uid="{05F09D2C-AA4B-4CAC-A0A5-864C71F6AD45}"/>
    <cellStyle name="Normal 140 6" xfId="9972" xr:uid="{0C96AD00-FF97-4CB0-A056-2ADF66A639C5}"/>
    <cellStyle name="Normal 140 6 2" xfId="14178" xr:uid="{D5D823A1-87E5-44BC-8046-905B76CFFEA6}"/>
    <cellStyle name="Normal 140 7" xfId="12149" xr:uid="{F860A2FF-5DA3-479C-BB73-5D2F6FE23076}"/>
    <cellStyle name="Normal 141" xfId="7868" xr:uid="{F29FE0CD-58EA-4DEF-BB09-5ABCD8AE8D04}"/>
    <cellStyle name="Normal 141 2" xfId="8238" xr:uid="{E0FEEEBE-00C5-41B9-BBD6-0C2FFF6E87E8}"/>
    <cellStyle name="Normal 141 2 2" xfId="8908" xr:uid="{5BB19D39-C496-4612-B028-E5FACFD0176E}"/>
    <cellStyle name="Normal 141 2 2 2" xfId="10977" xr:uid="{E8C37C19-97D4-4C8A-AF42-EEF982E226B5}"/>
    <cellStyle name="Normal 141 2 2 2 2" xfId="15183" xr:uid="{2FAEF492-35B4-4AE2-9AF7-B4DFF7F8436D}"/>
    <cellStyle name="Normal 141 2 2 3" xfId="13154" xr:uid="{C14EDFE7-B6B5-4FCF-8291-681BF93D7414}"/>
    <cellStyle name="Normal 141 2 3" xfId="10307" xr:uid="{FFCF95F6-3BF8-492B-BA7A-88AB4A30D337}"/>
    <cellStyle name="Normal 141 2 3 2" xfId="14513" xr:uid="{88E46819-16AC-4FAB-9148-C9586EA1A748}"/>
    <cellStyle name="Normal 141 2 4" xfId="12484" xr:uid="{23E0BC8B-E40B-402E-A6ED-F6863347F77B}"/>
    <cellStyle name="Normal 141 3" xfId="8574" xr:uid="{85C03A9E-9386-487E-BED9-197AB4A2D6B1}"/>
    <cellStyle name="Normal 141 3 2" xfId="10643" xr:uid="{4293A07B-1D46-4AAE-AA56-7FC5FB2009BF}"/>
    <cellStyle name="Normal 141 3 2 2" xfId="14849" xr:uid="{13B70CC3-0F38-449F-AF2A-83E950DE323D}"/>
    <cellStyle name="Normal 141 3 3" xfId="12820" xr:uid="{68AD437D-4CFC-4204-9B28-8337ACE33459}"/>
    <cellStyle name="Normal 141 4" xfId="9247" xr:uid="{FBE13965-3759-496C-9974-94CC6D843905}"/>
    <cellStyle name="Normal 141 4 2" xfId="11316" xr:uid="{79682499-238D-4B1F-9852-9F4BC1F50BA8}"/>
    <cellStyle name="Normal 141 4 2 2" xfId="15522" xr:uid="{4F7DC7FC-4E84-425E-A737-B849443628A1}"/>
    <cellStyle name="Normal 141 4 3" xfId="13493" xr:uid="{3D837723-B4E2-4B1F-875E-049CEA7F5FF4}"/>
    <cellStyle name="Normal 141 5" xfId="9615" xr:uid="{7603EC22-ECB1-4137-8C73-420D1B23B8D7}"/>
    <cellStyle name="Normal 141 5 2" xfId="11649" xr:uid="{6DDD403B-6119-4D29-8100-9BBBD4521252}"/>
    <cellStyle name="Normal 141 5 2 2" xfId="15855" xr:uid="{C0AA24A3-6D0D-40DF-8139-A785E84638EE}"/>
    <cellStyle name="Normal 141 5 3" xfId="13826" xr:uid="{89942B57-B8D9-4BAF-BF04-EDCFE10F6030}"/>
    <cellStyle name="Normal 141 6" xfId="9973" xr:uid="{FDEC9362-E1F5-43E0-9B0C-058020A51C80}"/>
    <cellStyle name="Normal 141 6 2" xfId="14179" xr:uid="{5906076E-7296-4879-A151-47570427850D}"/>
    <cellStyle name="Normal 141 7" xfId="12150" xr:uid="{1383C339-0DF8-4A6E-BB1F-24D1C07FF917}"/>
    <cellStyle name="Normal 142" xfId="7869" xr:uid="{C06BBD15-FD7F-4FAD-ABCC-D7D33CF7D8D6}"/>
    <cellStyle name="Normal 142 2" xfId="8239" xr:uid="{08CFE4FF-B246-42CD-AD5C-F8D3E7572F03}"/>
    <cellStyle name="Normal 142 2 2" xfId="8909" xr:uid="{A9045C57-5428-4C3D-935E-4CC93C9CD6CD}"/>
    <cellStyle name="Normal 142 2 2 2" xfId="10978" xr:uid="{513D5A37-1FE7-499E-B21A-1F40788B72AC}"/>
    <cellStyle name="Normal 142 2 2 2 2" xfId="15184" xr:uid="{D2DDF126-A668-47BD-8639-F0129C305F24}"/>
    <cellStyle name="Normal 142 2 2 3" xfId="13155" xr:uid="{8B4AE311-68DC-478C-8996-88FC613DB81C}"/>
    <cellStyle name="Normal 142 2 3" xfId="10308" xr:uid="{98BF1F84-641E-41D3-9220-17B6F2ABF9A3}"/>
    <cellStyle name="Normal 142 2 3 2" xfId="14514" xr:uid="{8A769285-8003-47E9-834B-0BAB01D1D679}"/>
    <cellStyle name="Normal 142 2 4" xfId="12485" xr:uid="{56AA2659-FCF2-400B-A6EF-753D55BE64C9}"/>
    <cellStyle name="Normal 142 3" xfId="8575" xr:uid="{01EB4B4F-6519-45BF-97C4-C1F383EF1B9F}"/>
    <cellStyle name="Normal 142 3 2" xfId="10644" xr:uid="{4E6A1EB3-B152-4F3E-A2C1-1058C9045EB6}"/>
    <cellStyle name="Normal 142 3 2 2" xfId="14850" xr:uid="{088CB0CC-2894-4B34-A50C-BCB963E82D6F}"/>
    <cellStyle name="Normal 142 3 3" xfId="12821" xr:uid="{6AF736DD-02DF-40F9-8C92-67954637D44A}"/>
    <cellStyle name="Normal 142 4" xfId="9248" xr:uid="{076FDCF6-11D9-43D2-B60A-284248A48251}"/>
    <cellStyle name="Normal 142 4 2" xfId="11317" xr:uid="{FD7AD8DB-8429-4FD7-B99B-CD178BE5FCEA}"/>
    <cellStyle name="Normal 142 4 2 2" xfId="15523" xr:uid="{5E96828B-9833-42CA-A5CF-87F32BC5EA14}"/>
    <cellStyle name="Normal 142 4 3" xfId="13494" xr:uid="{951F5205-EA74-42C2-92ED-4444AD9320E4}"/>
    <cellStyle name="Normal 142 5" xfId="9616" xr:uid="{AF77AD2D-880B-42D5-9B97-ED0611A5F496}"/>
    <cellStyle name="Normal 142 5 2" xfId="11650" xr:uid="{DA405708-CCFE-4BD6-A60E-ACD4B639077E}"/>
    <cellStyle name="Normal 142 5 2 2" xfId="15856" xr:uid="{7AE5520B-29E9-4FC3-BF73-0856888D29A5}"/>
    <cellStyle name="Normal 142 5 3" xfId="13827" xr:uid="{6617E0D7-2513-41FE-B9CD-81A119540366}"/>
    <cellStyle name="Normal 142 6" xfId="9974" xr:uid="{67BDDD35-FB3B-4E3D-8699-E4102A6BF00D}"/>
    <cellStyle name="Normal 142 6 2" xfId="14180" xr:uid="{E951EB14-794D-4B8E-A1AE-5F1494D4B523}"/>
    <cellStyle name="Normal 142 7" xfId="12151" xr:uid="{0E4E399E-0A57-4A7D-9BEA-AF12BBBE2362}"/>
    <cellStyle name="Normal 143" xfId="7906" xr:uid="{82DFEFE8-F5CF-4FD8-BD52-D5453C6269B0}"/>
    <cellStyle name="Normal 143 2" xfId="8240" xr:uid="{DD993F28-5526-4152-B0BD-1621CCFF0EC2}"/>
    <cellStyle name="Normal 143 2 2" xfId="8910" xr:uid="{23D82A22-D7D7-4B74-8892-3AF82DD40539}"/>
    <cellStyle name="Normal 143 2 2 2" xfId="10979" xr:uid="{438998B3-8800-4278-BC34-546C2A10D7CC}"/>
    <cellStyle name="Normal 143 2 2 2 2" xfId="15185" xr:uid="{007640CE-4EB3-4609-B92C-8ADF3C68B594}"/>
    <cellStyle name="Normal 143 2 2 3" xfId="13156" xr:uid="{0FC4569E-7A9B-45E1-A1B3-0E4B88BC4D0C}"/>
    <cellStyle name="Normal 143 2 3" xfId="10309" xr:uid="{FD668FF7-F8CC-4487-9A6B-4F5006943274}"/>
    <cellStyle name="Normal 143 2 3 2" xfId="14515" xr:uid="{CBC56948-696F-4036-8CF3-7818ADF7D2A2}"/>
    <cellStyle name="Normal 143 2 4" xfId="12486" xr:uid="{608D5159-2CFD-48D2-90D1-BEA0BCFC8F83}"/>
    <cellStyle name="Normal 143 3" xfId="8576" xr:uid="{A4329812-4C23-495B-B1D3-F66555579F82}"/>
    <cellStyle name="Normal 143 3 2" xfId="10645" xr:uid="{1E83EB74-D579-49C1-B677-C5BFBE75823B}"/>
    <cellStyle name="Normal 143 3 2 2" xfId="14851" xr:uid="{EF300FB4-722F-4ECC-BDE0-C3D9EFFB2D2F}"/>
    <cellStyle name="Normal 143 3 3" xfId="12822" xr:uid="{BD4A740F-2DEC-433E-90A3-4A470C37E869}"/>
    <cellStyle name="Normal 143 4" xfId="9249" xr:uid="{38F7F653-22BB-477E-9D29-A84FE10FFF05}"/>
    <cellStyle name="Normal 143 4 2" xfId="11318" xr:uid="{0A5132BE-7D5A-4741-8B76-E828B83CDC53}"/>
    <cellStyle name="Normal 143 4 2 2" xfId="15524" xr:uid="{64C6380B-5FF6-4057-96A3-0386838D4583}"/>
    <cellStyle name="Normal 143 4 3" xfId="13495" xr:uid="{07DB9CFF-F049-432F-9980-842FE64AEB4E}"/>
    <cellStyle name="Normal 143 5" xfId="9617" xr:uid="{7E475D9B-5CB6-4511-868A-48F5F70121AB}"/>
    <cellStyle name="Normal 143 5 2" xfId="11651" xr:uid="{5AC6F41B-1F98-4059-A825-1CA80441C116}"/>
    <cellStyle name="Normal 143 5 2 2" xfId="15857" xr:uid="{AEFC1235-ADD2-479E-9E4B-259CD8A9FA42}"/>
    <cellStyle name="Normal 143 5 3" xfId="13828" xr:uid="{A47CE5B8-FBCA-4D83-BD0A-95E6D4D59AFD}"/>
    <cellStyle name="Normal 143 6" xfId="9975" xr:uid="{B91D6638-F766-40BA-90D0-2DDC511791AF}"/>
    <cellStyle name="Normal 143 6 2" xfId="14181" xr:uid="{E297FEFC-884D-429D-B2C7-A70F38D8EAFF}"/>
    <cellStyle name="Normal 143 7" xfId="12152" xr:uid="{D4E232E0-4E96-4EC9-AA4D-38E8BC46D8DF}"/>
    <cellStyle name="Normal 144" xfId="7907" xr:uid="{FD52DA3D-0398-4C4C-A823-75FEC1188B4A}"/>
    <cellStyle name="Normal 144 2" xfId="8241" xr:uid="{95E8EA11-C33B-45FB-8D5B-186F2D5105F5}"/>
    <cellStyle name="Normal 144 2 2" xfId="8911" xr:uid="{0F4F955D-7C3A-4CBD-A810-5B5D0858D3A1}"/>
    <cellStyle name="Normal 144 2 2 2" xfId="10980" xr:uid="{26B9CA07-E785-4899-9468-E8624014ABA6}"/>
    <cellStyle name="Normal 144 2 2 2 2" xfId="15186" xr:uid="{58E32C8D-3201-4C16-A630-6C420D28122D}"/>
    <cellStyle name="Normal 144 2 2 3" xfId="13157" xr:uid="{FCD059D5-5EA4-432C-B16A-19A97A071426}"/>
    <cellStyle name="Normal 144 2 3" xfId="10310" xr:uid="{75B400F2-A8F7-41A3-9E66-C8A2979BBD94}"/>
    <cellStyle name="Normal 144 2 3 2" xfId="14516" xr:uid="{BEEE4C5A-DD4A-409E-BDCF-0893F3BEC8B7}"/>
    <cellStyle name="Normal 144 2 4" xfId="12487" xr:uid="{7D952162-3115-410A-AC83-F07C9951BA59}"/>
    <cellStyle name="Normal 144 3" xfId="8577" xr:uid="{0C21440B-953E-4064-B007-08E75C94B5EA}"/>
    <cellStyle name="Normal 144 3 2" xfId="10646" xr:uid="{E8691638-A801-4703-92B5-D4243D864298}"/>
    <cellStyle name="Normal 144 3 2 2" xfId="14852" xr:uid="{13C60FAE-E53C-4B6C-AF20-7B1A97B44B26}"/>
    <cellStyle name="Normal 144 3 3" xfId="12823" xr:uid="{5D371DA9-A95F-4F28-AF19-61DB539A1A33}"/>
    <cellStyle name="Normal 144 4" xfId="9250" xr:uid="{3413E8C8-39E0-4092-9F02-57EA1D6688CA}"/>
    <cellStyle name="Normal 144 4 2" xfId="11319" xr:uid="{B6317901-ED02-40D4-B92B-0BC1BC21838F}"/>
    <cellStyle name="Normal 144 4 2 2" xfId="15525" xr:uid="{D125515F-B360-49E1-B14E-C6EF68108D1F}"/>
    <cellStyle name="Normal 144 4 3" xfId="13496" xr:uid="{B36B5FE2-E76A-462C-AD1D-397295710D0B}"/>
    <cellStyle name="Normal 144 5" xfId="9618" xr:uid="{EE66CA1F-9744-4915-B7F4-2E0AB5C302AB}"/>
    <cellStyle name="Normal 144 5 2" xfId="11652" xr:uid="{CF7A19F5-68F8-465C-90C2-8222521E80F3}"/>
    <cellStyle name="Normal 144 5 2 2" xfId="15858" xr:uid="{42FEC6A1-F1A5-45CF-8E53-3EE9C3F25C5C}"/>
    <cellStyle name="Normal 144 5 3" xfId="13829" xr:uid="{04777ED4-39B6-4B0D-AD50-5C3E2E7018FD}"/>
    <cellStyle name="Normal 144 6" xfId="9976" xr:uid="{D5760E3A-E577-40A5-991E-A62FAAA5D33A}"/>
    <cellStyle name="Normal 144 6 2" xfId="14182" xr:uid="{75BFFE4E-DA83-4F4E-8E46-B6B4DCBE8317}"/>
    <cellStyle name="Normal 144 7" xfId="12153" xr:uid="{42802DDB-C850-49FD-A439-0E071C1EC79D}"/>
    <cellStyle name="Normal 145" xfId="7908" xr:uid="{E64E9A83-A389-4DC5-9E27-F64BCD551253}"/>
    <cellStyle name="Normal 145 2" xfId="8242" xr:uid="{D744FB26-BB90-4E08-B835-F431F1040B71}"/>
    <cellStyle name="Normal 145 2 2" xfId="8912" xr:uid="{C6893C8B-C571-47E3-AE1C-D04C16CA1DEC}"/>
    <cellStyle name="Normal 145 2 2 2" xfId="10981" xr:uid="{A206E139-D9CE-44B8-B39A-B0E37EF4B4FA}"/>
    <cellStyle name="Normal 145 2 2 2 2" xfId="15187" xr:uid="{E3370E70-1183-4FD6-B1B7-008C149138DB}"/>
    <cellStyle name="Normal 145 2 2 3" xfId="13158" xr:uid="{254B00D5-861E-4B0D-8FFD-D90D65A750A0}"/>
    <cellStyle name="Normal 145 2 3" xfId="10311" xr:uid="{2CF79CD5-2C30-4A3B-9F06-3158BB584BE1}"/>
    <cellStyle name="Normal 145 2 3 2" xfId="14517" xr:uid="{888CC7D0-89D1-4C33-9D1A-63D2D5ED359E}"/>
    <cellStyle name="Normal 145 2 4" xfId="12488" xr:uid="{8CC9C420-BFCD-42AD-8505-F678EC47E346}"/>
    <cellStyle name="Normal 145 3" xfId="8578" xr:uid="{3559EFEF-E8D5-4AEA-BFF1-024BE6B49B24}"/>
    <cellStyle name="Normal 145 3 2" xfId="10647" xr:uid="{CB124995-02D0-4C12-81B5-90C53988C0C3}"/>
    <cellStyle name="Normal 145 3 2 2" xfId="14853" xr:uid="{57946241-DF73-4BB2-9A3C-6D1AFCE665E4}"/>
    <cellStyle name="Normal 145 3 3" xfId="12824" xr:uid="{DB29F78D-5D55-4EE2-BFDD-CFF083476A3D}"/>
    <cellStyle name="Normal 145 4" xfId="9251" xr:uid="{79699370-4231-4C2B-8E7F-754DA6952DB9}"/>
    <cellStyle name="Normal 145 4 2" xfId="11320" xr:uid="{5477F886-2A77-4FAA-BC67-9304168D5A82}"/>
    <cellStyle name="Normal 145 4 2 2" xfId="15526" xr:uid="{45362B42-CD22-4D51-80B7-D73DC240F669}"/>
    <cellStyle name="Normal 145 4 3" xfId="13497" xr:uid="{A499A622-D0F6-4D19-A56B-82D41A9205A2}"/>
    <cellStyle name="Normal 145 5" xfId="9619" xr:uid="{A7D0794E-2872-42C6-9E7C-7F6A64D72839}"/>
    <cellStyle name="Normal 145 5 2" xfId="11653" xr:uid="{A304587B-6CE1-4762-9F92-9E8404FA8A63}"/>
    <cellStyle name="Normal 145 5 2 2" xfId="15859" xr:uid="{B60BD529-0778-49B7-A3D0-2A7EDBA5EA0F}"/>
    <cellStyle name="Normal 145 5 3" xfId="13830" xr:uid="{89BC75BB-D8E2-4F84-A6DC-0BEC58D1E1B6}"/>
    <cellStyle name="Normal 145 6" xfId="9977" xr:uid="{7A8D8057-6248-4AC4-9F73-E3B4288D7018}"/>
    <cellStyle name="Normal 145 6 2" xfId="14183" xr:uid="{12AEA3AE-0AFD-45FF-A4CC-79F6CF2CC802}"/>
    <cellStyle name="Normal 145 7" xfId="12154" xr:uid="{B32E81AE-6BC1-4FD6-8BF3-909FDF3B1272}"/>
    <cellStyle name="Normal 146" xfId="7909" xr:uid="{6993D6D2-596F-496A-A960-EAFD43954C9A}"/>
    <cellStyle name="Normal 146 2" xfId="8579" xr:uid="{81132155-8ACB-47A5-991E-E7FABC4B46DB}"/>
    <cellStyle name="Normal 146 2 2" xfId="10648" xr:uid="{EDA8D599-1F41-4DB7-92D5-0800FEC59DAB}"/>
    <cellStyle name="Normal 146 2 2 2" xfId="14854" xr:uid="{F9DC5755-0D90-4B5B-BE81-46CA3A46FC99}"/>
    <cellStyle name="Normal 146 2 3" xfId="12825" xr:uid="{867672A0-2AAA-4FCA-91E0-D96747BD4A0A}"/>
    <cellStyle name="Normal 146 3" xfId="9978" xr:uid="{6673B3AE-117F-4072-AC14-B9CB27CBDB42}"/>
    <cellStyle name="Normal 146 3 2" xfId="14184" xr:uid="{9BCE1A31-9C3F-4000-AE72-DE9F10A90BF4}"/>
    <cellStyle name="Normal 146 4" xfId="12155" xr:uid="{C91CE52C-E9C3-4D0C-9437-60A34573A6D1}"/>
    <cellStyle name="Normal 147" xfId="8243" xr:uid="{6141C915-9BF6-409A-AE5E-4443446E1AD4}"/>
    <cellStyle name="Normal 147 2" xfId="8913" xr:uid="{FA53C7BD-02A9-4779-9D3E-52BCCBF4C025}"/>
    <cellStyle name="Normal 147 2 2" xfId="10982" xr:uid="{BE9E0F03-6F32-477E-9C5B-2F89754C8B4A}"/>
    <cellStyle name="Normal 147 2 2 2" xfId="15188" xr:uid="{AAD2CEE8-1110-41A1-A907-E41A815E7272}"/>
    <cellStyle name="Normal 147 2 3" xfId="13159" xr:uid="{49E0D308-1648-41C8-88D8-0045BA33816E}"/>
    <cellStyle name="Normal 147 3" xfId="10312" xr:uid="{577BE95C-9554-4E3C-98F1-19CFB2E5F58A}"/>
    <cellStyle name="Normal 147 3 2" xfId="14518" xr:uid="{ABAF56F1-D4DA-4767-91D4-C1D0369B21A4}"/>
    <cellStyle name="Normal 147 4" xfId="12489" xr:uid="{99829832-7739-4387-BF83-CDACDECA5B6B}"/>
    <cellStyle name="Normal 148" xfId="8244" xr:uid="{C697C18B-7D49-4688-A8FC-D7B207966BCC}"/>
    <cellStyle name="Normal 148 2" xfId="8914" xr:uid="{F8E11385-45FA-4208-990B-88DFC65420DF}"/>
    <cellStyle name="Normal 148 2 2" xfId="10983" xr:uid="{2D2043DB-4155-4699-9E6C-32AEFA017956}"/>
    <cellStyle name="Normal 148 2 2 2" xfId="15189" xr:uid="{562A3703-328A-4078-A200-1C421A92BB25}"/>
    <cellStyle name="Normal 148 2 3" xfId="13160" xr:uid="{FAE0CA86-DC5F-400D-8015-9CF1FD40FDC8}"/>
    <cellStyle name="Normal 148 3" xfId="10313" xr:uid="{875E39A3-9841-49B4-BC9C-DC21C251BDF4}"/>
    <cellStyle name="Normal 148 3 2" xfId="14519" xr:uid="{40EB9C08-B5B7-41D5-978C-81E0AF1193FC}"/>
    <cellStyle name="Normal 148 4" xfId="12490" xr:uid="{82516DDD-6347-4183-8459-287825BC83F3}"/>
    <cellStyle name="Normal 149" xfId="8245" xr:uid="{3CBB6445-78B1-4865-8107-E2E2EF70BE3A}"/>
    <cellStyle name="Normal 149 2" xfId="8915" xr:uid="{17B624F8-D3B9-49C1-95E3-90DB4A0F1231}"/>
    <cellStyle name="Normal 149 2 2" xfId="10984" xr:uid="{C439301C-D624-406A-B221-30CDF5A05C97}"/>
    <cellStyle name="Normal 149 2 2 2" xfId="15190" xr:uid="{63C770FB-94DF-42C3-A5AD-0E274CE599F8}"/>
    <cellStyle name="Normal 149 2 3" xfId="13161" xr:uid="{62ABFDCA-3054-4915-A816-B4BBF1825EE7}"/>
    <cellStyle name="Normal 149 3" xfId="10314" xr:uid="{B60DFAC3-FF51-48BF-ACE0-F7DEE54B2FFA}"/>
    <cellStyle name="Normal 149 3 2" xfId="14520" xr:uid="{D653DB1D-F50B-46FA-8516-3245299BD6BA}"/>
    <cellStyle name="Normal 149 4" xfId="12491" xr:uid="{F767BE85-A6B4-40AB-ACE3-F4AA9A01FAB0}"/>
    <cellStyle name="Normal 15" xfId="1431" xr:uid="{90900B54-CDCE-4C70-8BBB-02FBDC7CBDA2}"/>
    <cellStyle name="Normal 15 10" xfId="1432" xr:uid="{0D56F7A8-AC74-45D2-925F-73F3A865AA75}"/>
    <cellStyle name="Normal 15 10 2" xfId="1433" xr:uid="{4946931E-D7C8-415A-A787-C9B842904F51}"/>
    <cellStyle name="Normal 15 10 2 2" xfId="1434" xr:uid="{4EE79EB7-7777-4A9F-8A8F-E2ECDBECA733}"/>
    <cellStyle name="Normal 15 10 3" xfId="1435" xr:uid="{233E8CD9-8A67-45E9-A8F5-6B5DE192E02E}"/>
    <cellStyle name="Normal 15 11" xfId="1436" xr:uid="{5F93825B-12D0-4BA8-A8BD-2D5DF5CE675A}"/>
    <cellStyle name="Normal 15 11 2" xfId="1437" xr:uid="{38025C7A-2AC6-4E05-BB46-C8756175AD66}"/>
    <cellStyle name="Normal 15 11 2 2" xfId="1438" xr:uid="{932B1C27-5C94-45FF-BD82-82B968797A84}"/>
    <cellStyle name="Normal 15 11 3" xfId="1439" xr:uid="{EEBD9FD8-2749-4A49-BE4B-B1F284A5ABF2}"/>
    <cellStyle name="Normal 15 12" xfId="1440" xr:uid="{0AA56363-4A28-4513-A02E-853C4D2FDDC1}"/>
    <cellStyle name="Normal 15 12 2" xfId="1441" xr:uid="{9E72D97F-733F-4934-B60C-AF713121CB21}"/>
    <cellStyle name="Normal 15 13" xfId="1442" xr:uid="{8AD34612-5314-473B-ACE2-0DBCF9B989C5}"/>
    <cellStyle name="Normal 15 2" xfId="1443" xr:uid="{35A8D95E-948D-41EB-8567-7DEB474DEBBC}"/>
    <cellStyle name="Normal 15 2 10" xfId="1444" xr:uid="{953D6DFE-491B-410F-B547-2D49BBA28B57}"/>
    <cellStyle name="Normal 15 2 10 2" xfId="1445" xr:uid="{B512E5D8-0DF7-4B67-90F7-728A8124E796}"/>
    <cellStyle name="Normal 15 2 11" xfId="1446" xr:uid="{A8318001-7668-4420-926A-8B44E8E28542}"/>
    <cellStyle name="Normal 15 2 2" xfId="1447" xr:uid="{C30CE1D7-5DDA-4894-98EE-3CB494F3090C}"/>
    <cellStyle name="Normal 15 2 2 2" xfId="1448" xr:uid="{833E7E57-87C6-499B-8FDD-D9187D9133EE}"/>
    <cellStyle name="Normal 15 2 2 2 2" xfId="1449" xr:uid="{6C71926F-D8FC-4793-8A8F-EF042C8EDEE8}"/>
    <cellStyle name="Normal 15 2 2 2 2 2" xfId="1450" xr:uid="{866D25FF-4A75-47F0-B269-BFD6C8276B93}"/>
    <cellStyle name="Normal 15 2 2 2 2 2 2" xfId="1451" xr:uid="{FEBC54BE-02D3-480C-8530-078408B4253C}"/>
    <cellStyle name="Normal 15 2 2 2 2 2 2 2" xfId="1452" xr:uid="{8C2C1A9D-CD12-479D-B5A4-3D35D8924EBD}"/>
    <cellStyle name="Normal 15 2 2 2 2 2 3" xfId="1453" xr:uid="{F64EBB11-74B1-40C1-B9E9-05CA94763F9B}"/>
    <cellStyle name="Normal 15 2 2 2 2 3" xfId="1454" xr:uid="{53BA37F8-C1BE-4E66-8C67-B9F778D7F053}"/>
    <cellStyle name="Normal 15 2 2 2 2 3 2" xfId="1455" xr:uid="{675AC09D-72E9-4229-8968-A5741BEB0028}"/>
    <cellStyle name="Normal 15 2 2 2 2 3 2 2" xfId="1456" xr:uid="{11FFB739-7946-4B27-9472-515D5FF64833}"/>
    <cellStyle name="Normal 15 2 2 2 2 3 3" xfId="1457" xr:uid="{18418116-7313-461F-9CDE-ADCACBB3B18F}"/>
    <cellStyle name="Normal 15 2 2 2 2 4" xfId="1458" xr:uid="{D9C4BF1C-29BC-49AA-BA7E-9930081A291B}"/>
    <cellStyle name="Normal 15 2 2 2 2 4 2" xfId="1459" xr:uid="{84647703-F5BC-42DB-91FF-63756F87B32E}"/>
    <cellStyle name="Normal 15 2 2 2 2 4 2 2" xfId="1460" xr:uid="{9C0E5445-7729-468E-BF91-935319DF5D4E}"/>
    <cellStyle name="Normal 15 2 2 2 2 4 3" xfId="1461" xr:uid="{56A2A709-DD1B-49DB-ABB2-222036922E9F}"/>
    <cellStyle name="Normal 15 2 2 2 2 5" xfId="1462" xr:uid="{A2764130-0EC5-41B2-AAB8-8971C4296985}"/>
    <cellStyle name="Normal 15 2 2 2 2 5 2" xfId="1463" xr:uid="{C1E948C1-C394-45EC-B970-B5DEF92DAF8B}"/>
    <cellStyle name="Normal 15 2 2 2 2 6" xfId="1464" xr:uid="{F2E28A69-8056-4278-8BE5-9011459D8322}"/>
    <cellStyle name="Normal 15 2 2 2 3" xfId="1465" xr:uid="{EE2402CA-90BE-4D4F-A178-1901E239D437}"/>
    <cellStyle name="Normal 15 2 2 2 3 2" xfId="1466" xr:uid="{FE6BCBF3-C87D-4012-B516-4FAFEF04D652}"/>
    <cellStyle name="Normal 15 2 2 2 3 2 2" xfId="1467" xr:uid="{EBCB93D7-CB2E-4FD9-A3AC-9DC41C091121}"/>
    <cellStyle name="Normal 15 2 2 2 3 3" xfId="1468" xr:uid="{81168A9F-4954-4030-8E46-12F926101902}"/>
    <cellStyle name="Normal 15 2 2 2 4" xfId="1469" xr:uid="{79868527-45A3-4792-90FA-F095D9F7EDD3}"/>
    <cellStyle name="Normal 15 2 2 2 4 2" xfId="1470" xr:uid="{0710513B-2D70-4D2A-871C-6C25FEDAE60C}"/>
    <cellStyle name="Normal 15 2 2 2 4 2 2" xfId="1471" xr:uid="{85EB1E32-A58E-4A77-9CAB-D47D2A189000}"/>
    <cellStyle name="Normal 15 2 2 2 4 3" xfId="1472" xr:uid="{CEC2E578-D54B-4178-A224-38EB2C7C9B48}"/>
    <cellStyle name="Normal 15 2 2 2 5" xfId="1473" xr:uid="{C4963335-81F6-494E-9C23-2DA0D9965B65}"/>
    <cellStyle name="Normal 15 2 2 2 5 2" xfId="1474" xr:uid="{22BD8341-FC88-41F9-8D35-F01AC1657D39}"/>
    <cellStyle name="Normal 15 2 2 2 5 2 2" xfId="1475" xr:uid="{80899F5A-1028-45F6-9C0A-14A016DC39AC}"/>
    <cellStyle name="Normal 15 2 2 2 5 3" xfId="1476" xr:uid="{B4F61B26-ECF8-454B-89CE-FDF42A709020}"/>
    <cellStyle name="Normal 15 2 2 2 6" xfId="1477" xr:uid="{600C6500-C253-4684-9830-AEAFBFF48CA4}"/>
    <cellStyle name="Normal 15 2 2 2 6 2" xfId="1478" xr:uid="{286DB3CE-B389-4201-8070-35D5B6F00734}"/>
    <cellStyle name="Normal 15 2 2 2 7" xfId="1479" xr:uid="{F348DD23-65C2-48B0-866F-522932B88D46}"/>
    <cellStyle name="Normal 15 2 2 3" xfId="1480" xr:uid="{1287D2F1-0D1D-4EA3-A127-110CD61D4A49}"/>
    <cellStyle name="Normal 15 2 2 3 2" xfId="1481" xr:uid="{E0BB73F4-94A6-4932-8AB9-D4AE89BD0BB2}"/>
    <cellStyle name="Normal 15 2 2 3 2 2" xfId="1482" xr:uid="{9909915A-A304-48B8-ACDB-990B2CE79AC2}"/>
    <cellStyle name="Normal 15 2 2 3 2 2 2" xfId="1483" xr:uid="{C8DE597E-AF6F-4797-A559-86249033647F}"/>
    <cellStyle name="Normal 15 2 2 3 2 3" xfId="1484" xr:uid="{4D25913C-5303-4797-9E58-C534DD711958}"/>
    <cellStyle name="Normal 15 2 2 3 3" xfId="1485" xr:uid="{976C600D-DD6B-433F-BE0C-56C211A081E8}"/>
    <cellStyle name="Normal 15 2 2 3 3 2" xfId="1486" xr:uid="{E61D2BD7-8A73-4B25-BC32-704B5ED6EDDF}"/>
    <cellStyle name="Normal 15 2 2 3 3 2 2" xfId="1487" xr:uid="{7BBB4108-5664-4A38-9FE1-ABD070E3F872}"/>
    <cellStyle name="Normal 15 2 2 3 3 3" xfId="1488" xr:uid="{3566C858-F507-459D-B756-1453CA03469D}"/>
    <cellStyle name="Normal 15 2 2 3 4" xfId="1489" xr:uid="{1147D1C8-A503-4307-9D70-9B5EDB16C736}"/>
    <cellStyle name="Normal 15 2 2 3 4 2" xfId="1490" xr:uid="{D4CA846C-7B83-4EDA-B11F-3B465DF02DB5}"/>
    <cellStyle name="Normal 15 2 2 3 4 2 2" xfId="1491" xr:uid="{A01C7150-7DF1-41D4-9121-5A56C1756A09}"/>
    <cellStyle name="Normal 15 2 2 3 4 3" xfId="1492" xr:uid="{6FB75B92-5E07-44C8-83D3-FC2BAD26CCA0}"/>
    <cellStyle name="Normal 15 2 2 3 5" xfId="1493" xr:uid="{9C99C47B-FB71-4966-9BEF-C77B5E8622B2}"/>
    <cellStyle name="Normal 15 2 2 3 5 2" xfId="1494" xr:uid="{88FC4972-3BF9-422A-881A-27A597E3FFCC}"/>
    <cellStyle name="Normal 15 2 2 3 6" xfId="1495" xr:uid="{275D88A4-EEB1-4A07-9D82-61F7916BF43C}"/>
    <cellStyle name="Normal 15 2 2 4" xfId="1496" xr:uid="{CC3347F1-BF06-4EB6-88DE-B3AE3A75F2FE}"/>
    <cellStyle name="Normal 15 2 2 4 2" xfId="1497" xr:uid="{5C578DF8-A5E5-43EC-910A-E6361A28D098}"/>
    <cellStyle name="Normal 15 2 2 4 2 2" xfId="1498" xr:uid="{580400F8-1D0A-414A-AD19-6BB16B5C2620}"/>
    <cellStyle name="Normal 15 2 2 4 3" xfId="1499" xr:uid="{F0FEB53B-D2B4-44AF-B67C-0ED7A0EF0BAE}"/>
    <cellStyle name="Normal 15 2 2 5" xfId="1500" xr:uid="{15AD4379-75A5-4769-A10D-BB61F9CEA21F}"/>
    <cellStyle name="Normal 15 2 2 5 2" xfId="1501" xr:uid="{CD7629E7-B97C-4564-A601-FACBA127EE6B}"/>
    <cellStyle name="Normal 15 2 2 5 2 2" xfId="1502" xr:uid="{1C85F07F-62FB-407C-8C94-952A024763C2}"/>
    <cellStyle name="Normal 15 2 2 5 3" xfId="1503" xr:uid="{CC72431A-C707-4C67-B8ED-484E83684D73}"/>
    <cellStyle name="Normal 15 2 2 6" xfId="1504" xr:uid="{320973D2-5D3B-4802-A016-2DCB92D4A9BC}"/>
    <cellStyle name="Normal 15 2 2 6 2" xfId="1505" xr:uid="{A8D557FF-D1BC-4CCC-B17E-E45CDA18EF67}"/>
    <cellStyle name="Normal 15 2 2 6 2 2" xfId="1506" xr:uid="{B8049ECF-592C-40E8-8422-4F1280BEED3A}"/>
    <cellStyle name="Normal 15 2 2 6 3" xfId="1507" xr:uid="{42E0F0CD-394F-481A-8D40-3B7AFF4EF291}"/>
    <cellStyle name="Normal 15 2 2 7" xfId="1508" xr:uid="{14ABD771-E34F-4268-AB65-56C5A2DD1D9D}"/>
    <cellStyle name="Normal 15 2 2 7 2" xfId="1509" xr:uid="{F6365765-1240-4B0C-8A96-CC028357A4E3}"/>
    <cellStyle name="Normal 15 2 2 8" xfId="1510" xr:uid="{EA71051A-6EB2-49E9-90F6-DEA08BC243C6}"/>
    <cellStyle name="Normal 15 2 3" xfId="1511" xr:uid="{51AD75AE-E0DE-462B-A3FE-B8C177933DB7}"/>
    <cellStyle name="Normal 15 2 3 2" xfId="1512" xr:uid="{3524D470-1966-48FE-92CD-F07ECECF0240}"/>
    <cellStyle name="Normal 15 2 3 2 2" xfId="1513" xr:uid="{2F07FCFD-6094-45E0-931B-98FA6E2D2B37}"/>
    <cellStyle name="Normal 15 2 3 2 2 2" xfId="1514" xr:uid="{9A952551-FA11-48BB-AA21-5BD2FE4DD009}"/>
    <cellStyle name="Normal 15 2 3 2 2 2 2" xfId="1515" xr:uid="{9AF88FC3-994D-42D1-9CF1-54256E813EAF}"/>
    <cellStyle name="Normal 15 2 3 2 2 2 2 2" xfId="1516" xr:uid="{327A2423-D0BC-4E2D-906C-36739C1B99DE}"/>
    <cellStyle name="Normal 15 2 3 2 2 2 3" xfId="1517" xr:uid="{8AF848EA-2930-4194-B974-9D66CCA0BEA3}"/>
    <cellStyle name="Normal 15 2 3 2 2 3" xfId="1518" xr:uid="{8B64665B-FFF7-48BF-90D1-6BF9B5823AE9}"/>
    <cellStyle name="Normal 15 2 3 2 2 3 2" xfId="1519" xr:uid="{45258E5A-9CE0-42F3-8BCF-1C7061C94059}"/>
    <cellStyle name="Normal 15 2 3 2 2 3 2 2" xfId="1520" xr:uid="{736A8563-A3CE-4041-825E-26C3D144BCA3}"/>
    <cellStyle name="Normal 15 2 3 2 2 3 3" xfId="1521" xr:uid="{FE99EFA8-C89D-47C6-A846-93BC8E552AC4}"/>
    <cellStyle name="Normal 15 2 3 2 2 4" xfId="1522" xr:uid="{BF8E1DDF-8ABD-446B-9B2C-7B421A042004}"/>
    <cellStyle name="Normal 15 2 3 2 2 4 2" xfId="1523" xr:uid="{41D3A9AA-D2D3-4344-AB18-2E04CB608472}"/>
    <cellStyle name="Normal 15 2 3 2 2 4 2 2" xfId="1524" xr:uid="{32A3323B-1F81-42A7-AD26-727EB0DED7D9}"/>
    <cellStyle name="Normal 15 2 3 2 2 4 3" xfId="1525" xr:uid="{66589FA4-130F-4BDD-814D-0AE3292B3A59}"/>
    <cellStyle name="Normal 15 2 3 2 2 5" xfId="1526" xr:uid="{D21C5C24-220B-4E89-8A1C-C6AE7210319D}"/>
    <cellStyle name="Normal 15 2 3 2 2 5 2" xfId="1527" xr:uid="{E2693830-52BC-4079-B054-434AB18141D7}"/>
    <cellStyle name="Normal 15 2 3 2 2 5 2 2" xfId="7698" xr:uid="{7CF01B62-C2DA-4C9D-BC9C-72A84834A444}"/>
    <cellStyle name="Normal 15 2 3 2 2 6" xfId="1528" xr:uid="{4012F975-EE1B-4BD5-AAB0-F9AFB0288149}"/>
    <cellStyle name="Normal 15 2 3 2 3" xfId="1529" xr:uid="{75B58FCC-55F5-42DC-9CB5-705C5A5E8B76}"/>
    <cellStyle name="Normal 15 2 3 2 3 2" xfId="1530" xr:uid="{2EF77185-1856-4543-935E-63434D47C8AA}"/>
    <cellStyle name="Normal 15 2 3 2 3 2 2" xfId="1531" xr:uid="{2625975C-859D-4DA6-879D-5DA4601A3147}"/>
    <cellStyle name="Normal 15 2 3 2 3 3" xfId="1532" xr:uid="{C4A8577F-A61C-4B22-939F-5365B5642F73}"/>
    <cellStyle name="Normal 15 2 3 2 4" xfId="1533" xr:uid="{C4AA9461-452B-4256-BB60-288C53928CDE}"/>
    <cellStyle name="Normal 15 2 3 2 4 2" xfId="1534" xr:uid="{5636BACC-FB66-406C-BB59-7BDC1DACAD45}"/>
    <cellStyle name="Normal 15 2 3 2 4 2 2" xfId="1535" xr:uid="{FC8DBFA1-86A5-4562-83D6-31BC9EB1DCE7}"/>
    <cellStyle name="Normal 15 2 3 2 4 3" xfId="1536" xr:uid="{7A57906A-8EBC-420E-B372-6618BDD46BF6}"/>
    <cellStyle name="Normal 15 2 3 2 5" xfId="1537" xr:uid="{77F12E05-E8B6-49BB-A107-E29E0A78A85B}"/>
    <cellStyle name="Normal 15 2 3 2 5 2" xfId="1538" xr:uid="{32D1E132-8C53-42E0-A90C-B8AF6CA6E790}"/>
    <cellStyle name="Normal 15 2 3 2 5 2 2" xfId="1539" xr:uid="{920FC6EC-9D49-4175-87C6-7C283BB9E3B0}"/>
    <cellStyle name="Normal 15 2 3 2 5 3" xfId="1540" xr:uid="{53A5193A-9C2E-4EA8-A24F-7B3612D6BD92}"/>
    <cellStyle name="Normal 15 2 3 2 6" xfId="1541" xr:uid="{A55E576E-D156-45F3-B56B-35BB79F06A5B}"/>
    <cellStyle name="Normal 15 2 3 2 6 2" xfId="1542" xr:uid="{D7D681EA-DD4A-4EDE-B957-D9748E743B20}"/>
    <cellStyle name="Normal 15 2 3 2 7" xfId="1543" xr:uid="{C2EFAB45-2BF7-4A24-8963-B8554318B5EE}"/>
    <cellStyle name="Normal 15 2 3 3" xfId="1544" xr:uid="{0451AD66-6DAB-4B6F-9B82-CE60447969A8}"/>
    <cellStyle name="Normal 15 2 3 3 2" xfId="1545" xr:uid="{AC2B2F26-5652-43DB-B2C9-405FCD771630}"/>
    <cellStyle name="Normal 15 2 3 3 2 2" xfId="1546" xr:uid="{D25F08D0-4B7F-47DC-87B4-D328A8274C8E}"/>
    <cellStyle name="Normal 15 2 3 3 2 2 2" xfId="1547" xr:uid="{4A5FA36D-A399-4527-8692-F3997AC566D1}"/>
    <cellStyle name="Normal 15 2 3 3 2 3" xfId="1548" xr:uid="{D480307B-C289-42B3-95B9-F90624162BBB}"/>
    <cellStyle name="Normal 15 2 3 3 3" xfId="1549" xr:uid="{BC53F4B9-CCEE-45D0-B2EF-6508F4A6909D}"/>
    <cellStyle name="Normal 15 2 3 3 3 2" xfId="1550" xr:uid="{E3971090-BE63-4FDE-8CDD-166D63E05884}"/>
    <cellStyle name="Normal 15 2 3 3 3 2 2" xfId="1551" xr:uid="{B6DF11FC-3800-4BE6-9CE6-4526931DF4E3}"/>
    <cellStyle name="Normal 15 2 3 3 3 3" xfId="1552" xr:uid="{A378E004-D7E0-48F6-BD51-312F2A784D7F}"/>
    <cellStyle name="Normal 15 2 3 3 4" xfId="1553" xr:uid="{A26A3DA5-7166-4DC7-A1F0-DD68EE17909C}"/>
    <cellStyle name="Normal 15 2 3 3 4 2" xfId="1554" xr:uid="{02344A41-22E0-4013-AF71-40A145A595E7}"/>
    <cellStyle name="Normal 15 2 3 3 4 2 2" xfId="1555" xr:uid="{63B5D7CD-C21B-42FA-8905-5269648016D9}"/>
    <cellStyle name="Normal 15 2 3 3 4 3" xfId="1556" xr:uid="{4EFD151B-348B-48E0-9DA6-C019BE0F4261}"/>
    <cellStyle name="Normal 15 2 3 3 5" xfId="1557" xr:uid="{9BD0D2A4-7E8B-460A-A8D4-CBF59F30AD84}"/>
    <cellStyle name="Normal 15 2 3 3 5 2" xfId="1558" xr:uid="{06A581C9-AA5D-4EDA-A766-8CF1724C1004}"/>
    <cellStyle name="Normal 15 2 3 3 6" xfId="1559" xr:uid="{0EF52191-AD34-461E-86B0-AF856553C87C}"/>
    <cellStyle name="Normal 15 2 3 4" xfId="1560" xr:uid="{BEEEB9A6-0EE1-4DFD-A8A2-5BFD5FD39B48}"/>
    <cellStyle name="Normal 15 2 3 4 2" xfId="1561" xr:uid="{79FA27D4-C326-4450-8367-F52BAB13718B}"/>
    <cellStyle name="Normal 15 2 3 4 2 2" xfId="1562" xr:uid="{E6A68972-B410-4E44-B6BD-E42ABB83C54E}"/>
    <cellStyle name="Normal 15 2 3 4 3" xfId="1563" xr:uid="{E4DF3E6A-A362-445A-A904-2EBDD8DED013}"/>
    <cellStyle name="Normal 15 2 3 5" xfId="1564" xr:uid="{A3492D25-B4A2-4D3E-88D9-81552F4A0E8A}"/>
    <cellStyle name="Normal 15 2 3 5 2" xfId="1565" xr:uid="{73AF5120-AEA6-4F37-AE9E-5726F50764FB}"/>
    <cellStyle name="Normal 15 2 3 5 2 2" xfId="1566" xr:uid="{612AAF18-5912-4C07-A02E-A07CEAAC5C80}"/>
    <cellStyle name="Normal 15 2 3 5 3" xfId="1567" xr:uid="{8EDBC348-0D08-4F98-88D2-D14AF82C3C77}"/>
    <cellStyle name="Normal 15 2 3 6" xfId="1568" xr:uid="{A4AB99BB-9DFD-475F-985E-45145C7B81B1}"/>
    <cellStyle name="Normal 15 2 3 6 2" xfId="1569" xr:uid="{1ADCE3B7-0BE9-4593-A41E-33219872A6E5}"/>
    <cellStyle name="Normal 15 2 3 6 2 2" xfId="1570" xr:uid="{6E80E62B-D351-4C8C-8484-A82A9A9F98A8}"/>
    <cellStyle name="Normal 15 2 3 6 3" xfId="1571" xr:uid="{C7066E65-C5A4-4510-937E-0F5EF4AB541D}"/>
    <cellStyle name="Normal 15 2 3 7" xfId="1572" xr:uid="{3BBC7476-2CEA-457A-BBDD-D7E73B2647D6}"/>
    <cellStyle name="Normal 15 2 3 7 2" xfId="1573" xr:uid="{EE237601-7671-462A-81C1-940D45789F0E}"/>
    <cellStyle name="Normal 15 2 3 8" xfId="1574" xr:uid="{64F95464-CBAC-49FB-B7DD-F727143F3A56}"/>
    <cellStyle name="Normal 15 2 4" xfId="1575" xr:uid="{E8A7E966-5349-4072-A024-BAF856D4F84C}"/>
    <cellStyle name="Normal 15 2 4 2" xfId="1576" xr:uid="{D89FB120-F4C0-48C8-BEDB-462E6022AFD7}"/>
    <cellStyle name="Normal 15 2 4 2 2" xfId="1577" xr:uid="{7D1BB738-E5B9-4FF9-9946-45CF99DB256D}"/>
    <cellStyle name="Normal 15 2 4 2 2 2" xfId="1578" xr:uid="{590518BC-04DF-4EA3-A790-626C5A6938BC}"/>
    <cellStyle name="Normal 15 2 4 2 2 2 2" xfId="1579" xr:uid="{62AD4AE4-FB01-4FBC-AA78-655B3B2417B4}"/>
    <cellStyle name="Normal 15 2 4 2 2 3" xfId="2" xr:uid="{00000000-0005-0000-0000-000003000000}"/>
    <cellStyle name="Normal 15 2 4 2 2 3 2" xfId="3" xr:uid="{00000000-0005-0000-0000-000004000000}"/>
    <cellStyle name="Normal 15 2 4 2 2 3 3" xfId="7905" xr:uid="{122DC1B5-23F2-4872-883B-CEF7A18C79F1}"/>
    <cellStyle name="Normal 15 2 4 2 3" xfId="1580" xr:uid="{15D8F2E3-3DC4-4E3E-904C-C552DF51F8A6}"/>
    <cellStyle name="Normal 15 2 4 2 3 2" xfId="1581" xr:uid="{E16B7520-6EF5-48CA-97A8-C58F406FC9B1}"/>
    <cellStyle name="Normal 15 2 4 2 3 2 2" xfId="1582" xr:uid="{579E9504-0257-4C64-901C-BF323BEADE76}"/>
    <cellStyle name="Normal 15 2 4 2 3 3" xfId="1583" xr:uid="{87C00B14-CE21-4991-A283-B5B229640F29}"/>
    <cellStyle name="Normal 15 2 4 2 4" xfId="1584" xr:uid="{00F4617B-5A6A-491C-A70D-BFE4DDAC1A11}"/>
    <cellStyle name="Normal 15 2 4 2 4 2" xfId="1585" xr:uid="{0CC81903-D7CD-454D-93F8-222FD53DF2D3}"/>
    <cellStyle name="Normal 15 2 4 2 4 2 2" xfId="1586" xr:uid="{2BA497C8-E6B6-4A75-8D5E-4D1EEAACD226}"/>
    <cellStyle name="Normal 15 2 4 2 4 3" xfId="1587" xr:uid="{943DA4AA-CA6C-49C6-8D2B-DC56B9DFB75D}"/>
    <cellStyle name="Normal 15 2 4 2 5" xfId="1588" xr:uid="{DA4ED137-20EC-449D-9207-3D3E13F4055A}"/>
    <cellStyle name="Normal 15 2 4 2 5 2" xfId="1589" xr:uid="{F93B7D30-3284-4E70-9D1A-D7BE7DCE37B4}"/>
    <cellStyle name="Normal 15 2 4 2 6" xfId="1590" xr:uid="{0D1BC399-D7D1-446D-B2ED-C1A77A25F9BB}"/>
    <cellStyle name="Normal 15 2 4 3" xfId="1591" xr:uid="{6243401C-F041-4141-8A62-985B7162FD02}"/>
    <cellStyle name="Normal 15 2 4 3 2" xfId="1592" xr:uid="{8855B97D-BF46-4F48-8AE3-2B79FD23A902}"/>
    <cellStyle name="Normal 15 2 4 3 2 2" xfId="1593" xr:uid="{A5552C0B-08DB-4444-8203-38A7FD23FBB6}"/>
    <cellStyle name="Normal 15 2 4 3 3" xfId="1594" xr:uid="{109F3F56-889D-490B-AD64-229D75C63761}"/>
    <cellStyle name="Normal 15 2 4 4" xfId="1595" xr:uid="{C417CB80-17BC-4D68-AA99-E34374EC3A0D}"/>
    <cellStyle name="Normal 15 2 4 4 2" xfId="1596" xr:uid="{A195734C-B86C-48A3-995B-53D2F5EC89B5}"/>
    <cellStyle name="Normal 15 2 4 4 2 2" xfId="1597" xr:uid="{C18250EC-F5AE-4162-90A2-8D9581CB90B0}"/>
    <cellStyle name="Normal 15 2 4 4 3" xfId="1598" xr:uid="{F35BB2BD-53CD-4F46-8165-AD4AB44E2AEC}"/>
    <cellStyle name="Normal 15 2 4 5" xfId="1599" xr:uid="{790C75FB-3021-48DC-813D-4B21F3F4D6AE}"/>
    <cellStyle name="Normal 15 2 4 5 2" xfId="1600" xr:uid="{69437210-F2D7-4A44-A79B-19C7681B5E3E}"/>
    <cellStyle name="Normal 15 2 4 5 2 2" xfId="1601" xr:uid="{3D8A730E-86B1-46D3-A7B7-EBA2C98B141A}"/>
    <cellStyle name="Normal 15 2 4 5 3" xfId="1602" xr:uid="{5506E105-508D-4F04-A6C6-8B576C3B310D}"/>
    <cellStyle name="Normal 15 2 4 6" xfId="1603" xr:uid="{EF7EDC36-E67C-479B-B5AF-82880D372EAB}"/>
    <cellStyle name="Normal 15 2 4 6 2" xfId="1604" xr:uid="{0AC3613B-2EBD-4DCA-9C92-E215E26CEC57}"/>
    <cellStyle name="Normal 15 2 4 7" xfId="1605" xr:uid="{939BE1C3-0746-4E4B-8059-F3A0B5B2679A}"/>
    <cellStyle name="Normal 15 2 5" xfId="1606" xr:uid="{95C676D1-BD5A-40D1-AB93-1581F9939D2E}"/>
    <cellStyle name="Normal 15 2 5 2" xfId="1607" xr:uid="{FE0E29EE-CB89-4EB3-A997-EBDAFB2EFB6A}"/>
    <cellStyle name="Normal 15 2 5 2 2" xfId="1608" xr:uid="{A232F11F-D007-4113-81EE-A5E1B37DD760}"/>
    <cellStyle name="Normal 15 2 5 2 2 2" xfId="1609" xr:uid="{A9506654-7BEF-4355-BCA2-17FD832784A6}"/>
    <cellStyle name="Normal 15 2 5 2 3" xfId="1610" xr:uid="{04BBCEF5-090F-4162-9F8F-4A84BA2B5E7E}"/>
    <cellStyle name="Normal 15 2 5 3" xfId="1611" xr:uid="{3D467187-8B58-44B9-8041-BCD73A94C971}"/>
    <cellStyle name="Normal 15 2 5 3 2" xfId="1612" xr:uid="{805D7297-57FC-4F6B-9BA3-C96E395A1A1C}"/>
    <cellStyle name="Normal 15 2 5 3 2 2" xfId="1613" xr:uid="{149E40DD-6141-4CE6-BE7D-F929857FF863}"/>
    <cellStyle name="Normal 15 2 5 3 3" xfId="1614" xr:uid="{73481A5A-4E3A-4E1F-A5E7-CAC41AE20E1B}"/>
    <cellStyle name="Normal 15 2 5 4" xfId="1615" xr:uid="{362C1018-669B-4D0B-B2E0-4E9A20496B8C}"/>
    <cellStyle name="Normal 15 2 5 4 2" xfId="1616" xr:uid="{A4CE6EF4-B7FF-4DF7-8C8D-99FF176DFC03}"/>
    <cellStyle name="Normal 15 2 5 4 2 2" xfId="1617" xr:uid="{28510A13-C64D-4F52-AC11-BBC1E144661F}"/>
    <cellStyle name="Normal 15 2 5 4 3" xfId="1618" xr:uid="{D1ADA84E-C1E4-498A-8E5F-CA6FB8D602CC}"/>
    <cellStyle name="Normal 15 2 5 5" xfId="1619" xr:uid="{8A8C74CB-33D9-4E07-A481-D945B303A99C}"/>
    <cellStyle name="Normal 15 2 5 5 2" xfId="1620" xr:uid="{25FC878D-CD5F-404C-AD5F-AC169128241F}"/>
    <cellStyle name="Normal 15 2 5 6" xfId="1621" xr:uid="{BF619777-9C39-4577-BB34-76185CC3F093}"/>
    <cellStyle name="Normal 15 2 6" xfId="1622" xr:uid="{D5A33732-C365-43FB-AA12-94BE9702918A}"/>
    <cellStyle name="Normal 15 2 6 2" xfId="1623" xr:uid="{390A4AAC-BBC5-42EB-BC7C-B10E4C24FA14}"/>
    <cellStyle name="Normal 15 2 6 2 2" xfId="1624" xr:uid="{31006274-3D01-4C08-8D29-A50DC62ED2A0}"/>
    <cellStyle name="Normal 15 2 6 3" xfId="1625" xr:uid="{AD50A674-2EBD-44B4-9516-290BDFF536C7}"/>
    <cellStyle name="Normal 15 2 7" xfId="1626" xr:uid="{F797E738-94EE-4323-BD71-165DC2604361}"/>
    <cellStyle name="Normal 15 2 7 2" xfId="1627" xr:uid="{F45EEA3F-5605-43C0-9E86-EAC3ECA3AB38}"/>
    <cellStyle name="Normal 15 2 7 2 2" xfId="1628" xr:uid="{5EA29B5D-ED6F-4C1B-B1EF-64E6AB89E767}"/>
    <cellStyle name="Normal 15 2 7 3" xfId="1629" xr:uid="{C0A100FA-0745-4D4F-85EC-82AD1D211E05}"/>
    <cellStyle name="Normal 15 2 8" xfId="1630" xr:uid="{86FBCA5D-0CF5-419F-8F69-0C0A6A6BFB23}"/>
    <cellStyle name="Normal 15 2 8 2" xfId="1631" xr:uid="{73ECCD03-C972-4A57-AE32-52562CC23D17}"/>
    <cellStyle name="Normal 15 2 8 2 2" xfId="1632" xr:uid="{D04A6276-6EB7-4C1A-97D4-FFC823B16921}"/>
    <cellStyle name="Normal 15 2 8 3" xfId="1633" xr:uid="{BC128F66-20D5-487E-8692-2289C3614941}"/>
    <cellStyle name="Normal 15 2 9" xfId="1634" xr:uid="{AFAAFE36-768C-490B-AB79-DECB8234BE6B}"/>
    <cellStyle name="Normal 15 2 9 2" xfId="1635" xr:uid="{01DF95C1-5932-4D5B-9203-FAC3AC773B8D}"/>
    <cellStyle name="Normal 15 2 9 2 2" xfId="1636" xr:uid="{8E52BD32-003D-45B9-AFE6-B2B42298192D}"/>
    <cellStyle name="Normal 15 2 9 3" xfId="1637" xr:uid="{BC545AD7-B66C-4FAA-8B9B-73935C5F4469}"/>
    <cellStyle name="Normal 15 3" xfId="1638" xr:uid="{B268B88D-A973-4416-ABC6-4BA28BF784D6}"/>
    <cellStyle name="Normal 15 3 2" xfId="1639" xr:uid="{DE7213EF-9719-45BC-8938-D7042551CBE2}"/>
    <cellStyle name="Normal 15 3 2 2" xfId="1640" xr:uid="{55F80376-0C75-4C83-A843-C338E3FAD410}"/>
    <cellStyle name="Normal 15 3 2 2 2" xfId="1641" xr:uid="{EE2D683E-78B2-486D-B149-1BACDC0DF82C}"/>
    <cellStyle name="Normal 15 3 2 2 2 2" xfId="1642" xr:uid="{1B885434-B01A-4298-9063-4706933675DA}"/>
    <cellStyle name="Normal 15 3 2 2 2 2 2" xfId="1643" xr:uid="{0C23179F-DF6F-4F48-AFE2-89C9468C79BC}"/>
    <cellStyle name="Normal 15 3 2 2 2 3" xfId="1644" xr:uid="{D5181F7A-F864-41B7-8A8F-6AAD6EEC32CC}"/>
    <cellStyle name="Normal 15 3 2 2 3" xfId="1645" xr:uid="{26249F9A-F0C8-4874-8BF3-F74AC8D17A85}"/>
    <cellStyle name="Normal 15 3 2 2 3 2" xfId="1646" xr:uid="{92CC47F9-21B7-4464-83DC-C20C930ECDE8}"/>
    <cellStyle name="Normal 15 3 2 2 3 2 2" xfId="1647" xr:uid="{23CD0C89-5181-4309-A796-B3F2D32E35FD}"/>
    <cellStyle name="Normal 15 3 2 2 3 3" xfId="1648" xr:uid="{914E2CDF-6DF0-4CD0-973C-A9D693FE717A}"/>
    <cellStyle name="Normal 15 3 2 2 4" xfId="1649" xr:uid="{51993907-F995-4835-AFCD-10D6AA5AA237}"/>
    <cellStyle name="Normal 15 3 2 2 4 2" xfId="1650" xr:uid="{681B99A9-64F7-4EFB-BEEC-4A9EDC2D9C04}"/>
    <cellStyle name="Normal 15 3 2 2 4 2 2" xfId="1651" xr:uid="{BF887011-DE72-463B-8F9F-0D61779031D3}"/>
    <cellStyle name="Normal 15 3 2 2 4 3" xfId="1652" xr:uid="{0304158C-E889-4779-A42A-19EC076112BE}"/>
    <cellStyle name="Normal 15 3 2 2 5" xfId="1653" xr:uid="{ED662A6B-EA4D-4DA7-B439-352B45660F45}"/>
    <cellStyle name="Normal 15 3 2 2 5 2" xfId="1654" xr:uid="{D35E4902-3C47-47DA-8AAF-67D46ECDC00C}"/>
    <cellStyle name="Normal 15 3 2 2 6" xfId="1655" xr:uid="{81A0B80B-85A1-4649-A435-1AF3284B87C8}"/>
    <cellStyle name="Normal 15 3 2 3" xfId="1656" xr:uid="{43AB6C55-0C97-46AF-8932-5A50749A34A8}"/>
    <cellStyle name="Normal 15 3 2 3 2" xfId="1657" xr:uid="{445C8670-D8D0-4EAC-B8AC-82475988C6F5}"/>
    <cellStyle name="Normal 15 3 2 3 2 2" xfId="1658" xr:uid="{F835293D-DE91-4EDA-B9AE-7825BD336C1D}"/>
    <cellStyle name="Normal 15 3 2 3 3" xfId="1659" xr:uid="{5D596CB7-13EC-4333-B6DA-53B60BE88987}"/>
    <cellStyle name="Normal 15 3 2 4" xfId="1660" xr:uid="{E18655A6-19E8-4A83-98B7-C41F18A7E2A7}"/>
    <cellStyle name="Normal 15 3 2 4 2" xfId="1661" xr:uid="{976EDA8E-14B7-48BC-AEE2-920BD21EAF58}"/>
    <cellStyle name="Normal 15 3 2 4 2 2" xfId="1662" xr:uid="{7EA33CFF-E11A-427A-9575-F53B68F6DFA8}"/>
    <cellStyle name="Normal 15 3 2 4 3" xfId="1663" xr:uid="{3D286E23-4D1D-4F96-9B0E-12FD98310F33}"/>
    <cellStyle name="Normal 15 3 2 5" xfId="1664" xr:uid="{2D6EEDF7-2D97-427A-943A-8D3B6236D00E}"/>
    <cellStyle name="Normal 15 3 2 5 2" xfId="1665" xr:uid="{9D49D5D3-BE3C-47D7-AB33-133832647AC3}"/>
    <cellStyle name="Normal 15 3 2 5 2 2" xfId="1666" xr:uid="{A9089090-CD4B-438C-A3B8-52CBBD3CE5E1}"/>
    <cellStyle name="Normal 15 3 2 5 3" xfId="1667" xr:uid="{2210ED74-DE3E-4585-AB93-50B19DAC5649}"/>
    <cellStyle name="Normal 15 3 2 6" xfId="1668" xr:uid="{A250CE47-BDBD-4E60-BD10-B3620BAF7B10}"/>
    <cellStyle name="Normal 15 3 2 6 2" xfId="1669" xr:uid="{E4703BF6-FF1F-4B1B-B2F4-7587062F2073}"/>
    <cellStyle name="Normal 15 3 2 7" xfId="1670" xr:uid="{05E7428E-A799-4A49-AE16-A9FD256C618C}"/>
    <cellStyle name="Normal 15 3 3" xfId="1671" xr:uid="{8A0C425A-B46D-4413-A6F8-17FA17D93B5F}"/>
    <cellStyle name="Normal 15 3 3 2" xfId="1672" xr:uid="{7FE47AEB-D8A9-40A3-9927-94E70A39B8FE}"/>
    <cellStyle name="Normal 15 3 3 2 2" xfId="1673" xr:uid="{9197C5EC-C8FA-487E-85F9-1977C538AB78}"/>
    <cellStyle name="Normal 15 3 3 2 2 2" xfId="1674" xr:uid="{63CA4C6B-756A-4BB4-9DD0-81BE6B1D7355}"/>
    <cellStyle name="Normal 15 3 3 2 3" xfId="1675" xr:uid="{60014667-38A2-4938-B097-84B5BCFCEB91}"/>
    <cellStyle name="Normal 15 3 3 3" xfId="1676" xr:uid="{C477EAD3-8E74-4E27-A3FC-2ECBA77AE4C7}"/>
    <cellStyle name="Normal 15 3 3 3 2" xfId="1677" xr:uid="{A30FBCBB-35FC-4EF8-B5E8-63B514C3E169}"/>
    <cellStyle name="Normal 15 3 3 3 2 2" xfId="1678" xr:uid="{3CE51DAC-318D-47ED-B064-C61969A797F0}"/>
    <cellStyle name="Normal 15 3 3 3 3" xfId="1679" xr:uid="{83920B5E-2651-4CA0-A020-95D2D585BEAF}"/>
    <cellStyle name="Normal 15 3 3 4" xfId="1680" xr:uid="{0CE2DB5C-78DA-4CA5-9173-E2497530B72F}"/>
    <cellStyle name="Normal 15 3 3 4 2" xfId="1681" xr:uid="{16AA891F-C84A-4D8C-848B-481B3DDF5FFA}"/>
    <cellStyle name="Normal 15 3 3 4 2 2" xfId="1682" xr:uid="{CF2A6C5B-9088-46C4-A44A-6248D27D95E4}"/>
    <cellStyle name="Normal 15 3 3 4 3" xfId="1683" xr:uid="{108D7AA0-52D3-4DDE-94FA-78BA7111214F}"/>
    <cellStyle name="Normal 15 3 3 5" xfId="1684" xr:uid="{E8EA79AD-CAFD-4DCB-9C7D-34C97CB93743}"/>
    <cellStyle name="Normal 15 3 3 5 2" xfId="1685" xr:uid="{C89386CC-B41B-4B7B-94B8-E0C9B6D95B42}"/>
    <cellStyle name="Normal 15 3 3 6" xfId="1686" xr:uid="{AC0A45E5-500B-4576-9F97-B35D0942CB55}"/>
    <cellStyle name="Normal 15 3 4" xfId="1687" xr:uid="{59C31930-806E-417C-801E-131B4FEF0FC4}"/>
    <cellStyle name="Normal 15 3 4 2" xfId="1688" xr:uid="{76DDBBF3-A5CD-4EB2-A8BB-9A40849ABDEC}"/>
    <cellStyle name="Normal 15 3 4 2 2" xfId="1689" xr:uid="{742A5613-8041-4B1D-B883-D341250CE90C}"/>
    <cellStyle name="Normal 15 3 4 3" xfId="1690" xr:uid="{C3625287-95CA-4E88-BFA2-DA9B6D13B526}"/>
    <cellStyle name="Normal 15 3 5" xfId="1691" xr:uid="{03C6A757-4F25-4B53-BF4C-2EC5C3E84DC5}"/>
    <cellStyle name="Normal 15 3 5 2" xfId="1692" xr:uid="{93033940-3CBE-429C-BC62-5EB6FBF149F3}"/>
    <cellStyle name="Normal 15 3 5 2 2" xfId="1693" xr:uid="{A469BD8D-C4BA-437C-BE6A-2B3A0C5807FE}"/>
    <cellStyle name="Normal 15 3 5 3" xfId="1694" xr:uid="{F8691AF3-EDCE-4E70-AD02-23D5CCBE7006}"/>
    <cellStyle name="Normal 15 3 6" xfId="1695" xr:uid="{73030CD2-E62F-4A5E-A836-BD23488B30A8}"/>
    <cellStyle name="Normal 15 3 6 2" xfId="1696" xr:uid="{81B57912-80FF-4501-99D0-EBEC2683AA7A}"/>
    <cellStyle name="Normal 15 3 6 2 2" xfId="1697" xr:uid="{CC58EEFD-C645-4414-A3D3-749E3CD8ADDE}"/>
    <cellStyle name="Normal 15 3 6 3" xfId="1698" xr:uid="{9CB484CA-3D84-4171-ACE4-A3A85DD32C34}"/>
    <cellStyle name="Normal 15 3 7" xfId="1699" xr:uid="{8DD9D20F-83DE-4C9D-9097-4537B21EAC13}"/>
    <cellStyle name="Normal 15 3 7 2" xfId="1700" xr:uid="{E2423DFE-154F-48C9-AE47-66B6A53E58F0}"/>
    <cellStyle name="Normal 15 3 8" xfId="1701" xr:uid="{A65FD05C-C50E-490A-AD92-C03C7E472E87}"/>
    <cellStyle name="Normal 15 4" xfId="1702" xr:uid="{CF8282CC-954C-4CFC-A631-D37838DF21FF}"/>
    <cellStyle name="Normal 15 4 2" xfId="1703" xr:uid="{23042637-770E-44ED-A9D0-BA8988732BE6}"/>
    <cellStyle name="Normal 15 4 2 2" xfId="1704" xr:uid="{2CE7F4FF-E9A7-4400-8FD0-4A4CA4BCDF77}"/>
    <cellStyle name="Normal 15 4 2 2 2" xfId="1705" xr:uid="{E834240D-9018-444D-9B90-12F097104985}"/>
    <cellStyle name="Normal 15 4 2 2 2 2" xfId="1706" xr:uid="{25A4E9A3-137E-4077-A5EA-70843F1E9ED4}"/>
    <cellStyle name="Normal 15 4 2 2 2 2 2" xfId="1707" xr:uid="{A5C10900-6EB7-4096-9FCE-98F4B1FA98AE}"/>
    <cellStyle name="Normal 15 4 2 2 2 3" xfId="1708" xr:uid="{8543FAC4-C439-4E9B-AB5C-FE41EAD67DD2}"/>
    <cellStyle name="Normal 15 4 2 2 3" xfId="1709" xr:uid="{8C7EB8B9-F1FE-48CF-9175-AF399E1C0A49}"/>
    <cellStyle name="Normal 15 4 2 2 3 2" xfId="1710" xr:uid="{556D1A9D-8E5A-4336-A7B4-8AE059370C77}"/>
    <cellStyle name="Normal 15 4 2 2 3 2 2" xfId="1711" xr:uid="{E85D26C8-0C3E-4957-8C3A-4D45960B9DE2}"/>
    <cellStyle name="Normal 15 4 2 2 3 3" xfId="1712" xr:uid="{4444AC9F-1792-45FC-9A08-5240B20E34AD}"/>
    <cellStyle name="Normal 15 4 2 2 4" xfId="1713" xr:uid="{65093AD8-22F7-45A9-AB47-28F2A5619E06}"/>
    <cellStyle name="Normal 15 4 2 2 4 2" xfId="1714" xr:uid="{A8E46B9C-E6A1-4AD7-AF4A-E5D5AF3F4A1B}"/>
    <cellStyle name="Normal 15 4 2 2 4 2 2" xfId="1715" xr:uid="{A3916ECF-45C0-475E-98AC-0F909D0A2F38}"/>
    <cellStyle name="Normal 15 4 2 2 4 3" xfId="1716" xr:uid="{AC3A2899-8211-4DDF-81D4-4595592554E3}"/>
    <cellStyle name="Normal 15 4 2 2 5" xfId="1717" xr:uid="{9877E82D-D70B-4BD1-BABE-238D343EAD6C}"/>
    <cellStyle name="Normal 15 4 2 2 5 2" xfId="1718" xr:uid="{E4971036-6E49-4DD0-B4A9-E41944258868}"/>
    <cellStyle name="Normal 15 4 2 2 6" xfId="1719" xr:uid="{D26A306E-99E8-4388-9D37-5FC9E2DB6F15}"/>
    <cellStyle name="Normal 15 4 2 3" xfId="1720" xr:uid="{02ED1C4A-7996-4005-9DF2-97FB6C400633}"/>
    <cellStyle name="Normal 15 4 2 3 2" xfId="1721" xr:uid="{E1E59411-CDC3-4134-B65B-489189B406C8}"/>
    <cellStyle name="Normal 15 4 2 3 2 2" xfId="1722" xr:uid="{6B1120BA-BA45-4D38-B028-D983C8D7A0C2}"/>
    <cellStyle name="Normal 15 4 2 3 3" xfId="1723" xr:uid="{87F5DDEE-FCD0-40F6-AEC6-7599F3EACDCF}"/>
    <cellStyle name="Normal 15 4 2 4" xfId="1724" xr:uid="{DD6F7FB4-9789-49FA-B8AF-CF3113FF38C9}"/>
    <cellStyle name="Normal 15 4 2 4 2" xfId="1725" xr:uid="{910ABA9A-1026-4F5F-9D5B-E78E7EA8F520}"/>
    <cellStyle name="Normal 15 4 2 4 2 2" xfId="1726" xr:uid="{15D04B0C-B3F0-4998-BF24-46E4D84FFBB7}"/>
    <cellStyle name="Normal 15 4 2 4 3" xfId="1727" xr:uid="{A4E9BD29-61E9-4072-971D-08A2848EA071}"/>
    <cellStyle name="Normal 15 4 2 5" xfId="1728" xr:uid="{BBF7581C-AC19-4435-9A48-12251FC336D5}"/>
    <cellStyle name="Normal 15 4 2 5 2" xfId="1729" xr:uid="{2DFBE200-02A9-4DAB-846A-2F01E9C50819}"/>
    <cellStyle name="Normal 15 4 2 5 2 2" xfId="1730" xr:uid="{CB5673AC-3EB5-4AE7-90F3-4BA45520EAFF}"/>
    <cellStyle name="Normal 15 4 2 5 3" xfId="1731" xr:uid="{D17E9E49-DC13-4163-909D-726F57C98B29}"/>
    <cellStyle name="Normal 15 4 2 6" xfId="1732" xr:uid="{2ECB5830-1F05-4C43-940B-F97D04758BD1}"/>
    <cellStyle name="Normal 15 4 2 6 2" xfId="1733" xr:uid="{543AB6A5-D28B-4DC4-946D-3F34DE178A55}"/>
    <cellStyle name="Normal 15 4 2 7" xfId="1734" xr:uid="{C1A8AE45-69CF-4EDC-AE8A-250770242FD5}"/>
    <cellStyle name="Normal 15 4 3" xfId="1735" xr:uid="{0589CEB7-6429-47BE-AD2D-9A3FC2CDAA2C}"/>
    <cellStyle name="Normal 15 4 3 2" xfId="1736" xr:uid="{19A14518-EA2E-4A20-8757-B1CA5B153043}"/>
    <cellStyle name="Normal 15 4 3 2 2" xfId="1737" xr:uid="{4CE5A921-2324-4E0F-9F3C-070D8BFB67C5}"/>
    <cellStyle name="Normal 15 4 3 2 2 2" xfId="1738" xr:uid="{094DACBD-3606-43B6-AF12-A586F26983CB}"/>
    <cellStyle name="Normal 15 4 3 2 3" xfId="1739" xr:uid="{9B30BBF8-2F6F-4FDF-82D5-A96C94974C03}"/>
    <cellStyle name="Normal 15 4 3 3" xfId="1740" xr:uid="{7FFC4FAB-BDA1-4DC1-82D6-434F56569666}"/>
    <cellStyle name="Normal 15 4 3 3 2" xfId="1741" xr:uid="{53CCDF36-33BC-4AC4-9090-55B20A12A40F}"/>
    <cellStyle name="Normal 15 4 3 3 2 2" xfId="1742" xr:uid="{7663FB15-C751-4268-A1BC-221CEF1D0E07}"/>
    <cellStyle name="Normal 15 4 3 3 3" xfId="1743" xr:uid="{6AFA0D23-BA7F-43B7-B7EE-7084515D69F9}"/>
    <cellStyle name="Normal 15 4 3 4" xfId="1744" xr:uid="{ACBE2D6B-5C8A-49F2-B881-900A2BA669F5}"/>
    <cellStyle name="Normal 15 4 3 4 2" xfId="1745" xr:uid="{F9016BDA-738C-44C4-8A30-AB52223E5A01}"/>
    <cellStyle name="Normal 15 4 3 4 2 2" xfId="1746" xr:uid="{CAECE8E3-B480-448A-80D0-34DBFB028723}"/>
    <cellStyle name="Normal 15 4 3 4 3" xfId="1747" xr:uid="{572F5875-A223-41CC-8B59-B786EA0E50EF}"/>
    <cellStyle name="Normal 15 4 3 5" xfId="1748" xr:uid="{3E2DFFA4-19C4-47F9-9A22-2071545BFF8F}"/>
    <cellStyle name="Normal 15 4 3 5 2" xfId="1749" xr:uid="{7FF65B47-5C6D-4B2F-A455-1035771242AE}"/>
    <cellStyle name="Normal 15 4 3 6" xfId="1750" xr:uid="{AC94F70F-C68E-4F47-A888-0BE79D70FCF2}"/>
    <cellStyle name="Normal 15 4 4" xfId="1751" xr:uid="{B267405F-BA21-4C4E-9EE3-2EEBE10A5538}"/>
    <cellStyle name="Normal 15 4 4 2" xfId="1752" xr:uid="{977F0C34-C276-4B80-B2D0-8D54FBD1F685}"/>
    <cellStyle name="Normal 15 4 4 2 2" xfId="1753" xr:uid="{79EA17D0-5817-418B-B98B-8A661EE4E62B}"/>
    <cellStyle name="Normal 15 4 4 3" xfId="1754" xr:uid="{45AFB388-569E-4F77-996B-FB6FEA3591D1}"/>
    <cellStyle name="Normal 15 4 5" xfId="1755" xr:uid="{A7F11029-9446-4936-B08B-16C1FFEF7332}"/>
    <cellStyle name="Normal 15 4 5 2" xfId="1756" xr:uid="{CA4E0215-D0D5-40F6-B444-6F8CF495B4FA}"/>
    <cellStyle name="Normal 15 4 5 2 2" xfId="1757" xr:uid="{ACDCA7B6-EA36-4D22-B3E5-F1C4C1DFEAE7}"/>
    <cellStyle name="Normal 15 4 5 3" xfId="1758" xr:uid="{9663CC01-DFC1-47AF-93C8-CD4C5B51D7C0}"/>
    <cellStyle name="Normal 15 4 6" xfId="1759" xr:uid="{48636768-E10A-4671-B2CA-1489F66D75B3}"/>
    <cellStyle name="Normal 15 4 6 2" xfId="1760" xr:uid="{AD40A686-C734-4DAC-BEB9-55D42E594BA7}"/>
    <cellStyle name="Normal 15 4 6 2 2" xfId="1761" xr:uid="{E28B8CF4-A78F-423B-936C-119EFAD8665A}"/>
    <cellStyle name="Normal 15 4 6 3" xfId="1762" xr:uid="{3D31C7FD-9909-48C5-8FB0-D43BDF086AA7}"/>
    <cellStyle name="Normal 15 4 7" xfId="1763" xr:uid="{48E22E3E-65F2-46FC-8971-A2B1376A6464}"/>
    <cellStyle name="Normal 15 4 7 2" xfId="1764" xr:uid="{F936FB15-D64B-4B31-B78B-6F6363101E31}"/>
    <cellStyle name="Normal 15 4 8" xfId="1765" xr:uid="{1296DB3B-D158-4DCC-B83C-55EC56BECCE1}"/>
    <cellStyle name="Normal 15 5" xfId="1766" xr:uid="{9FBE5F11-0AFA-46E9-888F-29BA55A77236}"/>
    <cellStyle name="Normal 15 5 2" xfId="1767" xr:uid="{2246F100-BB3F-4967-AF89-B6C8DACDC7FD}"/>
    <cellStyle name="Normal 15 5 2 2" xfId="1768" xr:uid="{DFC0CC4D-7204-44A6-AD71-71FBCE4AAE55}"/>
    <cellStyle name="Normal 15 5 2 2 2" xfId="1769" xr:uid="{C820C32B-F907-464C-AA56-40E64EC8BA13}"/>
    <cellStyle name="Normal 15 5 2 2 2 2" xfId="1770" xr:uid="{101006BC-C70C-472F-B116-9AA898806D73}"/>
    <cellStyle name="Normal 15 5 2 2 3" xfId="1771" xr:uid="{9F539309-58B4-47BC-90FD-9076BD19FB05}"/>
    <cellStyle name="Normal 15 5 2 3" xfId="1772" xr:uid="{6077C5AE-48CA-4331-812D-40B671B3271A}"/>
    <cellStyle name="Normal 15 5 2 3 2" xfId="1773" xr:uid="{5DCD9226-2C9F-429C-BB87-C49247CC759C}"/>
    <cellStyle name="Normal 15 5 2 3 2 2" xfId="1774" xr:uid="{884E0F12-C313-4ABE-8E3F-6766778D3A9B}"/>
    <cellStyle name="Normal 15 5 2 3 3" xfId="1775" xr:uid="{2F315871-9359-4F43-8415-0360674C00E9}"/>
    <cellStyle name="Normal 15 5 2 4" xfId="1776" xr:uid="{294A9ED6-B96C-4DBB-8A89-CD118376EC04}"/>
    <cellStyle name="Normal 15 5 2 4 2" xfId="1777" xr:uid="{98D0B7AC-DE2F-4229-AD51-75CDF56A1BFD}"/>
    <cellStyle name="Normal 15 5 2 4 2 2" xfId="1778" xr:uid="{C9E9844D-7C32-4D57-8F3E-F68D883FEDB5}"/>
    <cellStyle name="Normal 15 5 2 4 3" xfId="1779" xr:uid="{17623826-9E27-456B-8B1F-4E381A82EA7F}"/>
    <cellStyle name="Normal 15 5 2 5" xfId="1780" xr:uid="{4319603C-B41C-43C2-9EB6-DB967DD058FC}"/>
    <cellStyle name="Normal 15 5 2 5 2" xfId="1781" xr:uid="{9B1B1C5F-1624-4C30-9C7A-68CF595B27EE}"/>
    <cellStyle name="Normal 15 5 2 6" xfId="1782" xr:uid="{5803D945-8A9C-499D-A225-E3C2ED5726F5}"/>
    <cellStyle name="Normal 15 5 3" xfId="1783" xr:uid="{3616F675-1136-4F72-BEAE-A800D501BD45}"/>
    <cellStyle name="Normal 15 5 3 2" xfId="1784" xr:uid="{ADF051AB-8CDD-492E-B105-0546F1A4E290}"/>
    <cellStyle name="Normal 15 5 3 2 2" xfId="1785" xr:uid="{3BEEC1CF-4D7D-4884-8B00-08E76282E30D}"/>
    <cellStyle name="Normal 15 5 3 3" xfId="1786" xr:uid="{A3F28CD5-C1C6-4F60-A6E6-63F1407E462C}"/>
    <cellStyle name="Normal 15 5 4" xfId="1787" xr:uid="{2D7F83C9-158E-482E-ADCB-BD950011B525}"/>
    <cellStyle name="Normal 15 5 4 2" xfId="1788" xr:uid="{3DEE62B3-FB24-46F6-B12D-D402F29C4059}"/>
    <cellStyle name="Normal 15 5 4 2 2" xfId="1789" xr:uid="{58D76315-D941-4435-925C-09ED56EB7D61}"/>
    <cellStyle name="Normal 15 5 4 3" xfId="1790" xr:uid="{65581144-A5A2-4DDF-A1E8-72DE054E577F}"/>
    <cellStyle name="Normal 15 5 5" xfId="1791" xr:uid="{6DB23345-01D9-488A-B2F5-6E02772C2B4B}"/>
    <cellStyle name="Normal 15 5 5 2" xfId="1792" xr:uid="{B265C841-299E-4316-B84D-82E1D2012251}"/>
    <cellStyle name="Normal 15 5 5 2 2" xfId="1793" xr:uid="{A3F282BD-08E9-4CBD-989A-EC542A52B8F4}"/>
    <cellStyle name="Normal 15 5 5 3" xfId="1794" xr:uid="{24AEF242-86FB-4827-A0FE-3CA63002F77A}"/>
    <cellStyle name="Normal 15 5 6" xfId="1795" xr:uid="{8515789C-4774-4CBE-8F4A-1E36280C0455}"/>
    <cellStyle name="Normal 15 5 6 2" xfId="1796" xr:uid="{5AC2C1DE-F817-4ADF-85B1-FA0F686004C4}"/>
    <cellStyle name="Normal 15 5 7" xfId="1797" xr:uid="{1F9585DD-A9CF-434D-899D-C8E0EE14074F}"/>
    <cellStyle name="Normal 15 6" xfId="1798" xr:uid="{79F43FBD-7045-4230-BECE-86D55410C9DA}"/>
    <cellStyle name="Normal 15 6 2" xfId="1799" xr:uid="{1EBEF7BE-7CE3-47CD-A9D3-140C3A2A82A2}"/>
    <cellStyle name="Normal 15 6 2 2" xfId="1800" xr:uid="{E58FDA58-F6E8-4D3A-B73F-B5DF4643B8D7}"/>
    <cellStyle name="Normal 15 6 2 2 2" xfId="1801" xr:uid="{01D6FEDB-80D7-4B87-A756-0D0D20009460}"/>
    <cellStyle name="Normal 15 6 2 3" xfId="1802" xr:uid="{6B194D0A-19A3-4732-AC1E-96EBA300380D}"/>
    <cellStyle name="Normal 15 6 3" xfId="1803" xr:uid="{C499C725-4145-44A2-841D-8EA1018860E3}"/>
    <cellStyle name="Normal 15 6 3 2" xfId="1804" xr:uid="{F6A7274C-50E9-428C-9D70-CAA7FE8EC653}"/>
    <cellStyle name="Normal 15 6 3 2 2" xfId="1805" xr:uid="{FF04F51B-2D3B-440B-AD10-4BED14910D47}"/>
    <cellStyle name="Normal 15 6 3 3" xfId="1806" xr:uid="{E691537F-C04D-4C96-9875-3F7E699C2C69}"/>
    <cellStyle name="Normal 15 6 4" xfId="1807" xr:uid="{E8FD1744-A8C5-48B2-A12F-81420CB7F06F}"/>
    <cellStyle name="Normal 15 6 4 2" xfId="1808" xr:uid="{A7CEDAB5-6C27-4C04-8AC5-008253C8BEF5}"/>
    <cellStyle name="Normal 15 6 4 2 2" xfId="1809" xr:uid="{4CB114C9-A898-4436-AAD4-D9B77CD3FC24}"/>
    <cellStyle name="Normal 15 6 4 3" xfId="1810" xr:uid="{62621709-49FA-49F1-A750-C81A02745E0A}"/>
    <cellStyle name="Normal 15 6 5" xfId="1811" xr:uid="{1255AE0B-C104-495B-9CFD-2DADA37C34B2}"/>
    <cellStyle name="Normal 15 6 5 2" xfId="1812" xr:uid="{E99F85A2-ABB0-41F7-A129-4DD8DF6517F7}"/>
    <cellStyle name="Normal 15 6 6" xfId="1813" xr:uid="{47DD0AF2-CD4D-419F-B456-F6CFAD7AD7BA}"/>
    <cellStyle name="Normal 15 7" xfId="1814" xr:uid="{34F0F7C4-34B5-44CE-B2C0-10F3D3BDE845}"/>
    <cellStyle name="Normal 15 7 2" xfId="1815" xr:uid="{0B1A7D79-13ED-4821-8255-35BBB29662C1}"/>
    <cellStyle name="Normal 15 7 2 2" xfId="1816" xr:uid="{8803AC31-3B44-414F-8471-59F7207E44BB}"/>
    <cellStyle name="Normal 15 7 3" xfId="1817" xr:uid="{789259C6-ECB2-4EDB-AE5F-C7E45A86418F}"/>
    <cellStyle name="Normal 15 8" xfId="1818" xr:uid="{A2C8F12E-F258-4CBE-AF24-E4BB45DE1B51}"/>
    <cellStyle name="Normal 15 8 2" xfId="1819" xr:uid="{D65E5A10-D7C5-422D-B1B0-75057F7D7AD9}"/>
    <cellStyle name="Normal 15 8 2 2" xfId="1820" xr:uid="{678684A7-E527-4CAC-87AB-DDCD3C95F34F}"/>
    <cellStyle name="Normal 15 8 3" xfId="1821" xr:uid="{7B94B5BE-EE27-4DC1-919D-42A0CE7ABE24}"/>
    <cellStyle name="Normal 15 9" xfId="1822" xr:uid="{3A76889E-0E55-4971-8DB9-96C1B14BC5CA}"/>
    <cellStyle name="Normal 15 9 2" xfId="1823" xr:uid="{3C5330ED-61CA-482B-99A7-334CA452C597}"/>
    <cellStyle name="Normal 15 9 2 2" xfId="1824" xr:uid="{4657670D-9622-4B56-8D17-341430EC6D55}"/>
    <cellStyle name="Normal 15 9 3" xfId="1825" xr:uid="{5154C623-531E-46A4-B013-29580ADCB498}"/>
    <cellStyle name="Normal 150" xfId="8916" xr:uid="{950EA083-29C6-479D-AB75-3C90FD783A8F}"/>
    <cellStyle name="Normal 150 2" xfId="10985" xr:uid="{F5BD6128-1A48-4419-9382-3B698F209882}"/>
    <cellStyle name="Normal 150 2 2" xfId="15191" xr:uid="{468AF077-A55F-4FF6-A169-96E1AB87EA27}"/>
    <cellStyle name="Normal 150 3" xfId="13162" xr:uid="{D4F5E2F0-D27D-498D-B0C1-4E6FF04C2F25}"/>
    <cellStyle name="Normal 151" xfId="8917" xr:uid="{EE34B8F0-9B89-497D-B194-8904F0A7DE42}"/>
    <cellStyle name="Normal 151 2" xfId="10986" xr:uid="{5FDED732-B600-4C66-9D35-31727EDE1222}"/>
    <cellStyle name="Normal 151 2 2" xfId="15192" xr:uid="{56C7DF16-D077-4C33-99E7-072D5DF61B8B}"/>
    <cellStyle name="Normal 151 3" xfId="13163" xr:uid="{080890B1-4C31-43DA-85B2-357E3C66C88D}"/>
    <cellStyle name="Normal 152" xfId="8918" xr:uid="{46FFD60C-A157-40A0-95BF-B391C821760C}"/>
    <cellStyle name="Normal 152 2" xfId="10987" xr:uid="{327A1495-E6E6-4B18-8AAA-FAF1B4460205}"/>
    <cellStyle name="Normal 152 2 2" xfId="15193" xr:uid="{25E9CA37-74C9-48C2-A697-8A0B95A7AD79}"/>
    <cellStyle name="Normal 152 3" xfId="13164" xr:uid="{5CF8137E-02CF-4D1E-A924-11C97CC2EBA7}"/>
    <cellStyle name="Normal 153" xfId="9620" xr:uid="{E6A6FA7B-AB03-436F-8C84-7574F383E498}"/>
    <cellStyle name="Normal 153 2" xfId="11654" xr:uid="{4CF71F48-CB2D-41D2-993D-16F2EBA491CC}"/>
    <cellStyle name="Normal 153 2 2" xfId="15860" xr:uid="{A7EE6472-0277-40A1-8D7D-C9BDB8114304}"/>
    <cellStyle name="Normal 153 3" xfId="13831" xr:uid="{96CAB953-8FA0-4A3E-AAAF-441482276746}"/>
    <cellStyle name="Normal 154" xfId="9624" xr:uid="{E5661BA3-5B44-4C6F-9798-7EFF28886C08}"/>
    <cellStyle name="Normal 154 2" xfId="11655" xr:uid="{92E6D12E-D745-4CEA-BFBD-8A19BCAE2FE8}"/>
    <cellStyle name="Normal 154 2 2" xfId="15861" xr:uid="{467FCC97-945D-44C8-AE19-380C75857A0B}"/>
    <cellStyle name="Normal 154 3" xfId="13832" xr:uid="{FEF01E52-23F0-4439-8028-FFE479BED29B}"/>
    <cellStyle name="Normal 155" xfId="9625" xr:uid="{7F4E2B93-047C-492C-B085-778F9F6D0A21}"/>
    <cellStyle name="Normal 155 2" xfId="11656" xr:uid="{58E4AF49-F638-439D-962C-F0CE875D926D}"/>
    <cellStyle name="Normal 155 2 2" xfId="15862" xr:uid="{00C019B4-D9B3-4E35-BAB1-1F8FF6991EE9}"/>
    <cellStyle name="Normal 155 3" xfId="13833" xr:uid="{AE29E311-EFC0-40F0-BDCF-A1E4F6C67738}"/>
    <cellStyle name="Normal 156" xfId="9626" xr:uid="{DE173D56-2B40-433E-82B0-8806D76EC7EF}"/>
    <cellStyle name="Normal 156 2" xfId="13834" xr:uid="{7BED9F3C-E32A-4E3F-B283-377DD78F7AAB}"/>
    <cellStyle name="Normal 157" xfId="9627" xr:uid="{D0C95A36-4025-4AB5-BDE0-020A98030433}"/>
    <cellStyle name="Normal 157 2" xfId="13835" xr:uid="{16A99819-5FE0-411E-95F1-6563C67860A2}"/>
    <cellStyle name="Normal 158" xfId="9628" xr:uid="{5E26E866-894B-49B5-989F-0C086798B066}"/>
    <cellStyle name="Normal 158 2" xfId="13836" xr:uid="{2EF26C77-F657-4BCF-8BFA-32A814000783}"/>
    <cellStyle name="Normal 159" xfId="9629" xr:uid="{CA0E1F17-FCDD-4984-9FCF-C8AAE24C0A80}"/>
    <cellStyle name="Normal 159 2" xfId="13837" xr:uid="{CB9F481B-4506-4ACC-A910-35E9A9228730}"/>
    <cellStyle name="Normal 16" xfId="1826" xr:uid="{DC349EB3-CEC1-4D19-BEB3-AFBEDE381C09}"/>
    <cellStyle name="Normal 16 2" xfId="1827" xr:uid="{359F95D3-0318-4273-8D19-E511AC53FAF9}"/>
    <cellStyle name="Normal 16 3" xfId="1828" xr:uid="{732347B4-8070-43E6-B68B-127128DB9A54}"/>
    <cellStyle name="Normal 16 4" xfId="1829" xr:uid="{33636A56-4BBD-4B78-AA47-813507B26A16}"/>
    <cellStyle name="Normal 16 4 2" xfId="1830" xr:uid="{CE088B2C-EA03-4646-A9AF-8A7592A161EA}"/>
    <cellStyle name="Normal 16 4 2 2" xfId="1831" xr:uid="{2E620834-E6CB-4A96-84F8-72790611AB7A}"/>
    <cellStyle name="Normal 16 4 3" xfId="1832" xr:uid="{217D5E9A-2E16-4CE6-9AE5-A9C64DF23CB8}"/>
    <cellStyle name="Normal 16 5" xfId="1833" xr:uid="{AA0CC919-74BB-4830-8F2A-C2B3A315FC3A}"/>
    <cellStyle name="Normal 16 5 2" xfId="1834" xr:uid="{153C472F-D912-4056-BE8E-6B80BB35A10D}"/>
    <cellStyle name="Normal 16 5 2 2" xfId="1835" xr:uid="{D021F34C-79FB-42B0-85A1-80243D843E68}"/>
    <cellStyle name="Normal 16 5 3" xfId="1836" xr:uid="{4399E2A0-E93E-4B97-BC2F-D351DD2C13BD}"/>
    <cellStyle name="Normal 160" xfId="9630" xr:uid="{6E38EC67-B434-402D-A058-D9D9C9DDFC86}"/>
    <cellStyle name="Normal 160 2" xfId="13838" xr:uid="{AA6AB24D-BD59-445B-BE79-BBD66FB265E7}"/>
    <cellStyle name="Normal 161" xfId="9633" xr:uid="{6A73EA0A-E029-45EF-AB32-BEE0A199B7C8}"/>
    <cellStyle name="Normal 161 2" xfId="13840" xr:uid="{7EA80108-4CBD-4DB2-9756-A79FE9B1395D}"/>
    <cellStyle name="Normal 162" xfId="9634" xr:uid="{D93D42AD-1CD2-4868-A869-8902FBBD249B}"/>
    <cellStyle name="Normal 162 2" xfId="13841" xr:uid="{C1A8C45B-D7BF-426B-8B7F-D62F16335900}"/>
    <cellStyle name="Normal 163" xfId="9635" xr:uid="{1F55CFB2-06E7-4FCD-BCBB-5CB48657C205}"/>
    <cellStyle name="Normal 163 2" xfId="13842" xr:uid="{7A11F2F1-219C-4064-9AA0-5CA6C2DCE342}"/>
    <cellStyle name="Normal 164" xfId="9636" xr:uid="{352A3C28-0774-4897-BC17-F84AF6CDE1DE}"/>
    <cellStyle name="Normal 164 2" xfId="13843" xr:uid="{2E8687B6-24A3-440F-B82A-7FC411F7EEF8}"/>
    <cellStyle name="Normal 165" xfId="9637" xr:uid="{FCDD82F1-EE0E-4ABA-A725-A6CFEF03AAFE}"/>
    <cellStyle name="Normal 165 2" xfId="13844" xr:uid="{01DA1C45-879D-4315-94AB-3571177968A7}"/>
    <cellStyle name="Normal 166" xfId="11657" xr:uid="{B471ADDA-0268-4634-906F-82113A9C4C66}"/>
    <cellStyle name="Normal 166 2" xfId="15863" xr:uid="{7A392E49-4B94-4F82-8B55-FA4B9134D4BB}"/>
    <cellStyle name="Normal 167" xfId="11658" xr:uid="{FE428C85-F805-47C0-82CB-9690A919F77B}"/>
    <cellStyle name="Normal 167 2" xfId="15864" xr:uid="{D935EF80-DD01-4541-BAA8-B21DC1AF1937}"/>
    <cellStyle name="Normal 168" xfId="11659" xr:uid="{CF77B9A4-C22B-42B4-89E0-DDA7B9886FC2}"/>
    <cellStyle name="Normal 168 2" xfId="15865" xr:uid="{86C7EC53-8E00-48DC-8BBC-579141AB47B5}"/>
    <cellStyle name="Normal 169" xfId="11660" xr:uid="{D859DBBC-6206-4C3D-83E8-40F9855C96C6}"/>
    <cellStyle name="Normal 169 2" xfId="15866" xr:uid="{98FC2AD6-4BE4-4351-8674-8BD9D78D535A}"/>
    <cellStyle name="Normal 17" xfId="1837" xr:uid="{BD94F556-4F51-4CDA-9A82-42F37F73081B}"/>
    <cellStyle name="Normal 170" xfId="11686" xr:uid="{5F1B0264-40AD-4692-9995-8C67D790F74B}"/>
    <cellStyle name="Normal 170 2" xfId="15890" xr:uid="{2DF7D911-3DCB-4EFA-9146-421AD836C73F}"/>
    <cellStyle name="Normal 171" xfId="11687" xr:uid="{080F0D63-292E-499D-9EC6-27F5C7EB2248}"/>
    <cellStyle name="Normal 171 2" xfId="15891" xr:uid="{C685DFB7-D9A3-431E-8B56-EAC518CE3F37}"/>
    <cellStyle name="Normal 172" xfId="11702" xr:uid="{7CC13281-761F-448C-A8CF-4AB62544CBA6}"/>
    <cellStyle name="Normal 172 2" xfId="15906" xr:uid="{F6375612-98D5-4C56-9872-94F6929A85B2}"/>
    <cellStyle name="Normal 173" xfId="11705" xr:uid="{1A6090D3-191A-4E92-BF9E-5844C51157D5}"/>
    <cellStyle name="Normal 173 2" xfId="15909" xr:uid="{24B49AD5-33AA-4983-A11F-9304CA378327}"/>
    <cellStyle name="Normal 174" xfId="11782" xr:uid="{91FE42A4-CC0D-454E-805B-FB8537DFEE1F}"/>
    <cellStyle name="Normal 174 2" xfId="15983" xr:uid="{18828B26-853D-4892-8A85-5BF29608F07A}"/>
    <cellStyle name="Normal 175" xfId="11783" xr:uid="{66806771-FE18-44AD-97D0-37E27868F618}"/>
    <cellStyle name="Normal 175 2" xfId="15984" xr:uid="{D056F2AB-F3A9-44AA-B0F3-5C0C2A66D62E}"/>
    <cellStyle name="Normal 176" xfId="11790" xr:uid="{5B5FD682-74B0-4351-BB5A-417D475CF324}"/>
    <cellStyle name="Normal 176 2" xfId="15991" xr:uid="{4613EAB0-8C22-47AA-8DF2-A79F4BCF0CD4}"/>
    <cellStyle name="Normal 177" xfId="11791" xr:uid="{4A7A6AC8-F9D8-4A7B-9BD2-2BF20255C89A}"/>
    <cellStyle name="Normal 177 2" xfId="15992" xr:uid="{C1301ED0-A415-45ED-85E5-0E35CFF91397}"/>
    <cellStyle name="Normal 178" xfId="11792" xr:uid="{1201502C-2C20-42BE-B6F3-C560AFA06A95}"/>
    <cellStyle name="Normal 178 2" xfId="15993" xr:uid="{3459BF04-FA1A-4C49-8AAF-33BB484C5632}"/>
    <cellStyle name="Normal 179" xfId="11820" xr:uid="{13D489E4-22ED-4934-BB1F-44FFD9BAB7AF}"/>
    <cellStyle name="Normal 18" xfId="1838" xr:uid="{86949704-3065-4DF9-86E2-31BC27D79D00}"/>
    <cellStyle name="Normal 18 2" xfId="1839" xr:uid="{3CB02E58-81C8-4E15-9EFB-232EAFAD55E3}"/>
    <cellStyle name="Normal 18 3" xfId="1840" xr:uid="{20336CF2-55E7-409F-B929-F827BC84562A}"/>
    <cellStyle name="Normal 180" xfId="11801" xr:uid="{577D54A6-2EE1-464A-AFAA-1B535B95A38D}"/>
    <cellStyle name="Normal 181" xfId="15999" xr:uid="{E5A94B44-7D44-47B7-BDB8-7BCA1D7AB27A}"/>
    <cellStyle name="Normal 182" xfId="16000" xr:uid="{666E5484-68B5-4331-915B-8B1D90B06C38}"/>
    <cellStyle name="Normal 183" xfId="16001" xr:uid="{E7884ADF-A3F6-4606-9343-001BFFF4CCCA}"/>
    <cellStyle name="Normal 184" xfId="16002" xr:uid="{C23D63D1-811E-43C8-B9F0-628897D49FF9}"/>
    <cellStyle name="Normal 185" xfId="16003" xr:uid="{EFC2A98C-58EE-4A6C-95BA-7592EB7F6E0F}"/>
    <cellStyle name="Normal 186" xfId="16004" xr:uid="{313B3560-7A09-43E2-A294-6715A9A4F0E8}"/>
    <cellStyle name="Normal 187" xfId="16005" xr:uid="{556A7049-F708-4629-8CFE-42E8D393CF29}"/>
    <cellStyle name="Normal 188" xfId="16006" xr:uid="{166B927F-6F90-4673-8FC8-ADEB095842A3}"/>
    <cellStyle name="Normal 19" xfId="1841" xr:uid="{43386CC5-548D-48CB-BA25-10153940EB5B}"/>
    <cellStyle name="Normal 19 2" xfId="1842" xr:uid="{D59F2C9E-4A04-4619-946B-3D9AC627953D}"/>
    <cellStyle name="Normal 19 3" xfId="1843" xr:uid="{D46F61B0-D1D4-4E6A-BF1E-B4781D7D2279}"/>
    <cellStyle name="Normal 199" xfId="16009" xr:uid="{A150251C-43C7-4D85-A429-B91820511153}"/>
    <cellStyle name="Normal 2" xfId="1844" xr:uid="{B4382B32-1128-4F7A-8D04-D7F87E16417C}"/>
    <cellStyle name="Normal 2 10" xfId="1845" xr:uid="{8588BD3E-3CBF-4B94-8FCF-908120BA171C}"/>
    <cellStyle name="Normal 2 10 2" xfId="1846" xr:uid="{C19ADA7B-726D-45AD-A519-06B1B73C1FEB}"/>
    <cellStyle name="Normal 2 10 2 2" xfId="1847" xr:uid="{61CCF154-0BCE-4E22-A151-47838A2BCA8F}"/>
    <cellStyle name="Normal 2 10 2 2 2" xfId="1848" xr:uid="{D4ECC848-B4B9-4A0C-B996-5C4D729D79E3}"/>
    <cellStyle name="Normal 2 10 2 2 2 2" xfId="1849" xr:uid="{DA959AB7-26A4-46E5-82B1-EC3D5CE10074}"/>
    <cellStyle name="Normal 2 10 2 2 2 2 2" xfId="1850" xr:uid="{2E9B5BF0-DB87-4A5E-AE16-F63C443C12F8}"/>
    <cellStyle name="Normal 2 10 2 2 2 3" xfId="1851" xr:uid="{B43B982D-1B59-4832-84DC-9D02ADB369E5}"/>
    <cellStyle name="Normal 2 10 2 2 3" xfId="1852" xr:uid="{6904C6D7-54B4-43B8-97F1-F40B1CA4DF88}"/>
    <cellStyle name="Normal 2 10 2 2 3 2" xfId="1853" xr:uid="{58AE1C33-FCA8-4EE0-B7F4-0639779520C9}"/>
    <cellStyle name="Normal 2 10 2 2 3 2 2" xfId="1854" xr:uid="{64C47BF6-11AC-44F4-86E3-90B30B97DDCD}"/>
    <cellStyle name="Normal 2 10 2 2 3 3" xfId="1855" xr:uid="{1A7ADF74-3C34-480E-8693-84663CFAC48B}"/>
    <cellStyle name="Normal 2 10 2 2 4" xfId="1856" xr:uid="{39B5BE35-D50F-4205-9ED1-F185B60C13A3}"/>
    <cellStyle name="Normal 2 10 2 2 4 2" xfId="1857" xr:uid="{8D0BE2B9-E724-458D-8559-4DD76AB31F29}"/>
    <cellStyle name="Normal 2 10 2 2 4 2 2" xfId="1858" xr:uid="{67379266-02FA-4175-A091-488E17E7D2E1}"/>
    <cellStyle name="Normal 2 10 2 2 4 3" xfId="1859" xr:uid="{1E6F7797-B975-4171-A08A-5228A9DD8B66}"/>
    <cellStyle name="Normal 2 10 2 2 5" xfId="1860" xr:uid="{9087B846-538E-4E65-9D1B-518DC27227F1}"/>
    <cellStyle name="Normal 2 10 2 2 5 2" xfId="1861" xr:uid="{89307BF4-1B09-4221-9541-9F10A1D5808D}"/>
    <cellStyle name="Normal 2 10 2 2 6" xfId="1862" xr:uid="{82CA4531-0468-438C-8482-DA3E62CB5010}"/>
    <cellStyle name="Normal 2 10 2 3" xfId="1863" xr:uid="{9971F20D-4334-42BA-BEBE-E3D04821798D}"/>
    <cellStyle name="Normal 2 10 2 3 2" xfId="1864" xr:uid="{E4C4E1CC-462C-452A-A567-496DDC2D7AB3}"/>
    <cellStyle name="Normal 2 10 2 3 2 2" xfId="1865" xr:uid="{12EDFC4F-1478-48BC-827E-062639252D7F}"/>
    <cellStyle name="Normal 2 10 2 3 3" xfId="1866" xr:uid="{79CA9A68-562E-4E0A-A6A7-E7B7D11A33F0}"/>
    <cellStyle name="Normal 2 10 2 4" xfId="1867" xr:uid="{34D3A484-77D3-44CC-89B9-0437376C8D08}"/>
    <cellStyle name="Normal 2 10 2 4 2" xfId="1868" xr:uid="{4CF708AD-211A-4B60-B9C7-7886BA7DED9E}"/>
    <cellStyle name="Normal 2 10 2 4 2 2" xfId="1869" xr:uid="{80FC06B0-CE9B-4B18-8B72-6A19573B4066}"/>
    <cellStyle name="Normal 2 10 2 4 3" xfId="1870" xr:uid="{E59D6F53-D7BC-4449-93AE-BA54CA120567}"/>
    <cellStyle name="Normal 2 10 2 5" xfId="1871" xr:uid="{DB3A45A2-F711-48CD-A5F7-C896AE166392}"/>
    <cellStyle name="Normal 2 10 2 5 2" xfId="1872" xr:uid="{B3D13FB2-B995-4419-B9FE-671B7A86E9A2}"/>
    <cellStyle name="Normal 2 10 2 5 2 2" xfId="1873" xr:uid="{5A0B551F-EFB5-4114-B98A-8B8876B2E2FD}"/>
    <cellStyle name="Normal 2 10 2 5 3" xfId="1874" xr:uid="{A044D301-1F24-44BB-9E79-586812A3D3C2}"/>
    <cellStyle name="Normal 2 10 2 6" xfId="1875" xr:uid="{D967DE99-091D-41B8-A8EB-23DBD552351C}"/>
    <cellStyle name="Normal 2 10 2 6 2" xfId="1876" xr:uid="{098C3A08-5D9D-4053-9BF9-947E796EC752}"/>
    <cellStyle name="Normal 2 10 2 7" xfId="1877" xr:uid="{BBF71261-638F-4633-8682-903976EA5C03}"/>
    <cellStyle name="Normal 2 10 3" xfId="1878" xr:uid="{3BE5D3E1-5815-4E11-8B32-FB98DFE76BF5}"/>
    <cellStyle name="Normal 2 10 3 2" xfId="1879" xr:uid="{7F819244-A7E4-4394-A715-EBBE6BCB81E7}"/>
    <cellStyle name="Normal 2 10 3 2 2" xfId="1880" xr:uid="{AC378FFB-DBB8-45BC-BA54-23FE02A017FA}"/>
    <cellStyle name="Normal 2 10 3 2 2 2" xfId="1881" xr:uid="{52E80519-6C89-48A9-89D2-05E71EF77688}"/>
    <cellStyle name="Normal 2 10 3 2 3" xfId="1882" xr:uid="{799DA2D1-E570-4E37-9041-F7401C622869}"/>
    <cellStyle name="Normal 2 10 3 3" xfId="1883" xr:uid="{A24FC088-CDBA-4F96-870F-8DF2BAA309B0}"/>
    <cellStyle name="Normal 2 10 3 3 2" xfId="1884" xr:uid="{38CFB7BC-856D-42D7-AC08-D4E44F6C2BB2}"/>
    <cellStyle name="Normal 2 10 3 3 2 2" xfId="1885" xr:uid="{29A95D84-51DB-4F31-874A-B432695A765F}"/>
    <cellStyle name="Normal 2 10 3 3 3" xfId="1886" xr:uid="{E1CBCC9D-0471-4906-B40C-BE4B0CCF36F0}"/>
    <cellStyle name="Normal 2 10 3 4" xfId="1887" xr:uid="{9746418E-9EE5-441C-B321-2470883980AE}"/>
    <cellStyle name="Normal 2 10 3 4 2" xfId="1888" xr:uid="{3657ADCD-0527-47C3-880A-86A072D1F4DE}"/>
    <cellStyle name="Normal 2 10 3 4 2 2" xfId="1889" xr:uid="{E532EE37-00CE-4659-896B-AE8972C47E92}"/>
    <cellStyle name="Normal 2 10 3 4 3" xfId="1890" xr:uid="{48AA5858-F3A8-4FB0-AD6E-8C8BC56D2F15}"/>
    <cellStyle name="Normal 2 10 3 5" xfId="1891" xr:uid="{ABAD1B9B-E9C5-4CDB-9A15-D0C02A82BE03}"/>
    <cellStyle name="Normal 2 10 3 5 2" xfId="1892" xr:uid="{528B3A6D-6B3A-4764-8BEE-BF1B3F41D662}"/>
    <cellStyle name="Normal 2 10 3 6" xfId="1893" xr:uid="{F5F1BCD9-370C-4D0F-983A-827DD545633E}"/>
    <cellStyle name="Normal 2 10 4" xfId="1894" xr:uid="{2EE392F8-9C2C-4EFA-AA45-0BBC2BF982F4}"/>
    <cellStyle name="Normal 2 10 4 2" xfId="1895" xr:uid="{CA67B832-4DDE-4954-8E0D-29D938CF24B0}"/>
    <cellStyle name="Normal 2 10 4 2 2" xfId="1896" xr:uid="{BEC3B0C1-0F67-4111-97B3-90DC20A3F0C9}"/>
    <cellStyle name="Normal 2 10 4 3" xfId="1897" xr:uid="{A7FE0371-7DF2-4815-856C-846CEB21AAC4}"/>
    <cellStyle name="Normal 2 10 5" xfId="1898" xr:uid="{FDEBA42A-43D0-42DF-BFCC-11A990818712}"/>
    <cellStyle name="Normal 2 10 5 2" xfId="1899" xr:uid="{A69D60D9-16E2-499A-ACDF-EA2886FC5CF3}"/>
    <cellStyle name="Normal 2 10 5 2 2" xfId="1900" xr:uid="{1876400F-4FCE-4473-8DD5-5CC2EFC881C3}"/>
    <cellStyle name="Normal 2 10 5 3" xfId="1901" xr:uid="{7549303D-2C70-4938-9669-E152BBF12F32}"/>
    <cellStyle name="Normal 2 10 6" xfId="1902" xr:uid="{1D70F57B-79C3-4BDA-ADD7-78C9B1757469}"/>
    <cellStyle name="Normal 2 10 6 2" xfId="1903" xr:uid="{93F46531-46DC-485A-A445-05BA5A128621}"/>
    <cellStyle name="Normal 2 10 6 2 2" xfId="1904" xr:uid="{6146CB98-1D9E-4087-8FFE-BFFD229B5598}"/>
    <cellStyle name="Normal 2 10 6 3" xfId="1905" xr:uid="{36F1DF71-608A-4290-A378-F42FB86BA227}"/>
    <cellStyle name="Normal 2 10 7" xfId="1906" xr:uid="{A45FEB7F-E52F-40CE-B310-A27744D4C662}"/>
    <cellStyle name="Normal 2 10 7 2" xfId="1907" xr:uid="{BC2F2E3A-00D6-4E63-B9AF-B95FA262364F}"/>
    <cellStyle name="Normal 2 10 8" xfId="1908" xr:uid="{057086D1-B02E-46FF-B930-EA8FFA211AF2}"/>
    <cellStyle name="Normal 2 11" xfId="1909" xr:uid="{240245AB-A78D-442F-861C-C755241DBA55}"/>
    <cellStyle name="Normal 2 11 2" xfId="1910" xr:uid="{79C08B73-BE5C-4B56-9984-4D40CF36C67B}"/>
    <cellStyle name="Normal 2 11 2 2" xfId="1911" xr:uid="{26BD6412-18F7-4616-87E8-EF91D0671599}"/>
    <cellStyle name="Normal 2 11 2 2 2" xfId="1912" xr:uid="{D2095602-B600-4D3E-A797-04F14C28F4DC}"/>
    <cellStyle name="Normal 2 11 2 2 2 2" xfId="1913" xr:uid="{203A02EC-2788-4A08-84BF-D82BA4C9538A}"/>
    <cellStyle name="Normal 2 11 2 2 3" xfId="1914" xr:uid="{4A19FA29-D2E8-4588-B83A-4CEFDB0AF87E}"/>
    <cellStyle name="Normal 2 11 2 3" xfId="1915" xr:uid="{071B2B30-E387-40ED-953F-9D5F028F6249}"/>
    <cellStyle name="Normal 2 11 2 3 2" xfId="1916" xr:uid="{8C5E2946-C8CC-40E3-AC66-26E219DCBD69}"/>
    <cellStyle name="Normal 2 11 2 3 2 2" xfId="1917" xr:uid="{154C3013-A1DD-4EBC-B75E-EC28A45CD957}"/>
    <cellStyle name="Normal 2 11 2 3 3" xfId="1918" xr:uid="{020019ED-4FAB-400C-9B0C-5A976FBE17A7}"/>
    <cellStyle name="Normal 2 11 2 4" xfId="1919" xr:uid="{EEDCCA35-1B53-4E5D-A396-4FD78EA493AE}"/>
    <cellStyle name="Normal 2 11 2 4 2" xfId="1920" xr:uid="{658C3950-46BB-48A7-9B1D-A7A170502FF8}"/>
    <cellStyle name="Normal 2 11 2 4 2 2" xfId="1921" xr:uid="{311D557F-6390-4383-9F9E-1A6538DB765A}"/>
    <cellStyle name="Normal 2 11 2 4 3" xfId="1922" xr:uid="{0AA0EEDA-FD8A-4473-A565-3E21C44DB147}"/>
    <cellStyle name="Normal 2 11 2 5" xfId="1923" xr:uid="{69374FCC-7864-46DF-83BB-535BF797A097}"/>
    <cellStyle name="Normal 2 11 2 5 2" xfId="1924" xr:uid="{AB577653-8FF2-4307-9608-F6943D81DEC6}"/>
    <cellStyle name="Normal 2 11 2 6" xfId="1925" xr:uid="{7C524561-82F9-4FD0-BD8F-5E2FBB7F0C60}"/>
    <cellStyle name="Normal 2 11 3" xfId="1926" xr:uid="{93AA0E1C-3565-4A5A-A36C-85355DF3D2A2}"/>
    <cellStyle name="Normal 2 11 3 2" xfId="1927" xr:uid="{7D9A01D5-9C75-4EBB-8BB3-0AD791F11520}"/>
    <cellStyle name="Normal 2 11 3 2 2" xfId="1928" xr:uid="{0A9B5F76-64F1-44FD-A8E2-107E322A4DA2}"/>
    <cellStyle name="Normal 2 11 3 3" xfId="1929" xr:uid="{5135E408-FEF7-4C30-9CBB-A453EA3238E6}"/>
    <cellStyle name="Normal 2 11 4" xfId="1930" xr:uid="{7F036C8D-193F-4587-BBD6-994048A092FB}"/>
    <cellStyle name="Normal 2 11 4 2" xfId="1931" xr:uid="{AA6D6F6F-9B9D-491A-ABAF-900DE344870D}"/>
    <cellStyle name="Normal 2 11 4 2 2" xfId="1932" xr:uid="{02EDB8DD-0A50-4DAE-888B-F3FD69590EF8}"/>
    <cellStyle name="Normal 2 11 4 3" xfId="1933" xr:uid="{2859B16C-65AE-49CB-B95F-0F6D0F3BF54C}"/>
    <cellStyle name="Normal 2 11 5" xfId="1934" xr:uid="{F8BB1CB6-F5CA-4A06-845A-EF47046EEC40}"/>
    <cellStyle name="Normal 2 11 5 2" xfId="1935" xr:uid="{F23FCAFD-6EEF-4F7F-AD39-69915F94C8A4}"/>
    <cellStyle name="Normal 2 11 5 2 2" xfId="1936" xr:uid="{E9C72C98-6ACC-4EE0-954E-2ED26A4DBDF2}"/>
    <cellStyle name="Normal 2 11 5 3" xfId="1937" xr:uid="{A532AE37-260C-4E8F-8D3C-ED6176725389}"/>
    <cellStyle name="Normal 2 11 6" xfId="1938" xr:uid="{1D7AAE63-3119-4629-A4AE-40A2F48AA113}"/>
    <cellStyle name="Normal 2 11 6 2" xfId="1939" xr:uid="{E759ECA6-6039-420C-89D2-EAE5B9558C65}"/>
    <cellStyle name="Normal 2 11 7" xfId="1940" xr:uid="{AEB4CE83-D177-4AE4-8742-A4D2F46CD0FE}"/>
    <cellStyle name="Normal 2 12" xfId="1941" xr:uid="{B0933499-BEB7-4937-94F0-CCB00ABF48E6}"/>
    <cellStyle name="Normal 2 13" xfId="1942" xr:uid="{B4158C5D-A636-4332-AC81-2C78B9B66250}"/>
    <cellStyle name="Normal 2 13 2" xfId="1943" xr:uid="{4BF44E11-F2B9-444D-9389-666F608A5FD9}"/>
    <cellStyle name="Normal 2 13 2 2" xfId="1944" xr:uid="{9E7771CE-1AB9-45CA-BC18-A04A10384B98}"/>
    <cellStyle name="Normal 2 13 2 2 2" xfId="1945" xr:uid="{4C280AAB-EDE9-4F28-9015-EAB1034DF6BB}"/>
    <cellStyle name="Normal 2 13 2 3" xfId="1946" xr:uid="{9805AE49-9B33-4FFF-87D9-D0BD4223FA65}"/>
    <cellStyle name="Normal 2 13 3" xfId="1947" xr:uid="{6C917F25-AE1D-4BE5-A872-E64523A328E8}"/>
    <cellStyle name="Normal 2 13 3 2" xfId="1948" xr:uid="{4D924064-B74E-4A48-B82D-F08F1380A6CA}"/>
    <cellStyle name="Normal 2 13 3 2 2" xfId="1949" xr:uid="{DBD56E9E-EF20-4736-B70B-29E2D733F49C}"/>
    <cellStyle name="Normal 2 13 3 3" xfId="1950" xr:uid="{6EDCD210-597B-43C2-896C-A0ECC064FA6B}"/>
    <cellStyle name="Normal 2 13 4" xfId="1951" xr:uid="{F5C2D30D-CD9B-49DF-AE59-5B53310CF077}"/>
    <cellStyle name="Normal 2 13 4 2" xfId="1952" xr:uid="{AF8332C8-7139-4FFE-BB23-B3C00F836992}"/>
    <cellStyle name="Normal 2 13 4 2 2" xfId="1953" xr:uid="{49790C64-9E7C-40D9-91F5-F34C7052D775}"/>
    <cellStyle name="Normal 2 13 4 3" xfId="1954" xr:uid="{3B025BE8-FC1A-4970-AA73-150AEA8C2070}"/>
    <cellStyle name="Normal 2 13 5" xfId="1955" xr:uid="{844004F8-52D1-471F-B64C-B0B7E1E4F331}"/>
    <cellStyle name="Normal 2 13 5 2" xfId="1956" xr:uid="{6A2B8489-5C41-49EA-9E3A-B757DE35A7A3}"/>
    <cellStyle name="Normal 2 13 6" xfId="1957" xr:uid="{F8B679A4-457D-4C7E-A25C-E578C32A55C5}"/>
    <cellStyle name="Normal 2 14" xfId="1958" xr:uid="{68D76D76-F7AB-4B3D-ABC7-6BD5E56332CF}"/>
    <cellStyle name="Normal 2 14 2" xfId="1959" xr:uid="{1BC6E445-DF1A-42F0-B62E-3CED031F4478}"/>
    <cellStyle name="Normal 2 14 2 2" xfId="1960" xr:uid="{FE863A5C-7AE8-4897-B200-898372CBC169}"/>
    <cellStyle name="Normal 2 14 3" xfId="1961" xr:uid="{5F6E04C0-3DCE-456F-91A3-4582060669BC}"/>
    <cellStyle name="Normal 2 15" xfId="1962" xr:uid="{596150FB-C36E-4F0D-8F61-880B6E7D2385}"/>
    <cellStyle name="Normal 2 15 2" xfId="1963" xr:uid="{AEDB1EF3-3A6D-4510-80E4-26D3898EF688}"/>
    <cellStyle name="Normal 2 15 2 2" xfId="1964" xr:uid="{75B545D0-B2CB-4D89-8B36-90A8CE763566}"/>
    <cellStyle name="Normal 2 15 3" xfId="1965" xr:uid="{05FED10E-58D8-480E-B6FD-183D7F301B05}"/>
    <cellStyle name="Normal 2 16" xfId="1966" xr:uid="{63F266DF-BFFA-4910-B0D5-8D8C2F0BDFD0}"/>
    <cellStyle name="Normal 2 16 2" xfId="1967" xr:uid="{813F65E7-EB56-45EA-845A-C1C8439F94C6}"/>
    <cellStyle name="Normal 2 16 2 2" xfId="1968" xr:uid="{1C3D03C6-5DD8-4272-B29C-FD577694B3FD}"/>
    <cellStyle name="Normal 2 16 3" xfId="1969" xr:uid="{7A9B8380-CAFD-4E8F-B6C5-C8EBD74B8B4B}"/>
    <cellStyle name="Normal 2 17" xfId="1970" xr:uid="{8ABEF075-B9F5-4678-A035-DD52678A4C6A}"/>
    <cellStyle name="Normal 2 17 2" xfId="1971" xr:uid="{FC85CC5D-197E-463B-AE42-DF107F50D8B8}"/>
    <cellStyle name="Normal 2 17 2 2" xfId="1972" xr:uid="{54F9BB8F-1CD8-471B-9B73-3D66DA84D33C}"/>
    <cellStyle name="Normal 2 17 3" xfId="1973" xr:uid="{74B66756-2DAC-4594-92B7-768A7CBFB44F}"/>
    <cellStyle name="Normal 2 18" xfId="1974" xr:uid="{B7EE8CF4-DC26-4CEA-B704-9E857F0559FD}"/>
    <cellStyle name="Normal 2 18 2" xfId="1975" xr:uid="{967F6253-345B-4381-BA9F-2EFC48A82D03}"/>
    <cellStyle name="Normal 2 19" xfId="1976" xr:uid="{0CB82E29-B5BB-4091-92F9-8EB2CA22B7FC}"/>
    <cellStyle name="Normal 2 19 2" xfId="1977" xr:uid="{4DFF5026-BCBF-480A-BFED-0B76A970B242}"/>
    <cellStyle name="Normal 2 2" xfId="1978" xr:uid="{B59C68BE-A79A-4081-A97F-DC47FF6A1F32}"/>
    <cellStyle name="Normal 2 2 10" xfId="11730" xr:uid="{C651AA65-C22F-472B-9488-8BA384A0B684}"/>
    <cellStyle name="Normal 2 2 11" xfId="11758" xr:uid="{A2085423-F9CB-4862-9A4A-4E82F1D04DB5}"/>
    <cellStyle name="Normal 2 2 11 2" xfId="15959" xr:uid="{B4B27846-1D72-4D2E-AB13-D60039353AD6}"/>
    <cellStyle name="Normal 2 2 12" xfId="11775" xr:uid="{DA109F2B-A0EB-4754-B20E-C3A01D1F8DC3}"/>
    <cellStyle name="Normal 2 2 12 2" xfId="15976" xr:uid="{5770073E-15D6-4FBE-BF2A-73560FF12D31}"/>
    <cellStyle name="Normal 2 2 2" xfId="1979" xr:uid="{3A6C5DB2-143F-4366-99DA-F457E60AB92C}"/>
    <cellStyle name="Normal 2 2 2 2" xfId="1980" xr:uid="{78678C05-82F9-42D9-BEB6-54D0E508F6A2}"/>
    <cellStyle name="Normal 2 2 2 3" xfId="7674" xr:uid="{855CF928-E071-4E1A-9A86-76C80D7750B6}"/>
    <cellStyle name="Normal 2 2 2 3 2" xfId="7855" xr:uid="{8BF0F82E-3C33-4AEE-8A0A-390D1A2893A9}"/>
    <cellStyle name="Normal 2 2 2 3 2 2" xfId="8225" xr:uid="{13F48171-7158-4D6E-B299-31124278B4D7}"/>
    <cellStyle name="Normal 2 2 2 3 2 2 2" xfId="8895" xr:uid="{4CCA8F69-D48E-4528-94FE-2817D8B39D2D}"/>
    <cellStyle name="Normal 2 2 2 3 2 2 2 2" xfId="10964" xr:uid="{53F1EAE9-9E93-4236-BC61-33FFE0B33BE1}"/>
    <cellStyle name="Normal 2 2 2 3 2 2 2 2 2" xfId="15170" xr:uid="{0060D1F0-8E3E-42C2-9320-F15F1896E9B8}"/>
    <cellStyle name="Normal 2 2 2 3 2 2 2 3" xfId="13141" xr:uid="{01D49B21-6577-4206-9A7D-6F8E652DEDF1}"/>
    <cellStyle name="Normal 2 2 2 3 2 2 3" xfId="10294" xr:uid="{D1F6B9B2-9F47-4C2E-A963-2445F08708CE}"/>
    <cellStyle name="Normal 2 2 2 3 2 2 3 2" xfId="14500" xr:uid="{632FE4ED-EA67-4379-BCE3-AA042DFED61E}"/>
    <cellStyle name="Normal 2 2 2 3 2 2 4" xfId="12471" xr:uid="{219F0E00-47B0-4B6B-B91C-D43B18FCFD55}"/>
    <cellStyle name="Normal 2 2 2 3 2 3" xfId="8561" xr:uid="{4BC42519-F4EE-4868-BE64-8AC14E837603}"/>
    <cellStyle name="Normal 2 2 2 3 2 3 2" xfId="10630" xr:uid="{DC88E8DE-228A-4C19-A361-F4ED81B1EF93}"/>
    <cellStyle name="Normal 2 2 2 3 2 3 2 2" xfId="14836" xr:uid="{379FB661-B324-4402-8D1D-76546F4A60AE}"/>
    <cellStyle name="Normal 2 2 2 3 2 3 3" xfId="12807" xr:uid="{69B6AC82-34C2-483D-B494-901F7B238081}"/>
    <cellStyle name="Normal 2 2 2 3 2 4" xfId="9234" xr:uid="{7EAFA1BF-69F8-4C18-B81B-5F8E2684C6C3}"/>
    <cellStyle name="Normal 2 2 2 3 2 4 2" xfId="11303" xr:uid="{77D79D6D-8A43-468F-8576-0275D690187D}"/>
    <cellStyle name="Normal 2 2 2 3 2 4 2 2" xfId="15509" xr:uid="{9C965DC8-9E54-42CA-90BD-A75700E2D413}"/>
    <cellStyle name="Normal 2 2 2 3 2 4 3" xfId="13480" xr:uid="{87A3FC7A-AAB9-4AD2-9CE4-1BD1C73A4FE6}"/>
    <cellStyle name="Normal 2 2 2 3 2 5" xfId="9602" xr:uid="{B8D10CC9-430E-499B-8D1A-8C0957110748}"/>
    <cellStyle name="Normal 2 2 2 3 2 5 2" xfId="11636" xr:uid="{DA9853C2-9A04-4816-81AF-DF0C16F1A737}"/>
    <cellStyle name="Normal 2 2 2 3 2 5 2 2" xfId="15842" xr:uid="{EF28720C-26A7-4F1C-8A02-63598C4735FA}"/>
    <cellStyle name="Normal 2 2 2 3 2 5 3" xfId="13813" xr:uid="{FD976199-00E6-46C8-BDD3-96522DE74F76}"/>
    <cellStyle name="Normal 2 2 2 3 2 6" xfId="9960" xr:uid="{8F2B0782-A89C-4716-99C0-B67D92BE84F2}"/>
    <cellStyle name="Normal 2 2 2 3 2 6 2" xfId="14166" xr:uid="{93DAA3AE-CFC9-4F9A-AAFE-E7DAAF6B205E}"/>
    <cellStyle name="Normal 2 2 2 3 2 7" xfId="12137" xr:uid="{FE21C587-F599-43EB-B47C-A75A13E59B18}"/>
    <cellStyle name="Normal 2 2 2 3 3" xfId="8062" xr:uid="{2461B87A-2CD7-44EE-BCCC-70EA4E32252C}"/>
    <cellStyle name="Normal 2 2 2 3 3 2" xfId="8732" xr:uid="{D5FEB608-C793-4646-BF46-5110314EF99D}"/>
    <cellStyle name="Normal 2 2 2 3 3 2 2" xfId="10801" xr:uid="{0AD1F9B8-5C2A-484A-B526-0B9C03389D40}"/>
    <cellStyle name="Normal 2 2 2 3 3 2 2 2" xfId="15007" xr:uid="{FE1BFB38-06A3-490C-9095-FE173E054C26}"/>
    <cellStyle name="Normal 2 2 2 3 3 2 3" xfId="12978" xr:uid="{ABEA6DF2-1E1C-40AE-8AF3-F7AD6438F325}"/>
    <cellStyle name="Normal 2 2 2 3 3 3" xfId="10131" xr:uid="{A582D039-C929-459D-8353-A7FB73EBE3BB}"/>
    <cellStyle name="Normal 2 2 2 3 3 3 2" xfId="14337" xr:uid="{43ACFCF9-B69F-433C-872C-50BAEC42E6A3}"/>
    <cellStyle name="Normal 2 2 2 3 3 4" xfId="12308" xr:uid="{AF8FFEE7-4286-46AE-9E31-BB662A274287}"/>
    <cellStyle name="Normal 2 2 2 3 4" xfId="8398" xr:uid="{CDB875C9-E25F-4045-9436-EE8F1F99562B}"/>
    <cellStyle name="Normal 2 2 2 3 4 2" xfId="10467" xr:uid="{6EAE7CEE-8528-4C15-956A-484990058FB3}"/>
    <cellStyle name="Normal 2 2 2 3 4 2 2" xfId="14673" xr:uid="{019FB824-1D03-4E5A-AC7C-18BE6D7ABA18}"/>
    <cellStyle name="Normal 2 2 2 3 4 3" xfId="12644" xr:uid="{48BCD0C9-8B4C-41DB-9E05-7A05DFCEDA5C}"/>
    <cellStyle name="Normal 2 2 2 3 5" xfId="9071" xr:uid="{24632F7D-E07E-484D-BA1C-E013CD86FA39}"/>
    <cellStyle name="Normal 2 2 2 3 5 2" xfId="11140" xr:uid="{FEF139DA-353C-4048-9112-41DA373964A6}"/>
    <cellStyle name="Normal 2 2 2 3 5 2 2" xfId="15346" xr:uid="{F42F5233-0992-4216-8C83-7A144B6DBED9}"/>
    <cellStyle name="Normal 2 2 2 3 5 3" xfId="13317" xr:uid="{1E80E793-BCF1-4724-9329-1934EBAB7501}"/>
    <cellStyle name="Normal 2 2 2 3 6" xfId="9439" xr:uid="{32B78568-42D8-4CC9-8661-211147EE4704}"/>
    <cellStyle name="Normal 2 2 2 3 6 2" xfId="11473" xr:uid="{1D3347A1-5366-421E-AC6E-A0B5617510C5}"/>
    <cellStyle name="Normal 2 2 2 3 6 2 2" xfId="15679" xr:uid="{593A6CDD-27C5-4168-9D44-FA22C00B8502}"/>
    <cellStyle name="Normal 2 2 2 3 6 3" xfId="13650" xr:uid="{3D0FF37A-4435-44F7-8FE7-720AE15C67AA}"/>
    <cellStyle name="Normal 2 2 2 3 7" xfId="9797" xr:uid="{43400AE6-BF97-4F94-A1B9-3D136DC9EDFA}"/>
    <cellStyle name="Normal 2 2 2 3 7 2" xfId="14003" xr:uid="{D72CD3F2-1CD8-4928-BA56-A88B5443A74F}"/>
    <cellStyle name="Normal 2 2 2 3 8" xfId="11974" xr:uid="{C09A58BD-EBDE-4474-9A9A-0BF494DD01A9}"/>
    <cellStyle name="Normal 2 2 2 4" xfId="11673" xr:uid="{F724B6C9-A8DC-4482-8ED9-BD3DBA169333}"/>
    <cellStyle name="Normal 2 2 2 4 2" xfId="15878" xr:uid="{1142A297-C00E-4D0B-B2EC-968B1E780C96}"/>
    <cellStyle name="Normal 2 2 2 5" xfId="11709" xr:uid="{1D3B04A1-F568-4CF4-AB84-44F6A84A0ABC}"/>
    <cellStyle name="Normal 2 2 2 5 2" xfId="15913" xr:uid="{6D1025AB-D3B9-4599-A60F-58B9FA784EE4}"/>
    <cellStyle name="Normal 2 2 2 6" xfId="11733" xr:uid="{1FA1575A-16C4-4AAD-AF5C-8BF8EE59B62B}"/>
    <cellStyle name="Normal 2 2 2 6 2" xfId="15936" xr:uid="{A5E13604-E6E3-4074-A672-CE1C56EFF5A4}"/>
    <cellStyle name="Normal 2 2 2 7" xfId="11759" xr:uid="{2E489E58-259F-4ECA-98A9-30E8165435E5}"/>
    <cellStyle name="Normal 2 2 2 7 2" xfId="15960" xr:uid="{E5BEB4D5-24D8-4028-981A-B36A4F7FEA70}"/>
    <cellStyle name="Normal 2 2 2 8" xfId="11776" xr:uid="{AD162417-589A-400F-9F7B-ECC4EBDE6885}"/>
    <cellStyle name="Normal 2 2 2 8 2" xfId="15977" xr:uid="{049A6889-6091-4199-BDA1-3DA08940F2A4}"/>
    <cellStyle name="Normal 2 2 3" xfId="1981" xr:uid="{61930959-D2B6-4444-AADA-51774E8FEFC0}"/>
    <cellStyle name="Normal 2 2 3 10" xfId="1982" xr:uid="{6473D724-6808-4615-9044-F3E1138C9084}"/>
    <cellStyle name="Normal 2 2 3 10 2" xfId="1983" xr:uid="{5CC1FDD4-C83B-4890-9A5B-7BB931FD0D87}"/>
    <cellStyle name="Normal 2 2 3 11" xfId="1984" xr:uid="{3DA55BE8-8E2B-4370-A8C9-91153C22CD7C}"/>
    <cellStyle name="Normal 2 2 3 12" xfId="11685" xr:uid="{5521F4E3-B221-400F-B7E1-4650FBF5AABF}"/>
    <cellStyle name="Normal 2 2 3 2" xfId="1985" xr:uid="{14C97D61-B1A7-4374-A718-CC3448514159}"/>
    <cellStyle name="Normal 2 2 3 2 10" xfId="1986" xr:uid="{FDC37CA2-1D21-4A02-9F17-508E1FBD4253}"/>
    <cellStyle name="Normal 2 2 3 2 2" xfId="1987" xr:uid="{4CBF07A8-355A-42FF-B37A-381D5FD7D194}"/>
    <cellStyle name="Normal 2 2 3 2 2 2" xfId="1988" xr:uid="{7F10504B-0942-4FDA-BDE0-B391AAC23A79}"/>
    <cellStyle name="Normal 2 2 3 2 2 2 2" xfId="1989" xr:uid="{035FA328-A35E-4C23-BFC3-6DEB0EEDA71A}"/>
    <cellStyle name="Normal 2 2 3 2 2 2 2 2" xfId="1990" xr:uid="{89A31FCC-B225-4CF1-AFAA-3A6DA513E78C}"/>
    <cellStyle name="Normal 2 2 3 2 2 2 2 2 2" xfId="1991" xr:uid="{57174A68-E1F7-40DF-8F86-007BB69F1B91}"/>
    <cellStyle name="Normal 2 2 3 2 2 2 2 2 2 2" xfId="1992" xr:uid="{6B1DB387-0147-4BB0-85DD-9E9C98A86D14}"/>
    <cellStyle name="Normal 2 2 3 2 2 2 2 2 3" xfId="1993" xr:uid="{16CE1266-B9C0-4632-AB94-FCBA3311E202}"/>
    <cellStyle name="Normal 2 2 3 2 2 2 2 3" xfId="1994" xr:uid="{F2CC783D-9DCE-40D2-BF27-BFA1E5A371DD}"/>
    <cellStyle name="Normal 2 2 3 2 2 2 2 3 2" xfId="1995" xr:uid="{C1826198-539B-461E-9869-1DB62CE0B8FA}"/>
    <cellStyle name="Normal 2 2 3 2 2 2 2 3 2 2" xfId="1996" xr:uid="{EB9CEAD9-1B68-4ED9-A2E1-FAABED915285}"/>
    <cellStyle name="Normal 2 2 3 2 2 2 2 3 3" xfId="1997" xr:uid="{6C8F2073-AFAC-4425-AC2B-C3F1F71F920F}"/>
    <cellStyle name="Normal 2 2 3 2 2 2 2 4" xfId="1998" xr:uid="{DFDA4015-83F7-467C-A6C6-73BB26409B6E}"/>
    <cellStyle name="Normal 2 2 3 2 2 2 2 4 2" xfId="1999" xr:uid="{9B5B02EB-B5FB-43C2-9A99-446CC9C6D48B}"/>
    <cellStyle name="Normal 2 2 3 2 2 2 2 4 2 2" xfId="2000" xr:uid="{8E678901-3C66-4A1B-97CA-26F22D29F050}"/>
    <cellStyle name="Normal 2 2 3 2 2 2 2 4 3" xfId="2001" xr:uid="{9BE3EF30-8A64-4368-B2AA-78682322068E}"/>
    <cellStyle name="Normal 2 2 3 2 2 2 2 5" xfId="2002" xr:uid="{567C71C2-B303-441F-96BB-18026FDF4C66}"/>
    <cellStyle name="Normal 2 2 3 2 2 2 2 5 2" xfId="2003" xr:uid="{80E4C23C-7908-4FC9-BACD-727A8A3E8B54}"/>
    <cellStyle name="Normal 2 2 3 2 2 2 2 6" xfId="2004" xr:uid="{7F71146D-F918-47CF-8E00-0E1A84AEA136}"/>
    <cellStyle name="Normal 2 2 3 2 2 2 3" xfId="2005" xr:uid="{7CE1CB6A-19A5-4556-B2ED-70211572DD2F}"/>
    <cellStyle name="Normal 2 2 3 2 2 2 3 2" xfId="2006" xr:uid="{B9953452-765A-499F-8153-304D2DD78AF1}"/>
    <cellStyle name="Normal 2 2 3 2 2 2 3 2 2" xfId="2007" xr:uid="{E2F7D420-8D79-42C4-B6DE-1090928539D9}"/>
    <cellStyle name="Normal 2 2 3 2 2 2 3 3" xfId="2008" xr:uid="{D3CC5332-8568-4DD0-8957-0ACD2441EEF9}"/>
    <cellStyle name="Normal 2 2 3 2 2 2 4" xfId="2009" xr:uid="{7E5FD018-6F9F-46F6-AE41-9CB7904A9CAF}"/>
    <cellStyle name="Normal 2 2 3 2 2 2 4 2" xfId="2010" xr:uid="{AD4628A0-6EAC-4F6C-816C-D7138A22C4D8}"/>
    <cellStyle name="Normal 2 2 3 2 2 2 4 2 2" xfId="2011" xr:uid="{31A41ED2-1A49-4386-81DC-0A659D0E8998}"/>
    <cellStyle name="Normal 2 2 3 2 2 2 4 3" xfId="2012" xr:uid="{D032AEC1-7584-441E-9875-D2F3BCBA654B}"/>
    <cellStyle name="Normal 2 2 3 2 2 2 5" xfId="2013" xr:uid="{8A2BB142-F717-422F-8C38-C3C1BFBAF3C4}"/>
    <cellStyle name="Normal 2 2 3 2 2 2 5 2" xfId="2014" xr:uid="{1B6E8082-7E3F-4754-8919-2BD700BB494D}"/>
    <cellStyle name="Normal 2 2 3 2 2 2 5 2 2" xfId="2015" xr:uid="{D5181009-DFE7-4654-A8E3-D2B054C0F9BB}"/>
    <cellStyle name="Normal 2 2 3 2 2 2 5 3" xfId="2016" xr:uid="{F2D4CC85-346A-49D1-95D0-9C1D52EF9F16}"/>
    <cellStyle name="Normal 2 2 3 2 2 2 6" xfId="2017" xr:uid="{7601C182-5288-42B9-A2D1-038F75BF4B88}"/>
    <cellStyle name="Normal 2 2 3 2 2 2 6 2" xfId="2018" xr:uid="{60E789DC-CEE1-4D33-9673-4AD8079FA3A2}"/>
    <cellStyle name="Normal 2 2 3 2 2 2 7" xfId="2019" xr:uid="{981D19DE-41AE-496B-9ACF-C54E8895EE5B}"/>
    <cellStyle name="Normal 2 2 3 2 2 3" xfId="2020" xr:uid="{8A49CB2F-2815-414C-AFF4-AC07E094FE9B}"/>
    <cellStyle name="Normal 2 2 3 2 2 3 2" xfId="2021" xr:uid="{81A39668-D5E9-4F51-AA81-CFB2D7AB7C89}"/>
    <cellStyle name="Normal 2 2 3 2 2 3 2 2" xfId="2022" xr:uid="{CA36E9B9-5109-493B-A629-42C9F884AC73}"/>
    <cellStyle name="Normal 2 2 3 2 2 3 2 2 2" xfId="2023" xr:uid="{E822B861-C977-4013-B6A1-CA84A3EE0AD3}"/>
    <cellStyle name="Normal 2 2 3 2 2 3 2 3" xfId="2024" xr:uid="{1E995938-26BC-4A1D-8DDF-13678F793B8F}"/>
    <cellStyle name="Normal 2 2 3 2 2 3 3" xfId="2025" xr:uid="{7FB1F598-245E-487C-A74D-2D6A4984ED30}"/>
    <cellStyle name="Normal 2 2 3 2 2 3 3 2" xfId="2026" xr:uid="{02330747-D12E-4EE1-AD37-4D94F13EDD74}"/>
    <cellStyle name="Normal 2 2 3 2 2 3 3 2 2" xfId="2027" xr:uid="{FB74AD79-87B9-48D1-8903-7CA2809F65CF}"/>
    <cellStyle name="Normal 2 2 3 2 2 3 3 3" xfId="2028" xr:uid="{6025324F-C4BD-4E01-BCA6-CF781C7F1E4F}"/>
    <cellStyle name="Normal 2 2 3 2 2 3 4" xfId="2029" xr:uid="{E6357C0F-58B3-4995-8B46-8F6AED893CB7}"/>
    <cellStyle name="Normal 2 2 3 2 2 3 4 2" xfId="2030" xr:uid="{EB2DEDD8-9F90-4BB0-85CC-89EF54687744}"/>
    <cellStyle name="Normal 2 2 3 2 2 3 4 2 2" xfId="2031" xr:uid="{25ADE004-9FDF-4EF2-BCF8-9CD07B8B6E55}"/>
    <cellStyle name="Normal 2 2 3 2 2 3 4 3" xfId="2032" xr:uid="{EC6A7AC5-1B90-4212-A687-79A60E7E9C31}"/>
    <cellStyle name="Normal 2 2 3 2 2 3 5" xfId="2033" xr:uid="{94A44612-7B63-4100-B0FA-A4B0E51EA5CA}"/>
    <cellStyle name="Normal 2 2 3 2 2 3 5 2" xfId="2034" xr:uid="{39D0C354-84F5-420F-AB9D-A2D1577EBF63}"/>
    <cellStyle name="Normal 2 2 3 2 2 3 6" xfId="2035" xr:uid="{C6D92C95-E98B-4A4B-B7EC-8D7726FC15BA}"/>
    <cellStyle name="Normal 2 2 3 2 2 4" xfId="2036" xr:uid="{5B31F620-898A-4E0E-872F-582FBB170728}"/>
    <cellStyle name="Normal 2 2 3 2 2 4 2" xfId="2037" xr:uid="{F754F2F2-0897-4AC6-9898-9349B485E192}"/>
    <cellStyle name="Normal 2 2 3 2 2 4 2 2" xfId="2038" xr:uid="{12C086D0-6785-42AA-A1AF-A8D6197C7238}"/>
    <cellStyle name="Normal 2 2 3 2 2 4 3" xfId="2039" xr:uid="{249452D9-AA5B-426C-9F64-334AE2DDD34A}"/>
    <cellStyle name="Normal 2 2 3 2 2 5" xfId="2040" xr:uid="{3CF18C27-014B-4904-A902-A029A6B37145}"/>
    <cellStyle name="Normal 2 2 3 2 2 5 2" xfId="2041" xr:uid="{5CF047BA-5CBB-4533-B1E3-7728291EDF93}"/>
    <cellStyle name="Normal 2 2 3 2 2 5 2 2" xfId="2042" xr:uid="{649902C5-1A16-4864-AA7A-352C50E491E1}"/>
    <cellStyle name="Normal 2 2 3 2 2 5 3" xfId="2043" xr:uid="{CAC0D33C-F2D7-42BB-9A2B-0C6526ADACC0}"/>
    <cellStyle name="Normal 2 2 3 2 2 6" xfId="2044" xr:uid="{CA614BF3-4801-43FB-92B8-610EE0E0CBEF}"/>
    <cellStyle name="Normal 2 2 3 2 2 6 2" xfId="2045" xr:uid="{C9CDB76D-C797-49D2-BEBD-8828B68A3817}"/>
    <cellStyle name="Normal 2 2 3 2 2 6 2 2" xfId="2046" xr:uid="{02917877-B903-4794-8824-84A324CE900B}"/>
    <cellStyle name="Normal 2 2 3 2 2 6 3" xfId="2047" xr:uid="{48DEA7B0-BCA2-4963-80C5-F4203B3359D4}"/>
    <cellStyle name="Normal 2 2 3 2 2 7" xfId="2048" xr:uid="{9CA71895-0880-4732-840E-2AF7797B688C}"/>
    <cellStyle name="Normal 2 2 3 2 2 7 2" xfId="2049" xr:uid="{F3427B9C-5582-475D-8CC2-6A1D15E20AC4}"/>
    <cellStyle name="Normal 2 2 3 2 2 8" xfId="2050" xr:uid="{5E69CF18-E517-4667-A5AB-89DF574C210F}"/>
    <cellStyle name="Normal 2 2 3 2 3" xfId="2051" xr:uid="{40D5A969-D741-493E-94A7-FB817B4F8D06}"/>
    <cellStyle name="Normal 2 2 3 2 3 2" xfId="2052" xr:uid="{4A6DB934-04B6-47B6-B1C2-D23B9DD6F6FE}"/>
    <cellStyle name="Normal 2 2 3 2 3 2 2" xfId="2053" xr:uid="{9A812ECD-9174-49E1-85E1-31B45DEE15BB}"/>
    <cellStyle name="Normal 2 2 3 2 3 2 2 2" xfId="2054" xr:uid="{9D397F37-E13B-4638-BE9A-A921C860DF4E}"/>
    <cellStyle name="Normal 2 2 3 2 3 2 2 2 2" xfId="2055" xr:uid="{2E38453A-BB58-417A-ABD5-FBA5554A14B7}"/>
    <cellStyle name="Normal 2 2 3 2 3 2 2 2 2 2" xfId="2056" xr:uid="{7968E2A6-021A-4930-9A98-C07E6297C22A}"/>
    <cellStyle name="Normal 2 2 3 2 3 2 2 2 3" xfId="2057" xr:uid="{3EBADFEE-82FF-4E3D-B3B4-B6AEF47E76EA}"/>
    <cellStyle name="Normal 2 2 3 2 3 2 2 3" xfId="2058" xr:uid="{A7EBAAB8-F1F8-40E0-88A1-70518D613AF2}"/>
    <cellStyle name="Normal 2 2 3 2 3 2 2 3 2" xfId="2059" xr:uid="{210925E8-D899-4F22-BA34-77BE726AB7BD}"/>
    <cellStyle name="Normal 2 2 3 2 3 2 2 3 2 2" xfId="2060" xr:uid="{19241A2A-5E77-40B3-BFA5-CF692F367783}"/>
    <cellStyle name="Normal 2 2 3 2 3 2 2 3 3" xfId="2061" xr:uid="{D67AAB1C-BFEF-4C5C-ACE0-2FD4170520AA}"/>
    <cellStyle name="Normal 2 2 3 2 3 2 2 4" xfId="2062" xr:uid="{4E9CE782-6639-4F66-A4BB-DE283CB0BDF5}"/>
    <cellStyle name="Normal 2 2 3 2 3 2 2 4 2" xfId="2063" xr:uid="{A1212052-5D15-48EB-AF97-F570BB5A964D}"/>
    <cellStyle name="Normal 2 2 3 2 3 2 2 4 2 2" xfId="2064" xr:uid="{F65C394A-80A2-4A2F-A637-EEE68B4BDAB4}"/>
    <cellStyle name="Normal 2 2 3 2 3 2 2 4 3" xfId="2065" xr:uid="{C6902DD5-4C38-48BE-8E0E-66E52AE09F88}"/>
    <cellStyle name="Normal 2 2 3 2 3 2 2 5" xfId="2066" xr:uid="{8DD80911-1CD8-4D86-AB7D-1A5215579679}"/>
    <cellStyle name="Normal 2 2 3 2 3 2 2 5 2" xfId="2067" xr:uid="{86F6537D-F253-4B26-AC20-78E337E6A1F1}"/>
    <cellStyle name="Normal 2 2 3 2 3 2 2 6" xfId="2068" xr:uid="{4350EC21-FDEF-4E42-B6FB-513AF0DCA0CC}"/>
    <cellStyle name="Normal 2 2 3 2 3 2 3" xfId="2069" xr:uid="{1DC6A090-099E-4571-B480-4D0015BFBF11}"/>
    <cellStyle name="Normal 2 2 3 2 3 2 3 2" xfId="2070" xr:uid="{E8E12B35-FB45-4814-887C-FF7FB0F3A40F}"/>
    <cellStyle name="Normal 2 2 3 2 3 2 3 2 2" xfId="2071" xr:uid="{9870EC3A-3E00-48CE-B8BA-9CF57A9698FC}"/>
    <cellStyle name="Normal 2 2 3 2 3 2 3 3" xfId="2072" xr:uid="{E094F3D8-B139-4E6A-99C2-7416B8403D49}"/>
    <cellStyle name="Normal 2 2 3 2 3 2 4" xfId="2073" xr:uid="{B3298B03-30C0-4D67-8443-38F6432817EF}"/>
    <cellStyle name="Normal 2 2 3 2 3 2 4 2" xfId="2074" xr:uid="{7DD12FDC-145C-4DC2-A9DE-EA0F647C7B51}"/>
    <cellStyle name="Normal 2 2 3 2 3 2 4 2 2" xfId="2075" xr:uid="{1128620F-5419-4009-AE32-03FC0D50AE23}"/>
    <cellStyle name="Normal 2 2 3 2 3 2 4 3" xfId="2076" xr:uid="{DA8A518E-1C07-4BDC-8720-EA785F569ABD}"/>
    <cellStyle name="Normal 2 2 3 2 3 2 5" xfId="2077" xr:uid="{E8FEE823-6525-4ADF-B5D3-0E173AB0767F}"/>
    <cellStyle name="Normal 2 2 3 2 3 2 5 2" xfId="2078" xr:uid="{97BCCEE8-A3D0-408D-A362-2E8F5C464899}"/>
    <cellStyle name="Normal 2 2 3 2 3 2 5 2 2" xfId="2079" xr:uid="{D66EAA22-8C00-4C3A-99C1-F8C3A962A7DF}"/>
    <cellStyle name="Normal 2 2 3 2 3 2 5 3" xfId="2080" xr:uid="{83E548CB-9E35-46BF-82E7-5A31BA134F5C}"/>
    <cellStyle name="Normal 2 2 3 2 3 2 6" xfId="2081" xr:uid="{873C4C5E-BC66-42D0-A821-EE860415351F}"/>
    <cellStyle name="Normal 2 2 3 2 3 2 6 2" xfId="2082" xr:uid="{AD3D47D6-AC34-414B-AA03-395FAE620D4D}"/>
    <cellStyle name="Normal 2 2 3 2 3 2 7" xfId="2083" xr:uid="{B5192856-96B1-46C0-97D6-2CBC321ABEA1}"/>
    <cellStyle name="Normal 2 2 3 2 3 3" xfId="2084" xr:uid="{092AB19D-25B7-49FC-91D6-9EF5D2B84B89}"/>
    <cellStyle name="Normal 2 2 3 2 3 3 2" xfId="2085" xr:uid="{CFC64E33-E870-482E-8C2D-EB41233A6A1E}"/>
    <cellStyle name="Normal 2 2 3 2 3 3 2 2" xfId="2086" xr:uid="{D40FD8B8-8460-41E4-BC7F-D5879D9E3F3D}"/>
    <cellStyle name="Normal 2 2 3 2 3 3 2 2 2" xfId="2087" xr:uid="{4C00FBBA-6BC0-4051-A7B7-1BDD14A01985}"/>
    <cellStyle name="Normal 2 2 3 2 3 3 2 3" xfId="2088" xr:uid="{5630C46D-E790-4AED-878B-E51AA7CB907D}"/>
    <cellStyle name="Normal 2 2 3 2 3 3 3" xfId="2089" xr:uid="{F25761C6-20A5-4CEA-AA27-A1B49244731D}"/>
    <cellStyle name="Normal 2 2 3 2 3 3 3 2" xfId="2090" xr:uid="{F9A22CAC-AA68-4E27-86AB-601A5AEA2FDB}"/>
    <cellStyle name="Normal 2 2 3 2 3 3 3 2 2" xfId="2091" xr:uid="{E752F88D-4809-496E-A468-B007CF9A72D8}"/>
    <cellStyle name="Normal 2 2 3 2 3 3 3 3" xfId="2092" xr:uid="{A392CF0D-9FA9-4ADE-B663-B60C05EA890B}"/>
    <cellStyle name="Normal 2 2 3 2 3 3 4" xfId="2093" xr:uid="{5A78DCEB-8A4E-4310-A155-82AA467D2B81}"/>
    <cellStyle name="Normal 2 2 3 2 3 3 4 2" xfId="2094" xr:uid="{FA6C6C6A-33D5-415E-A9FA-F19B2B23A1FC}"/>
    <cellStyle name="Normal 2 2 3 2 3 3 4 2 2" xfId="2095" xr:uid="{63D40A4F-1272-4C2E-955F-E07E7B9C2409}"/>
    <cellStyle name="Normal 2 2 3 2 3 3 4 3" xfId="2096" xr:uid="{E71A1DED-D46A-4369-ABBB-C3B4C269A545}"/>
    <cellStyle name="Normal 2 2 3 2 3 3 5" xfId="2097" xr:uid="{AAAE364D-42CC-4964-BDDA-8AEBF3879796}"/>
    <cellStyle name="Normal 2 2 3 2 3 3 5 2" xfId="2098" xr:uid="{0F96E741-03BB-477E-ADD0-867DBA8E382C}"/>
    <cellStyle name="Normal 2 2 3 2 3 3 6" xfId="2099" xr:uid="{320E4547-DCFA-402A-A041-1F58F70A5E25}"/>
    <cellStyle name="Normal 2 2 3 2 3 4" xfId="2100" xr:uid="{C19D5DC1-ED4F-4189-A104-FF92AD35DF85}"/>
    <cellStyle name="Normal 2 2 3 2 3 4 2" xfId="2101" xr:uid="{6AB5C3B9-DFF1-4CFF-9CF6-3FD7F97D6E7A}"/>
    <cellStyle name="Normal 2 2 3 2 3 4 2 2" xfId="2102" xr:uid="{D0D3F417-5F94-45EB-824E-1C5D7EEA6CBD}"/>
    <cellStyle name="Normal 2 2 3 2 3 4 3" xfId="2103" xr:uid="{1008DF6D-BF71-4D83-8761-4B5FE98B41AA}"/>
    <cellStyle name="Normal 2 2 3 2 3 5" xfId="2104" xr:uid="{911B0ED1-BBB6-4283-8FBE-BB2CF848F413}"/>
    <cellStyle name="Normal 2 2 3 2 3 5 2" xfId="2105" xr:uid="{41B82FEF-6761-4788-BE35-C48554C3251D}"/>
    <cellStyle name="Normal 2 2 3 2 3 5 2 2" xfId="2106" xr:uid="{2375A4DD-2AFA-4E23-BAF6-EBE1A190C49B}"/>
    <cellStyle name="Normal 2 2 3 2 3 5 3" xfId="2107" xr:uid="{1A18D716-1459-458D-A76F-A8F43C791A96}"/>
    <cellStyle name="Normal 2 2 3 2 3 6" xfId="2108" xr:uid="{2C2320C2-0E83-4D90-82F4-7E6C74B02F95}"/>
    <cellStyle name="Normal 2 2 3 2 3 6 2" xfId="2109" xr:uid="{38B9C892-CD9A-414B-B8AC-8CB814545DF7}"/>
    <cellStyle name="Normal 2 2 3 2 3 6 2 2" xfId="2110" xr:uid="{BC04B844-61A9-46BD-BAF2-3B1F551D02AB}"/>
    <cellStyle name="Normal 2 2 3 2 3 6 3" xfId="2111" xr:uid="{715B5C33-138F-4063-BEBD-9579196A0CF0}"/>
    <cellStyle name="Normal 2 2 3 2 3 7" xfId="2112" xr:uid="{8CAB0783-CE9E-42E1-828F-AF83B28851FC}"/>
    <cellStyle name="Normal 2 2 3 2 3 7 2" xfId="2113" xr:uid="{1C64B3D2-2329-44A3-B9BC-70F665F73F26}"/>
    <cellStyle name="Normal 2 2 3 2 3 8" xfId="2114" xr:uid="{D752851D-2B75-40EA-B32F-F5862D5D5640}"/>
    <cellStyle name="Normal 2 2 3 2 4" xfId="2115" xr:uid="{63906F9B-F71E-4785-A4BF-CC4E53D9F2A0}"/>
    <cellStyle name="Normal 2 2 3 2 4 2" xfId="2116" xr:uid="{583AA95A-103E-4D70-B826-952BE21FC0B4}"/>
    <cellStyle name="Normal 2 2 3 2 4 2 2" xfId="2117" xr:uid="{EC016238-61D7-49D5-A5B3-2084298109B3}"/>
    <cellStyle name="Normal 2 2 3 2 4 2 2 2" xfId="2118" xr:uid="{DE717605-4B26-4562-8428-29A5A10104B2}"/>
    <cellStyle name="Normal 2 2 3 2 4 2 2 2 2" xfId="2119" xr:uid="{2BF62E2B-80EB-406A-9D21-D5D2558BD18A}"/>
    <cellStyle name="Normal 2 2 3 2 4 2 2 3" xfId="2120" xr:uid="{5D2782D4-8C2B-4557-B8AB-DFDD8B9ABC63}"/>
    <cellStyle name="Normal 2 2 3 2 4 2 3" xfId="2121" xr:uid="{A59F2DBC-5285-44D7-9BDF-5CC526A0F33D}"/>
    <cellStyle name="Normal 2 2 3 2 4 2 3 2" xfId="2122" xr:uid="{78044A38-21E2-464D-83C6-CB2A0680B6BC}"/>
    <cellStyle name="Normal 2 2 3 2 4 2 3 2 2" xfId="2123" xr:uid="{5F4BBD64-573A-4B4E-8E85-6A2C908776ED}"/>
    <cellStyle name="Normal 2 2 3 2 4 2 3 3" xfId="2124" xr:uid="{F9F6FCBF-E0AF-4202-A52E-BC6D0EA237B9}"/>
    <cellStyle name="Normal 2 2 3 2 4 2 4" xfId="2125" xr:uid="{AA2FC118-2ACC-4F15-AE94-3DC44647681D}"/>
    <cellStyle name="Normal 2 2 3 2 4 2 4 2" xfId="2126" xr:uid="{6E4C9E63-4D8C-4EC9-A372-354B70797765}"/>
    <cellStyle name="Normal 2 2 3 2 4 2 4 2 2" xfId="2127" xr:uid="{D40353D8-FB46-4274-AA86-98121EA83A8A}"/>
    <cellStyle name="Normal 2 2 3 2 4 2 4 3" xfId="2128" xr:uid="{17DB8099-3013-4EE1-8B8B-2E24A08E0121}"/>
    <cellStyle name="Normal 2 2 3 2 4 2 5" xfId="2129" xr:uid="{F0844F10-DAAA-4E66-B7CD-383BE3295D66}"/>
    <cellStyle name="Normal 2 2 3 2 4 2 5 2" xfId="2130" xr:uid="{CCFC5EC8-C00F-4F29-A29A-19C893402198}"/>
    <cellStyle name="Normal 2 2 3 2 4 2 6" xfId="2131" xr:uid="{9580284E-958F-46C8-A78D-93792669D607}"/>
    <cellStyle name="Normal 2 2 3 2 4 3" xfId="2132" xr:uid="{2664FF9C-5EE9-4225-B9AC-766FADB4EE86}"/>
    <cellStyle name="Normal 2 2 3 2 4 3 2" xfId="2133" xr:uid="{3DECBCD4-E5B8-49D7-AA4D-58843AC6CA16}"/>
    <cellStyle name="Normal 2 2 3 2 4 3 2 2" xfId="2134" xr:uid="{07BDF6F3-58BB-490F-B9B6-477629431AE2}"/>
    <cellStyle name="Normal 2 2 3 2 4 3 3" xfId="2135" xr:uid="{2C594FE1-B847-405D-82A3-7DA7490F550F}"/>
    <cellStyle name="Normal 2 2 3 2 4 4" xfId="2136" xr:uid="{2BFD3896-8471-4A35-98BC-F26F4A62B548}"/>
    <cellStyle name="Normal 2 2 3 2 4 4 2" xfId="2137" xr:uid="{ABCD2573-9C24-4F24-AE78-AB429E13BDA2}"/>
    <cellStyle name="Normal 2 2 3 2 4 4 2 2" xfId="2138" xr:uid="{9CCAC210-B419-422F-AFC4-AD11C0CBB2C6}"/>
    <cellStyle name="Normal 2 2 3 2 4 4 3" xfId="2139" xr:uid="{62CD3A59-6C52-4478-AED6-20376E7BF8B2}"/>
    <cellStyle name="Normal 2 2 3 2 4 5" xfId="2140" xr:uid="{4D65CBD4-E0F6-45F8-B2EA-ACA9F66CDF87}"/>
    <cellStyle name="Normal 2 2 3 2 4 5 2" xfId="2141" xr:uid="{75CCBF52-D400-40E5-AD2B-C48C3257BB88}"/>
    <cellStyle name="Normal 2 2 3 2 4 5 2 2" xfId="2142" xr:uid="{BEABC739-7655-49B0-98D0-592622700E0B}"/>
    <cellStyle name="Normal 2 2 3 2 4 5 3" xfId="2143" xr:uid="{949D51A1-8697-40A2-94E3-2A3011FCD498}"/>
    <cellStyle name="Normal 2 2 3 2 4 6" xfId="2144" xr:uid="{8C991201-3D47-4218-85C5-AF03D3E4BDBC}"/>
    <cellStyle name="Normal 2 2 3 2 4 6 2" xfId="2145" xr:uid="{62684D2F-D517-4756-9021-EF60BFEB06BB}"/>
    <cellStyle name="Normal 2 2 3 2 4 7" xfId="2146" xr:uid="{EA7626E4-DAF7-4932-B56B-62EB7ED2EE19}"/>
    <cellStyle name="Normal 2 2 3 2 5" xfId="2147" xr:uid="{1E149CD2-958E-4477-A981-15C6982F4BEC}"/>
    <cellStyle name="Normal 2 2 3 2 5 2" xfId="2148" xr:uid="{044A3AEE-BD68-432D-AC04-C29CFC094C21}"/>
    <cellStyle name="Normal 2 2 3 2 5 2 2" xfId="2149" xr:uid="{CFC5E5EF-3C54-4254-A009-5D67E8A3D0A9}"/>
    <cellStyle name="Normal 2 2 3 2 5 2 2 2" xfId="2150" xr:uid="{658AC4E9-57D8-4A38-9555-32603CE3A01E}"/>
    <cellStyle name="Normal 2 2 3 2 5 2 3" xfId="2151" xr:uid="{101407DC-AD29-4768-8FD5-032C4E27E6DF}"/>
    <cellStyle name="Normal 2 2 3 2 5 3" xfId="2152" xr:uid="{7A05FCB6-B837-46B9-86B3-0255E9270F47}"/>
    <cellStyle name="Normal 2 2 3 2 5 3 2" xfId="2153" xr:uid="{4011BCF3-702E-4C71-8023-D6A2B1F2070A}"/>
    <cellStyle name="Normal 2 2 3 2 5 3 2 2" xfId="2154" xr:uid="{6FEDCE0B-2289-4651-B54C-C2B6BCDE19EA}"/>
    <cellStyle name="Normal 2 2 3 2 5 3 3" xfId="2155" xr:uid="{43C9641E-0246-4C9C-BAA3-073B6DEE20D2}"/>
    <cellStyle name="Normal 2 2 3 2 5 4" xfId="2156" xr:uid="{93A68677-3BC7-4561-A69F-C96C30983451}"/>
    <cellStyle name="Normal 2 2 3 2 5 4 2" xfId="2157" xr:uid="{BA8E0D00-0ED4-4B15-A0A4-C430BED81E3C}"/>
    <cellStyle name="Normal 2 2 3 2 5 4 2 2" xfId="2158" xr:uid="{32E7D603-3EA6-4316-B102-ADBD04F1FF6F}"/>
    <cellStyle name="Normal 2 2 3 2 5 4 3" xfId="2159" xr:uid="{E200B20D-E08E-4AE0-9E5E-B54C57B3D55C}"/>
    <cellStyle name="Normal 2 2 3 2 5 5" xfId="2160" xr:uid="{8623F94A-D1E7-4298-9929-7A10016E7610}"/>
    <cellStyle name="Normal 2 2 3 2 5 5 2" xfId="2161" xr:uid="{137C9F29-BD71-4399-BDF0-E2D2EA025F3E}"/>
    <cellStyle name="Normal 2 2 3 2 5 6" xfId="2162" xr:uid="{84214C1E-45E7-4AE8-8CFB-0C4BF328FF54}"/>
    <cellStyle name="Normal 2 2 3 2 6" xfId="2163" xr:uid="{12C1C02A-D454-448A-A550-33BBC06B46C6}"/>
    <cellStyle name="Normal 2 2 3 2 6 2" xfId="2164" xr:uid="{A90E92BD-8DD9-424F-B643-D911035681C3}"/>
    <cellStyle name="Normal 2 2 3 2 6 2 2" xfId="2165" xr:uid="{61802929-CC86-4693-8C56-6322BCAA5436}"/>
    <cellStyle name="Normal 2 2 3 2 6 3" xfId="2166" xr:uid="{8176549D-1F8D-4009-BF92-2E116F3802FD}"/>
    <cellStyle name="Normal 2 2 3 2 7" xfId="2167" xr:uid="{E45C85C8-58A2-448A-AD46-6C28A4BA101B}"/>
    <cellStyle name="Normal 2 2 3 2 7 2" xfId="2168" xr:uid="{5B4246D3-3162-497D-8083-402F06E2673F}"/>
    <cellStyle name="Normal 2 2 3 2 7 2 2" xfId="2169" xr:uid="{123E8432-11C8-4885-AA40-8B6438C6C1D3}"/>
    <cellStyle name="Normal 2 2 3 2 7 3" xfId="2170" xr:uid="{1C73A596-80D5-46FC-A4A4-C1F708782CD8}"/>
    <cellStyle name="Normal 2 2 3 2 8" xfId="2171" xr:uid="{98C7FAD2-7E98-4A33-8394-5B9CA5309586}"/>
    <cellStyle name="Normal 2 2 3 2 8 2" xfId="2172" xr:uid="{6356E8D6-9831-4047-8F46-77A95C13ACCB}"/>
    <cellStyle name="Normal 2 2 3 2 8 2 2" xfId="2173" xr:uid="{7CD0637D-019B-4429-A9F0-33C2DC56C0B8}"/>
    <cellStyle name="Normal 2 2 3 2 8 3" xfId="2174" xr:uid="{853DC63F-DB40-416B-B9F6-B6F637572115}"/>
    <cellStyle name="Normal 2 2 3 2 9" xfId="2175" xr:uid="{BBD272E7-A04E-4B2E-8BD8-34284509854B}"/>
    <cellStyle name="Normal 2 2 3 2 9 2" xfId="2176" xr:uid="{DE8DB096-5E37-4FC0-B3E0-113DDC10A3ED}"/>
    <cellStyle name="Normal 2 2 3 3" xfId="2177" xr:uid="{E37C6317-473E-4AF1-810B-9C37A4E001BF}"/>
    <cellStyle name="Normal 2 2 3 3 2" xfId="2178" xr:uid="{76D60D59-9D91-4AE8-803E-0C67F0E89C12}"/>
    <cellStyle name="Normal 2 2 3 3 2 2" xfId="2179" xr:uid="{2A9291EA-EF5D-43DF-805B-2CD416ABD027}"/>
    <cellStyle name="Normal 2 2 3 3 2 2 2" xfId="2180" xr:uid="{E885C8FC-E75C-4D7A-A2A4-B6994A41B209}"/>
    <cellStyle name="Normal 2 2 3 3 2 2 2 2" xfId="2181" xr:uid="{DA94AB77-3F50-4410-8C2E-E1E55FAF3596}"/>
    <cellStyle name="Normal 2 2 3 3 2 2 2 2 2" xfId="2182" xr:uid="{45D1F7CF-3B4B-4781-B4ED-36DCF8E85361}"/>
    <cellStyle name="Normal 2 2 3 3 2 2 2 3" xfId="2183" xr:uid="{50F4640F-864E-427B-8FCE-A6D8E07F3900}"/>
    <cellStyle name="Normal 2 2 3 3 2 2 3" xfId="2184" xr:uid="{EAB27937-BA38-49C0-8D03-936BFE2D2BE3}"/>
    <cellStyle name="Normal 2 2 3 3 2 2 3 2" xfId="2185" xr:uid="{5EB3E7A3-6A2B-4B21-99EA-1C4CAC90DD15}"/>
    <cellStyle name="Normal 2 2 3 3 2 2 3 2 2" xfId="2186" xr:uid="{CE5C0433-4788-4AF0-89E6-0689155A67DD}"/>
    <cellStyle name="Normal 2 2 3 3 2 2 3 3" xfId="2187" xr:uid="{BB230C0B-54C8-4449-9D53-2287EF57DBB7}"/>
    <cellStyle name="Normal 2 2 3 3 2 2 4" xfId="2188" xr:uid="{8E8E987C-60BF-41A3-9A87-CE158B20ECED}"/>
    <cellStyle name="Normal 2 2 3 3 2 2 4 2" xfId="2189" xr:uid="{3098AA2D-E4D0-4442-93CD-D0231C3A7BC9}"/>
    <cellStyle name="Normal 2 2 3 3 2 2 4 2 2" xfId="2190" xr:uid="{133CDFCE-2356-4153-9305-FADB46D265E2}"/>
    <cellStyle name="Normal 2 2 3 3 2 2 4 3" xfId="2191" xr:uid="{3102B9ED-078B-408F-A640-90C42029FA5D}"/>
    <cellStyle name="Normal 2 2 3 3 2 2 5" xfId="2192" xr:uid="{17B138C1-60F5-4FBA-A51A-A77AE12F39F4}"/>
    <cellStyle name="Normal 2 2 3 3 2 2 5 2" xfId="2193" xr:uid="{2F4B1811-7309-4616-8261-67F0C0044DC0}"/>
    <cellStyle name="Normal 2 2 3 3 2 2 6" xfId="2194" xr:uid="{D1158372-FE01-42B9-8310-26FC710EEE77}"/>
    <cellStyle name="Normal 2 2 3 3 2 3" xfId="2195" xr:uid="{7EEA85C3-3397-4CCF-9F04-5A5FA7DDFF28}"/>
    <cellStyle name="Normal 2 2 3 3 2 3 2" xfId="2196" xr:uid="{943B3990-A21F-4C79-B37F-5ED2029E6B66}"/>
    <cellStyle name="Normal 2 2 3 3 2 3 2 2" xfId="2197" xr:uid="{B53126C4-9A01-48C5-B01E-513E6B2C96D2}"/>
    <cellStyle name="Normal 2 2 3 3 2 3 3" xfId="2198" xr:uid="{DD997C46-9863-4874-915B-00019ABD5214}"/>
    <cellStyle name="Normal 2 2 3 3 2 4" xfId="2199" xr:uid="{6374A7D6-2F5C-4920-A575-106B36807F52}"/>
    <cellStyle name="Normal 2 2 3 3 2 4 2" xfId="2200" xr:uid="{939E6C58-4929-49B3-882F-111EC080D90B}"/>
    <cellStyle name="Normal 2 2 3 3 2 4 2 2" xfId="2201" xr:uid="{9BFD5868-F835-45D4-BDD4-121395F30CAA}"/>
    <cellStyle name="Normal 2 2 3 3 2 4 3" xfId="2202" xr:uid="{892CC32E-71AC-4F3E-A1A2-53CCC0A64BEB}"/>
    <cellStyle name="Normal 2 2 3 3 2 5" xfId="2203" xr:uid="{05BEB9E9-824E-4A85-B1A8-01AFF68E4667}"/>
    <cellStyle name="Normal 2 2 3 3 2 5 2" xfId="2204" xr:uid="{85792656-833A-4D41-ACBF-AA9ECFF241B5}"/>
    <cellStyle name="Normal 2 2 3 3 2 5 2 2" xfId="2205" xr:uid="{333840E6-CB7C-4B7F-A983-066FC57C7CE2}"/>
    <cellStyle name="Normal 2 2 3 3 2 5 3" xfId="2206" xr:uid="{576C9E1A-1880-4AFF-8A37-91F7BB590E46}"/>
    <cellStyle name="Normal 2 2 3 3 2 6" xfId="2207" xr:uid="{21086B12-8728-4B97-ADE4-E143704A0F53}"/>
    <cellStyle name="Normal 2 2 3 3 2 6 2" xfId="2208" xr:uid="{A1E29B8C-1CE2-4C23-9E12-D3D5A9243AE1}"/>
    <cellStyle name="Normal 2 2 3 3 2 7" xfId="2209" xr:uid="{E33AB946-D899-4811-AED4-C266B7D7DC5A}"/>
    <cellStyle name="Normal 2 2 3 3 3" xfId="2210" xr:uid="{30EB72A0-D842-4D03-AA4C-D47ADDF3B2B7}"/>
    <cellStyle name="Normal 2 2 3 3 3 2" xfId="2211" xr:uid="{97D1D690-5AEF-4925-A183-38FA68D3E1B1}"/>
    <cellStyle name="Normal 2 2 3 3 3 2 2" xfId="2212" xr:uid="{A14DE188-B9BA-4048-951C-8F7733132EEE}"/>
    <cellStyle name="Normal 2 2 3 3 3 2 2 2" xfId="2213" xr:uid="{8D47F9D2-BDED-4400-BC68-998D3952F487}"/>
    <cellStyle name="Normal 2 2 3 3 3 2 3" xfId="2214" xr:uid="{AB5404DF-3261-41B5-970E-72B777CE639E}"/>
    <cellStyle name="Normal 2 2 3 3 3 3" xfId="2215" xr:uid="{A6BB59CF-F2E8-4CE0-8715-C20295F2C6C3}"/>
    <cellStyle name="Normal 2 2 3 3 3 3 2" xfId="2216" xr:uid="{A3F75E75-F1F8-4F6A-B924-3AE88F0BBD48}"/>
    <cellStyle name="Normal 2 2 3 3 3 3 2 2" xfId="2217" xr:uid="{56A8E764-30DE-4C26-9411-032DF1FEC343}"/>
    <cellStyle name="Normal 2 2 3 3 3 3 3" xfId="2218" xr:uid="{E2F216F0-B1ED-4909-8AAE-AAABCACBEFBE}"/>
    <cellStyle name="Normal 2 2 3 3 3 4" xfId="2219" xr:uid="{737BCCE2-17EA-4F5F-AB0F-EC94AE5DA460}"/>
    <cellStyle name="Normal 2 2 3 3 3 4 2" xfId="2220" xr:uid="{D1B206B6-0B74-45AC-B122-0F1998D6ADC8}"/>
    <cellStyle name="Normal 2 2 3 3 3 4 2 2" xfId="2221" xr:uid="{A0A6934F-243F-4583-9993-BE8EEC35B6FD}"/>
    <cellStyle name="Normal 2 2 3 3 3 4 3" xfId="2222" xr:uid="{444D27A4-5CB1-44D1-BF10-90CC629A375D}"/>
    <cellStyle name="Normal 2 2 3 3 3 5" xfId="2223" xr:uid="{7151C1B1-8A51-437A-817C-ADAE44E14ED9}"/>
    <cellStyle name="Normal 2 2 3 3 3 5 2" xfId="2224" xr:uid="{30C99CB3-A34F-44A3-BC49-99739D7E7A3D}"/>
    <cellStyle name="Normal 2 2 3 3 3 6" xfId="2225" xr:uid="{93CF7F72-AF6A-4AAF-A051-E47D666D9172}"/>
    <cellStyle name="Normal 2 2 3 3 4" xfId="2226" xr:uid="{23E5A25F-09B5-438F-94B1-62C044DAA98E}"/>
    <cellStyle name="Normal 2 2 3 3 4 2" xfId="2227" xr:uid="{F3228DF3-505C-4425-9BF0-B25955A77EEF}"/>
    <cellStyle name="Normal 2 2 3 3 4 2 2" xfId="2228" xr:uid="{7A0660D3-1FF9-4706-8C4D-C82D94481DDD}"/>
    <cellStyle name="Normal 2 2 3 3 4 3" xfId="2229" xr:uid="{DF80898A-7523-4139-B61E-336786FE2BB4}"/>
    <cellStyle name="Normal 2 2 3 3 5" xfId="2230" xr:uid="{BF4DD93B-3683-4BDD-ACF6-903D4AD4CB95}"/>
    <cellStyle name="Normal 2 2 3 3 5 2" xfId="2231" xr:uid="{184DF796-E8B6-4891-9D9C-D13633BDD6B7}"/>
    <cellStyle name="Normal 2 2 3 3 5 2 2" xfId="2232" xr:uid="{DA827DEC-3293-427B-AE59-32906CE74048}"/>
    <cellStyle name="Normal 2 2 3 3 5 3" xfId="2233" xr:uid="{C15CC718-4181-4D84-8102-33D3D90C8C2C}"/>
    <cellStyle name="Normal 2 2 3 3 6" xfId="2234" xr:uid="{C8DEC2C5-E81F-4751-93E6-25CABE75D7A5}"/>
    <cellStyle name="Normal 2 2 3 3 6 2" xfId="2235" xr:uid="{B0750A93-86D0-4D00-BF6A-6FFAC74E5FD7}"/>
    <cellStyle name="Normal 2 2 3 3 6 2 2" xfId="2236" xr:uid="{A43F61F8-238E-4B56-B8D2-203C8AE54023}"/>
    <cellStyle name="Normal 2 2 3 3 6 3" xfId="2237" xr:uid="{2D05BD9B-B671-4B40-BF9E-8033F6598132}"/>
    <cellStyle name="Normal 2 2 3 3 7" xfId="2238" xr:uid="{C09C8FFB-788E-48E8-A9A0-7F2FD9520564}"/>
    <cellStyle name="Normal 2 2 3 3 7 2" xfId="2239" xr:uid="{7E6A4F85-7073-4D6B-8EF3-BB733B41EB9A}"/>
    <cellStyle name="Normal 2 2 3 3 8" xfId="2240" xr:uid="{9DD8A422-FC36-4E52-87F9-4A168C90056A}"/>
    <cellStyle name="Normal 2 2 3 4" xfId="2241" xr:uid="{FB31D632-EF12-4EDB-95BC-46DEC50A7582}"/>
    <cellStyle name="Normal 2 2 3 4 2" xfId="2242" xr:uid="{BA777453-20CC-46A8-9D8C-E4CBB824BE2F}"/>
    <cellStyle name="Normal 2 2 3 4 2 2" xfId="2243" xr:uid="{DCD60147-263B-4E16-8963-BCA5EE501041}"/>
    <cellStyle name="Normal 2 2 3 4 2 2 2" xfId="2244" xr:uid="{CCF87611-A5BC-49B7-9DD3-8FA30B273D85}"/>
    <cellStyle name="Normal 2 2 3 4 2 2 2 2" xfId="2245" xr:uid="{56EE1082-DA40-45E7-A8A4-42BD918BC578}"/>
    <cellStyle name="Normal 2 2 3 4 2 2 2 2 2" xfId="2246" xr:uid="{FBEC7A16-E96E-4807-B5CD-1B0A511DAAAE}"/>
    <cellStyle name="Normal 2 2 3 4 2 2 2 3" xfId="2247" xr:uid="{A0E6865D-ABC5-4826-9DD3-3B19BB97F52C}"/>
    <cellStyle name="Normal 2 2 3 4 2 2 3" xfId="2248" xr:uid="{1F6954D1-2DF7-4B5A-9F53-8B8F36EBC42C}"/>
    <cellStyle name="Normal 2 2 3 4 2 2 3 2" xfId="2249" xr:uid="{B4102CBD-D8AB-499A-BFFC-AEBA8BF3F032}"/>
    <cellStyle name="Normal 2 2 3 4 2 2 3 2 2" xfId="2250" xr:uid="{50889718-134B-4B07-9DB7-0F5127EF6D18}"/>
    <cellStyle name="Normal 2 2 3 4 2 2 3 3" xfId="2251" xr:uid="{3EA8B4E1-EE99-4FA7-B411-42AE8184093E}"/>
    <cellStyle name="Normal 2 2 3 4 2 2 4" xfId="2252" xr:uid="{7AB6ECFE-1657-4DC8-BA05-8357C1134B8A}"/>
    <cellStyle name="Normal 2 2 3 4 2 2 4 2" xfId="2253" xr:uid="{ED41636D-E9E8-42DE-9C9C-C2F5A22E346B}"/>
    <cellStyle name="Normal 2 2 3 4 2 2 4 2 2" xfId="2254" xr:uid="{6C78C664-1C5A-4BD7-9A90-63F4EB5385E5}"/>
    <cellStyle name="Normal 2 2 3 4 2 2 4 3" xfId="2255" xr:uid="{92C3687A-E527-44D9-BBA8-AC0C301F0BB8}"/>
    <cellStyle name="Normal 2 2 3 4 2 2 5" xfId="2256" xr:uid="{5033A3A2-AD5A-407E-B751-28F9EF4743CB}"/>
    <cellStyle name="Normal 2 2 3 4 2 2 5 2" xfId="2257" xr:uid="{7BC74B4C-AA8D-49EF-81E2-AACF0394D47B}"/>
    <cellStyle name="Normal 2 2 3 4 2 2 6" xfId="2258" xr:uid="{EE3606A5-AEBF-4054-A346-83A61E1CCC79}"/>
    <cellStyle name="Normal 2 2 3 4 2 3" xfId="2259" xr:uid="{8293E97B-26A7-49AB-AD98-166BF09A951F}"/>
    <cellStyle name="Normal 2 2 3 4 2 3 2" xfId="2260" xr:uid="{C8E15107-3CF9-4DDF-85A6-67658E1CECDE}"/>
    <cellStyle name="Normal 2 2 3 4 2 3 2 2" xfId="2261" xr:uid="{80058B40-2B8B-4B08-ADC0-8590547B6A46}"/>
    <cellStyle name="Normal 2 2 3 4 2 3 3" xfId="2262" xr:uid="{7A0834EC-47A8-4ECC-A504-C21716CFF62F}"/>
    <cellStyle name="Normal 2 2 3 4 2 4" xfId="2263" xr:uid="{11152048-B8CF-4F9B-9DE0-1B0BF0670A96}"/>
    <cellStyle name="Normal 2 2 3 4 2 4 2" xfId="2264" xr:uid="{B62239EA-9A30-4F36-A916-2B7EBEBF24AF}"/>
    <cellStyle name="Normal 2 2 3 4 2 4 2 2" xfId="2265" xr:uid="{EDEBF8D9-E2E2-47AA-9C8B-D0B85B156797}"/>
    <cellStyle name="Normal 2 2 3 4 2 4 3" xfId="2266" xr:uid="{0C3B28A7-EA49-419B-8D2A-48902F0432B7}"/>
    <cellStyle name="Normal 2 2 3 4 2 5" xfId="2267" xr:uid="{C4B7E9E5-B7D0-49B0-99DF-6B0C95657CF9}"/>
    <cellStyle name="Normal 2 2 3 4 2 5 2" xfId="2268" xr:uid="{29C480CE-3E78-421C-865B-F1FECFEDCD04}"/>
    <cellStyle name="Normal 2 2 3 4 2 5 2 2" xfId="2269" xr:uid="{FED6523B-2667-4901-8DB4-72D19BD0A004}"/>
    <cellStyle name="Normal 2 2 3 4 2 5 3" xfId="2270" xr:uid="{FB2843C9-5592-44B3-BAC7-50B1E1D4CFA6}"/>
    <cellStyle name="Normal 2 2 3 4 2 6" xfId="2271" xr:uid="{834CEED7-2C77-4413-8FF7-1D53EB9CD126}"/>
    <cellStyle name="Normal 2 2 3 4 2 6 2" xfId="2272" xr:uid="{3028215A-3FDD-45BC-A0CA-61316B5DC41A}"/>
    <cellStyle name="Normal 2 2 3 4 2 7" xfId="2273" xr:uid="{F642E97B-5FF9-4A86-BA0F-DFEA7E1607C8}"/>
    <cellStyle name="Normal 2 2 3 4 3" xfId="2274" xr:uid="{C8F635BD-BF17-41ED-B370-5059666BBE6C}"/>
    <cellStyle name="Normal 2 2 3 4 3 2" xfId="2275" xr:uid="{AE5602F2-841A-4203-995E-CCD3490A386D}"/>
    <cellStyle name="Normal 2 2 3 4 3 2 2" xfId="2276" xr:uid="{82E3AA24-F7E6-44E8-9B5E-6D87261256BD}"/>
    <cellStyle name="Normal 2 2 3 4 3 2 2 2" xfId="2277" xr:uid="{924D2627-29FA-44AC-9799-B24189220682}"/>
    <cellStyle name="Normal 2 2 3 4 3 2 3" xfId="2278" xr:uid="{D3656CF4-5774-46C3-9847-D9DED33DF805}"/>
    <cellStyle name="Normal 2 2 3 4 3 3" xfId="2279" xr:uid="{1736E566-A059-4992-A7AC-CEF2CC39F2B4}"/>
    <cellStyle name="Normal 2 2 3 4 3 3 2" xfId="2280" xr:uid="{C4AAE5FF-687F-44EE-A8E5-B9BAC74F48E3}"/>
    <cellStyle name="Normal 2 2 3 4 3 3 2 2" xfId="2281" xr:uid="{E8C9CC80-5E2C-428E-B45A-52967A7E342B}"/>
    <cellStyle name="Normal 2 2 3 4 3 3 3" xfId="2282" xr:uid="{EF1AFFDE-207A-44AD-B098-B46A676D27C0}"/>
    <cellStyle name="Normal 2 2 3 4 3 4" xfId="2283" xr:uid="{F51AEBCF-0A1E-41B9-AC6F-977B5D43112F}"/>
    <cellStyle name="Normal 2 2 3 4 3 4 2" xfId="2284" xr:uid="{7B169541-4DE0-47EC-9BA0-2C6351E2B6E6}"/>
    <cellStyle name="Normal 2 2 3 4 3 4 2 2" xfId="2285" xr:uid="{26A43D5B-AF46-4BA9-B9EE-55D35E0A0640}"/>
    <cellStyle name="Normal 2 2 3 4 3 4 3" xfId="2286" xr:uid="{67557E85-7533-499D-9C5F-5E3CAC08AB13}"/>
    <cellStyle name="Normal 2 2 3 4 3 5" xfId="2287" xr:uid="{8EEAEF22-4F28-49F1-B955-DD0EE883D61D}"/>
    <cellStyle name="Normal 2 2 3 4 3 5 2" xfId="2288" xr:uid="{DBEE4D88-F4C1-4C70-BF88-F2504FB527E5}"/>
    <cellStyle name="Normal 2 2 3 4 3 6" xfId="2289" xr:uid="{9F079926-7B16-4DA0-AD80-412B8E729A50}"/>
    <cellStyle name="Normal 2 2 3 4 4" xfId="2290" xr:uid="{FFE78EEE-D45D-40EC-A507-DA41CDD9EC81}"/>
    <cellStyle name="Normal 2 2 3 4 4 2" xfId="2291" xr:uid="{76113950-FA37-4BB0-84B2-99594AE5851B}"/>
    <cellStyle name="Normal 2 2 3 4 4 2 2" xfId="2292" xr:uid="{D3AB0755-3A52-4BCD-AE6E-B19D439CE368}"/>
    <cellStyle name="Normal 2 2 3 4 4 3" xfId="2293" xr:uid="{259CF75E-A17F-4596-B702-D858ECDE3D08}"/>
    <cellStyle name="Normal 2 2 3 4 5" xfId="2294" xr:uid="{2562A732-1CE2-423F-8D57-960F3F3214CD}"/>
    <cellStyle name="Normal 2 2 3 4 5 2" xfId="2295" xr:uid="{53B1AAD2-B7F1-408B-B3C6-EAD7742EA0EF}"/>
    <cellStyle name="Normal 2 2 3 4 5 2 2" xfId="2296" xr:uid="{2A04D4D7-BB02-46C5-8529-818433AD2756}"/>
    <cellStyle name="Normal 2 2 3 4 5 3" xfId="2297" xr:uid="{D85EF6F0-B7A0-4C34-81B5-F6E76D4F0306}"/>
    <cellStyle name="Normal 2 2 3 4 6" xfId="2298" xr:uid="{BF61B68E-7E53-422B-8663-2C1F18E9FA14}"/>
    <cellStyle name="Normal 2 2 3 4 6 2" xfId="2299" xr:uid="{A4526864-85B2-4644-95B5-497CBAAEDD5F}"/>
    <cellStyle name="Normal 2 2 3 4 6 2 2" xfId="2300" xr:uid="{11F40394-DFD8-411F-877B-72AA25D5ED63}"/>
    <cellStyle name="Normal 2 2 3 4 6 3" xfId="2301" xr:uid="{8B389A38-9619-425D-BCE6-0520DF3E172F}"/>
    <cellStyle name="Normal 2 2 3 4 7" xfId="2302" xr:uid="{EE062A18-6898-4D04-AE7F-93315772644F}"/>
    <cellStyle name="Normal 2 2 3 4 7 2" xfId="2303" xr:uid="{E6E12777-D93C-410E-99FF-7410965BF3D8}"/>
    <cellStyle name="Normal 2 2 3 4 8" xfId="2304" xr:uid="{C664432E-0590-4A1A-84CA-5DABF40DEFB0}"/>
    <cellStyle name="Normal 2 2 3 5" xfId="2305" xr:uid="{05CB6279-07CB-49D8-855F-0FC2B7513442}"/>
    <cellStyle name="Normal 2 2 3 5 2" xfId="2306" xr:uid="{3004A420-63B8-4D05-8D57-E496735EC47E}"/>
    <cellStyle name="Normal 2 2 3 5 2 2" xfId="2307" xr:uid="{35804AEF-863F-44A3-96BD-4258D759323F}"/>
    <cellStyle name="Normal 2 2 3 5 2 2 2" xfId="2308" xr:uid="{A9841CA5-1BE3-4251-BC9C-F4FC1B881250}"/>
    <cellStyle name="Normal 2 2 3 5 2 2 2 2" xfId="2309" xr:uid="{CDD78D68-30A6-4324-994A-1478FC51D01A}"/>
    <cellStyle name="Normal 2 2 3 5 2 2 3" xfId="2310" xr:uid="{4085033E-74BB-4526-990F-ABDEF2EED8DC}"/>
    <cellStyle name="Normal 2 2 3 5 2 3" xfId="2311" xr:uid="{1B101355-4A84-4C54-A7DF-5BA547F1618D}"/>
    <cellStyle name="Normal 2 2 3 5 2 3 2" xfId="2312" xr:uid="{38A6F728-3568-494D-89CB-439D013F7F97}"/>
    <cellStyle name="Normal 2 2 3 5 2 3 2 2" xfId="2313" xr:uid="{7FFCA951-7040-49EE-8552-FCF75A61A95E}"/>
    <cellStyle name="Normal 2 2 3 5 2 3 3" xfId="2314" xr:uid="{5BFE323B-D3F2-4967-A298-4DE5F5D1C2B9}"/>
    <cellStyle name="Normal 2 2 3 5 2 4" xfId="2315" xr:uid="{D72D994C-1018-43DA-AFDA-41FC26B26E2B}"/>
    <cellStyle name="Normal 2 2 3 5 2 4 2" xfId="2316" xr:uid="{BA077A03-C2ED-428C-835C-DFB9A06A04FB}"/>
    <cellStyle name="Normal 2 2 3 5 2 4 2 2" xfId="2317" xr:uid="{0816A783-0F05-4416-ACEF-DE346A446A76}"/>
    <cellStyle name="Normal 2 2 3 5 2 4 3" xfId="2318" xr:uid="{0E3F2E3E-F35D-4AD2-96B1-7A2542D3B592}"/>
    <cellStyle name="Normal 2 2 3 5 2 5" xfId="2319" xr:uid="{E9CEECE4-DC77-42EF-A5F6-8C5777432DF0}"/>
    <cellStyle name="Normal 2 2 3 5 2 5 2" xfId="2320" xr:uid="{3D17AD82-4685-4914-A35E-6431E21B735F}"/>
    <cellStyle name="Normal 2 2 3 5 2 6" xfId="2321" xr:uid="{EA50C71F-E7E2-4148-AF7D-7473658C65BD}"/>
    <cellStyle name="Normal 2 2 3 5 3" xfId="2322" xr:uid="{D4D9C561-F7FD-427F-8219-DBFCE6D8779B}"/>
    <cellStyle name="Normal 2 2 3 5 3 2" xfId="2323" xr:uid="{1A7965DF-4D86-4E15-8E64-B5E4FF4403D9}"/>
    <cellStyle name="Normal 2 2 3 5 3 2 2" xfId="2324" xr:uid="{C4F151C3-C2BE-4ACC-867E-BD7BC0D9D0DF}"/>
    <cellStyle name="Normal 2 2 3 5 3 3" xfId="2325" xr:uid="{02D0A682-21A1-41A3-8114-2725AF4DE508}"/>
    <cellStyle name="Normal 2 2 3 5 4" xfId="2326" xr:uid="{3C0EAEDF-0CAB-4CC4-9D3D-1CC7CC3185B6}"/>
    <cellStyle name="Normal 2 2 3 5 4 2" xfId="2327" xr:uid="{8D1D02BD-054A-4A34-93F6-163D3F902DB6}"/>
    <cellStyle name="Normal 2 2 3 5 4 2 2" xfId="2328" xr:uid="{0563444A-273E-4D35-AF23-A735F943897F}"/>
    <cellStyle name="Normal 2 2 3 5 4 3" xfId="2329" xr:uid="{03F0431C-E058-4BC3-8B7B-82426BEB7A61}"/>
    <cellStyle name="Normal 2 2 3 5 5" xfId="2330" xr:uid="{3F724C2B-F791-489E-A97F-65A272584714}"/>
    <cellStyle name="Normal 2 2 3 5 5 2" xfId="2331" xr:uid="{62911EA9-F1CA-4DEE-A89B-2397D26690DC}"/>
    <cellStyle name="Normal 2 2 3 5 5 2 2" xfId="2332" xr:uid="{E8DEE659-471D-4AE4-A8D6-D4E62C935FA4}"/>
    <cellStyle name="Normal 2 2 3 5 5 3" xfId="2333" xr:uid="{1F3E2D03-44EB-48AD-A172-98501F3A9B7A}"/>
    <cellStyle name="Normal 2 2 3 5 6" xfId="2334" xr:uid="{DF815FC1-A62B-43B6-8542-37010F04DBA8}"/>
    <cellStyle name="Normal 2 2 3 5 6 2" xfId="2335" xr:uid="{8CF53D87-6AC7-4BEF-A6A3-BDBC2CCD4834}"/>
    <cellStyle name="Normal 2 2 3 5 7" xfId="2336" xr:uid="{A946FB05-438F-462B-8226-4BC37B01A9B6}"/>
    <cellStyle name="Normal 2 2 3 6" xfId="2337" xr:uid="{C2E3E885-8033-42A7-944B-2837627A13CF}"/>
    <cellStyle name="Normal 2 2 3 6 2" xfId="2338" xr:uid="{5CE3A34E-F6DC-45CF-8ACF-C37AA0FB0AEE}"/>
    <cellStyle name="Normal 2 2 3 6 2 2" xfId="2339" xr:uid="{3D607E0C-187A-4E06-A372-62B873161FFF}"/>
    <cellStyle name="Normal 2 2 3 6 2 2 2" xfId="2340" xr:uid="{67696947-2D33-4335-9E7A-8BFA2B0C5054}"/>
    <cellStyle name="Normal 2 2 3 6 2 3" xfId="2341" xr:uid="{4D256278-8069-4BD8-A314-4F5DEADCE227}"/>
    <cellStyle name="Normal 2 2 3 6 3" xfId="2342" xr:uid="{7BD4CDBF-B225-4235-83E3-24CA0F19EF5C}"/>
    <cellStyle name="Normal 2 2 3 6 3 2" xfId="2343" xr:uid="{AC3B7C29-B2CD-4931-B88A-07C138D96030}"/>
    <cellStyle name="Normal 2 2 3 6 3 2 2" xfId="2344" xr:uid="{7DFDA67A-B90F-42CA-9921-734F9234F9CC}"/>
    <cellStyle name="Normal 2 2 3 6 3 3" xfId="2345" xr:uid="{74D0780A-6D28-44B3-AFBC-F661467572F7}"/>
    <cellStyle name="Normal 2 2 3 6 4" xfId="2346" xr:uid="{F26360B1-FF94-4ED2-A01E-785911E012D3}"/>
    <cellStyle name="Normal 2 2 3 6 4 2" xfId="2347" xr:uid="{A12004CE-9FDF-4008-BEAB-D335F2424BAC}"/>
    <cellStyle name="Normal 2 2 3 6 4 2 2" xfId="2348" xr:uid="{F3C5B488-DD53-4229-874A-12A95A1A3B61}"/>
    <cellStyle name="Normal 2 2 3 6 4 3" xfId="2349" xr:uid="{AA998F24-6DF2-4CA1-B550-58B9D3D81D86}"/>
    <cellStyle name="Normal 2 2 3 6 5" xfId="2350" xr:uid="{31000FF9-F19E-4C66-B28B-95259B569BA1}"/>
    <cellStyle name="Normal 2 2 3 6 5 2" xfId="2351" xr:uid="{372437AB-0E3D-4991-B908-ABA330DC5C0A}"/>
    <cellStyle name="Normal 2 2 3 6 6" xfId="2352" xr:uid="{D976D4F3-A7CF-4940-9E06-068D846D3948}"/>
    <cellStyle name="Normal 2 2 3 7" xfId="2353" xr:uid="{2EEDDF73-702E-4127-B335-E9C365AC7BC1}"/>
    <cellStyle name="Normal 2 2 3 7 2" xfId="2354" xr:uid="{6D52A2E9-9EFF-4DC6-B3D0-1007120A138D}"/>
    <cellStyle name="Normal 2 2 3 7 2 2" xfId="2355" xr:uid="{F6F99103-0D2F-484E-94F2-9389DC78FD9A}"/>
    <cellStyle name="Normal 2 2 3 7 3" xfId="2356" xr:uid="{1AAC5FBD-84A5-40FD-A8FA-4CA21750FFF7}"/>
    <cellStyle name="Normal 2 2 3 8" xfId="2357" xr:uid="{719E8493-067D-4815-BE84-FB9D32E8E913}"/>
    <cellStyle name="Normal 2 2 3 8 2" xfId="2358" xr:uid="{87A2A863-4C64-4184-9786-40D386D6E324}"/>
    <cellStyle name="Normal 2 2 3 8 2 2" xfId="2359" xr:uid="{CE6AFD5A-0546-44A5-A702-D9C67E81FD92}"/>
    <cellStyle name="Normal 2 2 3 8 3" xfId="2360" xr:uid="{32D73227-9C49-44AB-A438-59521F26FFB3}"/>
    <cellStyle name="Normal 2 2 3 9" xfId="2361" xr:uid="{969B88FC-66F4-4B41-9623-F80346ECD92D}"/>
    <cellStyle name="Normal 2 2 3 9 2" xfId="2362" xr:uid="{96F4B05A-2572-4BBC-9FFC-4A43B8C31F87}"/>
    <cellStyle name="Normal 2 2 3 9 2 2" xfId="2363" xr:uid="{69ED12E1-AF4D-43AA-9F9A-2F3B0B60310A}"/>
    <cellStyle name="Normal 2 2 3 9 3" xfId="2364" xr:uid="{50744DA6-57F2-4D64-B7EC-9AAB1661453C}"/>
    <cellStyle name="Normal 2 2 4" xfId="2365" xr:uid="{3249A286-E755-4062-98F9-A2A39F944557}"/>
    <cellStyle name="Normal 2 2 4 2" xfId="11747" xr:uid="{6B348222-B469-422E-BA22-8EBB51418AC4}"/>
    <cellStyle name="Normal 2 2 4 2 2" xfId="15948" xr:uid="{48713312-5052-426F-8FA8-3D994936EC91}"/>
    <cellStyle name="Normal 2 2 4 3" xfId="11762" xr:uid="{822BA28D-3BD7-4DB7-9A6D-55885AD0907E}"/>
    <cellStyle name="Normal 2 2 4 3 2" xfId="15963" xr:uid="{03ADC79B-1CE2-4E6C-A582-3531EF4B9F19}"/>
    <cellStyle name="Normal 2 2 5" xfId="7673" xr:uid="{2A60E341-4204-4187-AEB6-DD75D571FD24}"/>
    <cellStyle name="Normal 2 2 5 2" xfId="7854" xr:uid="{296046FD-43F7-4934-BA23-8A49272B3FE4}"/>
    <cellStyle name="Normal 2 2 5 2 2" xfId="8224" xr:uid="{6DC84554-B933-4B5F-9F3A-46F1C0DF1F75}"/>
    <cellStyle name="Normal 2 2 5 2 2 2" xfId="8894" xr:uid="{5AAC1E5E-06E2-4AEB-A611-479CB6EBFDFE}"/>
    <cellStyle name="Normal 2 2 5 2 2 2 2" xfId="10963" xr:uid="{26F0D13F-5C53-4773-9309-13879F28C5BE}"/>
    <cellStyle name="Normal 2 2 5 2 2 2 2 2" xfId="15169" xr:uid="{93F115EA-B62D-4F24-99B0-38399708569A}"/>
    <cellStyle name="Normal 2 2 5 2 2 2 3" xfId="13140" xr:uid="{1BFB6705-0E1E-44FC-8BE8-28BA8D72F9B1}"/>
    <cellStyle name="Normal 2 2 5 2 2 3" xfId="10293" xr:uid="{C601F2CC-BEFB-41FF-8433-E07EEA533F76}"/>
    <cellStyle name="Normal 2 2 5 2 2 3 2" xfId="14499" xr:uid="{65FC6B52-1C86-47F0-9439-34E63D8269FA}"/>
    <cellStyle name="Normal 2 2 5 2 2 4" xfId="12470" xr:uid="{1F719BDF-D884-4D45-826A-54C1FE1935FA}"/>
    <cellStyle name="Normal 2 2 5 2 3" xfId="8560" xr:uid="{0855B7EC-4261-406A-9838-42D7868C967C}"/>
    <cellStyle name="Normal 2 2 5 2 3 2" xfId="10629" xr:uid="{8D712B46-736B-4FEA-8D1A-BFE368131FC3}"/>
    <cellStyle name="Normal 2 2 5 2 3 2 2" xfId="14835" xr:uid="{DD7F8375-1DA8-4919-875C-0AE4EEA5FCFD}"/>
    <cellStyle name="Normal 2 2 5 2 3 3" xfId="12806" xr:uid="{298A9B5D-E37C-4F7A-B864-D32CBA59E59B}"/>
    <cellStyle name="Normal 2 2 5 2 4" xfId="9233" xr:uid="{390882F7-EB96-4AAE-A2B5-55D34A36BFA1}"/>
    <cellStyle name="Normal 2 2 5 2 4 2" xfId="11302" xr:uid="{B4E9402B-94FB-45E4-8DD3-F778453ADF42}"/>
    <cellStyle name="Normal 2 2 5 2 4 2 2" xfId="15508" xr:uid="{005F819A-14F9-4CF4-BD9C-B3979E777303}"/>
    <cellStyle name="Normal 2 2 5 2 4 3" xfId="13479" xr:uid="{77B89470-4AA5-4C9F-9482-7AB0855D9618}"/>
    <cellStyle name="Normal 2 2 5 2 5" xfId="9601" xr:uid="{302A5C14-0C2B-498F-A486-73279B928CBF}"/>
    <cellStyle name="Normal 2 2 5 2 5 2" xfId="11635" xr:uid="{370BF81B-803B-4539-9C1A-1704A45A4C52}"/>
    <cellStyle name="Normal 2 2 5 2 5 2 2" xfId="15841" xr:uid="{9B4EB021-B7EF-46E0-B0EB-E2EC1C05A74B}"/>
    <cellStyle name="Normal 2 2 5 2 5 3" xfId="13812" xr:uid="{5F1BFAA6-5522-4A67-858F-9040BE0E6492}"/>
    <cellStyle name="Normal 2 2 5 2 6" xfId="9959" xr:uid="{B031C2D5-665E-4BC8-9C9F-A72176019E1C}"/>
    <cellStyle name="Normal 2 2 5 2 6 2" xfId="14165" xr:uid="{C59C880D-1539-4610-8155-4F8FEF5FECA4}"/>
    <cellStyle name="Normal 2 2 5 2 7" xfId="12136" xr:uid="{CDCDAFD7-4A24-4FFD-ABEA-85DB939C53BE}"/>
    <cellStyle name="Normal 2 2 5 3" xfId="8061" xr:uid="{8D0130DB-69DA-4E2E-B43E-72A59ABD675D}"/>
    <cellStyle name="Normal 2 2 5 3 2" xfId="8731" xr:uid="{65BC0707-E1CB-492D-8F04-5BADF9A61E7D}"/>
    <cellStyle name="Normal 2 2 5 3 2 2" xfId="10800" xr:uid="{4655EF30-2553-41A0-BF2E-5BD8DCBA6B7B}"/>
    <cellStyle name="Normal 2 2 5 3 2 2 2" xfId="15006" xr:uid="{CE1EFD92-36CB-4F8E-BC74-830697F61C98}"/>
    <cellStyle name="Normal 2 2 5 3 2 3" xfId="12977" xr:uid="{30F05C9E-0456-4311-87E7-295575E5545D}"/>
    <cellStyle name="Normal 2 2 5 3 3" xfId="10130" xr:uid="{3B55B83C-EE98-4439-9EE2-61C1009024B2}"/>
    <cellStyle name="Normal 2 2 5 3 3 2" xfId="14336" xr:uid="{9C13EB3F-8FA9-4A23-8622-C52FA721DB5F}"/>
    <cellStyle name="Normal 2 2 5 3 4" xfId="12307" xr:uid="{961D1E0B-A90C-4F7F-B7E8-0D325BFB9464}"/>
    <cellStyle name="Normal 2 2 5 4" xfId="8397" xr:uid="{4F98CA96-0014-40E7-B4BE-A61BC5CC2E26}"/>
    <cellStyle name="Normal 2 2 5 4 2" xfId="10466" xr:uid="{EF6BA886-ABFD-4961-A65F-73DC56C02707}"/>
    <cellStyle name="Normal 2 2 5 4 2 2" xfId="14672" xr:uid="{19E576D7-B2DD-4A5A-930F-732B15CED4B4}"/>
    <cellStyle name="Normal 2 2 5 4 3" xfId="12643" xr:uid="{D0D9766C-E14A-4F0B-A8B8-ADE5DB8D3908}"/>
    <cellStyle name="Normal 2 2 5 5" xfId="9070" xr:uid="{8D49C87C-3C79-42EE-B613-C17BAF8B790C}"/>
    <cellStyle name="Normal 2 2 5 5 2" xfId="11139" xr:uid="{06DC943C-C4CA-443F-98EF-3DA7AF453E63}"/>
    <cellStyle name="Normal 2 2 5 5 2 2" xfId="15345" xr:uid="{F44BF452-EB88-42EF-98FC-F97BD6E7CC61}"/>
    <cellStyle name="Normal 2 2 5 5 3" xfId="13316" xr:uid="{39183518-DD35-4363-AFC8-7B0E32CC8FAE}"/>
    <cellStyle name="Normal 2 2 5 6" xfId="9438" xr:uid="{60F6DFAB-A236-42D4-8906-4EAA4DEB29EC}"/>
    <cellStyle name="Normal 2 2 5 6 2" xfId="11472" xr:uid="{52D4A6BB-F165-41D0-BA02-3BBCD9FB9B6D}"/>
    <cellStyle name="Normal 2 2 5 6 2 2" xfId="15678" xr:uid="{B9389399-35DC-4F6F-BF68-96B0CEE3FC06}"/>
    <cellStyle name="Normal 2 2 5 6 3" xfId="13649" xr:uid="{EA84D3F9-EAD6-4736-977F-DDACFCF8BC64}"/>
    <cellStyle name="Normal 2 2 5 7" xfId="9796" xr:uid="{88587B08-8794-4BAF-B383-11BBB4852422}"/>
    <cellStyle name="Normal 2 2 5 7 2" xfId="14002" xr:uid="{6563FFAF-06D1-4755-A0DB-AE1359AF3E7D}"/>
    <cellStyle name="Normal 2 2 5 8" xfId="11973" xr:uid="{6A0C4342-4038-4129-A180-B24939A5CEE4}"/>
    <cellStyle name="Normal 2 2 6" xfId="9644" xr:uid="{5C078819-69D7-40A1-AF0E-FB1C4A16B02C}"/>
    <cellStyle name="Normal 2 2 7" xfId="11672" xr:uid="{F5296B4D-3FED-40B2-AAD2-2B92BE42F251}"/>
    <cellStyle name="Normal 2 2 7 2" xfId="15877" xr:uid="{769D6344-E342-417F-94DA-DFB7E02909C6}"/>
    <cellStyle name="Normal 2 2 8" xfId="11708" xr:uid="{5198DA58-2152-4243-ADC5-F501958392AE}"/>
    <cellStyle name="Normal 2 2 8 2" xfId="15912" xr:uid="{78C88C35-EC98-4D06-8CB2-EFCCD7995F5B}"/>
    <cellStyle name="Normal 2 2 9" xfId="11732" xr:uid="{98FA9DC4-1CD4-42EF-8EE9-7A43AEB768D3}"/>
    <cellStyle name="Normal 2 2 9 2" xfId="15935" xr:uid="{274A475B-AE50-464E-8304-CD9896B0D4CE}"/>
    <cellStyle name="Normal 2 20" xfId="2366" xr:uid="{7F3E5EFB-4F44-496B-BA11-13EAA3670F7B}"/>
    <cellStyle name="Normal 2 21" xfId="2367" xr:uid="{1B7DAB8E-27E9-40C6-887D-F74616C94B3E}"/>
    <cellStyle name="Normal 2 22" xfId="7633" xr:uid="{F51E46CB-E010-4887-8E7C-0401F3CD5BE4}"/>
    <cellStyle name="Normal 2 3" xfId="2368" xr:uid="{4FA76751-334B-498C-80CD-64DD866CB19D}"/>
    <cellStyle name="Normal 2 3 10" xfId="2369" xr:uid="{E7CA7AC7-7266-4B27-92B2-F4D0ED6DFBC2}"/>
    <cellStyle name="Normal 2 3 10 2" xfId="2370" xr:uid="{62A5A990-522A-4893-81E7-A868A226F79B}"/>
    <cellStyle name="Normal 2 3 10 2 2" xfId="2371" xr:uid="{1678AACF-D54E-48B6-B078-C1241E54135B}"/>
    <cellStyle name="Normal 2 3 10 3" xfId="2372" xr:uid="{3F7D6DDC-0707-4FA1-9188-730DBD7AA152}"/>
    <cellStyle name="Normal 2 3 11" xfId="2373" xr:uid="{DE77DF19-5666-42E1-9516-B9B3CA6134EE}"/>
    <cellStyle name="Normal 2 3 11 2" xfId="2374" xr:uid="{379878A8-0036-4DDB-9B20-A5F936C211C1}"/>
    <cellStyle name="Normal 2 3 11 2 2" xfId="2375" xr:uid="{1F29E855-7EFD-4DAD-89DD-95B61FE1E5F2}"/>
    <cellStyle name="Normal 2 3 11 3" xfId="2376" xr:uid="{4552EB88-3D4C-4415-894B-8DD12A67CB54}"/>
    <cellStyle name="Normal 2 3 12" xfId="2377" xr:uid="{1CB75621-6CD4-48DE-AEAE-CAD2FB2FA5B7}"/>
    <cellStyle name="Normal 2 3 12 2" xfId="2378" xr:uid="{9B4F9307-1045-4B98-88C2-8EECB5131F4A}"/>
    <cellStyle name="Normal 2 3 12 2 2" xfId="2379" xr:uid="{7DB5D465-5ED2-482F-BFC5-970E8B7D48FD}"/>
    <cellStyle name="Normal 2 3 12 3" xfId="2380" xr:uid="{09A81E73-94F7-46E7-8F66-FED674DF6F78}"/>
    <cellStyle name="Normal 2 3 13" xfId="2381" xr:uid="{82A5565F-81A7-42A0-BB7A-D34625AD2039}"/>
    <cellStyle name="Normal 2 3 13 2" xfId="2382" xr:uid="{0E47B6DC-2A69-43EE-B16D-813BDE410F2A}"/>
    <cellStyle name="Normal 2 3 13 2 2" xfId="2383" xr:uid="{819BFEDB-59A1-48E9-8865-2ED57C8FF6F7}"/>
    <cellStyle name="Normal 2 3 13 3" xfId="2384" xr:uid="{C70C7D6D-40E9-4262-8EC5-0CCA86C3AF6E}"/>
    <cellStyle name="Normal 2 3 14" xfId="2385" xr:uid="{F0F44B42-7D92-4492-97F2-380054BD9486}"/>
    <cellStyle name="Normal 2 3 14 2" xfId="2386" xr:uid="{7ADEB7F9-AF8A-4967-BD45-A7916C1F4704}"/>
    <cellStyle name="Normal 2 3 15" xfId="2387" xr:uid="{B73F8F50-E5E5-4DF3-AAA5-A1647F6DF29B}"/>
    <cellStyle name="Normal 2 3 15 2" xfId="2388" xr:uid="{48932029-257E-425C-AFED-E7DC5030F299}"/>
    <cellStyle name="Normal 2 3 16" xfId="7675" xr:uid="{F2E4B1CE-EC0A-495E-8FEB-3C5A7F8BE28A}"/>
    <cellStyle name="Normal 2 3 16 2" xfId="7856" xr:uid="{E6BBA28D-3EFA-4EB1-B899-BCA81211A067}"/>
    <cellStyle name="Normal 2 3 16 2 2" xfId="8226" xr:uid="{0AFC3A92-8DD6-4923-9332-08E9A74CF932}"/>
    <cellStyle name="Normal 2 3 16 2 2 2" xfId="8896" xr:uid="{CFFA43A1-BEF6-4D4F-853A-780CA0230B6D}"/>
    <cellStyle name="Normal 2 3 16 2 2 2 2" xfId="10965" xr:uid="{7C43C4CB-5B1B-48F6-92A0-A73A5D955235}"/>
    <cellStyle name="Normal 2 3 16 2 2 2 2 2" xfId="15171" xr:uid="{C9977EB0-18C5-48DC-95A4-7BBCAE772888}"/>
    <cellStyle name="Normal 2 3 16 2 2 2 3" xfId="13142" xr:uid="{9E0E8782-B8BC-4BFC-9D03-8CB6A342F8CE}"/>
    <cellStyle name="Normal 2 3 16 2 2 3" xfId="10295" xr:uid="{1D63C16B-E0FD-4690-9654-A597E5364834}"/>
    <cellStyle name="Normal 2 3 16 2 2 3 2" xfId="14501" xr:uid="{F57DA01E-786D-4599-AD4D-C7BF4BC29406}"/>
    <cellStyle name="Normal 2 3 16 2 2 4" xfId="12472" xr:uid="{AEB4BCEE-6262-40D0-957C-29BF413C711B}"/>
    <cellStyle name="Normal 2 3 16 2 3" xfId="8562" xr:uid="{6B72A241-D437-45C6-9B84-0A8609131C74}"/>
    <cellStyle name="Normal 2 3 16 2 3 2" xfId="10631" xr:uid="{AC5341DB-B53A-4AC7-A319-8282CCC4D4D5}"/>
    <cellStyle name="Normal 2 3 16 2 3 2 2" xfId="14837" xr:uid="{A8964743-0CFC-4C0E-9085-81AE04C26CB2}"/>
    <cellStyle name="Normal 2 3 16 2 3 3" xfId="12808" xr:uid="{6E75507A-D8D7-406B-8EE8-5AA36BFF1304}"/>
    <cellStyle name="Normal 2 3 16 2 4" xfId="9235" xr:uid="{C6BAD7F3-9228-458E-AC23-9C74D1694D75}"/>
    <cellStyle name="Normal 2 3 16 2 4 2" xfId="11304" xr:uid="{F52E0816-44D0-41FF-B7EE-029F2C07F615}"/>
    <cellStyle name="Normal 2 3 16 2 4 2 2" xfId="15510" xr:uid="{D3DC3178-B769-4367-A71D-F5BFD7290A1D}"/>
    <cellStyle name="Normal 2 3 16 2 4 3" xfId="13481" xr:uid="{AAF5DFEB-8A5B-4D01-976B-B8338E13F172}"/>
    <cellStyle name="Normal 2 3 16 2 5" xfId="9603" xr:uid="{33556C5C-BA49-4484-B6FC-789BE2C6B526}"/>
    <cellStyle name="Normal 2 3 16 2 5 2" xfId="11637" xr:uid="{B7A14189-8BAC-4A81-B7DD-0907F748B31A}"/>
    <cellStyle name="Normal 2 3 16 2 5 2 2" xfId="15843" xr:uid="{184874FE-9495-4972-AB31-927C852D2550}"/>
    <cellStyle name="Normal 2 3 16 2 5 3" xfId="13814" xr:uid="{A4C60B23-D020-4AA1-B53A-B0A032362622}"/>
    <cellStyle name="Normal 2 3 16 2 6" xfId="9961" xr:uid="{C82D00C3-0BD7-497F-B4CD-A5762E6D7567}"/>
    <cellStyle name="Normal 2 3 16 2 6 2" xfId="14167" xr:uid="{CC241A8C-AD12-4AD2-8A56-AAC10F38D36D}"/>
    <cellStyle name="Normal 2 3 16 2 7" xfId="12138" xr:uid="{9DB0415E-5D8E-47D7-8D45-41D702326A5E}"/>
    <cellStyle name="Normal 2 3 16 3" xfId="8063" xr:uid="{F4D0DD64-5E40-4211-A687-D4C574F4C712}"/>
    <cellStyle name="Normal 2 3 16 3 2" xfId="8733" xr:uid="{3440785E-0EDB-4B7E-BD40-5FB479A4AEB3}"/>
    <cellStyle name="Normal 2 3 16 3 2 2" xfId="10802" xr:uid="{780B08EA-97EE-4620-9B13-EC626E6EAF57}"/>
    <cellStyle name="Normal 2 3 16 3 2 2 2" xfId="15008" xr:uid="{2D07E054-77B0-4084-AD9B-9D4849F4EF08}"/>
    <cellStyle name="Normal 2 3 16 3 2 3" xfId="12979" xr:uid="{B9FE8315-F411-4BB5-AE1E-2653DB188F6E}"/>
    <cellStyle name="Normal 2 3 16 3 3" xfId="10132" xr:uid="{3C133FB3-4027-4E86-A3A0-651A6B93AE9C}"/>
    <cellStyle name="Normal 2 3 16 3 3 2" xfId="14338" xr:uid="{F78C4FC2-6097-4348-86D5-840CF3808EB4}"/>
    <cellStyle name="Normal 2 3 16 3 4" xfId="12309" xr:uid="{F7DD40D3-2AB6-4F48-BA92-599AEBA533BD}"/>
    <cellStyle name="Normal 2 3 16 4" xfId="8399" xr:uid="{6914C356-45F0-4A52-BEFB-75A1454D801E}"/>
    <cellStyle name="Normal 2 3 16 4 2" xfId="10468" xr:uid="{3F2F506B-AD85-460D-9F88-0A3B0DAB1B6C}"/>
    <cellStyle name="Normal 2 3 16 4 2 2" xfId="14674" xr:uid="{6814AE5B-D5BA-47EF-8067-098CDA201FF1}"/>
    <cellStyle name="Normal 2 3 16 4 3" xfId="12645" xr:uid="{BE1F13F1-66F5-45EA-82AA-43FD0ECB7375}"/>
    <cellStyle name="Normal 2 3 16 5" xfId="9072" xr:uid="{5EC91A67-B435-425C-AAD6-6CD87DD59224}"/>
    <cellStyle name="Normal 2 3 16 5 2" xfId="11141" xr:uid="{227BB1B3-2CC2-4FD0-AFEF-9B81C67AD519}"/>
    <cellStyle name="Normal 2 3 16 5 2 2" xfId="15347" xr:uid="{A51222EF-5B28-4DFC-89A7-B7B8B238ECE4}"/>
    <cellStyle name="Normal 2 3 16 5 3" xfId="13318" xr:uid="{8E88A351-0FAF-4036-976F-F94439DF2616}"/>
    <cellStyle name="Normal 2 3 16 6" xfId="9440" xr:uid="{2D0ABF7C-7D09-4905-B612-701874E168C7}"/>
    <cellStyle name="Normal 2 3 16 6 2" xfId="11474" xr:uid="{9472DE07-ED69-4FB6-B5C8-5ED0BEC318FE}"/>
    <cellStyle name="Normal 2 3 16 6 2 2" xfId="15680" xr:uid="{4B66D533-E28D-4AF8-9F04-5A9C23EAFE1B}"/>
    <cellStyle name="Normal 2 3 16 6 3" xfId="13651" xr:uid="{9CEDDE58-79B7-4AD5-A16E-F570CFFAF125}"/>
    <cellStyle name="Normal 2 3 16 7" xfId="9798" xr:uid="{802C3196-EE5E-4DCE-BA10-A66F5AB39706}"/>
    <cellStyle name="Normal 2 3 16 7 2" xfId="14004" xr:uid="{C31FA3E9-D493-46A5-90DE-426EE0CC6820}"/>
    <cellStyle name="Normal 2 3 16 8" xfId="11975" xr:uid="{A88AA205-1554-4458-9420-30E5A0B4F83F}"/>
    <cellStyle name="Normal 2 3 17" xfId="11674" xr:uid="{819A80F1-A2ED-4D0E-B662-97CF1ABB4889}"/>
    <cellStyle name="Normal 2 3 17 2" xfId="15879" xr:uid="{7A1B4FF7-9EAB-4A21-B5FB-0D6B7E0E7BA3}"/>
    <cellStyle name="Normal 2 3 18" xfId="11710" xr:uid="{7FE1229D-F46B-410A-8EF3-32AFC507FE4B}"/>
    <cellStyle name="Normal 2 3 18 2" xfId="15914" xr:uid="{FA602853-EFD1-4C63-89E3-375C03F74D63}"/>
    <cellStyle name="Normal 2 3 19" xfId="11734" xr:uid="{442B4587-ACCB-4865-A729-B71B2C4A5A02}"/>
    <cellStyle name="Normal 2 3 19 2" xfId="15937" xr:uid="{665C0CB9-AF5D-41D0-A7EF-DB15AE662B34}"/>
    <cellStyle name="Normal 2 3 2" xfId="2389" xr:uid="{7085D258-0859-4859-8E98-0209B6997804}"/>
    <cellStyle name="Normal 2 3 20" xfId="11760" xr:uid="{DEF26DFB-757C-4830-8529-60ADC3325C0D}"/>
    <cellStyle name="Normal 2 3 20 2" xfId="15961" xr:uid="{C96BBEF0-6BA1-4C8B-BC32-C6CDDA886F27}"/>
    <cellStyle name="Normal 2 3 21" xfId="11777" xr:uid="{57393378-0AE7-4780-BB17-6970CDEFB41D}"/>
    <cellStyle name="Normal 2 3 21 2" xfId="15978" xr:uid="{31F60D16-67B6-4B80-AAE0-6D27B937A283}"/>
    <cellStyle name="Normal 2 3 3" xfId="2390" xr:uid="{916378F5-31AC-42B2-B3AB-4CC3CA7736EA}"/>
    <cellStyle name="Normal 2 3 3 10" xfId="2391" xr:uid="{FB16E55B-6F98-4603-8A63-1764AD84FDA7}"/>
    <cellStyle name="Normal 2 3 3 10 2" xfId="2392" xr:uid="{35A99220-190F-4D37-B771-B32F9D1BCF6D}"/>
    <cellStyle name="Normal 2 3 3 10 2 2" xfId="2393" xr:uid="{9D7408D5-4F85-4F59-821B-FBC11BF85656}"/>
    <cellStyle name="Normal 2 3 3 10 3" xfId="2394" xr:uid="{A209E2D2-40FD-4745-BBF6-3A06B2E22224}"/>
    <cellStyle name="Normal 2 3 3 11" xfId="2395" xr:uid="{91830C42-7F43-4845-8738-5F7139414621}"/>
    <cellStyle name="Normal 2 3 3 11 2" xfId="2396" xr:uid="{0A9188AB-B06E-4CA4-A9F8-8A82BCF478FE}"/>
    <cellStyle name="Normal 2 3 3 11 2 2" xfId="2397" xr:uid="{2B25D39F-3D70-4656-955B-E23F10A2202A}"/>
    <cellStyle name="Normal 2 3 3 11 3" xfId="2398" xr:uid="{0A093117-1FBD-41DE-8BA7-6562B3D798D8}"/>
    <cellStyle name="Normal 2 3 3 12" xfId="2399" xr:uid="{A9158740-CE12-4634-B68F-790895D6C3AF}"/>
    <cellStyle name="Normal 2 3 3 12 2" xfId="2400" xr:uid="{BFBB4276-4913-422C-8090-EB860DAB0007}"/>
    <cellStyle name="Normal 2 3 3 13" xfId="2401" xr:uid="{7DA8519B-EFA9-40ED-B935-47B35A6A86AC}"/>
    <cellStyle name="Normal 2 3 3 2" xfId="2402" xr:uid="{E3C2E4EA-9A91-4C47-A5AD-0E43A346227A}"/>
    <cellStyle name="Normal 2 3 3 2 10" xfId="2403" xr:uid="{AE6ED935-3D7F-4E38-923E-E4895DAC146E}"/>
    <cellStyle name="Normal 2 3 3 2 10 2" xfId="2404" xr:uid="{68F072AC-1BA3-46A6-95D9-CB23249AC5FC}"/>
    <cellStyle name="Normal 2 3 3 2 11" xfId="2405" xr:uid="{D5907D36-6501-4838-9655-DEBF8B5BBAE5}"/>
    <cellStyle name="Normal 2 3 3 2 2" xfId="2406" xr:uid="{C3E8A131-D4EC-4584-8DC0-6006B25FC847}"/>
    <cellStyle name="Normal 2 3 3 2 2 2" xfId="2407" xr:uid="{14FD49F4-EEC5-405E-8E93-4177C85C2C2D}"/>
    <cellStyle name="Normal 2 3 3 2 2 2 2" xfId="2408" xr:uid="{F0B9FDE6-9CDE-4CC8-B85D-A58522245BD5}"/>
    <cellStyle name="Normal 2 3 3 2 2 2 2 2" xfId="2409" xr:uid="{836AB98D-7924-4911-BC00-0E90B0AA46F5}"/>
    <cellStyle name="Normal 2 3 3 2 2 2 2 2 2" xfId="2410" xr:uid="{773E539D-7386-4423-9FF7-5D25103FC55F}"/>
    <cellStyle name="Normal 2 3 3 2 2 2 2 2 2 2" xfId="2411" xr:uid="{8682C09A-7489-4F45-BCBF-3D8092A257B4}"/>
    <cellStyle name="Normal 2 3 3 2 2 2 2 2 3" xfId="2412" xr:uid="{14D69436-043C-4C23-BF4F-0E3540476011}"/>
    <cellStyle name="Normal 2 3 3 2 2 2 2 3" xfId="2413" xr:uid="{0EBEC2C9-E7EC-4B91-A788-CFC578E2039D}"/>
    <cellStyle name="Normal 2 3 3 2 2 2 2 3 2" xfId="2414" xr:uid="{DD498424-3147-44B0-B548-DF3DD09D4C52}"/>
    <cellStyle name="Normal 2 3 3 2 2 2 2 3 2 2" xfId="2415" xr:uid="{DC65DCD2-04B3-4070-AC7C-5B27D7CAAF13}"/>
    <cellStyle name="Normal 2 3 3 2 2 2 2 3 3" xfId="2416" xr:uid="{0A19BF1B-6E46-4440-B4B6-FCA753C18CFE}"/>
    <cellStyle name="Normal 2 3 3 2 2 2 2 4" xfId="2417" xr:uid="{B5C24EF4-65E0-4B7F-8DB2-A605E6EF03F3}"/>
    <cellStyle name="Normal 2 3 3 2 2 2 2 4 2" xfId="2418" xr:uid="{E3A5F126-50E6-4FFF-9638-74EB106A1E56}"/>
    <cellStyle name="Normal 2 3 3 2 2 2 2 4 2 2" xfId="2419" xr:uid="{F4292E38-B7A0-4988-81D2-A895EA25805E}"/>
    <cellStyle name="Normal 2 3 3 2 2 2 2 4 3" xfId="2420" xr:uid="{18FE1B25-BE85-4B84-8F5D-A85229B65F78}"/>
    <cellStyle name="Normal 2 3 3 2 2 2 2 5" xfId="2421" xr:uid="{4465B275-5C35-444B-BBEE-A62DFB948C8A}"/>
    <cellStyle name="Normal 2 3 3 2 2 2 2 5 2" xfId="2422" xr:uid="{BBCE844F-18CD-4E91-9FCC-DFD9571CA934}"/>
    <cellStyle name="Normal 2 3 3 2 2 2 2 6" xfId="2423" xr:uid="{19A6F8B3-761B-454E-AAE8-86D7EBBBA74F}"/>
    <cellStyle name="Normal 2 3 3 2 2 2 3" xfId="2424" xr:uid="{AE4676F1-5284-4D1F-99FA-832BEF622876}"/>
    <cellStyle name="Normal 2 3 3 2 2 2 3 2" xfId="2425" xr:uid="{93A5BDC2-71D1-4020-ABBC-3CDFC58AC890}"/>
    <cellStyle name="Normal 2 3 3 2 2 2 3 2 2" xfId="2426" xr:uid="{13D76F24-4538-41FF-864F-CB580C217D1B}"/>
    <cellStyle name="Normal 2 3 3 2 2 2 3 3" xfId="2427" xr:uid="{C02219B4-0803-4CF8-A9B0-4BD75D3D9267}"/>
    <cellStyle name="Normal 2 3 3 2 2 2 4" xfId="2428" xr:uid="{7EACE8CC-BFCA-46B3-ADBD-956E9C603C48}"/>
    <cellStyle name="Normal 2 3 3 2 2 2 4 2" xfId="2429" xr:uid="{7D27C2C6-3831-452E-A4B7-ABBE61D62A06}"/>
    <cellStyle name="Normal 2 3 3 2 2 2 4 2 2" xfId="2430" xr:uid="{49FF1B04-766D-49DF-BAA9-E1E658DAF84D}"/>
    <cellStyle name="Normal 2 3 3 2 2 2 4 3" xfId="2431" xr:uid="{4A43C495-D2AD-436D-ABAB-BC9D51496FA0}"/>
    <cellStyle name="Normal 2 3 3 2 2 2 5" xfId="2432" xr:uid="{E2E8D3FE-398F-404E-8B63-0A0533AC02B5}"/>
    <cellStyle name="Normal 2 3 3 2 2 2 5 2" xfId="2433" xr:uid="{B242DDFA-CF3C-4EA3-8272-069401FE97E0}"/>
    <cellStyle name="Normal 2 3 3 2 2 2 5 2 2" xfId="2434" xr:uid="{CF867911-A8A2-40CB-A173-AFB6024A74B5}"/>
    <cellStyle name="Normal 2 3 3 2 2 2 5 3" xfId="2435" xr:uid="{81B2ED8E-9233-4AD5-B2C0-A337C7690335}"/>
    <cellStyle name="Normal 2 3 3 2 2 2 6" xfId="2436" xr:uid="{2CF6E3B1-CAE8-44F6-B0CA-83990E74D10D}"/>
    <cellStyle name="Normal 2 3 3 2 2 2 6 2" xfId="2437" xr:uid="{FC8F6977-1FFB-4B57-9458-B9CACEDAA8B4}"/>
    <cellStyle name="Normal 2 3 3 2 2 2 7" xfId="2438" xr:uid="{8FFC12AA-D1AD-4B46-9C36-FE85B744DE3B}"/>
    <cellStyle name="Normal 2 3 3 2 2 3" xfId="2439" xr:uid="{F9DBDC58-675F-4581-9B8E-E8E8DDF5244A}"/>
    <cellStyle name="Normal 2 3 3 2 2 3 2" xfId="2440" xr:uid="{9E0BAADE-2A13-468D-9F6F-8531BA03A96F}"/>
    <cellStyle name="Normal 2 3 3 2 2 3 2 2" xfId="2441" xr:uid="{F5A1EB23-2AAC-4217-80EA-BBBC5E3A5292}"/>
    <cellStyle name="Normal 2 3 3 2 2 3 2 2 2" xfId="2442" xr:uid="{6C418A78-CEF2-4936-955F-C1855F61CB16}"/>
    <cellStyle name="Normal 2 3 3 2 2 3 2 3" xfId="2443" xr:uid="{747198C7-CF0B-462C-A403-5B1219E1FEA8}"/>
    <cellStyle name="Normal 2 3 3 2 2 3 3" xfId="2444" xr:uid="{43FDF796-C02B-414F-8A7F-8842C0A271B9}"/>
    <cellStyle name="Normal 2 3 3 2 2 3 3 2" xfId="2445" xr:uid="{B0D1152C-8227-419C-8D61-E4AB5C090BCF}"/>
    <cellStyle name="Normal 2 3 3 2 2 3 3 2 2" xfId="2446" xr:uid="{F760A11D-EC96-471D-8461-736619C7276B}"/>
    <cellStyle name="Normal 2 3 3 2 2 3 3 3" xfId="2447" xr:uid="{1A824C40-013D-425A-B089-6B15F69480AC}"/>
    <cellStyle name="Normal 2 3 3 2 2 3 4" xfId="2448" xr:uid="{EF3A9F2C-4305-44FD-82F6-B97A07439272}"/>
    <cellStyle name="Normal 2 3 3 2 2 3 4 2" xfId="2449" xr:uid="{D7507D65-FD4C-480C-91FF-95A04F278E17}"/>
    <cellStyle name="Normal 2 3 3 2 2 3 4 2 2" xfId="2450" xr:uid="{9867F86D-2B4C-4F87-BA4E-302DB7C9FD7D}"/>
    <cellStyle name="Normal 2 3 3 2 2 3 4 3" xfId="2451" xr:uid="{3504A815-5FCC-479A-91EF-D26E91ABE1D6}"/>
    <cellStyle name="Normal 2 3 3 2 2 3 5" xfId="2452" xr:uid="{01CBF0F0-56A7-4F02-A5F1-EB34A9B4C450}"/>
    <cellStyle name="Normal 2 3 3 2 2 3 5 2" xfId="2453" xr:uid="{740E3559-34DC-45EF-8CD6-0B41DFDDC438}"/>
    <cellStyle name="Normal 2 3 3 2 2 3 6" xfId="2454" xr:uid="{0F4CDD8E-88FA-42BA-8483-587A052FE3DD}"/>
    <cellStyle name="Normal 2 3 3 2 2 4" xfId="2455" xr:uid="{74B16196-E75F-40CE-BB4D-EB2EC79BF334}"/>
    <cellStyle name="Normal 2 3 3 2 2 4 2" xfId="2456" xr:uid="{752EC743-2A54-47AD-AE44-76AEBEA07200}"/>
    <cellStyle name="Normal 2 3 3 2 2 4 2 2" xfId="2457" xr:uid="{C9AE4200-0A33-4BDD-8DC5-F39E8C6AC9E8}"/>
    <cellStyle name="Normal 2 3 3 2 2 4 3" xfId="2458" xr:uid="{3874E1C4-9DFF-4C2E-A0DA-57C265E290E8}"/>
    <cellStyle name="Normal 2 3 3 2 2 5" xfId="2459" xr:uid="{63863292-315D-4017-A5D8-444347E06089}"/>
    <cellStyle name="Normal 2 3 3 2 2 5 2" xfId="2460" xr:uid="{5EE1DFF5-D43C-4F98-B1E7-02FC33F2425C}"/>
    <cellStyle name="Normal 2 3 3 2 2 5 2 2" xfId="2461" xr:uid="{88DA385D-12E6-44E5-817B-9BF2C41DCB63}"/>
    <cellStyle name="Normal 2 3 3 2 2 5 3" xfId="2462" xr:uid="{E35FB2AA-2D03-4F04-A573-AF2EAF55DB15}"/>
    <cellStyle name="Normal 2 3 3 2 2 6" xfId="2463" xr:uid="{10301BFF-6C24-4B4F-9B20-31EBEE566DDB}"/>
    <cellStyle name="Normal 2 3 3 2 2 6 2" xfId="2464" xr:uid="{3E32EF4A-0275-4405-AA8D-3E3A8D6F788D}"/>
    <cellStyle name="Normal 2 3 3 2 2 6 2 2" xfId="2465" xr:uid="{8F1516C1-E3E5-4AC1-88E6-BA65B2C6DAD3}"/>
    <cellStyle name="Normal 2 3 3 2 2 6 3" xfId="2466" xr:uid="{5DFA39A5-C37C-4C1A-A8B4-F3AAE966F2DD}"/>
    <cellStyle name="Normal 2 3 3 2 2 7" xfId="2467" xr:uid="{9CD4F8AD-AFC7-47AE-B5C5-486FC50EE880}"/>
    <cellStyle name="Normal 2 3 3 2 2 7 2" xfId="2468" xr:uid="{297399E0-FCAF-4322-AE47-2CA71B241E20}"/>
    <cellStyle name="Normal 2 3 3 2 2 8" xfId="2469" xr:uid="{9BCF0BD6-4981-4060-B377-858829553142}"/>
    <cellStyle name="Normal 2 3 3 2 3" xfId="2470" xr:uid="{418F5297-53BB-41DA-A98A-5BD92F122BCF}"/>
    <cellStyle name="Normal 2 3 3 2 3 2" xfId="2471" xr:uid="{594A6ED9-82FA-47BB-8A5F-3C846E98BAFC}"/>
    <cellStyle name="Normal 2 3 3 2 3 2 2" xfId="2472" xr:uid="{A89DAE38-A545-4836-AC01-A3836E8E127E}"/>
    <cellStyle name="Normal 2 3 3 2 3 2 2 2" xfId="2473" xr:uid="{9A915A07-4D56-4166-98F2-CA98A2233FB5}"/>
    <cellStyle name="Normal 2 3 3 2 3 2 2 2 2" xfId="2474" xr:uid="{B17B83A6-21C0-430F-BD79-977DFDE31411}"/>
    <cellStyle name="Normal 2 3 3 2 3 2 2 2 2 2" xfId="2475" xr:uid="{289DD81E-AE58-415F-BE18-DE319C08EB81}"/>
    <cellStyle name="Normal 2 3 3 2 3 2 2 2 3" xfId="2476" xr:uid="{99E0713E-1F2E-46B4-B093-EE8DC738A50E}"/>
    <cellStyle name="Normal 2 3 3 2 3 2 2 3" xfId="2477" xr:uid="{1A8C1F75-22FD-46B9-ADE5-DEED138CBAFF}"/>
    <cellStyle name="Normal 2 3 3 2 3 2 2 3 2" xfId="2478" xr:uid="{ACE957E1-2341-4212-BE14-C8CE2AEAA0D4}"/>
    <cellStyle name="Normal 2 3 3 2 3 2 2 3 2 2" xfId="2479" xr:uid="{058DE54E-8A54-47F9-8945-FADC3FAC6684}"/>
    <cellStyle name="Normal 2 3 3 2 3 2 2 3 3" xfId="2480" xr:uid="{947C7A10-22AF-47AC-8A70-271275E48E70}"/>
    <cellStyle name="Normal 2 3 3 2 3 2 2 4" xfId="2481" xr:uid="{1FBF0024-F92E-4523-8E6F-DC600A184AEE}"/>
    <cellStyle name="Normal 2 3 3 2 3 2 2 4 2" xfId="2482" xr:uid="{422781B5-B4FD-49B0-A296-25DBC373CDFD}"/>
    <cellStyle name="Normal 2 3 3 2 3 2 2 4 2 2" xfId="2483" xr:uid="{050CD7C2-D26C-4402-BBCF-06B73B1A32A5}"/>
    <cellStyle name="Normal 2 3 3 2 3 2 2 4 3" xfId="2484" xr:uid="{E190893B-F139-47A3-8CB3-8C0F8E2EA996}"/>
    <cellStyle name="Normal 2 3 3 2 3 2 2 5" xfId="2485" xr:uid="{DE46C71D-BE7C-460A-883C-B6EE611A0EEF}"/>
    <cellStyle name="Normal 2 3 3 2 3 2 2 5 2" xfId="2486" xr:uid="{2A1923C4-AC8C-4EA0-AC96-390E07C0D0CF}"/>
    <cellStyle name="Normal 2 3 3 2 3 2 2 6" xfId="2487" xr:uid="{23168F7A-9D9D-41C8-8068-A4BEA63184DC}"/>
    <cellStyle name="Normal 2 3 3 2 3 2 3" xfId="2488" xr:uid="{41E701CF-3F55-46B1-B09E-EE3F370BD939}"/>
    <cellStyle name="Normal 2 3 3 2 3 2 3 2" xfId="2489" xr:uid="{DFF13089-E17E-42B9-94B8-45492BDC3F87}"/>
    <cellStyle name="Normal 2 3 3 2 3 2 3 2 2" xfId="2490" xr:uid="{68A7DA42-0777-46A8-A216-1FE3052599C3}"/>
    <cellStyle name="Normal 2 3 3 2 3 2 3 3" xfId="2491" xr:uid="{E0B64581-5C81-40D6-8A74-E46BFC5D2AE4}"/>
    <cellStyle name="Normal 2 3 3 2 3 2 4" xfId="2492" xr:uid="{8C7745E0-6064-4F74-AC08-41827245B79A}"/>
    <cellStyle name="Normal 2 3 3 2 3 2 4 2" xfId="2493" xr:uid="{2FB78C56-AEA1-4AD6-ADD7-09F7B60FAC04}"/>
    <cellStyle name="Normal 2 3 3 2 3 2 4 2 2" xfId="2494" xr:uid="{6A4C2833-EBC7-4E70-B321-01D85609B020}"/>
    <cellStyle name="Normal 2 3 3 2 3 2 4 3" xfId="2495" xr:uid="{F13111B5-671D-4EF5-9718-0BCBC419EAD4}"/>
    <cellStyle name="Normal 2 3 3 2 3 2 5" xfId="2496" xr:uid="{A43903CB-E1DA-4CF8-9584-96185FA3D602}"/>
    <cellStyle name="Normal 2 3 3 2 3 2 5 2" xfId="2497" xr:uid="{BB8090CE-D8A8-4928-9601-E4E6C0C710E4}"/>
    <cellStyle name="Normal 2 3 3 2 3 2 5 2 2" xfId="2498" xr:uid="{46CE6B1C-7D22-4CD8-9F3C-BE7BF1F6481B}"/>
    <cellStyle name="Normal 2 3 3 2 3 2 5 3" xfId="2499" xr:uid="{98EBF242-AD57-4C56-B065-738F61EAAA79}"/>
    <cellStyle name="Normal 2 3 3 2 3 2 6" xfId="2500" xr:uid="{494AB67B-0F53-46C0-A1DA-C0D1F2EEC60D}"/>
    <cellStyle name="Normal 2 3 3 2 3 2 6 2" xfId="2501" xr:uid="{1E47D84B-B26D-4F42-AF26-7251B8FB0C8F}"/>
    <cellStyle name="Normal 2 3 3 2 3 2 7" xfId="2502" xr:uid="{76369623-9813-4CE5-99EB-F2813F626635}"/>
    <cellStyle name="Normal 2 3 3 2 3 3" xfId="2503" xr:uid="{822D6F7A-62AC-411C-9017-5097D2269D1B}"/>
    <cellStyle name="Normal 2 3 3 2 3 3 2" xfId="2504" xr:uid="{EB766F25-9342-4CB8-B402-7C2033E9DF24}"/>
    <cellStyle name="Normal 2 3 3 2 3 3 2 2" xfId="2505" xr:uid="{FB44AE40-C862-4D41-A2BE-F428C86DBEE4}"/>
    <cellStyle name="Normal 2 3 3 2 3 3 2 2 2" xfId="2506" xr:uid="{E2EB1FF3-057C-40ED-A973-D24174A03393}"/>
    <cellStyle name="Normal 2 3 3 2 3 3 2 3" xfId="2507" xr:uid="{2CFB0DD3-225A-4870-9E36-FD754A50E994}"/>
    <cellStyle name="Normal 2 3 3 2 3 3 3" xfId="2508" xr:uid="{4BFF1D13-F7CD-4BB8-A1A2-C8E8BCADC91B}"/>
    <cellStyle name="Normal 2 3 3 2 3 3 3 2" xfId="2509" xr:uid="{8AC294CF-3BC3-4B67-A30B-16D5439756DF}"/>
    <cellStyle name="Normal 2 3 3 2 3 3 3 2 2" xfId="2510" xr:uid="{7F0BD748-9397-4198-B7C5-7EBA12D35F9D}"/>
    <cellStyle name="Normal 2 3 3 2 3 3 3 3" xfId="2511" xr:uid="{D73184E5-8223-447D-9916-099289ACC5D6}"/>
    <cellStyle name="Normal 2 3 3 2 3 3 4" xfId="2512" xr:uid="{67ED4B29-9695-4C9E-A0B9-09899ABC98F0}"/>
    <cellStyle name="Normal 2 3 3 2 3 3 4 2" xfId="2513" xr:uid="{5CA42530-BE01-44A6-BC8E-1FEE94C3A43D}"/>
    <cellStyle name="Normal 2 3 3 2 3 3 4 2 2" xfId="2514" xr:uid="{F0B72467-90A3-4B62-BC11-AB3B1859E893}"/>
    <cellStyle name="Normal 2 3 3 2 3 3 4 3" xfId="2515" xr:uid="{CA3B177C-77DD-44E1-BC9C-AA66E9858606}"/>
    <cellStyle name="Normal 2 3 3 2 3 3 5" xfId="2516" xr:uid="{83280296-FAB2-4ABE-AA7F-B0063CD71938}"/>
    <cellStyle name="Normal 2 3 3 2 3 3 5 2" xfId="2517" xr:uid="{7B28FC86-8FEE-4826-85DA-05DD81091CD1}"/>
    <cellStyle name="Normal 2 3 3 2 3 3 6" xfId="2518" xr:uid="{7713A9EC-BFA3-42D8-9093-33231523989E}"/>
    <cellStyle name="Normal 2 3 3 2 3 4" xfId="2519" xr:uid="{5ECB0819-C85D-405E-BF2B-4CE6E9001F92}"/>
    <cellStyle name="Normal 2 3 3 2 3 4 2" xfId="2520" xr:uid="{1DD287F3-FAEE-448F-91CC-0A0918840284}"/>
    <cellStyle name="Normal 2 3 3 2 3 4 2 2" xfId="2521" xr:uid="{7C62D5FB-5C66-4F36-8CA4-5BA7D83EB83D}"/>
    <cellStyle name="Normal 2 3 3 2 3 4 3" xfId="2522" xr:uid="{059D0432-0051-48FA-B6F4-0E57363512AE}"/>
    <cellStyle name="Normal 2 3 3 2 3 5" xfId="2523" xr:uid="{516CB9B6-FC63-463D-90F0-44A3ADE3DD85}"/>
    <cellStyle name="Normal 2 3 3 2 3 5 2" xfId="2524" xr:uid="{B1A39AED-1191-4A7F-9CCE-506CCFE2112C}"/>
    <cellStyle name="Normal 2 3 3 2 3 5 2 2" xfId="2525" xr:uid="{C6E66C85-425C-4BFE-83EB-5355B1C19E86}"/>
    <cellStyle name="Normal 2 3 3 2 3 5 3" xfId="2526" xr:uid="{08065046-5621-4638-B0F2-89DD69E1E90D}"/>
    <cellStyle name="Normal 2 3 3 2 3 6" xfId="2527" xr:uid="{D4CF76C9-1EE1-47A6-9D00-D64F8784EBDC}"/>
    <cellStyle name="Normal 2 3 3 2 3 6 2" xfId="2528" xr:uid="{AB0CEF6B-2291-4472-AD9A-7F109442E447}"/>
    <cellStyle name="Normal 2 3 3 2 3 6 2 2" xfId="2529" xr:uid="{5BB8849D-F54E-4486-BDCF-E643A911A85E}"/>
    <cellStyle name="Normal 2 3 3 2 3 6 3" xfId="2530" xr:uid="{7365A9B5-A95A-42A7-A33A-A2E561627315}"/>
    <cellStyle name="Normal 2 3 3 2 3 7" xfId="2531" xr:uid="{C8185507-C5C0-4C5A-890B-E81D1F340408}"/>
    <cellStyle name="Normal 2 3 3 2 3 7 2" xfId="2532" xr:uid="{0073EDCD-20C5-4418-9D44-432208F8B8E4}"/>
    <cellStyle name="Normal 2 3 3 2 3 8" xfId="2533" xr:uid="{875DD1D1-D9CF-4BA2-B43F-04877273BE87}"/>
    <cellStyle name="Normal 2 3 3 2 4" xfId="2534" xr:uid="{50EB837F-764C-4961-8FD2-DA49567ACBD7}"/>
    <cellStyle name="Normal 2 3 3 2 4 2" xfId="2535" xr:uid="{45EB9580-6ECA-4F6D-9687-9AA48F0E242D}"/>
    <cellStyle name="Normal 2 3 3 2 4 2 2" xfId="2536" xr:uid="{84765FEA-A9C3-474D-8AFD-4A895358061D}"/>
    <cellStyle name="Normal 2 3 3 2 4 2 2 2" xfId="2537" xr:uid="{7D970297-A597-4E89-BEBD-F05DA3F62DF1}"/>
    <cellStyle name="Normal 2 3 3 2 4 2 2 2 2" xfId="2538" xr:uid="{83552CDE-62D4-4B0A-A497-E3997A1B4736}"/>
    <cellStyle name="Normal 2 3 3 2 4 2 2 3" xfId="2539" xr:uid="{DDB55AE4-2FCC-421F-9279-2732FA8A345E}"/>
    <cellStyle name="Normal 2 3 3 2 4 2 3" xfId="2540" xr:uid="{4DC86489-2216-4A55-B2B4-E0E83FFEED1A}"/>
    <cellStyle name="Normal 2 3 3 2 4 2 3 2" xfId="2541" xr:uid="{13D3D70A-90C2-45F6-B43A-2DE9015A4A15}"/>
    <cellStyle name="Normal 2 3 3 2 4 2 3 2 2" xfId="2542" xr:uid="{E9FDE358-8770-4343-A0C4-9D8DB825C4D5}"/>
    <cellStyle name="Normal 2 3 3 2 4 2 3 3" xfId="2543" xr:uid="{EE9F2BD7-681D-4F37-8077-F6D925FC6B74}"/>
    <cellStyle name="Normal 2 3 3 2 4 2 4" xfId="2544" xr:uid="{5DA01198-EB33-4E55-A92D-A6D9110F4203}"/>
    <cellStyle name="Normal 2 3 3 2 4 2 4 2" xfId="2545" xr:uid="{67C0BB63-B18F-4958-A897-DF8A08F54923}"/>
    <cellStyle name="Normal 2 3 3 2 4 2 4 2 2" xfId="2546" xr:uid="{CCEC016B-75DF-450D-93AA-3BD2E05D305A}"/>
    <cellStyle name="Normal 2 3 3 2 4 2 4 3" xfId="2547" xr:uid="{06E731C4-64BB-490B-B5BA-9AD38770ABFB}"/>
    <cellStyle name="Normal 2 3 3 2 4 2 5" xfId="2548" xr:uid="{3B978110-62FB-411B-8734-E5A8BE278C37}"/>
    <cellStyle name="Normal 2 3 3 2 4 2 5 2" xfId="2549" xr:uid="{26B028D8-55A3-40A9-8493-F123A68716E9}"/>
    <cellStyle name="Normal 2 3 3 2 4 2 6" xfId="2550" xr:uid="{93703B31-D846-44F9-885D-BB2141406BB2}"/>
    <cellStyle name="Normal 2 3 3 2 4 3" xfId="2551" xr:uid="{5F953F6C-C7CD-4792-BDB4-E7C762020BDE}"/>
    <cellStyle name="Normal 2 3 3 2 4 3 2" xfId="2552" xr:uid="{C52C16F9-F6B9-489E-BF49-0AB560B972E7}"/>
    <cellStyle name="Normal 2 3 3 2 4 3 2 2" xfId="2553" xr:uid="{961891B0-F932-4D2E-AD4F-45E3C92DB57C}"/>
    <cellStyle name="Normal 2 3 3 2 4 3 3" xfId="2554" xr:uid="{9E1474DC-7E06-4290-9D65-8901ADCA26F5}"/>
    <cellStyle name="Normal 2 3 3 2 4 4" xfId="2555" xr:uid="{6F29ABAA-BDB5-44D4-9345-8F502A9E5628}"/>
    <cellStyle name="Normal 2 3 3 2 4 4 2" xfId="2556" xr:uid="{39A10898-386E-4014-A708-1053555D9116}"/>
    <cellStyle name="Normal 2 3 3 2 4 4 2 2" xfId="2557" xr:uid="{08F625FA-8363-468A-86CB-EA626C428FA4}"/>
    <cellStyle name="Normal 2 3 3 2 4 4 3" xfId="2558" xr:uid="{A229E4A7-E418-42F6-8989-6011F9D317B9}"/>
    <cellStyle name="Normal 2 3 3 2 4 5" xfId="2559" xr:uid="{30DD86FA-9A24-4814-8300-996B30429795}"/>
    <cellStyle name="Normal 2 3 3 2 4 5 2" xfId="2560" xr:uid="{3786A494-7DE6-4F9D-AD8C-A712562BFAE4}"/>
    <cellStyle name="Normal 2 3 3 2 4 5 2 2" xfId="2561" xr:uid="{BB440125-8DDB-46DE-8DC8-796F968C92EA}"/>
    <cellStyle name="Normal 2 3 3 2 4 5 3" xfId="2562" xr:uid="{997E701E-26CE-42C1-8986-AD26FA9F0A66}"/>
    <cellStyle name="Normal 2 3 3 2 4 6" xfId="2563" xr:uid="{98E8BE58-2D6E-4255-8009-730D28F71744}"/>
    <cellStyle name="Normal 2 3 3 2 4 6 2" xfId="2564" xr:uid="{53127EA6-58D0-47AF-8F38-190A2CBA0868}"/>
    <cellStyle name="Normal 2 3 3 2 4 7" xfId="2565" xr:uid="{F4CCF572-EA7C-48BB-9056-BFEDAE549C12}"/>
    <cellStyle name="Normal 2 3 3 2 5" xfId="2566" xr:uid="{869D05B4-F1D4-449C-9297-3C4FD92CDA4E}"/>
    <cellStyle name="Normal 2 3 3 2 5 2" xfId="2567" xr:uid="{2610CCD6-A4EC-480B-860D-7F529EE3ED8D}"/>
    <cellStyle name="Normal 2 3 3 2 5 2 2" xfId="2568" xr:uid="{E1C88D98-4210-46E0-B08F-729AB65C453C}"/>
    <cellStyle name="Normal 2 3 3 2 5 2 2 2" xfId="2569" xr:uid="{4CA34420-E222-4D38-AC0C-49C53354FE6F}"/>
    <cellStyle name="Normal 2 3 3 2 5 2 3" xfId="2570" xr:uid="{C18544CD-7C5C-4D16-ACED-6F48A51EC246}"/>
    <cellStyle name="Normal 2 3 3 2 5 3" xfId="2571" xr:uid="{B3834079-E1A5-4D83-B1DB-3311EF1E3B1C}"/>
    <cellStyle name="Normal 2 3 3 2 5 3 2" xfId="2572" xr:uid="{710BFDEA-E477-43F4-8564-17C922665FD2}"/>
    <cellStyle name="Normal 2 3 3 2 5 3 2 2" xfId="2573" xr:uid="{275AB3AA-43E4-4A71-9C5B-18421CA4B01E}"/>
    <cellStyle name="Normal 2 3 3 2 5 3 3" xfId="2574" xr:uid="{99561A18-4F2D-4EDC-9576-61D4C55EE5D7}"/>
    <cellStyle name="Normal 2 3 3 2 5 4" xfId="2575" xr:uid="{80E8C8C7-A452-4D99-B179-CFD76218DEA3}"/>
    <cellStyle name="Normal 2 3 3 2 5 4 2" xfId="2576" xr:uid="{C9453CA0-92BF-48B0-A35C-75F935DF3DD3}"/>
    <cellStyle name="Normal 2 3 3 2 5 4 2 2" xfId="2577" xr:uid="{7ED61096-E1E7-4DC3-B7F1-959500A0D11F}"/>
    <cellStyle name="Normal 2 3 3 2 5 4 3" xfId="2578" xr:uid="{F7A0F165-4D88-4C85-9ED3-ED35914BF07A}"/>
    <cellStyle name="Normal 2 3 3 2 5 5" xfId="2579" xr:uid="{BDD24EF9-54F4-499A-842E-C941D119F450}"/>
    <cellStyle name="Normal 2 3 3 2 5 5 2" xfId="2580" xr:uid="{9197D227-5731-4FF7-925B-28E5DF9A4AE5}"/>
    <cellStyle name="Normal 2 3 3 2 5 6" xfId="2581" xr:uid="{94A4A499-F082-4F8F-8E09-3C13C575B2F1}"/>
    <cellStyle name="Normal 2 3 3 2 6" xfId="2582" xr:uid="{FFBFE203-0DC2-4B7E-A0AF-E7F31D1CF6CF}"/>
    <cellStyle name="Normal 2 3 3 2 6 2" xfId="2583" xr:uid="{2F75384F-855F-4B08-BB6A-2257F9D15DAC}"/>
    <cellStyle name="Normal 2 3 3 2 6 2 2" xfId="2584" xr:uid="{4B572E93-F02C-4EF7-ADE0-FB3AC9875743}"/>
    <cellStyle name="Normal 2 3 3 2 6 3" xfId="2585" xr:uid="{2E7FF2EE-199B-49FF-BFC9-0A746F3CAD54}"/>
    <cellStyle name="Normal 2 3 3 2 7" xfId="2586" xr:uid="{88CD6ED9-24C8-48AD-953A-6E67C01C2A46}"/>
    <cellStyle name="Normal 2 3 3 2 7 2" xfId="2587" xr:uid="{096437F7-7B33-4076-821D-F1DF64A951B0}"/>
    <cellStyle name="Normal 2 3 3 2 7 2 2" xfId="2588" xr:uid="{17AF751F-2774-4F6A-A77E-52EA958A3A83}"/>
    <cellStyle name="Normal 2 3 3 2 7 3" xfId="2589" xr:uid="{4F268C3A-A921-437F-9A30-24BC0C24334B}"/>
    <cellStyle name="Normal 2 3 3 2 8" xfId="2590" xr:uid="{27A273A9-AE5B-4A0C-9101-35845455353C}"/>
    <cellStyle name="Normal 2 3 3 2 8 2" xfId="2591" xr:uid="{B2B42221-8699-4C7A-B520-67265DE1ADBD}"/>
    <cellStyle name="Normal 2 3 3 2 8 2 2" xfId="2592" xr:uid="{DF2D6C78-DD24-4F18-A829-DEC830DA54E9}"/>
    <cellStyle name="Normal 2 3 3 2 8 3" xfId="2593" xr:uid="{A0B23371-A83D-4E38-A680-A14616C4A5F7}"/>
    <cellStyle name="Normal 2 3 3 2 9" xfId="2594" xr:uid="{9088B638-8E7D-42B2-B49D-CF9D8E2B9928}"/>
    <cellStyle name="Normal 2 3 3 2 9 2" xfId="2595" xr:uid="{DD2DFA01-7B8C-4BF2-9E05-907F7C84358A}"/>
    <cellStyle name="Normal 2 3 3 2 9 2 2" xfId="2596" xr:uid="{9B3877F3-29A3-477F-8FAD-59F249150416}"/>
    <cellStyle name="Normal 2 3 3 2 9 3" xfId="2597" xr:uid="{20E7529E-2FD2-4144-8718-687B8D76332A}"/>
    <cellStyle name="Normal 2 3 3 3" xfId="2598" xr:uid="{AA8F9BFA-3905-4C6F-B4B4-3B682ACAD4E1}"/>
    <cellStyle name="Normal 2 3 3 3 2" xfId="2599" xr:uid="{9638E32E-AD51-48FC-A6FD-FEA3241DBA28}"/>
    <cellStyle name="Normal 2 3 3 3 2 2" xfId="2600" xr:uid="{4B255287-7E8F-4D7C-9221-FF6C61DB7D69}"/>
    <cellStyle name="Normal 2 3 3 3 2 2 2" xfId="2601" xr:uid="{BDB4B068-310C-47D0-94C1-3E345CCE09E5}"/>
    <cellStyle name="Normal 2 3 3 3 2 2 2 2" xfId="2602" xr:uid="{3AB1F202-CCC0-4463-A557-1D1AF2D93659}"/>
    <cellStyle name="Normal 2 3 3 3 2 2 2 2 2" xfId="2603" xr:uid="{C3898CBC-22C5-476D-A915-2C69A5D8CCC1}"/>
    <cellStyle name="Normal 2 3 3 3 2 2 2 3" xfId="2604" xr:uid="{FCEADCF7-A762-4857-A51E-EB78609506FE}"/>
    <cellStyle name="Normal 2 3 3 3 2 2 3" xfId="2605" xr:uid="{B0D1CF7F-B08B-4274-A743-4DF19EAB8F20}"/>
    <cellStyle name="Normal 2 3 3 3 2 2 3 2" xfId="2606" xr:uid="{5B160060-C2C3-4A01-9DEB-7FE758FDCAD0}"/>
    <cellStyle name="Normal 2 3 3 3 2 2 3 2 2" xfId="2607" xr:uid="{6AF87BFB-D632-4178-A77F-5E86984B8016}"/>
    <cellStyle name="Normal 2 3 3 3 2 2 3 3" xfId="2608" xr:uid="{20374F52-BE3B-4131-82F6-46E5D981D450}"/>
    <cellStyle name="Normal 2 3 3 3 2 2 4" xfId="2609" xr:uid="{1AC0DBB3-9C3F-4665-B5E9-65FE5B38D15F}"/>
    <cellStyle name="Normal 2 3 3 3 2 2 4 2" xfId="2610" xr:uid="{7EB196E3-2D1A-4A54-8A3A-657D66D46000}"/>
    <cellStyle name="Normal 2 3 3 3 2 2 4 2 2" xfId="2611" xr:uid="{C1B9696E-5140-47A9-9E4F-E5C458FEFBFF}"/>
    <cellStyle name="Normal 2 3 3 3 2 2 4 3" xfId="2612" xr:uid="{54B4A45E-1C92-4001-83C5-5CDF020C2773}"/>
    <cellStyle name="Normal 2 3 3 3 2 2 5" xfId="2613" xr:uid="{ED2DC29C-E74D-403C-B4CF-DFDA33E72146}"/>
    <cellStyle name="Normal 2 3 3 3 2 2 5 2" xfId="2614" xr:uid="{24095A89-CC2C-4005-A2A8-E9A315A51067}"/>
    <cellStyle name="Normal 2 3 3 3 2 2 6" xfId="2615" xr:uid="{68807A74-0618-4DFE-93CE-88F8169AB1B6}"/>
    <cellStyle name="Normal 2 3 3 3 2 3" xfId="2616" xr:uid="{4EC8FC93-3D88-4E3C-A76B-37C1510E1935}"/>
    <cellStyle name="Normal 2 3 3 3 2 3 2" xfId="2617" xr:uid="{DAD2F287-5C06-4A32-884F-B6F66918CDD5}"/>
    <cellStyle name="Normal 2 3 3 3 2 3 2 2" xfId="2618" xr:uid="{BCAC34DA-1DEB-4C53-BBB7-3EACAAD7E0D5}"/>
    <cellStyle name="Normal 2 3 3 3 2 3 3" xfId="2619" xr:uid="{B077DA03-0BD6-4B1B-A764-576C3AC8BAE8}"/>
    <cellStyle name="Normal 2 3 3 3 2 4" xfId="2620" xr:uid="{7A1C7738-4210-44DB-A43E-97533D2FA093}"/>
    <cellStyle name="Normal 2 3 3 3 2 4 2" xfId="2621" xr:uid="{051E3DD0-91A8-42F8-8409-E3EEDB5A13B9}"/>
    <cellStyle name="Normal 2 3 3 3 2 4 2 2" xfId="2622" xr:uid="{8EF6EFCA-40C1-4C2A-B198-FD2D9C8A4ECF}"/>
    <cellStyle name="Normal 2 3 3 3 2 4 3" xfId="2623" xr:uid="{08D4D635-F1C5-498A-93D6-48A44D951B60}"/>
    <cellStyle name="Normal 2 3 3 3 2 5" xfId="2624" xr:uid="{0F48E823-9E27-44C6-B234-53A88900EDB6}"/>
    <cellStyle name="Normal 2 3 3 3 2 5 2" xfId="2625" xr:uid="{527CA573-F9FB-478B-9F19-2B9CC9C89D8F}"/>
    <cellStyle name="Normal 2 3 3 3 2 5 2 2" xfId="2626" xr:uid="{3E901323-03DA-4C7B-B7F0-341F79F826A8}"/>
    <cellStyle name="Normal 2 3 3 3 2 5 3" xfId="2627" xr:uid="{2F6CD808-2EBF-4048-80E6-CE3CA3FBC880}"/>
    <cellStyle name="Normal 2 3 3 3 2 6" xfId="2628" xr:uid="{031E3DA0-193A-4D7B-AB51-2F4CAAB24EA4}"/>
    <cellStyle name="Normal 2 3 3 3 2 6 2" xfId="2629" xr:uid="{2980864B-C660-4203-8541-BCC53D769D52}"/>
    <cellStyle name="Normal 2 3 3 3 2 7" xfId="2630" xr:uid="{B023B9D5-A558-43A6-8C50-78D3FA43493E}"/>
    <cellStyle name="Normal 2 3 3 3 3" xfId="2631" xr:uid="{79645D37-219D-4F98-A8D0-03DBCCDC638A}"/>
    <cellStyle name="Normal 2 3 3 3 3 2" xfId="2632" xr:uid="{4E7F8B20-0E02-4FD4-845E-EF036DBDD0E4}"/>
    <cellStyle name="Normal 2 3 3 3 3 2 2" xfId="2633" xr:uid="{62E9DDAC-0F2F-4822-B786-201D64A0BCB8}"/>
    <cellStyle name="Normal 2 3 3 3 3 2 2 2" xfId="2634" xr:uid="{7823A096-2246-47DC-886A-AC333361E130}"/>
    <cellStyle name="Normal 2 3 3 3 3 2 3" xfId="2635" xr:uid="{AC958E07-22AD-4D3D-B95F-E6EB67F53EF4}"/>
    <cellStyle name="Normal 2 3 3 3 3 3" xfId="2636" xr:uid="{3642009D-24B9-423B-9B08-95CE4C03D335}"/>
    <cellStyle name="Normal 2 3 3 3 3 3 2" xfId="2637" xr:uid="{D1AB7959-39C5-4DCB-B302-04C613010999}"/>
    <cellStyle name="Normal 2 3 3 3 3 3 2 2" xfId="2638" xr:uid="{7038BAD6-3A78-45F7-9D71-D3C223417A1B}"/>
    <cellStyle name="Normal 2 3 3 3 3 3 3" xfId="2639" xr:uid="{338F2581-309E-4BA0-A239-C3EB750567C0}"/>
    <cellStyle name="Normal 2 3 3 3 3 4" xfId="2640" xr:uid="{B8CFBCB3-DDBD-4A74-9E7E-4D8F815B50A6}"/>
    <cellStyle name="Normal 2 3 3 3 3 4 2" xfId="2641" xr:uid="{91FDF8D9-250C-4ACB-A68D-E4AB262337B0}"/>
    <cellStyle name="Normal 2 3 3 3 3 4 2 2" xfId="2642" xr:uid="{C60DD507-CFE1-4D88-8811-943A3BEB06F3}"/>
    <cellStyle name="Normal 2 3 3 3 3 4 3" xfId="2643" xr:uid="{CBE76B83-12C2-4317-84D1-02C5D0BEE111}"/>
    <cellStyle name="Normal 2 3 3 3 3 5" xfId="2644" xr:uid="{212EF86E-43EC-4332-B18F-4B9DACC5F12F}"/>
    <cellStyle name="Normal 2 3 3 3 3 5 2" xfId="2645" xr:uid="{E61E42F8-0D31-4033-82AE-38A06F2CEBEE}"/>
    <cellStyle name="Normal 2 3 3 3 3 6" xfId="2646" xr:uid="{30AC496E-755D-419F-A983-CEE781D802C4}"/>
    <cellStyle name="Normal 2 3 3 3 4" xfId="2647" xr:uid="{8CC38B7F-94DB-4E6E-B36B-D050AA38543A}"/>
    <cellStyle name="Normal 2 3 3 3 4 2" xfId="2648" xr:uid="{EE2CCE54-373E-46C6-9E71-A5C1F1F60FB9}"/>
    <cellStyle name="Normal 2 3 3 3 4 2 2" xfId="2649" xr:uid="{48224502-3EE1-45B5-9C52-E9342E4F09D5}"/>
    <cellStyle name="Normal 2 3 3 3 4 3" xfId="2650" xr:uid="{F995C2BA-09D2-49AC-832C-99FF172ABC93}"/>
    <cellStyle name="Normal 2 3 3 3 5" xfId="2651" xr:uid="{DA3D0B30-822E-48A6-913C-2E6DF8507CC9}"/>
    <cellStyle name="Normal 2 3 3 3 5 2" xfId="2652" xr:uid="{BA4E1059-8875-4835-8FCB-CA1F24855D53}"/>
    <cellStyle name="Normal 2 3 3 3 5 2 2" xfId="2653" xr:uid="{A12F5593-DCAA-474A-9412-356F8BEAF108}"/>
    <cellStyle name="Normal 2 3 3 3 5 3" xfId="2654" xr:uid="{BF7E1D0A-7828-46D2-B5D5-9FCC5AAB47C5}"/>
    <cellStyle name="Normal 2 3 3 3 6" xfId="2655" xr:uid="{59ECD490-B520-4022-87BA-D2C9617ED9A4}"/>
    <cellStyle name="Normal 2 3 3 3 6 2" xfId="2656" xr:uid="{E3637274-344D-4983-BA17-EDA64C094D56}"/>
    <cellStyle name="Normal 2 3 3 3 6 2 2" xfId="2657" xr:uid="{0D4BA9A9-516C-4888-B708-08E2179531EC}"/>
    <cellStyle name="Normal 2 3 3 3 6 3" xfId="2658" xr:uid="{246866A3-D350-4F63-B44E-56DFA5B69D89}"/>
    <cellStyle name="Normal 2 3 3 3 7" xfId="2659" xr:uid="{56EF9665-F9F0-4DF5-803C-4B06179E1B86}"/>
    <cellStyle name="Normal 2 3 3 3 7 2" xfId="2660" xr:uid="{A33ADBE9-8D07-40D0-A4A7-C309DF40FE51}"/>
    <cellStyle name="Normal 2 3 3 3 8" xfId="2661" xr:uid="{3CD46D1C-10D5-4E8E-9FF0-F6D4432CC198}"/>
    <cellStyle name="Normal 2 3 3 4" xfId="2662" xr:uid="{4CC88E9E-DD74-4E45-B133-DAFFA4DFE41D}"/>
    <cellStyle name="Normal 2 3 3 4 2" xfId="2663" xr:uid="{793EC788-3FB3-45F2-9F9E-278E3E775C2D}"/>
    <cellStyle name="Normal 2 3 3 4 2 2" xfId="2664" xr:uid="{F00B41B5-1B94-47B6-892D-871C7CA01867}"/>
    <cellStyle name="Normal 2 3 3 4 2 2 2" xfId="2665" xr:uid="{66349530-805C-44B7-891F-5EA75F6CF0A2}"/>
    <cellStyle name="Normal 2 3 3 4 2 2 2 2" xfId="2666" xr:uid="{A692C0C4-9A01-495E-A0E0-AB0F16A7F5DC}"/>
    <cellStyle name="Normal 2 3 3 4 2 2 2 2 2" xfId="2667" xr:uid="{C457E688-91C3-44F5-B70C-F395BD46DBEF}"/>
    <cellStyle name="Normal 2 3 3 4 2 2 2 3" xfId="2668" xr:uid="{21E6931E-3493-41CC-B085-59098250D68B}"/>
    <cellStyle name="Normal 2 3 3 4 2 2 3" xfId="2669" xr:uid="{6505C670-63E5-4DDF-970A-5BE3D374F5EB}"/>
    <cellStyle name="Normal 2 3 3 4 2 2 3 2" xfId="2670" xr:uid="{8F82E62C-CCDA-4016-B510-49EE2DBD04F0}"/>
    <cellStyle name="Normal 2 3 3 4 2 2 3 2 2" xfId="2671" xr:uid="{3B234593-9FDF-40C0-8F6F-DD3219F92451}"/>
    <cellStyle name="Normal 2 3 3 4 2 2 3 3" xfId="2672" xr:uid="{58C4F22E-3A2C-4D8B-8112-220D9F4B0D0E}"/>
    <cellStyle name="Normal 2 3 3 4 2 2 4" xfId="2673" xr:uid="{AFDD8C91-30D5-488A-8CE0-CFCA26DC1198}"/>
    <cellStyle name="Normal 2 3 3 4 2 2 4 2" xfId="2674" xr:uid="{8F963DA2-D810-40E1-91D0-9A771BBB69E1}"/>
    <cellStyle name="Normal 2 3 3 4 2 2 4 2 2" xfId="2675" xr:uid="{A533C505-21BC-4643-A70E-D35EDEF45292}"/>
    <cellStyle name="Normal 2 3 3 4 2 2 4 3" xfId="2676" xr:uid="{739CCF26-902D-4519-A0D8-FF4D920B5061}"/>
    <cellStyle name="Normal 2 3 3 4 2 2 5" xfId="2677" xr:uid="{84BAC9FA-783E-493F-A0BA-7178DDE2C68A}"/>
    <cellStyle name="Normal 2 3 3 4 2 2 5 2" xfId="2678" xr:uid="{A628C52B-D71B-492E-868D-BD57413CE1B2}"/>
    <cellStyle name="Normal 2 3 3 4 2 2 6" xfId="2679" xr:uid="{AF00400B-356A-49DC-AD8B-42EDEFB26247}"/>
    <cellStyle name="Normal 2 3 3 4 2 3" xfId="2680" xr:uid="{C88A2884-6829-45EA-826F-ECB3BDD70B16}"/>
    <cellStyle name="Normal 2 3 3 4 2 3 2" xfId="2681" xr:uid="{A76FE87C-58E7-433E-A11A-6D83B38B5A4F}"/>
    <cellStyle name="Normal 2 3 3 4 2 3 2 2" xfId="2682" xr:uid="{C82FF1C9-9F41-404A-A88F-E1751C798F5B}"/>
    <cellStyle name="Normal 2 3 3 4 2 3 3" xfId="2683" xr:uid="{2215E675-7099-4AE9-9F66-29CE50E7A2DD}"/>
    <cellStyle name="Normal 2 3 3 4 2 4" xfId="2684" xr:uid="{4526A774-F6F8-4317-B7F3-40FAE98FE1BC}"/>
    <cellStyle name="Normal 2 3 3 4 2 4 2" xfId="2685" xr:uid="{9368A8E4-1AC5-42D8-BA51-3E1726F1ACD7}"/>
    <cellStyle name="Normal 2 3 3 4 2 4 2 2" xfId="2686" xr:uid="{B734F4CC-541E-42A7-83DE-FA9B6A3B7C79}"/>
    <cellStyle name="Normal 2 3 3 4 2 4 3" xfId="2687" xr:uid="{316FA23E-2D5C-4E86-A45E-A252436E5F50}"/>
    <cellStyle name="Normal 2 3 3 4 2 5" xfId="2688" xr:uid="{5CED7FEA-9120-4BA1-94AC-DB262B18EEF2}"/>
    <cellStyle name="Normal 2 3 3 4 2 5 2" xfId="2689" xr:uid="{D1F0E446-1B66-4D1E-B39A-C35330642CB7}"/>
    <cellStyle name="Normal 2 3 3 4 2 5 2 2" xfId="2690" xr:uid="{1569A47D-5571-4C64-BECE-C298C00E77DD}"/>
    <cellStyle name="Normal 2 3 3 4 2 5 3" xfId="2691" xr:uid="{4A1FEB28-E0F3-4598-95D1-BF7F85AB596C}"/>
    <cellStyle name="Normal 2 3 3 4 2 6" xfId="2692" xr:uid="{F3C44F88-E0F1-49C7-8A27-B5C6E2453CB7}"/>
    <cellStyle name="Normal 2 3 3 4 2 6 2" xfId="2693" xr:uid="{689F0C6F-4D20-4242-9D67-6B341971B6B2}"/>
    <cellStyle name="Normal 2 3 3 4 2 7" xfId="2694" xr:uid="{EC5451FD-34FC-4A00-835F-332CA1BDD23B}"/>
    <cellStyle name="Normal 2 3 3 4 3" xfId="2695" xr:uid="{BC4B9A86-7031-43D1-8B36-4D9842740CBD}"/>
    <cellStyle name="Normal 2 3 3 4 3 2" xfId="2696" xr:uid="{A081C180-A066-491F-9C4B-082AB60B3AD8}"/>
    <cellStyle name="Normal 2 3 3 4 3 2 2" xfId="2697" xr:uid="{AC69BD5D-86C1-413F-9929-9039C85FF7E4}"/>
    <cellStyle name="Normal 2 3 3 4 3 2 2 2" xfId="2698" xr:uid="{644006A0-9490-4D0B-A518-D738AE4C8973}"/>
    <cellStyle name="Normal 2 3 3 4 3 2 3" xfId="2699" xr:uid="{1383B80F-EF23-4CCF-A25E-6AF0AFB1B9C3}"/>
    <cellStyle name="Normal 2 3 3 4 3 3" xfId="2700" xr:uid="{FAF67150-1D25-46AE-A7F0-85805EC99A2F}"/>
    <cellStyle name="Normal 2 3 3 4 3 3 2" xfId="2701" xr:uid="{66E84C06-4C72-43F2-9596-F1D5174B4EE7}"/>
    <cellStyle name="Normal 2 3 3 4 3 3 2 2" xfId="2702" xr:uid="{3F10B3AE-E25A-4772-A0B0-0618A0886CF7}"/>
    <cellStyle name="Normal 2 3 3 4 3 3 3" xfId="2703" xr:uid="{24F4BBA1-93BD-48C8-ADFD-5AC2F5D5E7AE}"/>
    <cellStyle name="Normal 2 3 3 4 3 4" xfId="2704" xr:uid="{95CA88B2-1B4E-4B4F-A78F-8BEB727E3098}"/>
    <cellStyle name="Normal 2 3 3 4 3 4 2" xfId="2705" xr:uid="{49605A1D-D709-4582-892B-DE0516B3476B}"/>
    <cellStyle name="Normal 2 3 3 4 3 4 2 2" xfId="2706" xr:uid="{908E6F21-6B3D-4EC6-8AA7-192F43715DFD}"/>
    <cellStyle name="Normal 2 3 3 4 3 4 3" xfId="2707" xr:uid="{DF6B7537-27F6-4642-998E-69B6793FE376}"/>
    <cellStyle name="Normal 2 3 3 4 3 5" xfId="2708" xr:uid="{8B2AB73A-97B3-4EF1-81F2-1D5454E641A5}"/>
    <cellStyle name="Normal 2 3 3 4 3 5 2" xfId="2709" xr:uid="{A771CF23-400D-41E6-A0AE-45DA407002B8}"/>
    <cellStyle name="Normal 2 3 3 4 3 6" xfId="2710" xr:uid="{6F919651-3260-4B3F-A9F9-BECC2B7DB694}"/>
    <cellStyle name="Normal 2 3 3 4 4" xfId="2711" xr:uid="{CE644146-A2A0-425D-8E09-3E9BBBC8F9E9}"/>
    <cellStyle name="Normal 2 3 3 4 4 2" xfId="2712" xr:uid="{7A39C9FE-F896-4E8B-812B-386F497E48CB}"/>
    <cellStyle name="Normal 2 3 3 4 4 2 2" xfId="2713" xr:uid="{86FF997E-B5BC-4E41-BDE6-F55E6721A276}"/>
    <cellStyle name="Normal 2 3 3 4 4 3" xfId="2714" xr:uid="{8B9A002A-9691-4A2A-A233-7DA6DEE7FC7F}"/>
    <cellStyle name="Normal 2 3 3 4 5" xfId="2715" xr:uid="{E57A82B3-8FB5-4C24-975D-6700CD0DAE58}"/>
    <cellStyle name="Normal 2 3 3 4 5 2" xfId="2716" xr:uid="{1B031A7A-825B-465E-870C-2560FEE84D33}"/>
    <cellStyle name="Normal 2 3 3 4 5 2 2" xfId="2717" xr:uid="{AD6911EA-5E90-4BFA-9C50-2069A17C65A0}"/>
    <cellStyle name="Normal 2 3 3 4 5 3" xfId="2718" xr:uid="{D9BAD577-27CC-4E2D-B228-7753F72D5C45}"/>
    <cellStyle name="Normal 2 3 3 4 6" xfId="2719" xr:uid="{37A59AB4-B849-46EC-95A9-99D656CE9987}"/>
    <cellStyle name="Normal 2 3 3 4 6 2" xfId="2720" xr:uid="{26ED9F69-8399-4C86-8DB3-D6373F6FC24A}"/>
    <cellStyle name="Normal 2 3 3 4 6 2 2" xfId="2721" xr:uid="{8D1138F2-EEA3-4DD8-9A39-F65E343B1337}"/>
    <cellStyle name="Normal 2 3 3 4 6 3" xfId="2722" xr:uid="{00A3EA7A-8983-4757-AFE7-C1010238F22C}"/>
    <cellStyle name="Normal 2 3 3 4 7" xfId="2723" xr:uid="{490B9EEC-6ADF-4F00-8EBC-F544387F6328}"/>
    <cellStyle name="Normal 2 3 3 4 7 2" xfId="2724" xr:uid="{DE715B97-359A-44F0-AAFB-C81F75B37285}"/>
    <cellStyle name="Normal 2 3 3 4 8" xfId="2725" xr:uid="{CEC405C7-1742-4924-B982-1D4C9F87966B}"/>
    <cellStyle name="Normal 2 3 3 5" xfId="2726" xr:uid="{BE2E40E1-178B-412D-9DB9-8689803F4B2D}"/>
    <cellStyle name="Normal 2 3 3 5 2" xfId="2727" xr:uid="{7F7EAB71-214F-4E4C-A997-CFA96C09DD93}"/>
    <cellStyle name="Normal 2 3 3 5 2 2" xfId="2728" xr:uid="{0AA1EA8E-E33E-48A2-A785-83381815D302}"/>
    <cellStyle name="Normal 2 3 3 5 2 2 2" xfId="2729" xr:uid="{7A34033E-F51A-4D77-8388-54D9E4C2A3CD}"/>
    <cellStyle name="Normal 2 3 3 5 2 2 2 2" xfId="2730" xr:uid="{7E3A80D4-F1AC-45DC-BD27-3E753EEBD370}"/>
    <cellStyle name="Normal 2 3 3 5 2 2 3" xfId="2731" xr:uid="{48F2F8A3-8263-4371-B678-AF41111FADD4}"/>
    <cellStyle name="Normal 2 3 3 5 2 3" xfId="2732" xr:uid="{80C57608-C6ED-4C9B-9EDF-8F29BE4EA517}"/>
    <cellStyle name="Normal 2 3 3 5 2 3 2" xfId="2733" xr:uid="{B9B622D2-F315-4D89-BEF2-AFA763BF9CFA}"/>
    <cellStyle name="Normal 2 3 3 5 2 3 2 2" xfId="2734" xr:uid="{DEB9C0BB-5C04-4B87-AE7D-ED07DA4DB2DF}"/>
    <cellStyle name="Normal 2 3 3 5 2 3 3" xfId="2735" xr:uid="{F84F8A84-4CA1-4324-9149-2115247614D9}"/>
    <cellStyle name="Normal 2 3 3 5 2 4" xfId="2736" xr:uid="{FC17DE3A-9216-491B-AE2C-D6FFFD37ECBD}"/>
    <cellStyle name="Normal 2 3 3 5 2 4 2" xfId="2737" xr:uid="{60D36738-055D-4B82-9BA7-B73D92790492}"/>
    <cellStyle name="Normal 2 3 3 5 2 4 2 2" xfId="2738" xr:uid="{29210AA0-C6D6-4D65-825D-1152B8991ECB}"/>
    <cellStyle name="Normal 2 3 3 5 2 4 3" xfId="2739" xr:uid="{F519A558-F935-4874-9769-21CB3495C9BE}"/>
    <cellStyle name="Normal 2 3 3 5 2 5" xfId="2740" xr:uid="{28A6685F-2215-4A29-A519-D7F2411B278F}"/>
    <cellStyle name="Normal 2 3 3 5 2 5 2" xfId="2741" xr:uid="{F8CE34F1-1162-4C32-9693-E9A5CEDD7CE6}"/>
    <cellStyle name="Normal 2 3 3 5 2 6" xfId="2742" xr:uid="{DEB27985-46CD-4514-BB07-1CAC6D1448D7}"/>
    <cellStyle name="Normal 2 3 3 5 3" xfId="2743" xr:uid="{88DE5C2F-31C6-4051-A013-57238124A9F3}"/>
    <cellStyle name="Normal 2 3 3 5 3 2" xfId="2744" xr:uid="{8D5B59C6-5C49-4152-A2E4-5E3236EE0DA6}"/>
    <cellStyle name="Normal 2 3 3 5 3 2 2" xfId="2745" xr:uid="{D08BE97E-15CD-4B30-9DAB-DD71DB224EA7}"/>
    <cellStyle name="Normal 2 3 3 5 3 3" xfId="2746" xr:uid="{57601C1C-A904-4EA4-A33A-EF346E089BA1}"/>
    <cellStyle name="Normal 2 3 3 5 4" xfId="2747" xr:uid="{C4A6058B-57A0-4DE6-AB76-6ED89B0F1DCD}"/>
    <cellStyle name="Normal 2 3 3 5 4 2" xfId="2748" xr:uid="{F0F47C86-3545-45B0-B18B-ADCA37E669B5}"/>
    <cellStyle name="Normal 2 3 3 5 4 2 2" xfId="2749" xr:uid="{40DEA06B-B8AF-4EDC-B99C-313CEAEEEB8B}"/>
    <cellStyle name="Normal 2 3 3 5 4 3" xfId="2750" xr:uid="{0843F15F-5EAA-4A0F-93A7-102479A5F84A}"/>
    <cellStyle name="Normal 2 3 3 5 5" xfId="2751" xr:uid="{8ED9486F-D829-4FC5-B5E7-21257A36008E}"/>
    <cellStyle name="Normal 2 3 3 5 5 2" xfId="2752" xr:uid="{C35B2563-0359-41D7-9584-94D74DCB7D5F}"/>
    <cellStyle name="Normal 2 3 3 5 5 2 2" xfId="2753" xr:uid="{1B66FCAD-E81F-40E1-87C2-3EB82123B4CA}"/>
    <cellStyle name="Normal 2 3 3 5 5 3" xfId="2754" xr:uid="{9953DD82-A13C-4F44-A630-7AFD36D3C5E0}"/>
    <cellStyle name="Normal 2 3 3 5 6" xfId="2755" xr:uid="{5EE6C73C-6A7E-4A09-A8B0-6D00D30EA65D}"/>
    <cellStyle name="Normal 2 3 3 5 6 2" xfId="2756" xr:uid="{EB19FC8D-791E-4EBA-959A-AA0E0BBB6D18}"/>
    <cellStyle name="Normal 2 3 3 5 7" xfId="2757" xr:uid="{4AF27930-DF42-4A46-811F-CFD7D8C0D3F5}"/>
    <cellStyle name="Normal 2 3 3 6" xfId="2758" xr:uid="{A0B1F24E-4897-4662-B436-0CE75A27623B}"/>
    <cellStyle name="Normal 2 3 3 6 2" xfId="2759" xr:uid="{65F9D34C-2601-4F0B-97B7-B698566F3CFA}"/>
    <cellStyle name="Normal 2 3 3 6 2 2" xfId="2760" xr:uid="{1D8C7155-F7D2-4B5E-AF17-86B3A0506A0C}"/>
    <cellStyle name="Normal 2 3 3 6 2 2 2" xfId="2761" xr:uid="{64765E7C-D22B-48DF-BD2B-70BDD7579FAE}"/>
    <cellStyle name="Normal 2 3 3 6 2 3" xfId="2762" xr:uid="{DD9E1608-F37A-4A22-8888-E11A1E478F1D}"/>
    <cellStyle name="Normal 2 3 3 6 3" xfId="2763" xr:uid="{520F51C3-F624-4B56-BDFA-C8CD24592BA6}"/>
    <cellStyle name="Normal 2 3 3 6 3 2" xfId="2764" xr:uid="{531DF207-8310-4D2E-8625-DC07DCDC4164}"/>
    <cellStyle name="Normal 2 3 3 6 3 2 2" xfId="2765" xr:uid="{EA58C178-7844-40C1-BDD5-440217DD023A}"/>
    <cellStyle name="Normal 2 3 3 6 3 3" xfId="2766" xr:uid="{16BB6ADD-D148-488F-A18D-5561E987944B}"/>
    <cellStyle name="Normal 2 3 3 6 4" xfId="2767" xr:uid="{CF050DFB-CE19-483A-8C88-CB23C95FFFCE}"/>
    <cellStyle name="Normal 2 3 3 6 4 2" xfId="2768" xr:uid="{FB35253E-A03A-4927-BD91-24D41F60CFA4}"/>
    <cellStyle name="Normal 2 3 3 6 4 2 2" xfId="2769" xr:uid="{AE769627-2FE6-4BD2-AC49-6F9EEB0B6D2D}"/>
    <cellStyle name="Normal 2 3 3 6 4 3" xfId="2770" xr:uid="{A84F5277-E521-4826-B9DE-DCBDEA7056E8}"/>
    <cellStyle name="Normal 2 3 3 6 5" xfId="2771" xr:uid="{8DA12590-E795-4EE1-A5F0-035E0E052222}"/>
    <cellStyle name="Normal 2 3 3 6 5 2" xfId="2772" xr:uid="{6176BD3B-F2BB-4B6B-ABEE-E3151B32830A}"/>
    <cellStyle name="Normal 2 3 3 6 6" xfId="2773" xr:uid="{91908623-2415-4E85-B010-744AD7D0AFD9}"/>
    <cellStyle name="Normal 2 3 3 7" xfId="2774" xr:uid="{D04C32FB-2D02-4EAD-9580-46E9C3080660}"/>
    <cellStyle name="Normal 2 3 3 7 2" xfId="2775" xr:uid="{B3F4B02F-13B0-479B-A956-C6993C6D0DED}"/>
    <cellStyle name="Normal 2 3 3 7 2 2" xfId="2776" xr:uid="{BEF5BB6B-73DD-423E-BCE0-9645C8281D7E}"/>
    <cellStyle name="Normal 2 3 3 7 3" xfId="2777" xr:uid="{27B8A51F-2436-49C8-B5D1-78F631DF55E8}"/>
    <cellStyle name="Normal 2 3 3 8" xfId="2778" xr:uid="{EEDEB2E0-14E5-4477-A989-0962FFC052F5}"/>
    <cellStyle name="Normal 2 3 3 8 2" xfId="2779" xr:uid="{ABF04C14-4202-49EF-80E4-7ECD79CB2E2B}"/>
    <cellStyle name="Normal 2 3 3 8 2 2" xfId="2780" xr:uid="{7879D08A-29DD-463C-95FD-08826CB430F0}"/>
    <cellStyle name="Normal 2 3 3 8 3" xfId="2781" xr:uid="{D35D5F78-A551-4EEE-8500-F32E887DD988}"/>
    <cellStyle name="Normal 2 3 3 9" xfId="2782" xr:uid="{477FFA20-817E-4DE1-A939-4EC6775CEBAD}"/>
    <cellStyle name="Normal 2 3 3 9 2" xfId="2783" xr:uid="{5645D441-43DA-4CE6-BEFD-1D1A43363C7C}"/>
    <cellStyle name="Normal 2 3 3 9 2 2" xfId="2784" xr:uid="{322B3175-C586-46BB-BCF3-E92E7161A5E6}"/>
    <cellStyle name="Normal 2 3 3 9 3" xfId="2785" xr:uid="{2E203DBE-8AB7-425E-B58E-B17C3E0E7A6B}"/>
    <cellStyle name="Normal 2 3 4" xfId="2786" xr:uid="{B7201D71-A0DB-4B3E-830F-4B42D832C581}"/>
    <cellStyle name="Normal 2 3 4 10" xfId="2787" xr:uid="{F87234B6-C1F3-457C-903A-6943D58E05AD}"/>
    <cellStyle name="Normal 2 3 4 10 2" xfId="2788" xr:uid="{0C64B4BF-E39E-4512-A429-32D6DEECCB87}"/>
    <cellStyle name="Normal 2 3 4 11" xfId="2789" xr:uid="{9252E37A-95F7-43DF-9092-F4955E07C3BA}"/>
    <cellStyle name="Normal 2 3 4 2" xfId="2790" xr:uid="{82CC8769-9363-481A-B17C-8C7788C56A43}"/>
    <cellStyle name="Normal 2 3 4 2 2" xfId="2791" xr:uid="{56BEE554-AE9B-4669-A506-2F083B2858BB}"/>
    <cellStyle name="Normal 2 3 4 2 2 2" xfId="2792" xr:uid="{A466BDA1-21F7-4377-BF1E-54DC42B0F0D8}"/>
    <cellStyle name="Normal 2 3 4 2 2 2 2" xfId="2793" xr:uid="{E8C3E1B7-C83D-44C2-A8BD-BF8EB4D54800}"/>
    <cellStyle name="Normal 2 3 4 2 2 2 2 2" xfId="2794" xr:uid="{F47389ED-E526-4872-9987-0ACA16F1B4F9}"/>
    <cellStyle name="Normal 2 3 4 2 2 2 2 2 2" xfId="2795" xr:uid="{5932C0C2-FD20-4103-BA61-C792A3EAF5D3}"/>
    <cellStyle name="Normal 2 3 4 2 2 2 2 3" xfId="2796" xr:uid="{137250A9-DDF2-4736-A4D8-98218027E24D}"/>
    <cellStyle name="Normal 2 3 4 2 2 2 3" xfId="2797" xr:uid="{2193515C-0E4B-40B7-97DF-4FDC6C715438}"/>
    <cellStyle name="Normal 2 3 4 2 2 2 3 2" xfId="2798" xr:uid="{67523E24-B813-463F-9A0E-4E2B6BA6E94F}"/>
    <cellStyle name="Normal 2 3 4 2 2 2 3 2 2" xfId="2799" xr:uid="{D8CFB667-C549-42E3-A8A0-BB0E26A50F64}"/>
    <cellStyle name="Normal 2 3 4 2 2 2 3 3" xfId="2800" xr:uid="{7F28EDE4-D27B-4DA6-8B00-75F50DE48467}"/>
    <cellStyle name="Normal 2 3 4 2 2 2 4" xfId="2801" xr:uid="{95C83487-E844-4FDE-B4C3-31DD02629DC5}"/>
    <cellStyle name="Normal 2 3 4 2 2 2 4 2" xfId="2802" xr:uid="{CD92DB1C-9779-4A91-92A1-8C5781695E77}"/>
    <cellStyle name="Normal 2 3 4 2 2 2 4 2 2" xfId="2803" xr:uid="{AC6B0479-5D2C-401D-B9CB-74141B70B7A9}"/>
    <cellStyle name="Normal 2 3 4 2 2 2 4 3" xfId="2804" xr:uid="{25FF9FE0-D6B3-4688-82A7-CA5202EE98F9}"/>
    <cellStyle name="Normal 2 3 4 2 2 2 5" xfId="2805" xr:uid="{E7783EB7-C7DD-419A-9F37-B933579112C8}"/>
    <cellStyle name="Normal 2 3 4 2 2 2 5 2" xfId="2806" xr:uid="{38E21099-5CE9-4346-89FB-AC014E3588F8}"/>
    <cellStyle name="Normal 2 3 4 2 2 2 6" xfId="2807" xr:uid="{4F87C876-EAA1-4FCC-9B9D-71109EA71DA4}"/>
    <cellStyle name="Normal 2 3 4 2 2 3" xfId="2808" xr:uid="{AEF68F3B-DB9E-44AB-8CE4-472717B4CDDF}"/>
    <cellStyle name="Normal 2 3 4 2 2 3 2" xfId="2809" xr:uid="{DC86EE8F-5B88-481F-99D0-17D80CF1B112}"/>
    <cellStyle name="Normal 2 3 4 2 2 3 2 2" xfId="2810" xr:uid="{A5002753-F839-4585-9295-56B12CB399D2}"/>
    <cellStyle name="Normal 2 3 4 2 2 3 3" xfId="2811" xr:uid="{6AFF197A-AD55-4E9A-B9FB-0851031E9983}"/>
    <cellStyle name="Normal 2 3 4 2 2 4" xfId="2812" xr:uid="{F5759288-4B10-4571-9468-30102347C211}"/>
    <cellStyle name="Normal 2 3 4 2 2 4 2" xfId="2813" xr:uid="{84255D2F-CD52-46BD-B283-FD3E2F9399AF}"/>
    <cellStyle name="Normal 2 3 4 2 2 4 2 2" xfId="2814" xr:uid="{F5D3C1C9-B3F1-4AEF-BD18-A329DFB88EBD}"/>
    <cellStyle name="Normal 2 3 4 2 2 4 3" xfId="2815" xr:uid="{0ABB5CC1-29F3-40B3-9DE2-B553D7D48BF7}"/>
    <cellStyle name="Normal 2 3 4 2 2 5" xfId="2816" xr:uid="{CFE356A4-6BB2-410A-8811-9485DEBE2287}"/>
    <cellStyle name="Normal 2 3 4 2 2 5 2" xfId="2817" xr:uid="{FCBD2A0F-9905-4897-AFEC-E357DC2D7249}"/>
    <cellStyle name="Normal 2 3 4 2 2 5 2 2" xfId="2818" xr:uid="{C8E617E5-884F-4E85-87EA-81B3E3560EEB}"/>
    <cellStyle name="Normal 2 3 4 2 2 5 3" xfId="2819" xr:uid="{40EC6A62-97E4-45B3-9E0E-541DCF4B5BD9}"/>
    <cellStyle name="Normal 2 3 4 2 2 6" xfId="2820" xr:uid="{78AB6D09-2483-44B1-A923-AEFB5E295EC0}"/>
    <cellStyle name="Normal 2 3 4 2 2 6 2" xfId="2821" xr:uid="{BFFE7FFD-C1D1-4505-BBBB-6FE9B4CC4DC5}"/>
    <cellStyle name="Normal 2 3 4 2 2 7" xfId="2822" xr:uid="{FBFD76B4-AF8E-4760-B1F6-0084051B820C}"/>
    <cellStyle name="Normal 2 3 4 2 3" xfId="2823" xr:uid="{31833231-0533-483D-B514-B8BCA5B6423D}"/>
    <cellStyle name="Normal 2 3 4 2 3 2" xfId="2824" xr:uid="{D518C9A3-5655-4057-8A59-A89242E53E40}"/>
    <cellStyle name="Normal 2 3 4 2 3 2 2" xfId="2825" xr:uid="{9B542F51-5833-4AA9-A933-785C4E09F1C9}"/>
    <cellStyle name="Normal 2 3 4 2 3 2 2 2" xfId="2826" xr:uid="{5B451616-D56C-41E4-BC39-DE01032723F3}"/>
    <cellStyle name="Normal 2 3 4 2 3 2 3" xfId="2827" xr:uid="{A5659A15-2C84-4C94-A142-AAE32E2C5D10}"/>
    <cellStyle name="Normal 2 3 4 2 3 3" xfId="2828" xr:uid="{F0B37EBB-E4AE-4DCB-8D84-4AE1B6E8C316}"/>
    <cellStyle name="Normal 2 3 4 2 3 3 2" xfId="2829" xr:uid="{F13D87F9-D973-4216-9A80-E2CE2E0F2F85}"/>
    <cellStyle name="Normal 2 3 4 2 3 3 2 2" xfId="2830" xr:uid="{85DB8124-F0ED-43F9-B52C-7F1FFFB0EBD9}"/>
    <cellStyle name="Normal 2 3 4 2 3 3 3" xfId="2831" xr:uid="{FE2569B5-7CF6-4970-A88E-40EA5B77B2D7}"/>
    <cellStyle name="Normal 2 3 4 2 3 4" xfId="2832" xr:uid="{5C426132-5FC3-4E21-A9E9-4696CC9A5455}"/>
    <cellStyle name="Normal 2 3 4 2 3 4 2" xfId="2833" xr:uid="{F6B2F78E-4730-4A4E-AF07-0949729B0844}"/>
    <cellStyle name="Normal 2 3 4 2 3 4 2 2" xfId="2834" xr:uid="{0BCDE5E7-8767-49CE-8FC4-C8226A0BA1BF}"/>
    <cellStyle name="Normal 2 3 4 2 3 4 3" xfId="2835" xr:uid="{5FB62A0F-CFD6-4A0D-AD6B-CC67A6422A13}"/>
    <cellStyle name="Normal 2 3 4 2 3 5" xfId="2836" xr:uid="{4B9A3E87-DE09-4328-B648-10D5D76046E6}"/>
    <cellStyle name="Normal 2 3 4 2 3 5 2" xfId="2837" xr:uid="{83667237-FBA1-4E2B-A8DA-32107E6BBC23}"/>
    <cellStyle name="Normal 2 3 4 2 3 6" xfId="2838" xr:uid="{43B2B808-EDEA-43CC-AEF8-63E4467BC06D}"/>
    <cellStyle name="Normal 2 3 4 2 4" xfId="2839" xr:uid="{DDF31139-22F4-45F8-8271-771E7B7093E7}"/>
    <cellStyle name="Normal 2 3 4 2 4 2" xfId="2840" xr:uid="{FD2BD8A4-22AB-4996-BD8D-257F9FE9E486}"/>
    <cellStyle name="Normal 2 3 4 2 4 2 2" xfId="2841" xr:uid="{42700661-744E-4A31-9CA0-ADF6E1E68748}"/>
    <cellStyle name="Normal 2 3 4 2 4 3" xfId="2842" xr:uid="{6EE229BE-5F35-4EFB-AAC3-024C27F0BFD9}"/>
    <cellStyle name="Normal 2 3 4 2 5" xfId="2843" xr:uid="{A5F46197-5F83-4B3F-901A-CDB66B3572AA}"/>
    <cellStyle name="Normal 2 3 4 2 5 2" xfId="2844" xr:uid="{6311226D-CFAD-47F9-AA51-975CF3FE0F09}"/>
    <cellStyle name="Normal 2 3 4 2 5 2 2" xfId="2845" xr:uid="{EC6666A9-AA96-40EF-A495-96E2E9DB36EF}"/>
    <cellStyle name="Normal 2 3 4 2 5 3" xfId="2846" xr:uid="{747C3FFC-0E00-4ABB-B10C-6733D6D91655}"/>
    <cellStyle name="Normal 2 3 4 2 6" xfId="2847" xr:uid="{F876ED40-2AE1-4111-B682-7951B2344577}"/>
    <cellStyle name="Normal 2 3 4 2 6 2" xfId="2848" xr:uid="{C3B9592B-BACF-4653-B05B-6C2511846A7E}"/>
    <cellStyle name="Normal 2 3 4 2 6 2 2" xfId="2849" xr:uid="{FE876369-EC7F-4232-A372-E4123C980E5C}"/>
    <cellStyle name="Normal 2 3 4 2 6 3" xfId="2850" xr:uid="{84A168A0-CD28-4854-B460-00C94F308527}"/>
    <cellStyle name="Normal 2 3 4 2 7" xfId="2851" xr:uid="{29A7D674-A64F-4CF5-87B9-1F00D1B9D44C}"/>
    <cellStyle name="Normal 2 3 4 2 7 2" xfId="2852" xr:uid="{DFFC0312-7825-4BB4-B016-5352C2314B7E}"/>
    <cellStyle name="Normal 2 3 4 2 8" xfId="2853" xr:uid="{47FDDC86-779C-4FD0-8CBA-C95169A414D1}"/>
    <cellStyle name="Normal 2 3 4 3" xfId="2854" xr:uid="{A9FE7B35-6517-4B2A-89A8-2634EEB8392F}"/>
    <cellStyle name="Normal 2 3 4 3 2" xfId="2855" xr:uid="{0FB1F03A-3079-486F-B410-389EA3782D0E}"/>
    <cellStyle name="Normal 2 3 4 3 2 2" xfId="2856" xr:uid="{6AC60598-B08C-40AA-B9D4-1FFD666E6F1B}"/>
    <cellStyle name="Normal 2 3 4 3 2 2 2" xfId="2857" xr:uid="{BCAE7C11-BBA6-4A60-AAD7-6B3086965082}"/>
    <cellStyle name="Normal 2 3 4 3 2 2 2 2" xfId="2858" xr:uid="{7B8F265F-B878-4DEA-A8B9-F2636BFA3467}"/>
    <cellStyle name="Normal 2 3 4 3 2 2 2 2 2" xfId="2859" xr:uid="{445827B9-FB08-4B7C-BCD4-DFFF51826EB0}"/>
    <cellStyle name="Normal 2 3 4 3 2 2 2 3" xfId="2860" xr:uid="{2D242050-B7EF-4224-B123-03A632EEAD52}"/>
    <cellStyle name="Normal 2 3 4 3 2 2 3" xfId="2861" xr:uid="{E4253EAF-84D0-4C5D-BC55-D108B3F1C7D8}"/>
    <cellStyle name="Normal 2 3 4 3 2 2 3 2" xfId="2862" xr:uid="{F606B97D-CECC-4B0A-87B2-D5122FF3E94C}"/>
    <cellStyle name="Normal 2 3 4 3 2 2 3 2 2" xfId="2863" xr:uid="{76A0229B-F91C-4F08-A18D-6B72F05F0DA9}"/>
    <cellStyle name="Normal 2 3 4 3 2 2 3 3" xfId="2864" xr:uid="{09C9E151-3EF1-4EDB-9CD3-E620FD3CCA2A}"/>
    <cellStyle name="Normal 2 3 4 3 2 2 4" xfId="2865" xr:uid="{0E6B5C4B-0D2B-4E42-9B8C-192D6CFA533E}"/>
    <cellStyle name="Normal 2 3 4 3 2 2 4 2" xfId="2866" xr:uid="{D0F2F932-28ED-46AD-A2D1-B2B5969E2B49}"/>
    <cellStyle name="Normal 2 3 4 3 2 2 4 2 2" xfId="2867" xr:uid="{6A0FD13E-243F-48E1-B096-88C7B877ADBD}"/>
    <cellStyle name="Normal 2 3 4 3 2 2 4 3" xfId="2868" xr:uid="{A4A077AB-9AB5-4676-9AEC-9C598C819399}"/>
    <cellStyle name="Normal 2 3 4 3 2 2 5" xfId="2869" xr:uid="{69FF09E3-34F9-4E65-8277-40C195FD8DBF}"/>
    <cellStyle name="Normal 2 3 4 3 2 2 5 2" xfId="2870" xr:uid="{8CA7D938-4DD8-4A53-8553-3416E83352F9}"/>
    <cellStyle name="Normal 2 3 4 3 2 2 6" xfId="2871" xr:uid="{887319AE-3AD5-4ADE-BDD4-CEC3A387AF9B}"/>
    <cellStyle name="Normal 2 3 4 3 2 3" xfId="2872" xr:uid="{880ABE6D-8F78-4A55-A263-91F538C672BC}"/>
    <cellStyle name="Normal 2 3 4 3 2 3 2" xfId="2873" xr:uid="{7BC5800C-7575-48FA-80E7-F9B27EC50D73}"/>
    <cellStyle name="Normal 2 3 4 3 2 3 2 2" xfId="2874" xr:uid="{4BB0055C-EBB6-4259-B6CA-45E3DD2B1927}"/>
    <cellStyle name="Normal 2 3 4 3 2 3 3" xfId="2875" xr:uid="{1E246D9C-466B-42B3-9DAE-2AE3FE24A8E7}"/>
    <cellStyle name="Normal 2 3 4 3 2 4" xfId="2876" xr:uid="{892FB588-DED3-4774-9D52-29222C74F699}"/>
    <cellStyle name="Normal 2 3 4 3 2 4 2" xfId="2877" xr:uid="{277BFD10-B984-4DCA-B5DB-1F007080D63F}"/>
    <cellStyle name="Normal 2 3 4 3 2 4 2 2" xfId="2878" xr:uid="{B2BB0509-ABD9-4235-983A-776DA930F940}"/>
    <cellStyle name="Normal 2 3 4 3 2 4 3" xfId="2879" xr:uid="{4F430B4D-4B71-442B-B042-27FE970532F1}"/>
    <cellStyle name="Normal 2 3 4 3 2 5" xfId="2880" xr:uid="{24DB97CE-AB6D-41A4-8194-F510F5E30942}"/>
    <cellStyle name="Normal 2 3 4 3 2 5 2" xfId="2881" xr:uid="{BB52FA58-8DC0-4D7C-A661-A196DE8E8692}"/>
    <cellStyle name="Normal 2 3 4 3 2 5 2 2" xfId="2882" xr:uid="{943380B6-BDFB-470F-93B0-717767410C84}"/>
    <cellStyle name="Normal 2 3 4 3 2 5 3" xfId="2883" xr:uid="{CD904A5C-C03C-49D9-9B5D-B20BD6422F10}"/>
    <cellStyle name="Normal 2 3 4 3 2 6" xfId="2884" xr:uid="{078CBF17-BEFA-4B2A-82B3-0937198C00A2}"/>
    <cellStyle name="Normal 2 3 4 3 2 6 2" xfId="2885" xr:uid="{EAF7D89D-51F0-469A-8C70-6D96D9C1C8AF}"/>
    <cellStyle name="Normal 2 3 4 3 2 7" xfId="2886" xr:uid="{51474456-EF64-402C-9CFC-4A7064112CA8}"/>
    <cellStyle name="Normal 2 3 4 3 3" xfId="2887" xr:uid="{53330260-1764-4004-A2AE-D193BCB55B2C}"/>
    <cellStyle name="Normal 2 3 4 3 3 2" xfId="2888" xr:uid="{909CABEA-EA38-47F0-AB2C-6178E7952596}"/>
    <cellStyle name="Normal 2 3 4 3 3 2 2" xfId="2889" xr:uid="{7A7495FA-CF63-47DC-AD26-59AA27A3376B}"/>
    <cellStyle name="Normal 2 3 4 3 3 2 2 2" xfId="2890" xr:uid="{CCC76E7D-5574-47BE-B252-C4172A8A114B}"/>
    <cellStyle name="Normal 2 3 4 3 3 2 3" xfId="2891" xr:uid="{BFE7C694-F4E4-411E-B9C4-12FF4BF5C96E}"/>
    <cellStyle name="Normal 2 3 4 3 3 3" xfId="2892" xr:uid="{5D592634-F108-4894-B3C7-D10768EA2AAD}"/>
    <cellStyle name="Normal 2 3 4 3 3 3 2" xfId="2893" xr:uid="{390BE3A7-D9B8-4AF5-ABEB-B14BE7A38E56}"/>
    <cellStyle name="Normal 2 3 4 3 3 3 2 2" xfId="2894" xr:uid="{CB14C074-4EB3-4404-9214-702175EA0C58}"/>
    <cellStyle name="Normal 2 3 4 3 3 3 3" xfId="2895" xr:uid="{C7438C3F-1637-45FB-BBD3-B0F8C56C1ACB}"/>
    <cellStyle name="Normal 2 3 4 3 3 4" xfId="2896" xr:uid="{44191E7B-48C0-4F74-8E0B-61ED818FC8F4}"/>
    <cellStyle name="Normal 2 3 4 3 3 4 2" xfId="2897" xr:uid="{48993340-AAD5-4213-AC03-9C597E8E6431}"/>
    <cellStyle name="Normal 2 3 4 3 3 4 2 2" xfId="2898" xr:uid="{E18F399A-0F21-468F-AEDF-D4ED75B38457}"/>
    <cellStyle name="Normal 2 3 4 3 3 4 3" xfId="2899" xr:uid="{70522AD1-0085-4F26-A4E5-28BAF2DD189E}"/>
    <cellStyle name="Normal 2 3 4 3 3 5" xfId="2900" xr:uid="{1A8DE6B6-92F6-4851-8EF0-588E978D00E1}"/>
    <cellStyle name="Normal 2 3 4 3 3 5 2" xfId="2901" xr:uid="{0CA64314-1EAC-4228-B68B-C6EE68446E68}"/>
    <cellStyle name="Normal 2 3 4 3 3 6" xfId="2902" xr:uid="{C9453487-ED9A-4F16-8DEE-CA09D634117D}"/>
    <cellStyle name="Normal 2 3 4 3 4" xfId="2903" xr:uid="{86E2C8A5-AE93-4045-A497-5336A967FC48}"/>
    <cellStyle name="Normal 2 3 4 3 4 2" xfId="2904" xr:uid="{D21EF54D-033C-4EA6-A0C2-E5083EE02994}"/>
    <cellStyle name="Normal 2 3 4 3 4 2 2" xfId="2905" xr:uid="{04C8D226-2882-42D9-BD7F-A7375A8FE281}"/>
    <cellStyle name="Normal 2 3 4 3 4 3" xfId="2906" xr:uid="{E2B88333-08BF-4C40-93BA-710466B1A1DE}"/>
    <cellStyle name="Normal 2 3 4 3 5" xfId="2907" xr:uid="{3DBACF86-9347-42D2-A74C-2874687AC990}"/>
    <cellStyle name="Normal 2 3 4 3 5 2" xfId="2908" xr:uid="{CFB456B0-DB64-48AC-A09D-B0CB5D2319F9}"/>
    <cellStyle name="Normal 2 3 4 3 5 2 2" xfId="2909" xr:uid="{B9AF590A-B713-425F-9DC1-11C22A1FC76F}"/>
    <cellStyle name="Normal 2 3 4 3 5 3" xfId="2910" xr:uid="{38A7D5AE-E45C-45E1-A124-DE72BA4193C9}"/>
    <cellStyle name="Normal 2 3 4 3 6" xfId="2911" xr:uid="{599B2667-C365-4C50-B6AA-81FA0E7DBCE5}"/>
    <cellStyle name="Normal 2 3 4 3 6 2" xfId="2912" xr:uid="{E5B75AD1-6ED9-4A37-B3D0-55A5E313E350}"/>
    <cellStyle name="Normal 2 3 4 3 6 2 2" xfId="2913" xr:uid="{2B7133BF-14B5-4F42-ADA3-7DE8815730D5}"/>
    <cellStyle name="Normal 2 3 4 3 6 3" xfId="2914" xr:uid="{96F604FA-C931-4B02-9669-D0ACAF5DE9EC}"/>
    <cellStyle name="Normal 2 3 4 3 7" xfId="2915" xr:uid="{22375522-7CF4-439E-B4B4-1B30E6A1D8AF}"/>
    <cellStyle name="Normal 2 3 4 3 7 2" xfId="2916" xr:uid="{AC14474D-A3E2-4A55-80C8-4C226B598970}"/>
    <cellStyle name="Normal 2 3 4 3 8" xfId="2917" xr:uid="{A4D6C7F9-A846-4ED5-BB0D-64F8F2F8F13C}"/>
    <cellStyle name="Normal 2 3 4 4" xfId="2918" xr:uid="{A9681FDD-4FAD-4F8F-97F5-C20ED6B21AD3}"/>
    <cellStyle name="Normal 2 3 4 4 2" xfId="2919" xr:uid="{558CDA67-F8FE-447C-861C-D881E7B8B8BE}"/>
    <cellStyle name="Normal 2 3 4 4 2 2" xfId="2920" xr:uid="{EDB4C8B3-5076-432C-A069-952B9047F90E}"/>
    <cellStyle name="Normal 2 3 4 4 2 2 2" xfId="2921" xr:uid="{F6684D93-420B-4F63-990B-35B90C03BE4F}"/>
    <cellStyle name="Normal 2 3 4 4 2 2 2 2" xfId="2922" xr:uid="{2F49CE40-7530-4643-93D9-D591DCACDA8C}"/>
    <cellStyle name="Normal 2 3 4 4 2 2 3" xfId="2923" xr:uid="{D49B782E-7D1C-4F2A-AD07-535812D07C74}"/>
    <cellStyle name="Normal 2 3 4 4 2 3" xfId="2924" xr:uid="{C0712F28-0243-4597-90D3-8660CBA00357}"/>
    <cellStyle name="Normal 2 3 4 4 2 3 2" xfId="2925" xr:uid="{E000D12C-5519-400D-82EB-479B49CFCBBC}"/>
    <cellStyle name="Normal 2 3 4 4 2 3 2 2" xfId="2926" xr:uid="{A588C712-C3E0-4589-96C6-FD4398E761C2}"/>
    <cellStyle name="Normal 2 3 4 4 2 3 3" xfId="2927" xr:uid="{0DDB704C-2F74-4F67-A70A-67F9A05AFD89}"/>
    <cellStyle name="Normal 2 3 4 4 2 4" xfId="2928" xr:uid="{93639F8C-F562-4F2E-BE52-BEFEB794FAC4}"/>
    <cellStyle name="Normal 2 3 4 4 2 4 2" xfId="2929" xr:uid="{F8113E42-FC4B-408C-9436-F2AEADAFAAFC}"/>
    <cellStyle name="Normal 2 3 4 4 2 4 2 2" xfId="2930" xr:uid="{D6725007-35E0-4166-ADBE-B69E3BDED540}"/>
    <cellStyle name="Normal 2 3 4 4 2 4 3" xfId="2931" xr:uid="{DAC717DA-3904-4A9C-8975-FD2E4DA6F8EF}"/>
    <cellStyle name="Normal 2 3 4 4 2 5" xfId="2932" xr:uid="{3D9A47EF-F3FF-471D-A69F-2187C9327652}"/>
    <cellStyle name="Normal 2 3 4 4 2 5 2" xfId="2933" xr:uid="{E91D2D1F-FFB4-4D05-8084-3E79B0459C5B}"/>
    <cellStyle name="Normal 2 3 4 4 2 6" xfId="2934" xr:uid="{19142084-700C-422F-8AA1-33F6D850910C}"/>
    <cellStyle name="Normal 2 3 4 4 3" xfId="2935" xr:uid="{CB1B06BB-8EDD-4477-B096-1587898AFF5A}"/>
    <cellStyle name="Normal 2 3 4 4 3 2" xfId="2936" xr:uid="{3C48CAA2-C87B-4261-B344-EBCF3D367AFB}"/>
    <cellStyle name="Normal 2 3 4 4 3 2 2" xfId="2937" xr:uid="{1F117B00-83C0-410A-8753-749266C21F82}"/>
    <cellStyle name="Normal 2 3 4 4 3 3" xfId="2938" xr:uid="{F001DAE6-14ED-4521-A878-65B2F06B4C22}"/>
    <cellStyle name="Normal 2 3 4 4 4" xfId="2939" xr:uid="{84F4BDEA-42E5-4956-90E0-BBE5CD32D0CE}"/>
    <cellStyle name="Normal 2 3 4 4 4 2" xfId="2940" xr:uid="{0A8C8BBD-8282-41FA-BB43-7E2EB0EDD881}"/>
    <cellStyle name="Normal 2 3 4 4 4 2 2" xfId="2941" xr:uid="{818D878E-5E87-4682-BAB5-EAA327B5D863}"/>
    <cellStyle name="Normal 2 3 4 4 4 3" xfId="2942" xr:uid="{195760DD-0482-4E0D-ADF5-7792E5F434A1}"/>
    <cellStyle name="Normal 2 3 4 4 5" xfId="2943" xr:uid="{42B4B9F3-1F68-4031-9B45-13C7AA7ACDD1}"/>
    <cellStyle name="Normal 2 3 4 4 5 2" xfId="2944" xr:uid="{C5A54E00-8877-4AAD-9315-B01879D06D40}"/>
    <cellStyle name="Normal 2 3 4 4 5 2 2" xfId="2945" xr:uid="{F89E63C7-188D-488F-8B02-C8CB93F37A23}"/>
    <cellStyle name="Normal 2 3 4 4 5 3" xfId="2946" xr:uid="{0F605C6B-BD4D-49AB-BA51-EEC8C500C8FB}"/>
    <cellStyle name="Normal 2 3 4 4 6" xfId="2947" xr:uid="{1CAF3D1E-FB1B-4479-A5B0-AE225C7DCF4A}"/>
    <cellStyle name="Normal 2 3 4 4 6 2" xfId="2948" xr:uid="{FD1DF4A7-50AB-4915-849F-0B6CCB94939F}"/>
    <cellStyle name="Normal 2 3 4 4 7" xfId="2949" xr:uid="{BDB75AEF-0CBD-42C3-B7E2-BCBDC826BCAB}"/>
    <cellStyle name="Normal 2 3 4 5" xfId="2950" xr:uid="{A78E28C9-EC50-4064-99ED-1E626A1FF628}"/>
    <cellStyle name="Normal 2 3 4 5 2" xfId="2951" xr:uid="{0F04D076-59E8-4438-AC32-C7A27B2FBD7F}"/>
    <cellStyle name="Normal 2 3 4 5 2 2" xfId="2952" xr:uid="{238FFD87-349B-41F4-B0C3-3AB60920C608}"/>
    <cellStyle name="Normal 2 3 4 5 2 2 2" xfId="2953" xr:uid="{90486BF9-FB3F-43E6-A262-4BA5D3F4CA90}"/>
    <cellStyle name="Normal 2 3 4 5 2 3" xfId="2954" xr:uid="{92E2A8F3-C365-464B-93C4-5A79C7C8A735}"/>
    <cellStyle name="Normal 2 3 4 5 3" xfId="2955" xr:uid="{7966955A-AF00-4FB2-B7DE-D5E2F7CE5F66}"/>
    <cellStyle name="Normal 2 3 4 5 3 2" xfId="2956" xr:uid="{FD897089-67F0-4900-81D3-AF6A4AB98D2F}"/>
    <cellStyle name="Normal 2 3 4 5 3 2 2" xfId="2957" xr:uid="{0BB41D90-761E-45A3-ADD7-57E28D929488}"/>
    <cellStyle name="Normal 2 3 4 5 3 3" xfId="2958" xr:uid="{C1109865-A361-4A74-967D-17E8E5982F53}"/>
    <cellStyle name="Normal 2 3 4 5 4" xfId="2959" xr:uid="{596F10BA-3AAF-4386-8C4D-EADCE0C56009}"/>
    <cellStyle name="Normal 2 3 4 5 4 2" xfId="2960" xr:uid="{6E4C3A4D-04D7-48C1-939D-D6EA6BE4BFD6}"/>
    <cellStyle name="Normal 2 3 4 5 4 2 2" xfId="2961" xr:uid="{0D039C90-56C8-4810-80B0-5ED801AFD031}"/>
    <cellStyle name="Normal 2 3 4 5 4 3" xfId="2962" xr:uid="{1C8046F4-6080-4A36-B56F-C5F18D46C0A7}"/>
    <cellStyle name="Normal 2 3 4 5 5" xfId="2963" xr:uid="{E26E3318-5797-41D4-8C6E-5974D2E2FF85}"/>
    <cellStyle name="Normal 2 3 4 5 5 2" xfId="2964" xr:uid="{8F16240D-9C94-40BE-B0BE-215CB7DE0D5E}"/>
    <cellStyle name="Normal 2 3 4 5 6" xfId="2965" xr:uid="{A1263C34-CE25-41A4-8165-48F683F0633C}"/>
    <cellStyle name="Normal 2 3 4 6" xfId="2966" xr:uid="{D8C316C2-1770-49B3-A249-8E9E41948708}"/>
    <cellStyle name="Normal 2 3 4 6 2" xfId="2967" xr:uid="{D1D4D9D3-2250-418A-877B-B7EDFFB90D9C}"/>
    <cellStyle name="Normal 2 3 4 6 2 2" xfId="2968" xr:uid="{258CD9BE-803B-41AC-B8B9-6825A3447E23}"/>
    <cellStyle name="Normal 2 3 4 6 3" xfId="2969" xr:uid="{1ED95A53-D35F-4E24-BD59-315471EA67A9}"/>
    <cellStyle name="Normal 2 3 4 7" xfId="2970" xr:uid="{B7362D27-B4F4-412F-B345-4EAD8DEC5B14}"/>
    <cellStyle name="Normal 2 3 4 7 2" xfId="2971" xr:uid="{738DC68C-9787-4E39-A132-DC0438216F56}"/>
    <cellStyle name="Normal 2 3 4 7 2 2" xfId="2972" xr:uid="{0A734C04-D5BD-49CD-BD61-F345559E8BB5}"/>
    <cellStyle name="Normal 2 3 4 7 3" xfId="2973" xr:uid="{42AA3E6C-55C1-4240-841A-1BB0A135FFA7}"/>
    <cellStyle name="Normal 2 3 4 8" xfId="2974" xr:uid="{907D17F4-109C-4B2D-B4C6-D5426687D00D}"/>
    <cellStyle name="Normal 2 3 4 8 2" xfId="2975" xr:uid="{C41F5274-CAF5-4345-A5DD-922C8299999A}"/>
    <cellStyle name="Normal 2 3 4 8 2 2" xfId="2976" xr:uid="{4C716E9A-FF36-4B24-AAF7-2BCCB58CE937}"/>
    <cellStyle name="Normal 2 3 4 8 3" xfId="2977" xr:uid="{D13446CB-818C-45A3-847A-44B15B54D70F}"/>
    <cellStyle name="Normal 2 3 4 9" xfId="2978" xr:uid="{1B8D1D8C-2D04-4EA1-BCDF-59865A3FEA60}"/>
    <cellStyle name="Normal 2 3 4 9 2" xfId="2979" xr:uid="{C4CE083A-5541-4114-B971-2E178601FBA7}"/>
    <cellStyle name="Normal 2 3 4 9 2 2" xfId="2980" xr:uid="{089983B4-D10B-48CB-A36A-DA1F0CD80518}"/>
    <cellStyle name="Normal 2 3 4 9 3" xfId="2981" xr:uid="{4FCD1BE3-8F24-4448-85A9-01D48D73002B}"/>
    <cellStyle name="Normal 2 3 5" xfId="2982" xr:uid="{3018DB0B-5F6D-423D-9896-2EE505C9BB43}"/>
    <cellStyle name="Normal 2 3 5 2" xfId="2983" xr:uid="{A2C5CF6F-D839-46B2-A7DA-5B786A0765E1}"/>
    <cellStyle name="Normal 2 3 5 2 2" xfId="2984" xr:uid="{063398D3-F760-4960-8749-1988159351C7}"/>
    <cellStyle name="Normal 2 3 5 2 2 2" xfId="2985" xr:uid="{11B7D667-3E18-4B60-8DEB-AD9D863B7E99}"/>
    <cellStyle name="Normal 2 3 5 2 2 2 2" xfId="2986" xr:uid="{EBB4CEE3-8250-4629-9AEB-18A9195FBFB2}"/>
    <cellStyle name="Normal 2 3 5 2 2 2 2 2" xfId="2987" xr:uid="{B4B0EBB7-C3E5-474B-9360-20FE3217D8FA}"/>
    <cellStyle name="Normal 2 3 5 2 2 2 3" xfId="2988" xr:uid="{368F552C-A8AB-4477-AC8A-4898D15E93D5}"/>
    <cellStyle name="Normal 2 3 5 2 2 3" xfId="2989" xr:uid="{E887E9F6-145D-4C9F-B3C0-1D61E8940F44}"/>
    <cellStyle name="Normal 2 3 5 2 2 3 2" xfId="2990" xr:uid="{E529086A-B2CE-4336-B9E9-4AC0FE107ADE}"/>
    <cellStyle name="Normal 2 3 5 2 2 3 2 2" xfId="2991" xr:uid="{07864470-8EE6-47F4-8781-9629A407D764}"/>
    <cellStyle name="Normal 2 3 5 2 2 3 3" xfId="2992" xr:uid="{9E63B350-25FB-4CB1-8F07-A307332571A7}"/>
    <cellStyle name="Normal 2 3 5 2 2 4" xfId="2993" xr:uid="{B464939E-3316-41C5-8493-421D2937EE6A}"/>
    <cellStyle name="Normal 2 3 5 2 2 4 2" xfId="2994" xr:uid="{19004A7A-DC75-408A-8664-ED5172FCD886}"/>
    <cellStyle name="Normal 2 3 5 2 2 4 2 2" xfId="2995" xr:uid="{E7361D85-85CA-41DE-B3F8-4723402B9BDE}"/>
    <cellStyle name="Normal 2 3 5 2 2 4 3" xfId="2996" xr:uid="{60F4DA4F-104C-45FF-9AE9-79A92289784A}"/>
    <cellStyle name="Normal 2 3 5 2 2 5" xfId="2997" xr:uid="{2323B0B1-5A5D-4495-854A-4C0DB51178C0}"/>
    <cellStyle name="Normal 2 3 5 2 2 5 2" xfId="2998" xr:uid="{59EB12CD-2C91-4951-83D4-EDFCADC28222}"/>
    <cellStyle name="Normal 2 3 5 2 2 6" xfId="2999" xr:uid="{E98A3EAD-F9AE-4DE3-9218-422DCF8FFAE7}"/>
    <cellStyle name="Normal 2 3 5 2 3" xfId="3000" xr:uid="{14D08842-7201-412D-8BED-FAEFB9D02363}"/>
    <cellStyle name="Normal 2 3 5 2 3 2" xfId="3001" xr:uid="{AC1BF74E-37BA-40A8-B6EA-80617FF7DDE9}"/>
    <cellStyle name="Normal 2 3 5 2 3 2 2" xfId="3002" xr:uid="{B3F03DE1-F11E-4013-A30F-024BF4AC84A1}"/>
    <cellStyle name="Normal 2 3 5 2 3 3" xfId="3003" xr:uid="{D80FEDF4-65D9-4AEB-A498-7F9B8574804A}"/>
    <cellStyle name="Normal 2 3 5 2 4" xfId="3004" xr:uid="{DF09DD0E-1909-487D-92ED-98DAEFAE83F5}"/>
    <cellStyle name="Normal 2 3 5 2 4 2" xfId="3005" xr:uid="{A6A1C786-0115-47EC-B2F5-344299D160F5}"/>
    <cellStyle name="Normal 2 3 5 2 4 2 2" xfId="3006" xr:uid="{3A7A6F3C-7AB7-41BD-BE1F-6F151015EC6E}"/>
    <cellStyle name="Normal 2 3 5 2 4 3" xfId="3007" xr:uid="{3EC84F64-7DA7-4CB9-B7D1-1C5E689B20DD}"/>
    <cellStyle name="Normal 2 3 5 2 5" xfId="3008" xr:uid="{05593407-2FBF-493C-9367-631A48903382}"/>
    <cellStyle name="Normal 2 3 5 2 5 2" xfId="3009" xr:uid="{32A93146-DB8A-46AF-9655-DAC9244C4797}"/>
    <cellStyle name="Normal 2 3 5 2 5 2 2" xfId="3010" xr:uid="{F5140D31-5639-4667-ACF2-218AEBD854F7}"/>
    <cellStyle name="Normal 2 3 5 2 5 3" xfId="3011" xr:uid="{F072911F-B0D4-4261-8D97-6E9FDDA7E592}"/>
    <cellStyle name="Normal 2 3 5 2 6" xfId="3012" xr:uid="{0AE01521-0C20-490C-950A-51081C405530}"/>
    <cellStyle name="Normal 2 3 5 2 6 2" xfId="3013" xr:uid="{C2F66751-44A7-4F06-882E-6DD6D07B69FF}"/>
    <cellStyle name="Normal 2 3 5 2 7" xfId="3014" xr:uid="{AD243B0F-79D1-4B5D-8864-01C9C284D408}"/>
    <cellStyle name="Normal 2 3 5 3" xfId="3015" xr:uid="{9267A15A-0A61-454C-81BF-F350C6534A7D}"/>
    <cellStyle name="Normal 2 3 5 3 2" xfId="3016" xr:uid="{273024EC-AEAB-4C9A-A4FB-844B55E4BCA6}"/>
    <cellStyle name="Normal 2 3 5 3 2 2" xfId="3017" xr:uid="{A5D382B2-A169-45CE-9603-FE91330E0763}"/>
    <cellStyle name="Normal 2 3 5 3 2 2 2" xfId="3018" xr:uid="{9AEEB4E7-08BD-4C02-981B-934C9EE1E7B5}"/>
    <cellStyle name="Normal 2 3 5 3 2 3" xfId="3019" xr:uid="{ECF7A0C8-9277-4D96-A6C4-197907B5DCA2}"/>
    <cellStyle name="Normal 2 3 5 3 3" xfId="3020" xr:uid="{EF4C333E-6C20-47BA-89B0-765E1BCC7A50}"/>
    <cellStyle name="Normal 2 3 5 3 3 2" xfId="3021" xr:uid="{37F0C115-E2F7-410B-8087-8F45011A14E7}"/>
    <cellStyle name="Normal 2 3 5 3 3 2 2" xfId="3022" xr:uid="{7B68EED3-37E4-4041-A649-8EEEDBCAB6C2}"/>
    <cellStyle name="Normal 2 3 5 3 3 3" xfId="3023" xr:uid="{90FD7AD3-48E1-4A74-A934-7C25B105FAAC}"/>
    <cellStyle name="Normal 2 3 5 3 4" xfId="3024" xr:uid="{BC808570-C14E-4E53-9659-BE085F0D33CA}"/>
    <cellStyle name="Normal 2 3 5 3 4 2" xfId="3025" xr:uid="{C96F8899-72AA-4667-95DC-DDF288C23E86}"/>
    <cellStyle name="Normal 2 3 5 3 4 2 2" xfId="3026" xr:uid="{1C0F0A6A-225C-4316-9422-9393C87A483E}"/>
    <cellStyle name="Normal 2 3 5 3 4 3" xfId="3027" xr:uid="{EF9EBA1F-CD28-45A0-9A7B-A74261FE1C5C}"/>
    <cellStyle name="Normal 2 3 5 3 5" xfId="3028" xr:uid="{363356B8-20AC-43E5-B5E8-358379DE2AF4}"/>
    <cellStyle name="Normal 2 3 5 3 5 2" xfId="3029" xr:uid="{C5D8F860-5013-4BB3-8BD0-4E18E0C14D88}"/>
    <cellStyle name="Normal 2 3 5 3 6" xfId="3030" xr:uid="{DCD3C44A-BB24-4231-812A-78B05FD989E2}"/>
    <cellStyle name="Normal 2 3 5 4" xfId="3031" xr:uid="{AF2FAB7E-7B05-4FC3-9807-4F5B0741B905}"/>
    <cellStyle name="Normal 2 3 5 4 2" xfId="3032" xr:uid="{0B9357C9-A347-45D3-B203-0F5E7BFB9ADC}"/>
    <cellStyle name="Normal 2 3 5 4 2 2" xfId="3033" xr:uid="{F71E8256-0787-401B-86B1-BB2E5CF7F0F1}"/>
    <cellStyle name="Normal 2 3 5 4 3" xfId="3034" xr:uid="{78EF893E-833D-43CD-AFB3-29F5BFCFE1EF}"/>
    <cellStyle name="Normal 2 3 5 5" xfId="3035" xr:uid="{9FE7DC7C-3F0B-476A-B8AC-CE836256D7D6}"/>
    <cellStyle name="Normal 2 3 5 5 2" xfId="3036" xr:uid="{D5BF918D-80FF-43E2-9B3E-F53184662535}"/>
    <cellStyle name="Normal 2 3 5 5 2 2" xfId="3037" xr:uid="{7B50D782-3E3A-4689-AFCE-59164DBA1BB9}"/>
    <cellStyle name="Normal 2 3 5 5 3" xfId="3038" xr:uid="{7A5893F5-56A3-4D80-92A5-44CE340918FC}"/>
    <cellStyle name="Normal 2 3 5 6" xfId="3039" xr:uid="{73FE0AF8-2D6F-4EFB-959C-560370E39C5B}"/>
    <cellStyle name="Normal 2 3 5 6 2" xfId="3040" xr:uid="{5AAFD568-C7F2-4083-9286-1929E0EEA151}"/>
    <cellStyle name="Normal 2 3 5 6 2 2" xfId="3041" xr:uid="{2E98BBB2-DBBD-4C3A-B760-1B3877115D75}"/>
    <cellStyle name="Normal 2 3 5 6 3" xfId="3042" xr:uid="{BE0F08A3-5FE7-4F74-AD84-F3D2A5DACF14}"/>
    <cellStyle name="Normal 2 3 5 7" xfId="3043" xr:uid="{C8B1A021-ADF8-4E76-BF94-77E8BBA09307}"/>
    <cellStyle name="Normal 2 3 5 7 2" xfId="3044" xr:uid="{ED261C46-4A7F-434B-A655-8D16B52D9731}"/>
    <cellStyle name="Normal 2 3 5 8" xfId="3045" xr:uid="{E60DBF0C-5041-44BB-8172-0FC14EB308FE}"/>
    <cellStyle name="Normal 2 3 6" xfId="3046" xr:uid="{7761138F-6804-4D12-978A-32F515762772}"/>
    <cellStyle name="Normal 2 3 6 2" xfId="3047" xr:uid="{2FD721C0-0440-4E83-87F9-CCFD4837002F}"/>
    <cellStyle name="Normal 2 3 6 2 2" xfId="3048" xr:uid="{DABCDE1F-F7A9-4B01-98C9-26DA0C9F0CB2}"/>
    <cellStyle name="Normal 2 3 6 2 2 2" xfId="3049" xr:uid="{72FA6DC0-C6C4-4284-8C43-876BFF3ABCA0}"/>
    <cellStyle name="Normal 2 3 6 2 2 2 2" xfId="3050" xr:uid="{EDE068F7-55EF-43CC-A25E-AAEAF8653642}"/>
    <cellStyle name="Normal 2 3 6 2 2 2 2 2" xfId="3051" xr:uid="{89E1169A-4169-4696-B9F3-DB4169A02FBC}"/>
    <cellStyle name="Normal 2 3 6 2 2 2 3" xfId="3052" xr:uid="{8A8BA03A-368B-4723-9B07-CAF40F7EF369}"/>
    <cellStyle name="Normal 2 3 6 2 2 3" xfId="3053" xr:uid="{82FCC1FE-206E-4B95-9A04-F16B16816031}"/>
    <cellStyle name="Normal 2 3 6 2 2 3 2" xfId="3054" xr:uid="{DDC195FF-B7EF-41DD-AF71-8E09757944DB}"/>
    <cellStyle name="Normal 2 3 6 2 2 3 2 2" xfId="3055" xr:uid="{8C017C06-F164-43B4-91CD-FC5A2A463438}"/>
    <cellStyle name="Normal 2 3 6 2 2 3 3" xfId="3056" xr:uid="{4C8BBFF9-1A17-4899-BFD2-E09CD8EA1B72}"/>
    <cellStyle name="Normal 2 3 6 2 2 4" xfId="3057" xr:uid="{C6F937F3-43DD-499D-8F47-7C58B46BA51B}"/>
    <cellStyle name="Normal 2 3 6 2 2 4 2" xfId="3058" xr:uid="{D47A69F9-CF94-4AC7-9875-F5C08B192C4E}"/>
    <cellStyle name="Normal 2 3 6 2 2 4 2 2" xfId="3059" xr:uid="{F125F362-CBED-44A7-BC32-24458CF42AA8}"/>
    <cellStyle name="Normal 2 3 6 2 2 4 3" xfId="3060" xr:uid="{595DD291-7F6C-4D89-A350-23A00C65C948}"/>
    <cellStyle name="Normal 2 3 6 2 2 5" xfId="3061" xr:uid="{3612990E-05B0-4C55-A48C-A7571B18CC4F}"/>
    <cellStyle name="Normal 2 3 6 2 2 5 2" xfId="3062" xr:uid="{B0CE9316-656E-436C-8EAE-8C77B5C33317}"/>
    <cellStyle name="Normal 2 3 6 2 2 6" xfId="3063" xr:uid="{85858E22-79CC-496C-AFE9-978DCFAF319C}"/>
    <cellStyle name="Normal 2 3 6 2 3" xfId="3064" xr:uid="{2160D915-6CD6-4A06-9472-B6B0CD00B0DC}"/>
    <cellStyle name="Normal 2 3 6 2 3 2" xfId="3065" xr:uid="{AD43E810-7684-42C5-8E41-817B4C526B34}"/>
    <cellStyle name="Normal 2 3 6 2 3 2 2" xfId="3066" xr:uid="{4CF0CCEC-6FAF-463D-84F1-4C6908E96A69}"/>
    <cellStyle name="Normal 2 3 6 2 3 3" xfId="3067" xr:uid="{A60F43F5-ABF4-4706-9F1C-4D0A4E692671}"/>
    <cellStyle name="Normal 2 3 6 2 4" xfId="3068" xr:uid="{2B5D5F7C-B3B8-4F1D-BFD3-7024FDC389AB}"/>
    <cellStyle name="Normal 2 3 6 2 4 2" xfId="3069" xr:uid="{E7304E51-C16D-47B0-9F1C-D8829D9BC810}"/>
    <cellStyle name="Normal 2 3 6 2 4 2 2" xfId="3070" xr:uid="{7132B088-E57B-407A-84E1-FAB43C00FE0D}"/>
    <cellStyle name="Normal 2 3 6 2 4 3" xfId="3071" xr:uid="{D36B6361-E629-4784-9CB8-E9313F8B0320}"/>
    <cellStyle name="Normal 2 3 6 2 5" xfId="3072" xr:uid="{4714A00A-FA37-4512-9B03-F099671561CF}"/>
    <cellStyle name="Normal 2 3 6 2 5 2" xfId="3073" xr:uid="{F967EE4A-0718-4B2E-B4FA-0E9EB92168D3}"/>
    <cellStyle name="Normal 2 3 6 2 5 2 2" xfId="3074" xr:uid="{E8E4C88B-71B3-4BEB-BB82-CB5B8FED9653}"/>
    <cellStyle name="Normal 2 3 6 2 5 3" xfId="3075" xr:uid="{EE91AF4E-DA96-40CD-893A-2481705493A5}"/>
    <cellStyle name="Normal 2 3 6 2 6" xfId="3076" xr:uid="{662E1277-1205-4F3D-96D3-5EEF428374E5}"/>
    <cellStyle name="Normal 2 3 6 2 6 2" xfId="3077" xr:uid="{65F77C80-2152-449E-A153-0138DF8030C7}"/>
    <cellStyle name="Normal 2 3 6 2 7" xfId="3078" xr:uid="{092A4AE7-CCD7-45EF-B984-EE10425A7FF7}"/>
    <cellStyle name="Normal 2 3 6 3" xfId="3079" xr:uid="{A418CC85-E94C-4DE4-802A-07367E354DE6}"/>
    <cellStyle name="Normal 2 3 6 3 2" xfId="3080" xr:uid="{5DFDC852-5E74-4F1E-8284-4FE3F4A40549}"/>
    <cellStyle name="Normal 2 3 6 3 2 2" xfId="3081" xr:uid="{C7F8C87A-4D22-4869-86E8-AFDC2956D4D9}"/>
    <cellStyle name="Normal 2 3 6 3 2 2 2" xfId="3082" xr:uid="{16758AC9-323C-44C7-8099-083B628D649B}"/>
    <cellStyle name="Normal 2 3 6 3 2 3" xfId="3083" xr:uid="{48588696-B2EA-4A54-A9BC-6155FC10D8C1}"/>
    <cellStyle name="Normal 2 3 6 3 3" xfId="3084" xr:uid="{92E93577-5AAC-4EFF-B248-4E7ED8D5925E}"/>
    <cellStyle name="Normal 2 3 6 3 3 2" xfId="3085" xr:uid="{C1256437-F283-4B9C-9E04-B06BED23AD2C}"/>
    <cellStyle name="Normal 2 3 6 3 3 2 2" xfId="3086" xr:uid="{26DC0CCB-14B3-4309-BFC2-22C3D45CBC33}"/>
    <cellStyle name="Normal 2 3 6 3 3 3" xfId="3087" xr:uid="{9EF502AA-AC76-413D-8553-76E24138F618}"/>
    <cellStyle name="Normal 2 3 6 3 4" xfId="3088" xr:uid="{872E2FAF-CAB7-4568-8405-37D489FA4FB1}"/>
    <cellStyle name="Normal 2 3 6 3 4 2" xfId="3089" xr:uid="{B096C614-AE7D-494B-A0D4-1DD6F5F31713}"/>
    <cellStyle name="Normal 2 3 6 3 4 2 2" xfId="3090" xr:uid="{D577D429-25EA-433C-966F-159C7CC663E0}"/>
    <cellStyle name="Normal 2 3 6 3 4 3" xfId="3091" xr:uid="{6933CECA-E955-418E-9FEA-60D5AAFDFDD5}"/>
    <cellStyle name="Normal 2 3 6 3 5" xfId="3092" xr:uid="{D8E7D14C-2724-4B4F-A168-A9CA76172F3C}"/>
    <cellStyle name="Normal 2 3 6 3 5 2" xfId="3093" xr:uid="{CBF82B9E-4301-4F03-B08B-16B9C7B92343}"/>
    <cellStyle name="Normal 2 3 6 3 6" xfId="3094" xr:uid="{98EE5227-2960-42A2-8593-947A398F0F25}"/>
    <cellStyle name="Normal 2 3 6 4" xfId="3095" xr:uid="{B8BF5353-3E46-4745-B0F2-BAEEA90B7689}"/>
    <cellStyle name="Normal 2 3 6 4 2" xfId="3096" xr:uid="{2CE8624F-3374-47F3-A71D-BF6687C446B1}"/>
    <cellStyle name="Normal 2 3 6 4 2 2" xfId="3097" xr:uid="{1799CA9A-7428-423B-B131-B3CD861F01C3}"/>
    <cellStyle name="Normal 2 3 6 4 3" xfId="3098" xr:uid="{591D8606-0046-4DA4-B16F-DB2DE69C4A78}"/>
    <cellStyle name="Normal 2 3 6 5" xfId="3099" xr:uid="{449507AE-57E7-4677-8CC7-C558F487A8D2}"/>
    <cellStyle name="Normal 2 3 6 5 2" xfId="3100" xr:uid="{B4C8C335-2DA7-4226-8155-8DE999B97727}"/>
    <cellStyle name="Normal 2 3 6 5 2 2" xfId="3101" xr:uid="{6201AAE1-F8BC-4044-B30E-202341A8882B}"/>
    <cellStyle name="Normal 2 3 6 5 3" xfId="3102" xr:uid="{FF27ECAF-7A5B-41E0-818E-CB89CB57BCC5}"/>
    <cellStyle name="Normal 2 3 6 6" xfId="3103" xr:uid="{702F9326-890D-4267-9250-A75FF9FEC46E}"/>
    <cellStyle name="Normal 2 3 6 6 2" xfId="3104" xr:uid="{12DB9877-B096-40B1-925A-1BA434A14EA9}"/>
    <cellStyle name="Normal 2 3 6 6 2 2" xfId="3105" xr:uid="{542E1645-B72D-407C-96AE-DA58A68DE1B3}"/>
    <cellStyle name="Normal 2 3 6 6 3" xfId="3106" xr:uid="{3BE1C6E1-83CD-493D-A568-057F7805CE92}"/>
    <cellStyle name="Normal 2 3 6 7" xfId="3107" xr:uid="{35FDEF41-8781-4CB4-9253-87420B7F745D}"/>
    <cellStyle name="Normal 2 3 6 7 2" xfId="3108" xr:uid="{EFC47097-9B13-4546-8683-0643804388FC}"/>
    <cellStyle name="Normal 2 3 6 8" xfId="3109" xr:uid="{D32D154F-65D8-41A6-9C08-6701D019EE25}"/>
    <cellStyle name="Normal 2 3 7" xfId="3110" xr:uid="{47E8041C-5799-40EB-95E2-D39B27A92BBB}"/>
    <cellStyle name="Normal 2 3 7 2" xfId="3111" xr:uid="{7830746A-D64F-440C-825A-748A21992C56}"/>
    <cellStyle name="Normal 2 3 7 2 2" xfId="3112" xr:uid="{9F832309-FBC2-412A-817C-D9CE657BFF18}"/>
    <cellStyle name="Normal 2 3 7 2 2 2" xfId="3113" xr:uid="{9BA17E0E-3BD3-49A2-A39E-0B26512F2385}"/>
    <cellStyle name="Normal 2 3 7 2 2 2 2" xfId="3114" xr:uid="{061A4FA7-0D45-4D84-AE17-3E1074D8E606}"/>
    <cellStyle name="Normal 2 3 7 2 2 3" xfId="3115" xr:uid="{32CF38A5-B76D-44F6-901C-5423D34F4C6F}"/>
    <cellStyle name="Normal 2 3 7 2 3" xfId="3116" xr:uid="{9C2CBF03-F055-4BB0-A524-9915FAB1B758}"/>
    <cellStyle name="Normal 2 3 7 2 3 2" xfId="3117" xr:uid="{0976B3CD-722A-40F7-BA25-38B601EC3372}"/>
    <cellStyle name="Normal 2 3 7 2 3 2 2" xfId="3118" xr:uid="{E326EFCB-AEEA-4712-AA7F-309C3F0EC450}"/>
    <cellStyle name="Normal 2 3 7 2 3 3" xfId="3119" xr:uid="{E44A2E50-283E-4623-BC0A-6B11F04C86C9}"/>
    <cellStyle name="Normal 2 3 7 2 4" xfId="3120" xr:uid="{6DB280B4-3006-42D7-AAD4-C7A282BB97D8}"/>
    <cellStyle name="Normal 2 3 7 2 4 2" xfId="3121" xr:uid="{9E96EFB0-0D03-498B-BE82-B8B66DB2043D}"/>
    <cellStyle name="Normal 2 3 7 2 4 2 2" xfId="3122" xr:uid="{FDAB48D9-4877-45E3-8405-2A3E6BE2AE2C}"/>
    <cellStyle name="Normal 2 3 7 2 4 3" xfId="3123" xr:uid="{3A3D6D27-A6DF-46BB-8092-3D056A9C31BC}"/>
    <cellStyle name="Normal 2 3 7 2 5" xfId="3124" xr:uid="{00D7AB0B-B4F0-40E9-8CFD-7E79D51340D7}"/>
    <cellStyle name="Normal 2 3 7 2 5 2" xfId="3125" xr:uid="{F8CA877E-C4EB-4B14-A7FD-7D649269C61D}"/>
    <cellStyle name="Normal 2 3 7 2 6" xfId="3126" xr:uid="{38A87375-0B4F-46E0-A115-70B62FBD0518}"/>
    <cellStyle name="Normal 2 3 7 3" xfId="3127" xr:uid="{1B4938F0-1814-4365-AD63-7CC6E05324D5}"/>
    <cellStyle name="Normal 2 3 7 3 2" xfId="3128" xr:uid="{2791E1FD-7AF6-47F7-AD50-E83CBD77F9A9}"/>
    <cellStyle name="Normal 2 3 7 3 2 2" xfId="3129" xr:uid="{01356DAF-E025-4345-BD69-228CF5981E4D}"/>
    <cellStyle name="Normal 2 3 7 3 3" xfId="3130" xr:uid="{92FFFAAA-0009-46DC-8F25-33169511122D}"/>
    <cellStyle name="Normal 2 3 7 4" xfId="3131" xr:uid="{8D6D2796-AFE5-4A15-8840-86DDD6A2B0E0}"/>
    <cellStyle name="Normal 2 3 7 4 2" xfId="3132" xr:uid="{4D64E940-624D-4F13-9610-2E4E2C943121}"/>
    <cellStyle name="Normal 2 3 7 4 2 2" xfId="3133" xr:uid="{2C059AE4-93F0-4EF0-8CA1-6A8400F44744}"/>
    <cellStyle name="Normal 2 3 7 4 3" xfId="3134" xr:uid="{2B6361F3-B79C-4789-BB55-1388AF002E4C}"/>
    <cellStyle name="Normal 2 3 7 5" xfId="3135" xr:uid="{EE83206C-DAC3-4686-9DE5-4E8D9CE83108}"/>
    <cellStyle name="Normal 2 3 7 5 2" xfId="3136" xr:uid="{E61F929C-08E9-41D3-BCE4-8219CC620112}"/>
    <cellStyle name="Normal 2 3 7 5 2 2" xfId="3137" xr:uid="{7EDD4D58-67C2-41A2-B05D-72BEBD7D7B60}"/>
    <cellStyle name="Normal 2 3 7 5 3" xfId="3138" xr:uid="{472C433C-612C-42E4-A710-E800CB07F6E7}"/>
    <cellStyle name="Normal 2 3 7 6" xfId="3139" xr:uid="{F7D14045-1CEE-4F27-B2FA-1D7574C18EF6}"/>
    <cellStyle name="Normal 2 3 7 6 2" xfId="3140" xr:uid="{50CCE116-569C-456F-BAC7-F721FDEF679D}"/>
    <cellStyle name="Normal 2 3 7 7" xfId="3141" xr:uid="{EA951312-5A66-4F63-89D3-69577437DE6F}"/>
    <cellStyle name="Normal 2 3 8" xfId="3142" xr:uid="{D66DD00F-1666-44D0-A001-BD377AE66ED3}"/>
    <cellStyle name="Normal 2 3 8 2" xfId="3143" xr:uid="{203F6D4C-9951-40FE-BA63-247D1E112C0D}"/>
    <cellStyle name="Normal 2 3 8 2 2" xfId="3144" xr:uid="{79879EB6-BBD1-489F-9B76-A6ECB1B5C731}"/>
    <cellStyle name="Normal 2 3 8 2 2 2" xfId="3145" xr:uid="{AF52B794-85FB-4D76-8DEE-0461E7A191B5}"/>
    <cellStyle name="Normal 2 3 8 2 3" xfId="3146" xr:uid="{19A970AD-0E77-49AA-BDEB-DEA817CEDF91}"/>
    <cellStyle name="Normal 2 3 8 3" xfId="3147" xr:uid="{72B23542-08E4-4F62-81DB-DD37F888097E}"/>
    <cellStyle name="Normal 2 3 8 3 2" xfId="3148" xr:uid="{D6006D6E-EFBC-4EEC-8DB2-FE033AC6C90A}"/>
    <cellStyle name="Normal 2 3 8 3 2 2" xfId="3149" xr:uid="{F68A07BA-F309-4534-9D9B-D9C4D73C0472}"/>
    <cellStyle name="Normal 2 3 8 3 3" xfId="3150" xr:uid="{B47B0D95-1C0F-4853-A1E0-2E1241816476}"/>
    <cellStyle name="Normal 2 3 8 4" xfId="3151" xr:uid="{AEE4B591-D410-43FE-9D55-6AA8D5E0EEBD}"/>
    <cellStyle name="Normal 2 3 8 4 2" xfId="3152" xr:uid="{B4EDE8B0-4238-4454-868E-D197E50B568D}"/>
    <cellStyle name="Normal 2 3 8 4 2 2" xfId="3153" xr:uid="{B54D9B09-5481-4985-A7D2-8FC6D1E82704}"/>
    <cellStyle name="Normal 2 3 8 4 3" xfId="3154" xr:uid="{C376D761-750B-4202-AD26-27B8E6C36581}"/>
    <cellStyle name="Normal 2 3 8 5" xfId="3155" xr:uid="{B658B822-5C4D-4D8D-909E-615A6CE4CF40}"/>
    <cellStyle name="Normal 2 3 8 5 2" xfId="3156" xr:uid="{EBA8655D-CAC1-448D-8290-F2500E0C1E38}"/>
    <cellStyle name="Normal 2 3 8 6" xfId="3157" xr:uid="{B1DADC57-6738-49C8-B7EA-BB0DB37AE264}"/>
    <cellStyle name="Normal 2 3 9" xfId="3158" xr:uid="{09C4F07A-BD74-4526-A32A-70EDE39C68F0}"/>
    <cellStyle name="Normal 2 3 9 2" xfId="3159" xr:uid="{A6656257-8434-4E20-BF7B-655D5CA5C2BC}"/>
    <cellStyle name="Normal 2 3 9 2 2" xfId="3160" xr:uid="{136E505D-5612-4993-A675-403966DCE272}"/>
    <cellStyle name="Normal 2 3 9 3" xfId="3161" xr:uid="{274D254E-8610-44F9-B6FD-3B3FDEBA2BDA}"/>
    <cellStyle name="Normal 2 4" xfId="3162" xr:uid="{FA3955C3-D2A8-400C-A8BB-CBD8CDE5F3C0}"/>
    <cellStyle name="Normal 2 4 10" xfId="3163" xr:uid="{605492F0-B6FB-47A2-B879-64860041A40D}"/>
    <cellStyle name="Normal 2 4 10 2" xfId="3164" xr:uid="{8CDC3F51-8FF7-4B14-BFE5-6A9C9E5E4128}"/>
    <cellStyle name="Normal 2 4 10 2 2" xfId="3165" xr:uid="{C803398D-B587-4096-9D3F-2F0F1E195E62}"/>
    <cellStyle name="Normal 2 4 10 3" xfId="3166" xr:uid="{C5949C37-5AC0-4178-9C95-0320EE3AB7C8}"/>
    <cellStyle name="Normal 2 4 11" xfId="3167" xr:uid="{81F3DBAB-0DC0-4AD0-B664-EE0E892B7AA2}"/>
    <cellStyle name="Normal 2 4 11 2" xfId="3168" xr:uid="{859D4901-30C8-4D2A-B0FF-BFF0C69B6779}"/>
    <cellStyle name="Normal 2 4 11 2 2" xfId="3169" xr:uid="{E767E7A8-C16C-4A87-B950-D25BC45E85C9}"/>
    <cellStyle name="Normal 2 4 11 3" xfId="3170" xr:uid="{DF091D88-C501-41B7-8767-83FFA4DF4DCD}"/>
    <cellStyle name="Normal 2 4 12" xfId="3171" xr:uid="{4D20BA3A-7BA4-45FC-AE85-77D19EA329C9}"/>
    <cellStyle name="Normal 2 4 12 2" xfId="3172" xr:uid="{CC7135D8-4B98-4220-A4C0-3AA2537FA057}"/>
    <cellStyle name="Normal 2 4 12 2 2" xfId="3173" xr:uid="{ECEBABC0-66EB-415A-A4C6-1186D6946C71}"/>
    <cellStyle name="Normal 2 4 12 3" xfId="3174" xr:uid="{F8A42BB5-1FFF-4E1A-9E0D-3E9E66345DDC}"/>
    <cellStyle name="Normal 2 4 13" xfId="3175" xr:uid="{B05DEC21-C8E2-4996-AA81-605AFE86726B}"/>
    <cellStyle name="Normal 2 4 13 2" xfId="3176" xr:uid="{F9B4D80B-4116-4E3D-B31B-E8F2B4F97629}"/>
    <cellStyle name="Normal 2 4 13 2 2" xfId="3177" xr:uid="{F4D6A5C8-C4FE-417F-8DB5-4C94BEDBEDB8}"/>
    <cellStyle name="Normal 2 4 13 3" xfId="3178" xr:uid="{94053B40-4F19-4FE9-9F6A-0A6E6397F9D7}"/>
    <cellStyle name="Normal 2 4 14" xfId="3179" xr:uid="{3F054476-012E-4551-8F67-CB6E48D3E686}"/>
    <cellStyle name="Normal 2 4 14 2" xfId="3180" xr:uid="{C60CFD38-9B5D-446A-9C1D-8A9FBE65B86C}"/>
    <cellStyle name="Normal 2 4 15" xfId="3181" xr:uid="{F28BB61C-0F5F-4678-A79B-1894BF8CD758}"/>
    <cellStyle name="Normal 2 4 15 2" xfId="3182" xr:uid="{50D8BC80-45AB-424E-8ACD-06010C0F759F}"/>
    <cellStyle name="Normal 2 4 16" xfId="7676" xr:uid="{5513E7AD-D839-40B0-8A5F-994C3D153C5D}"/>
    <cellStyle name="Normal 2 4 2" xfId="3183" xr:uid="{68A0AE79-0328-490A-85B9-A808A6D22AB4}"/>
    <cellStyle name="Normal 2 4 2 2" xfId="7677" xr:uid="{401DC4C7-1D68-4EEB-94AF-9689244BE86F}"/>
    <cellStyle name="Normal 2 4 3" xfId="3184" xr:uid="{1D23DD65-D588-437B-9275-A37A9FC93598}"/>
    <cellStyle name="Normal 2 4 3 10" xfId="3185" xr:uid="{82BE13C2-C321-4FD5-9A7E-61E2BE428C12}"/>
    <cellStyle name="Normal 2 4 3 10 2" xfId="3186" xr:uid="{76043F90-C6EF-4DA8-908B-3549DC26CB02}"/>
    <cellStyle name="Normal 2 4 3 10 2 2" xfId="3187" xr:uid="{1847BDE7-4CC5-4A8A-A09C-A39CA49764FB}"/>
    <cellStyle name="Normal 2 4 3 10 3" xfId="3188" xr:uid="{1DC2764D-B380-44AA-9718-6FB39BB0E0EF}"/>
    <cellStyle name="Normal 2 4 3 11" xfId="3189" xr:uid="{A28E3CED-07E8-4669-A4EC-E65F82BBA0FA}"/>
    <cellStyle name="Normal 2 4 3 11 2" xfId="3190" xr:uid="{FA1D8698-24F6-4B40-88C8-58FA610F8BBC}"/>
    <cellStyle name="Normal 2 4 3 11 2 2" xfId="3191" xr:uid="{F7406C20-CD4D-47F6-82F0-94544B3D6CA4}"/>
    <cellStyle name="Normal 2 4 3 11 3" xfId="3192" xr:uid="{CC76AD03-B27C-4337-8202-4506CB30CFDD}"/>
    <cellStyle name="Normal 2 4 3 12" xfId="3193" xr:uid="{43D5E50C-AB0C-4934-9C7F-E2F58EA1FCBB}"/>
    <cellStyle name="Normal 2 4 3 12 2" xfId="3194" xr:uid="{363AA49F-0D62-4643-BCCA-09674ECDE9C4}"/>
    <cellStyle name="Normal 2 4 3 13" xfId="3195" xr:uid="{E1503BA6-B01A-46B4-8EDB-492591A54850}"/>
    <cellStyle name="Normal 2 4 3 14" xfId="7678" xr:uid="{3BC74E32-08B3-460C-AB3B-5AFC9E2D7053}"/>
    <cellStyle name="Normal 2 4 3 14 2" xfId="7857" xr:uid="{FB8918E2-6C0C-4AB7-A548-ABE6DA1A853C}"/>
    <cellStyle name="Normal 2 4 3 14 2 2" xfId="8227" xr:uid="{D1F910B8-1085-4A72-B0C9-3FF8953240CA}"/>
    <cellStyle name="Normal 2 4 3 14 2 2 2" xfId="8897" xr:uid="{846BE6ED-262B-46C0-8091-A5102B5B4D36}"/>
    <cellStyle name="Normal 2 4 3 14 2 2 2 2" xfId="10966" xr:uid="{5E6FBCB5-E6A6-4ED1-A104-89505D2199C0}"/>
    <cellStyle name="Normal 2 4 3 14 2 2 2 2 2" xfId="15172" xr:uid="{99F8764F-132F-4613-A8AA-4F3621D3BA9B}"/>
    <cellStyle name="Normal 2 4 3 14 2 2 2 3" xfId="13143" xr:uid="{FF968ED3-8BAC-40B1-9465-8661D16C6866}"/>
    <cellStyle name="Normal 2 4 3 14 2 2 3" xfId="10296" xr:uid="{1CC2B392-D9DD-449B-B2D1-009D9427207E}"/>
    <cellStyle name="Normal 2 4 3 14 2 2 3 2" xfId="14502" xr:uid="{19D60F1E-62D9-4E71-A6C2-74D0D40792C4}"/>
    <cellStyle name="Normal 2 4 3 14 2 2 4" xfId="12473" xr:uid="{C49E34C9-C8D1-4174-A198-B46FDADF6113}"/>
    <cellStyle name="Normal 2 4 3 14 2 3" xfId="8563" xr:uid="{B3757890-717D-46FC-B440-6F08B6CE847B}"/>
    <cellStyle name="Normal 2 4 3 14 2 3 2" xfId="10632" xr:uid="{A42FF61C-1DD7-4A5B-9770-9368CA1AA239}"/>
    <cellStyle name="Normal 2 4 3 14 2 3 2 2" xfId="14838" xr:uid="{63D79280-07D4-4715-B6A0-C3D9647F8FB6}"/>
    <cellStyle name="Normal 2 4 3 14 2 3 3" xfId="12809" xr:uid="{E3CFCA4B-980C-410C-8DB1-1A02FDBF8AD9}"/>
    <cellStyle name="Normal 2 4 3 14 2 4" xfId="9236" xr:uid="{1232FE84-3DDC-4B43-91FE-CCFFE941E8DE}"/>
    <cellStyle name="Normal 2 4 3 14 2 4 2" xfId="11305" xr:uid="{0C8E9A92-C9B7-4770-B4EA-F3C210252557}"/>
    <cellStyle name="Normal 2 4 3 14 2 4 2 2" xfId="15511" xr:uid="{859B6E75-0F84-47CC-ABB0-7E8095225802}"/>
    <cellStyle name="Normal 2 4 3 14 2 4 3" xfId="13482" xr:uid="{0D2EEA1E-9F21-4BA6-89AE-D1E33D14DA83}"/>
    <cellStyle name="Normal 2 4 3 14 2 5" xfId="9604" xr:uid="{931CACA7-6CAB-4F3C-AD10-09B364FECF1D}"/>
    <cellStyle name="Normal 2 4 3 14 2 5 2" xfId="11638" xr:uid="{7D7C9728-2123-4DE5-A57C-AFA7819909AC}"/>
    <cellStyle name="Normal 2 4 3 14 2 5 2 2" xfId="15844" xr:uid="{016BE02F-277C-4ED3-9AC0-AF911E2EBB61}"/>
    <cellStyle name="Normal 2 4 3 14 2 5 3" xfId="13815" xr:uid="{8EEEE9CB-3C3C-4B64-BD7E-1E8694579E35}"/>
    <cellStyle name="Normal 2 4 3 14 2 6" xfId="9962" xr:uid="{2C4D7752-A0F9-4746-8D85-97D26B2BC4F7}"/>
    <cellStyle name="Normal 2 4 3 14 2 6 2" xfId="14168" xr:uid="{A442BCA9-4EA5-46BC-9C4D-86315D7CA410}"/>
    <cellStyle name="Normal 2 4 3 14 2 7" xfId="12139" xr:uid="{9B01E6F4-6C51-4C42-8D25-4115D5E3B1AC}"/>
    <cellStyle name="Normal 2 4 3 14 3" xfId="8064" xr:uid="{DA70C273-E11C-469F-8C7F-986E42281693}"/>
    <cellStyle name="Normal 2 4 3 14 3 2" xfId="8734" xr:uid="{D1DC74E4-035B-47E2-BEA1-3C3807F83D0C}"/>
    <cellStyle name="Normal 2 4 3 14 3 2 2" xfId="10803" xr:uid="{A9C5E208-81B6-4CD5-B833-2F4A6751AAFF}"/>
    <cellStyle name="Normal 2 4 3 14 3 2 2 2" xfId="15009" xr:uid="{2BCB1BC7-FD98-44B6-AFAE-B0BA1F13782F}"/>
    <cellStyle name="Normal 2 4 3 14 3 2 3" xfId="12980" xr:uid="{61C9D03C-DB12-4E2C-8297-0410B3367B7D}"/>
    <cellStyle name="Normal 2 4 3 14 3 3" xfId="10133" xr:uid="{8E40DB29-9195-427E-B08B-1D979D4A87D1}"/>
    <cellStyle name="Normal 2 4 3 14 3 3 2" xfId="14339" xr:uid="{DE80A958-5FA6-4D89-91F3-7528F43FB4E8}"/>
    <cellStyle name="Normal 2 4 3 14 3 4" xfId="12310" xr:uid="{C4FA3937-18CD-493A-95A0-9BC325FF9EF6}"/>
    <cellStyle name="Normal 2 4 3 14 4" xfId="8400" xr:uid="{6B88E47E-F4C0-4E96-AE26-9CCFFC4039EE}"/>
    <cellStyle name="Normal 2 4 3 14 4 2" xfId="10469" xr:uid="{C15016F8-AFCA-4915-9B25-86CA7C598F73}"/>
    <cellStyle name="Normal 2 4 3 14 4 2 2" xfId="14675" xr:uid="{711EE439-4874-468E-B941-7D1752126622}"/>
    <cellStyle name="Normal 2 4 3 14 4 3" xfId="12646" xr:uid="{BC7F063F-40AE-457C-9D52-91F936CD2810}"/>
    <cellStyle name="Normal 2 4 3 14 5" xfId="9073" xr:uid="{6DD3D8B0-B58F-4D4A-BBC4-24F4B2C8FC52}"/>
    <cellStyle name="Normal 2 4 3 14 5 2" xfId="11142" xr:uid="{A32A4923-51C3-4394-82C9-5E54F26E1C51}"/>
    <cellStyle name="Normal 2 4 3 14 5 2 2" xfId="15348" xr:uid="{64334D2F-2A5A-4B51-A4EC-EA1F3BF04F5A}"/>
    <cellStyle name="Normal 2 4 3 14 5 3" xfId="13319" xr:uid="{EA21326A-560E-4C4A-B1CC-47460FFF893D}"/>
    <cellStyle name="Normal 2 4 3 14 6" xfId="9441" xr:uid="{66304FD4-1C62-4963-AA2C-91FD9F6C952E}"/>
    <cellStyle name="Normal 2 4 3 14 6 2" xfId="11475" xr:uid="{70D4EBDF-C7AF-4C4A-A7B4-40760E017AE9}"/>
    <cellStyle name="Normal 2 4 3 14 6 2 2" xfId="15681" xr:uid="{6E84CAF1-2068-42B1-960A-282EB0D27EC1}"/>
    <cellStyle name="Normal 2 4 3 14 6 3" xfId="13652" xr:uid="{100D1E70-6232-483C-BE62-85F8F73E7E0F}"/>
    <cellStyle name="Normal 2 4 3 14 7" xfId="9799" xr:uid="{1EB33520-2097-4892-8EA8-97961C3020A0}"/>
    <cellStyle name="Normal 2 4 3 14 7 2" xfId="14005" xr:uid="{62A1723A-676F-4439-87EB-C8EB065FC400}"/>
    <cellStyle name="Normal 2 4 3 14 8" xfId="11976" xr:uid="{3435F14D-7F8C-4472-BBC3-2313B746C754}"/>
    <cellStyle name="Normal 2 4 3 15" xfId="11675" xr:uid="{AF2A752B-39AA-4A0B-9956-E185F4327791}"/>
    <cellStyle name="Normal 2 4 3 15 2" xfId="15880" xr:uid="{863943B3-3733-4DC0-9E9B-7937D4798884}"/>
    <cellStyle name="Normal 2 4 3 16" xfId="11711" xr:uid="{FD07823F-8B31-47F0-BA9A-3EDF07C5827D}"/>
    <cellStyle name="Normal 2 4 3 16 2" xfId="15915" xr:uid="{25637AB6-5BA7-422D-8EA6-A07717D88F82}"/>
    <cellStyle name="Normal 2 4 3 17" xfId="11735" xr:uid="{A52994E8-CC00-47F5-A7AE-80B17DC06812}"/>
    <cellStyle name="Normal 2 4 3 17 2" xfId="15938" xr:uid="{977F5028-50E0-4CBB-ACB3-C5BF01BB20BB}"/>
    <cellStyle name="Normal 2 4 3 18" xfId="11761" xr:uid="{2D29CD05-480C-45B5-8858-27AC1C05D58F}"/>
    <cellStyle name="Normal 2 4 3 18 2" xfId="15962" xr:uid="{52CF93CF-92AA-4A22-9EB8-874226776AD9}"/>
    <cellStyle name="Normal 2 4 3 19" xfId="11778" xr:uid="{4B9F40FB-03D2-4379-8582-83624E27CFF2}"/>
    <cellStyle name="Normal 2 4 3 19 2" xfId="15979" xr:uid="{79942FC7-C630-479E-9430-FE84AE8A5D60}"/>
    <cellStyle name="Normal 2 4 3 2" xfId="3196" xr:uid="{00EE7E29-F41E-44EA-8CFD-67C33F42CB40}"/>
    <cellStyle name="Normal 2 4 3 2 10" xfId="3197" xr:uid="{E4D69A4F-0273-45BA-A7DD-786100A1CE9A}"/>
    <cellStyle name="Normal 2 4 3 2 10 2" xfId="3198" xr:uid="{6A6EBE12-C25F-435A-872B-C427074136FD}"/>
    <cellStyle name="Normal 2 4 3 2 11" xfId="3199" xr:uid="{D4F41C2E-3910-4234-B691-C6D01A009F78}"/>
    <cellStyle name="Normal 2 4 3 2 2" xfId="3200" xr:uid="{9BFDA051-B187-4C41-B851-4CFAFF2AC7AE}"/>
    <cellStyle name="Normal 2 4 3 2 2 2" xfId="3201" xr:uid="{B7C7B9A5-C971-42BB-8EF2-EF665FA51425}"/>
    <cellStyle name="Normal 2 4 3 2 2 2 2" xfId="3202" xr:uid="{D7697C9A-C485-4EF6-AD8D-38D994E95842}"/>
    <cellStyle name="Normal 2 4 3 2 2 2 2 2" xfId="3203" xr:uid="{58F9E77D-2935-4B33-BA85-FED4D135900D}"/>
    <cellStyle name="Normal 2 4 3 2 2 2 2 2 2" xfId="3204" xr:uid="{D5F10762-16D4-4038-B0D1-BC0607CC57EA}"/>
    <cellStyle name="Normal 2 4 3 2 2 2 2 2 2 2" xfId="3205" xr:uid="{5EB434BE-8ADE-4D13-87EA-F12F92E42266}"/>
    <cellStyle name="Normal 2 4 3 2 2 2 2 2 3" xfId="3206" xr:uid="{D54ECE80-E27A-4E49-A596-5B5E2CA1D03F}"/>
    <cellStyle name="Normal 2 4 3 2 2 2 2 3" xfId="3207" xr:uid="{3298F7A4-A728-4B0E-8ED8-60ECDAB74590}"/>
    <cellStyle name="Normal 2 4 3 2 2 2 2 3 2" xfId="3208" xr:uid="{AEC6C0AE-792A-4F27-B75C-C68E4462A1FF}"/>
    <cellStyle name="Normal 2 4 3 2 2 2 2 3 2 2" xfId="3209" xr:uid="{936B2A90-C703-49C0-9967-99D70142ABDC}"/>
    <cellStyle name="Normal 2 4 3 2 2 2 2 3 3" xfId="3210" xr:uid="{B69121B7-1C80-4B62-8DAF-FD161CA31DCD}"/>
    <cellStyle name="Normal 2 4 3 2 2 2 2 4" xfId="3211" xr:uid="{F5A8AE64-FBEC-4BD5-AE91-0118814A7E6C}"/>
    <cellStyle name="Normal 2 4 3 2 2 2 2 4 2" xfId="3212" xr:uid="{1F184411-1C37-49DB-BBA8-97EE6040A451}"/>
    <cellStyle name="Normal 2 4 3 2 2 2 2 4 2 2" xfId="3213" xr:uid="{1153B4EC-CE38-44D0-9E9E-575116A54551}"/>
    <cellStyle name="Normal 2 4 3 2 2 2 2 4 3" xfId="3214" xr:uid="{7CCECD58-3DAE-458F-8358-BA0725A4202E}"/>
    <cellStyle name="Normal 2 4 3 2 2 2 2 5" xfId="3215" xr:uid="{3111BA18-AFD3-4824-B076-7FFE5EA48795}"/>
    <cellStyle name="Normal 2 4 3 2 2 2 2 5 2" xfId="3216" xr:uid="{5D7D86B0-8F16-45DA-BDCF-E5D0DD914CB5}"/>
    <cellStyle name="Normal 2 4 3 2 2 2 2 6" xfId="3217" xr:uid="{7DC22581-1DFA-487C-8A88-1F59733F0BD6}"/>
    <cellStyle name="Normal 2 4 3 2 2 2 3" xfId="3218" xr:uid="{54C66425-137D-45E6-BD51-2A0AFDBD4909}"/>
    <cellStyle name="Normal 2 4 3 2 2 2 3 2" xfId="3219" xr:uid="{A62D937F-DAA0-44A7-AD85-4A1A779C6EBD}"/>
    <cellStyle name="Normal 2 4 3 2 2 2 3 2 2" xfId="3220" xr:uid="{21D6F757-8294-40AC-85BF-8517AA388165}"/>
    <cellStyle name="Normal 2 4 3 2 2 2 3 3" xfId="3221" xr:uid="{3DFEF587-E0DD-4129-839A-44EC7200E142}"/>
    <cellStyle name="Normal 2 4 3 2 2 2 4" xfId="3222" xr:uid="{BF7E7B82-6B03-49C1-819C-23B56BE79D3F}"/>
    <cellStyle name="Normal 2 4 3 2 2 2 4 2" xfId="3223" xr:uid="{0722FE3E-1A0A-419C-B1C0-EFFB84982ED7}"/>
    <cellStyle name="Normal 2 4 3 2 2 2 4 2 2" xfId="3224" xr:uid="{D00607C3-FCC0-4211-A5B8-142393BEB2AF}"/>
    <cellStyle name="Normal 2 4 3 2 2 2 4 3" xfId="3225" xr:uid="{D2075D9B-FA38-4E0C-BF32-4E587158FF97}"/>
    <cellStyle name="Normal 2 4 3 2 2 2 5" xfId="3226" xr:uid="{A8D8E71A-370E-4E62-AD7C-2D07F1DDD979}"/>
    <cellStyle name="Normal 2 4 3 2 2 2 5 2" xfId="3227" xr:uid="{0692D772-648F-47FA-8841-281E716A5AD7}"/>
    <cellStyle name="Normal 2 4 3 2 2 2 5 2 2" xfId="3228" xr:uid="{CF2E7B05-2F33-4AED-B553-A503194EDDA6}"/>
    <cellStyle name="Normal 2 4 3 2 2 2 5 3" xfId="3229" xr:uid="{5B676BCA-DC51-4B3F-996D-0E320589201C}"/>
    <cellStyle name="Normal 2 4 3 2 2 2 6" xfId="3230" xr:uid="{FAB8FBD2-2B53-4C34-A37E-8F09AD636EC2}"/>
    <cellStyle name="Normal 2 4 3 2 2 2 6 2" xfId="3231" xr:uid="{F4ED0485-D039-437A-B576-4781CCF09055}"/>
    <cellStyle name="Normal 2 4 3 2 2 2 7" xfId="3232" xr:uid="{055302DE-7F9A-42CB-963C-A205123E8590}"/>
    <cellStyle name="Normal 2 4 3 2 2 3" xfId="3233" xr:uid="{C3569ADC-94E9-4776-9CBE-EEF8C8CEB780}"/>
    <cellStyle name="Normal 2 4 3 2 2 3 2" xfId="3234" xr:uid="{9B2DEE4E-4617-4626-A542-8B65D32AEDAD}"/>
    <cellStyle name="Normal 2 4 3 2 2 3 2 2" xfId="3235" xr:uid="{E0C72FD0-1290-4D17-AEB2-D6026CAD9B26}"/>
    <cellStyle name="Normal 2 4 3 2 2 3 2 2 2" xfId="3236" xr:uid="{0F587381-9B1F-48B6-8937-E57BAD3D1FB4}"/>
    <cellStyle name="Normal 2 4 3 2 2 3 2 3" xfId="3237" xr:uid="{F02AEAEE-57A8-454F-AB4D-4D48F7BEEC20}"/>
    <cellStyle name="Normal 2 4 3 2 2 3 3" xfId="3238" xr:uid="{9875B7FD-60B8-4B8E-8850-8E3015FCF223}"/>
    <cellStyle name="Normal 2 4 3 2 2 3 3 2" xfId="3239" xr:uid="{A4B0A68B-C29C-4992-B0A1-9F38ECA717A3}"/>
    <cellStyle name="Normal 2 4 3 2 2 3 3 2 2" xfId="3240" xr:uid="{85D52B03-798F-4A92-B461-4786B159C297}"/>
    <cellStyle name="Normal 2 4 3 2 2 3 3 3" xfId="3241" xr:uid="{EC842023-E949-4633-85E9-CE9963142AE4}"/>
    <cellStyle name="Normal 2 4 3 2 2 3 4" xfId="3242" xr:uid="{1B8731D8-0D80-42FE-9355-22570C27DABD}"/>
    <cellStyle name="Normal 2 4 3 2 2 3 4 2" xfId="3243" xr:uid="{84AEB256-DCAD-437F-AFC6-A6684DD12B5F}"/>
    <cellStyle name="Normal 2 4 3 2 2 3 4 2 2" xfId="3244" xr:uid="{99F34D8B-3A09-43BC-9AA7-984E04B59C95}"/>
    <cellStyle name="Normal 2 4 3 2 2 3 4 3" xfId="3245" xr:uid="{30B9D2C0-9339-4C1B-BA75-ECCAEDEDEAC0}"/>
    <cellStyle name="Normal 2 4 3 2 2 3 5" xfId="3246" xr:uid="{352453C0-0C68-4AAB-AFDC-40AA04467627}"/>
    <cellStyle name="Normal 2 4 3 2 2 3 5 2" xfId="3247" xr:uid="{EFE03EB4-56A4-4B2F-8A09-0AFF0B5BA1F2}"/>
    <cellStyle name="Normal 2 4 3 2 2 3 6" xfId="3248" xr:uid="{D0B0E8EB-4A45-4F1F-846E-AC7FCD3E06B5}"/>
    <cellStyle name="Normal 2 4 3 2 2 4" xfId="3249" xr:uid="{76FC605E-5145-42A0-B99C-834B9515538F}"/>
    <cellStyle name="Normal 2 4 3 2 2 4 2" xfId="3250" xr:uid="{D6ED93EC-B087-4A9C-901D-E488ABF3BB20}"/>
    <cellStyle name="Normal 2 4 3 2 2 4 2 2" xfId="3251" xr:uid="{C57F3ECC-76F3-42BB-A3CB-0CF023F9CA63}"/>
    <cellStyle name="Normal 2 4 3 2 2 4 3" xfId="3252" xr:uid="{7E8520E8-C40D-48F0-9576-6CC376626DF2}"/>
    <cellStyle name="Normal 2 4 3 2 2 5" xfId="3253" xr:uid="{75CDD2A2-BF04-4230-890E-51487F6DA807}"/>
    <cellStyle name="Normal 2 4 3 2 2 5 2" xfId="3254" xr:uid="{4067477F-A1D0-4D30-AE1F-893A88CEE5F7}"/>
    <cellStyle name="Normal 2 4 3 2 2 5 2 2" xfId="3255" xr:uid="{842E6EF1-DCB1-4A47-AB8B-3F706496F95B}"/>
    <cellStyle name="Normal 2 4 3 2 2 5 3" xfId="3256" xr:uid="{AC5EAF52-68F6-4CCC-A913-F7E4BBDC5D87}"/>
    <cellStyle name="Normal 2 4 3 2 2 6" xfId="3257" xr:uid="{2C32DD04-7C53-4AEB-9668-7F9213FB8856}"/>
    <cellStyle name="Normal 2 4 3 2 2 6 2" xfId="3258" xr:uid="{711979D3-1D85-422C-87B0-08353FC5D814}"/>
    <cellStyle name="Normal 2 4 3 2 2 6 2 2" xfId="3259" xr:uid="{A8E52971-49DE-460B-AEAA-1483EB083C22}"/>
    <cellStyle name="Normal 2 4 3 2 2 6 3" xfId="3260" xr:uid="{DB9DBE95-6269-477E-B6D3-EAC7E2CCD08E}"/>
    <cellStyle name="Normal 2 4 3 2 2 7" xfId="3261" xr:uid="{A1FC8DF2-EEEF-4743-B02B-F87DB670439C}"/>
    <cellStyle name="Normal 2 4 3 2 2 7 2" xfId="3262" xr:uid="{FE42141E-9098-49C5-9151-47D8337FD425}"/>
    <cellStyle name="Normal 2 4 3 2 2 8" xfId="3263" xr:uid="{8FEB82C7-0BD3-474A-92E3-BF6D25FE046D}"/>
    <cellStyle name="Normal 2 4 3 2 3" xfId="3264" xr:uid="{70610C5D-50FF-4CB4-8B6E-25DB4DF33132}"/>
    <cellStyle name="Normal 2 4 3 2 3 2" xfId="3265" xr:uid="{2B73DA7C-16AE-40F1-B60C-ADB849EA4600}"/>
    <cellStyle name="Normal 2 4 3 2 3 2 2" xfId="3266" xr:uid="{0BB3B57F-8726-429D-A9B2-859517BCE3FF}"/>
    <cellStyle name="Normal 2 4 3 2 3 2 2 2" xfId="3267" xr:uid="{089C465C-F972-4FD0-8977-99FC87D57F61}"/>
    <cellStyle name="Normal 2 4 3 2 3 2 2 2 2" xfId="3268" xr:uid="{BA080FF1-C9F5-4FF2-B3AA-F7A0292DDD1D}"/>
    <cellStyle name="Normal 2 4 3 2 3 2 2 2 2 2" xfId="3269" xr:uid="{66021B30-D7E6-48A0-B3AD-DFAD5D2136FE}"/>
    <cellStyle name="Normal 2 4 3 2 3 2 2 2 3" xfId="3270" xr:uid="{11F31F32-A59A-473F-9EDB-42A1C8539E50}"/>
    <cellStyle name="Normal 2 4 3 2 3 2 2 3" xfId="3271" xr:uid="{DFEF4C2E-DA1A-4F93-8640-E03AD5EA5226}"/>
    <cellStyle name="Normal 2 4 3 2 3 2 2 3 2" xfId="3272" xr:uid="{CFF1BBDC-7003-4F88-A9F0-C5F3ABCBB9F2}"/>
    <cellStyle name="Normal 2 4 3 2 3 2 2 3 2 2" xfId="3273" xr:uid="{21E8AD60-2EFD-456B-AE67-D066919D5006}"/>
    <cellStyle name="Normal 2 4 3 2 3 2 2 3 3" xfId="3274" xr:uid="{4C60C1CE-2BB4-42ED-AC9A-BB7B98EB3F03}"/>
    <cellStyle name="Normal 2 4 3 2 3 2 2 4" xfId="3275" xr:uid="{342D8C80-B6D1-4DD3-BE87-A660736D5EB9}"/>
    <cellStyle name="Normal 2 4 3 2 3 2 2 4 2" xfId="3276" xr:uid="{2DB7D604-F1EC-43C9-85A9-4F9CC85B0E43}"/>
    <cellStyle name="Normal 2 4 3 2 3 2 2 4 2 2" xfId="3277" xr:uid="{37BA7D99-9694-4D78-B64F-155739E42247}"/>
    <cellStyle name="Normal 2 4 3 2 3 2 2 4 3" xfId="3278" xr:uid="{EC77E36F-1C1F-4C95-8097-5386ACD1F859}"/>
    <cellStyle name="Normal 2 4 3 2 3 2 2 5" xfId="3279" xr:uid="{F0FAF574-BF95-475F-9664-4954B4B19260}"/>
    <cellStyle name="Normal 2 4 3 2 3 2 2 5 2" xfId="3280" xr:uid="{0E112CAB-FEEA-4A7E-8D9F-87CFCECC7F8E}"/>
    <cellStyle name="Normal 2 4 3 2 3 2 2 6" xfId="3281" xr:uid="{CB07C3B7-BEBE-494A-A61E-157F6663DA1E}"/>
    <cellStyle name="Normal 2 4 3 2 3 2 3" xfId="3282" xr:uid="{E64DA4A8-55B3-4F8A-BF7E-78A1D86F5FF6}"/>
    <cellStyle name="Normal 2 4 3 2 3 2 3 2" xfId="3283" xr:uid="{F84D785C-86DC-4A9B-A16B-C3C5CE796226}"/>
    <cellStyle name="Normal 2 4 3 2 3 2 3 2 2" xfId="3284" xr:uid="{72F70FED-E606-4E67-9D42-F97F72901315}"/>
    <cellStyle name="Normal 2 4 3 2 3 2 3 3" xfId="3285" xr:uid="{1053BC95-8D7E-4415-A500-0A1BDA89182E}"/>
    <cellStyle name="Normal 2 4 3 2 3 2 4" xfId="3286" xr:uid="{A40632F8-3031-4130-AEDC-136007970246}"/>
    <cellStyle name="Normal 2 4 3 2 3 2 4 2" xfId="3287" xr:uid="{F0DC9B7A-0978-4BBB-BDFF-33C87AE5D81C}"/>
    <cellStyle name="Normal 2 4 3 2 3 2 4 2 2" xfId="3288" xr:uid="{9213F61A-26A2-4EA1-95BF-C163821615C7}"/>
    <cellStyle name="Normal 2 4 3 2 3 2 4 3" xfId="3289" xr:uid="{2FE6B1BE-8896-4CB2-B60B-3349CAB6B81B}"/>
    <cellStyle name="Normal 2 4 3 2 3 2 5" xfId="3290" xr:uid="{9E6AB0DC-90AA-4811-8166-82B86AC8FB72}"/>
    <cellStyle name="Normal 2 4 3 2 3 2 5 2" xfId="3291" xr:uid="{EDCC5FD6-5406-47F2-9A23-1BC9F874A39C}"/>
    <cellStyle name="Normal 2 4 3 2 3 2 5 2 2" xfId="3292" xr:uid="{589FBC64-D445-4DCA-9561-F3989F774C72}"/>
    <cellStyle name="Normal 2 4 3 2 3 2 5 3" xfId="3293" xr:uid="{681D2DC6-9DA8-445E-A46E-63361DAC123E}"/>
    <cellStyle name="Normal 2 4 3 2 3 2 6" xfId="3294" xr:uid="{D845F76A-BCF7-4916-AB05-67DC3399B784}"/>
    <cellStyle name="Normal 2 4 3 2 3 2 6 2" xfId="3295" xr:uid="{22005AB0-0A93-453F-9D18-C32934DA4064}"/>
    <cellStyle name="Normal 2 4 3 2 3 2 7" xfId="3296" xr:uid="{AF134176-1312-4B54-89B3-FECDC36E406F}"/>
    <cellStyle name="Normal 2 4 3 2 3 3" xfId="3297" xr:uid="{CB014E5D-854E-4DB2-9E10-992F0B2D6194}"/>
    <cellStyle name="Normal 2 4 3 2 3 3 2" xfId="3298" xr:uid="{F6858A6D-74E1-413D-BBFE-B14E536F1BD8}"/>
    <cellStyle name="Normal 2 4 3 2 3 3 2 2" xfId="3299" xr:uid="{ECBEFBF0-06C8-4A24-9767-9485A62DED57}"/>
    <cellStyle name="Normal 2 4 3 2 3 3 2 2 2" xfId="3300" xr:uid="{06BA0CE8-CB18-4F63-97D0-88395ADC9818}"/>
    <cellStyle name="Normal 2 4 3 2 3 3 2 3" xfId="3301" xr:uid="{2164EDA4-C2A3-44A4-B024-C5EA8344A566}"/>
    <cellStyle name="Normal 2 4 3 2 3 3 3" xfId="3302" xr:uid="{8C9DBE07-A851-4DD1-B3BD-E1CB10779057}"/>
    <cellStyle name="Normal 2 4 3 2 3 3 3 2" xfId="3303" xr:uid="{D4EF7D5D-E84A-45AB-B247-E30348A2F91D}"/>
    <cellStyle name="Normal 2 4 3 2 3 3 3 2 2" xfId="3304" xr:uid="{47547064-6EE1-462A-997F-5BABD911A651}"/>
    <cellStyle name="Normal 2 4 3 2 3 3 3 3" xfId="3305" xr:uid="{E1D67248-97E0-40ED-86F3-32B13B16BAB7}"/>
    <cellStyle name="Normal 2 4 3 2 3 3 4" xfId="3306" xr:uid="{D61AAAB1-8B65-4296-BB11-0967DC7C9101}"/>
    <cellStyle name="Normal 2 4 3 2 3 3 4 2" xfId="3307" xr:uid="{3DF9E3AB-4913-48D4-9571-0730849FA059}"/>
    <cellStyle name="Normal 2 4 3 2 3 3 4 2 2" xfId="3308" xr:uid="{F971B8CC-4145-4FA8-A41F-72449F675F6B}"/>
    <cellStyle name="Normal 2 4 3 2 3 3 4 3" xfId="3309" xr:uid="{EDD434D6-87A7-4163-86B6-2FF7E1629FA0}"/>
    <cellStyle name="Normal 2 4 3 2 3 3 5" xfId="3310" xr:uid="{DF8598FF-ED5A-4234-B9BD-73D2B26C2F1E}"/>
    <cellStyle name="Normal 2 4 3 2 3 3 5 2" xfId="3311" xr:uid="{3887C136-231B-4791-8AE5-87AA2F3C79FD}"/>
    <cellStyle name="Normal 2 4 3 2 3 3 6" xfId="3312" xr:uid="{B196B604-77F0-4A27-8564-F69D8A9B6517}"/>
    <cellStyle name="Normal 2 4 3 2 3 4" xfId="3313" xr:uid="{9B446A16-DB7A-4090-A824-3F02AD01807C}"/>
    <cellStyle name="Normal 2 4 3 2 3 4 2" xfId="3314" xr:uid="{6EB4DDD6-FE81-412C-845D-87CFDF622406}"/>
    <cellStyle name="Normal 2 4 3 2 3 4 2 2" xfId="3315" xr:uid="{E11BA6C6-9BFC-4522-8EAE-1F48DC62D9C6}"/>
    <cellStyle name="Normal 2 4 3 2 3 4 3" xfId="3316" xr:uid="{5373EEE4-725B-488F-ABD4-D1D142F798CD}"/>
    <cellStyle name="Normal 2 4 3 2 3 5" xfId="3317" xr:uid="{7416628E-E30C-41E4-9D99-DF1932526714}"/>
    <cellStyle name="Normal 2 4 3 2 3 5 2" xfId="3318" xr:uid="{D27B2721-6219-41CE-A4D5-39A3B2DEFBFB}"/>
    <cellStyle name="Normal 2 4 3 2 3 5 2 2" xfId="3319" xr:uid="{7A7C7655-902D-4214-B332-8233F0800390}"/>
    <cellStyle name="Normal 2 4 3 2 3 5 3" xfId="3320" xr:uid="{ACF5D64A-5773-467C-A685-B1E03EA02752}"/>
    <cellStyle name="Normal 2 4 3 2 3 6" xfId="3321" xr:uid="{3EE275D2-41EF-4963-88A5-3EDF1C666878}"/>
    <cellStyle name="Normal 2 4 3 2 3 6 2" xfId="3322" xr:uid="{7BB5A5CB-B0EF-4102-B1B2-86C7FED061F5}"/>
    <cellStyle name="Normal 2 4 3 2 3 6 2 2" xfId="3323" xr:uid="{553AC526-CB74-4CDC-91E9-893EF29DE730}"/>
    <cellStyle name="Normal 2 4 3 2 3 6 3" xfId="3324" xr:uid="{F2FBD597-C530-484D-B937-B0538BD217BD}"/>
    <cellStyle name="Normal 2 4 3 2 3 7" xfId="3325" xr:uid="{E1829E07-D9CF-4B20-8A19-60EDEB16A2E5}"/>
    <cellStyle name="Normal 2 4 3 2 3 7 2" xfId="3326" xr:uid="{4EAC0AA9-91A9-4E0B-BF2C-E448816B4DD7}"/>
    <cellStyle name="Normal 2 4 3 2 3 8" xfId="3327" xr:uid="{99B9A0FD-755E-4C70-8FDD-02C4ADD5F92A}"/>
    <cellStyle name="Normal 2 4 3 2 4" xfId="3328" xr:uid="{9D1A2208-5866-48F0-8DE5-676EC1089B60}"/>
    <cellStyle name="Normal 2 4 3 2 4 2" xfId="3329" xr:uid="{74FD9B70-779B-44EC-B2F1-1600EE70AA6D}"/>
    <cellStyle name="Normal 2 4 3 2 4 2 2" xfId="3330" xr:uid="{5FDA4037-6352-436D-BB28-5A083990F4B0}"/>
    <cellStyle name="Normal 2 4 3 2 4 2 2 2" xfId="3331" xr:uid="{865356B0-00D3-4064-9AE5-C51C439FCA03}"/>
    <cellStyle name="Normal 2 4 3 2 4 2 2 2 2" xfId="3332" xr:uid="{F912C87B-D54F-48C4-A482-4ABB0827AA67}"/>
    <cellStyle name="Normal 2 4 3 2 4 2 2 3" xfId="3333" xr:uid="{AC72A1C9-CEDB-4823-B189-EACD1D73618C}"/>
    <cellStyle name="Normal 2 4 3 2 4 2 3" xfId="3334" xr:uid="{BC807A14-BC1F-4358-9A9F-B33415A9733F}"/>
    <cellStyle name="Normal 2 4 3 2 4 2 3 2" xfId="3335" xr:uid="{7182EC00-3A6B-40F2-AC98-63065985656E}"/>
    <cellStyle name="Normal 2 4 3 2 4 2 3 2 2" xfId="3336" xr:uid="{EF686D1F-2F43-4036-9917-607D04AEDAD0}"/>
    <cellStyle name="Normal 2 4 3 2 4 2 3 3" xfId="3337" xr:uid="{9DA4856D-1820-4154-9D2D-E80A32534060}"/>
    <cellStyle name="Normal 2 4 3 2 4 2 4" xfId="3338" xr:uid="{0A5D3166-9390-474F-A81D-350B5F64C565}"/>
    <cellStyle name="Normal 2 4 3 2 4 2 4 2" xfId="3339" xr:uid="{86EAAD09-1559-40C7-BE65-ADE58ADF1C8D}"/>
    <cellStyle name="Normal 2 4 3 2 4 2 4 2 2" xfId="3340" xr:uid="{138E1E1E-4134-4097-BFA9-970DC7778292}"/>
    <cellStyle name="Normal 2 4 3 2 4 2 4 3" xfId="3341" xr:uid="{0BF585C6-46D9-4B61-B74A-3D6D8AD3EA38}"/>
    <cellStyle name="Normal 2 4 3 2 4 2 5" xfId="3342" xr:uid="{41E20E39-0C80-4826-BD33-66E13F944EC8}"/>
    <cellStyle name="Normal 2 4 3 2 4 2 5 2" xfId="3343" xr:uid="{50CCF5CF-CD9D-4B8F-B957-B22B454453E7}"/>
    <cellStyle name="Normal 2 4 3 2 4 2 6" xfId="3344" xr:uid="{5094EBA5-FB69-46D7-8815-76FADC66FB1A}"/>
    <cellStyle name="Normal 2 4 3 2 4 3" xfId="3345" xr:uid="{D09E62E3-2515-4B68-A238-6954D13E2412}"/>
    <cellStyle name="Normal 2 4 3 2 4 3 2" xfId="3346" xr:uid="{15F06F4E-059E-4406-A5CC-432669137139}"/>
    <cellStyle name="Normal 2 4 3 2 4 3 2 2" xfId="3347" xr:uid="{A4C10780-93D6-4F9F-B012-2F335E759FFF}"/>
    <cellStyle name="Normal 2 4 3 2 4 3 3" xfId="3348" xr:uid="{1C77BF25-7865-4265-A250-751FF7322642}"/>
    <cellStyle name="Normal 2 4 3 2 4 4" xfId="3349" xr:uid="{1BA15824-C6DE-451A-A42B-7E2F860F391E}"/>
    <cellStyle name="Normal 2 4 3 2 4 4 2" xfId="3350" xr:uid="{28DD559E-A3D9-45E2-A8B2-C78DCC1ACB0B}"/>
    <cellStyle name="Normal 2 4 3 2 4 4 2 2" xfId="3351" xr:uid="{94C50E0F-D8BD-4DE8-BD13-6AC9A7BB97CE}"/>
    <cellStyle name="Normal 2 4 3 2 4 4 3" xfId="3352" xr:uid="{7ECF083F-C746-4DD0-B169-5302DD7B4327}"/>
    <cellStyle name="Normal 2 4 3 2 4 5" xfId="3353" xr:uid="{3CE4A964-F140-4103-A216-5572E4AACF10}"/>
    <cellStyle name="Normal 2 4 3 2 4 5 2" xfId="3354" xr:uid="{4EC2CEA5-18DA-4F62-8354-05FA49726D98}"/>
    <cellStyle name="Normal 2 4 3 2 4 5 2 2" xfId="3355" xr:uid="{FE264802-B2CF-4BCA-9F79-E1588D6DA5EA}"/>
    <cellStyle name="Normal 2 4 3 2 4 5 3" xfId="3356" xr:uid="{2375D5A8-015A-40E6-9180-064DFD04AE06}"/>
    <cellStyle name="Normal 2 4 3 2 4 6" xfId="3357" xr:uid="{E9ADDEF7-9633-4FEA-92BE-635B6A04986C}"/>
    <cellStyle name="Normal 2 4 3 2 4 6 2" xfId="3358" xr:uid="{35A5D3FC-F2B9-4E53-9005-32516FC8D46A}"/>
    <cellStyle name="Normal 2 4 3 2 4 7" xfId="3359" xr:uid="{A1E4AE3A-EEB0-47C3-AB82-E2E1F061F498}"/>
    <cellStyle name="Normal 2 4 3 2 5" xfId="3360" xr:uid="{345992D2-4CAB-4E69-9684-990662B518DD}"/>
    <cellStyle name="Normal 2 4 3 2 5 2" xfId="3361" xr:uid="{B54A823A-AF99-474A-88FF-F23F3AB66B7B}"/>
    <cellStyle name="Normal 2 4 3 2 5 2 2" xfId="3362" xr:uid="{B65CE1BB-3F00-4109-BCD5-544AED67358D}"/>
    <cellStyle name="Normal 2 4 3 2 5 2 2 2" xfId="3363" xr:uid="{867C2362-8EE1-4DB5-9522-1051609DD3D6}"/>
    <cellStyle name="Normal 2 4 3 2 5 2 3" xfId="3364" xr:uid="{C6D4E8E2-A4C9-46E2-AC9C-4CD90C021208}"/>
    <cellStyle name="Normal 2 4 3 2 5 3" xfId="3365" xr:uid="{DAEE3A04-9B95-4145-8852-488CAF609ADC}"/>
    <cellStyle name="Normal 2 4 3 2 5 3 2" xfId="3366" xr:uid="{7F0C2C79-F9B7-4F2F-9C50-4481ABA0D8FB}"/>
    <cellStyle name="Normal 2 4 3 2 5 3 2 2" xfId="3367" xr:uid="{FFA39C2F-491E-459E-9361-511BF413A3BA}"/>
    <cellStyle name="Normal 2 4 3 2 5 3 3" xfId="3368" xr:uid="{3E53C499-2B13-477D-A6D3-906D62D35BA0}"/>
    <cellStyle name="Normal 2 4 3 2 5 4" xfId="3369" xr:uid="{48134173-9AB0-4C9C-836C-7AD72742DDEF}"/>
    <cellStyle name="Normal 2 4 3 2 5 4 2" xfId="3370" xr:uid="{6EBEF1EF-01E6-4F08-B18B-31492D995169}"/>
    <cellStyle name="Normal 2 4 3 2 5 4 2 2" xfId="3371" xr:uid="{1AA3B31F-0A3C-4F0B-829F-BE7676998983}"/>
    <cellStyle name="Normal 2 4 3 2 5 4 3" xfId="3372" xr:uid="{6CD0B187-D902-4692-B852-823DB6953327}"/>
    <cellStyle name="Normal 2 4 3 2 5 5" xfId="3373" xr:uid="{427D2E91-5D81-4325-8DEC-3C013F3B6E22}"/>
    <cellStyle name="Normal 2 4 3 2 5 5 2" xfId="3374" xr:uid="{0C35D821-CB3D-45C2-9652-0BFCE3DCB3D6}"/>
    <cellStyle name="Normal 2 4 3 2 5 6" xfId="3375" xr:uid="{3DFE6540-2499-4C49-9634-967CCB925DCE}"/>
    <cellStyle name="Normal 2 4 3 2 6" xfId="3376" xr:uid="{CFB5647A-C6BC-4E83-83F4-5742651AA373}"/>
    <cellStyle name="Normal 2 4 3 2 6 2" xfId="3377" xr:uid="{E51108C4-365F-41F9-9B3B-0242AE630C95}"/>
    <cellStyle name="Normal 2 4 3 2 6 2 2" xfId="3378" xr:uid="{55B1F099-84A6-43E4-B283-EC54D7C3631B}"/>
    <cellStyle name="Normal 2 4 3 2 6 3" xfId="3379" xr:uid="{AF79C7AD-4CC1-483A-9E88-023C3059D307}"/>
    <cellStyle name="Normal 2 4 3 2 7" xfId="3380" xr:uid="{9004032C-EECF-4019-980E-0171025A95BA}"/>
    <cellStyle name="Normal 2 4 3 2 7 2" xfId="3381" xr:uid="{DAF424FC-46FE-4AFD-97C9-86152DED210F}"/>
    <cellStyle name="Normal 2 4 3 2 7 2 2" xfId="3382" xr:uid="{6D733C21-0934-402B-8800-D6E9B317CBA1}"/>
    <cellStyle name="Normal 2 4 3 2 7 3" xfId="3383" xr:uid="{5B0D8591-D922-47E0-AD27-84B9F284C321}"/>
    <cellStyle name="Normal 2 4 3 2 8" xfId="3384" xr:uid="{BFB935C2-F064-4D67-A945-EE5FF312CBD6}"/>
    <cellStyle name="Normal 2 4 3 2 8 2" xfId="3385" xr:uid="{919C69A6-B505-43E0-8117-63487E6F7323}"/>
    <cellStyle name="Normal 2 4 3 2 8 2 2" xfId="3386" xr:uid="{11154CF2-D413-45CA-B9E1-6C62913E666B}"/>
    <cellStyle name="Normal 2 4 3 2 8 3" xfId="3387" xr:uid="{AF9DC679-F57B-4774-B6E7-AC76CBB87E73}"/>
    <cellStyle name="Normal 2 4 3 2 9" xfId="3388" xr:uid="{985536AD-15B1-49AE-85C0-C7F3104B5F7D}"/>
    <cellStyle name="Normal 2 4 3 2 9 2" xfId="3389" xr:uid="{F4732FF1-2842-4C81-9F3B-1CC585AAA54A}"/>
    <cellStyle name="Normal 2 4 3 2 9 2 2" xfId="3390" xr:uid="{8064EA03-2D0B-4E48-8142-1482ABC4E842}"/>
    <cellStyle name="Normal 2 4 3 2 9 3" xfId="3391" xr:uid="{661F1154-8B88-414E-BF1E-681649B7DB35}"/>
    <cellStyle name="Normal 2 4 3 3" xfId="3392" xr:uid="{45B3C19B-F718-4A8E-8DC1-5E36AF515A4E}"/>
    <cellStyle name="Normal 2 4 3 3 2" xfId="3393" xr:uid="{744B0959-D5E1-4474-963A-0D4DF2F50C67}"/>
    <cellStyle name="Normal 2 4 3 3 2 2" xfId="3394" xr:uid="{0C87E83D-A895-4D5A-9D02-43F196932CF8}"/>
    <cellStyle name="Normal 2 4 3 3 2 2 2" xfId="3395" xr:uid="{053B1FBE-5D0E-4084-A20E-0CDB41B7F4B8}"/>
    <cellStyle name="Normal 2 4 3 3 2 2 2 2" xfId="3396" xr:uid="{16CA7E53-AC50-44B5-BC7A-15BD7626A59F}"/>
    <cellStyle name="Normal 2 4 3 3 2 2 2 2 2" xfId="3397" xr:uid="{F9B31CE2-4563-4D13-A366-A2ED5ED98501}"/>
    <cellStyle name="Normal 2 4 3 3 2 2 2 3" xfId="3398" xr:uid="{D7F3F1FE-D752-40C5-BFC5-623BB24CB9B5}"/>
    <cellStyle name="Normal 2 4 3 3 2 2 3" xfId="3399" xr:uid="{1A308670-09CA-434D-8014-47384DFAF2CB}"/>
    <cellStyle name="Normal 2 4 3 3 2 2 3 2" xfId="3400" xr:uid="{355A10CE-0319-46A7-9615-7748305B9FA0}"/>
    <cellStyle name="Normal 2 4 3 3 2 2 3 2 2" xfId="3401" xr:uid="{6710807D-48AA-4A29-8E44-0D3D70F8DBBA}"/>
    <cellStyle name="Normal 2 4 3 3 2 2 3 3" xfId="3402" xr:uid="{7583FEE4-3B4B-489C-834C-8BD506F6ADB1}"/>
    <cellStyle name="Normal 2 4 3 3 2 2 4" xfId="3403" xr:uid="{E0EF2492-0782-458A-A39D-2EC2C3A4DEE0}"/>
    <cellStyle name="Normal 2 4 3 3 2 2 4 2" xfId="3404" xr:uid="{6ABD10CF-B199-4C10-9F7F-B2B6833461DF}"/>
    <cellStyle name="Normal 2 4 3 3 2 2 4 2 2" xfId="3405" xr:uid="{B59F744D-F5AC-4164-86C9-41647FB56316}"/>
    <cellStyle name="Normal 2 4 3 3 2 2 4 3" xfId="3406" xr:uid="{8C9CF7B9-784B-4CB9-912D-4045CDEA6194}"/>
    <cellStyle name="Normal 2 4 3 3 2 2 5" xfId="3407" xr:uid="{52B4DE00-2898-44AF-B3BE-635D3497F9AC}"/>
    <cellStyle name="Normal 2 4 3 3 2 2 5 2" xfId="3408" xr:uid="{94309100-465B-4F36-9946-D86EF1624EC9}"/>
    <cellStyle name="Normal 2 4 3 3 2 2 6" xfId="3409" xr:uid="{DA994DD8-484F-4C76-A91A-0B09F9C7CB43}"/>
    <cellStyle name="Normal 2 4 3 3 2 3" xfId="3410" xr:uid="{375E5F48-0FCD-4BD0-BACF-30F2D518DC14}"/>
    <cellStyle name="Normal 2 4 3 3 2 3 2" xfId="3411" xr:uid="{92DD635F-E7C3-46C0-B6E1-8CAF0BEF373A}"/>
    <cellStyle name="Normal 2 4 3 3 2 3 2 2" xfId="3412" xr:uid="{C53FB192-9BC5-4670-A6FD-68720777EF91}"/>
    <cellStyle name="Normal 2 4 3 3 2 3 3" xfId="3413" xr:uid="{5F604E5A-6AED-4377-9BA3-D5D058F7EF4B}"/>
    <cellStyle name="Normal 2 4 3 3 2 4" xfId="3414" xr:uid="{E356725F-1EE1-4416-9B63-1DDD199094BE}"/>
    <cellStyle name="Normal 2 4 3 3 2 4 2" xfId="3415" xr:uid="{2C0FA8EF-2B60-496E-B2B5-1CE69DE5C5A5}"/>
    <cellStyle name="Normal 2 4 3 3 2 4 2 2" xfId="3416" xr:uid="{7B57C07B-8B62-4A30-983C-7FC9C299189B}"/>
    <cellStyle name="Normal 2 4 3 3 2 4 3" xfId="3417" xr:uid="{392DEA9A-786E-4E95-99AD-678882A7BFE7}"/>
    <cellStyle name="Normal 2 4 3 3 2 5" xfId="3418" xr:uid="{A6CAEB18-10D1-4725-9C55-52143E8BE723}"/>
    <cellStyle name="Normal 2 4 3 3 2 5 2" xfId="3419" xr:uid="{386113A0-740D-47BE-93A9-4F312C3D5B24}"/>
    <cellStyle name="Normal 2 4 3 3 2 5 2 2" xfId="3420" xr:uid="{22D3BCC1-9AA3-46B5-8CB1-3BC3B1FA628E}"/>
    <cellStyle name="Normal 2 4 3 3 2 5 3" xfId="3421" xr:uid="{E3E99AE7-021F-46DB-A7C6-61739394FCB9}"/>
    <cellStyle name="Normal 2 4 3 3 2 6" xfId="3422" xr:uid="{30CC32A7-E465-4620-8C9A-F112289DCE31}"/>
    <cellStyle name="Normal 2 4 3 3 2 6 2" xfId="3423" xr:uid="{3366EB54-4DEB-4F95-BB9C-66EE8F87095F}"/>
    <cellStyle name="Normal 2 4 3 3 2 7" xfId="3424" xr:uid="{8DEF26D7-96FB-4F31-9458-BE038A3DCB63}"/>
    <cellStyle name="Normal 2 4 3 3 3" xfId="3425" xr:uid="{589AD239-699D-4EA2-9632-BDF1203F8D40}"/>
    <cellStyle name="Normal 2 4 3 3 3 2" xfId="3426" xr:uid="{5F9A6DCA-81D4-4729-84E7-70C9F7A302AA}"/>
    <cellStyle name="Normal 2 4 3 3 3 2 2" xfId="3427" xr:uid="{61037E4B-0A18-4FE1-9DC0-981190A36ABB}"/>
    <cellStyle name="Normal 2 4 3 3 3 2 2 2" xfId="3428" xr:uid="{A8D9B489-4C0E-4275-BBE4-1037E42FCC71}"/>
    <cellStyle name="Normal 2 4 3 3 3 2 3" xfId="3429" xr:uid="{7B063C17-C6E6-473E-AF87-993BB24E841D}"/>
    <cellStyle name="Normal 2 4 3 3 3 3" xfId="3430" xr:uid="{D75A50B3-5AB2-4F9A-8404-B2B2798D12C0}"/>
    <cellStyle name="Normal 2 4 3 3 3 3 2" xfId="3431" xr:uid="{F706076A-6797-4CC8-AFBC-78DAF2329E58}"/>
    <cellStyle name="Normal 2 4 3 3 3 3 2 2" xfId="3432" xr:uid="{0FA978F4-279A-41EB-A0D3-C7F3EFE68BFD}"/>
    <cellStyle name="Normal 2 4 3 3 3 3 3" xfId="3433" xr:uid="{9C45F0C0-C516-434A-BA8D-C462E6C0E292}"/>
    <cellStyle name="Normal 2 4 3 3 3 4" xfId="3434" xr:uid="{3E6A6046-91CF-4345-B0BC-A6455245314B}"/>
    <cellStyle name="Normal 2 4 3 3 3 4 2" xfId="3435" xr:uid="{5EA6EB25-D7F5-4BAE-9426-A97D0535EBDC}"/>
    <cellStyle name="Normal 2 4 3 3 3 4 2 2" xfId="3436" xr:uid="{082A00AB-4B2C-4CCC-A9BB-AD3FC6265396}"/>
    <cellStyle name="Normal 2 4 3 3 3 4 3" xfId="3437" xr:uid="{19FF185B-36A3-44FF-9D2A-836E21237DC3}"/>
    <cellStyle name="Normal 2 4 3 3 3 5" xfId="3438" xr:uid="{01D64E18-89E6-4900-B304-904A8F0FC108}"/>
    <cellStyle name="Normal 2 4 3 3 3 5 2" xfId="3439" xr:uid="{62886782-716D-4EB4-8E31-06E08BC8FB2E}"/>
    <cellStyle name="Normal 2 4 3 3 3 6" xfId="3440" xr:uid="{55EED0C3-E664-46A1-85D0-ECA1C31B51C9}"/>
    <cellStyle name="Normal 2 4 3 3 4" xfId="3441" xr:uid="{31AFDD9F-0EC6-47DD-B46C-C590FC8CCC39}"/>
    <cellStyle name="Normal 2 4 3 3 4 2" xfId="3442" xr:uid="{9377D87E-58A0-4603-835A-BAA6C6335057}"/>
    <cellStyle name="Normal 2 4 3 3 4 2 2" xfId="3443" xr:uid="{E884D71F-7DF6-4ED2-9E6A-CAF4FDAB6D1C}"/>
    <cellStyle name="Normal 2 4 3 3 4 3" xfId="3444" xr:uid="{C332BB14-F777-444E-97FD-84B68B0F90C8}"/>
    <cellStyle name="Normal 2 4 3 3 5" xfId="3445" xr:uid="{F2838DE4-2910-4E88-8151-5BD16CB1804A}"/>
    <cellStyle name="Normal 2 4 3 3 5 2" xfId="3446" xr:uid="{AD21B6EC-6AB9-4A72-8AA5-4A16237AE85C}"/>
    <cellStyle name="Normal 2 4 3 3 5 2 2" xfId="3447" xr:uid="{B73D4C16-5F9D-4E79-B0E6-4F8970D2D498}"/>
    <cellStyle name="Normal 2 4 3 3 5 3" xfId="3448" xr:uid="{528EFD91-E19B-498C-B42A-EBCF470C2CB1}"/>
    <cellStyle name="Normal 2 4 3 3 6" xfId="3449" xr:uid="{92D181B3-E39F-4748-8FC6-308A41A7AEFD}"/>
    <cellStyle name="Normal 2 4 3 3 6 2" xfId="3450" xr:uid="{B81AD189-EFE3-4F58-B682-B94AEE40591A}"/>
    <cellStyle name="Normal 2 4 3 3 6 2 2" xfId="3451" xr:uid="{FDD94C7A-A560-40DE-B285-DA68CA9BE581}"/>
    <cellStyle name="Normal 2 4 3 3 6 3" xfId="3452" xr:uid="{07824F63-6F8C-442D-8EE4-BE5A649EF020}"/>
    <cellStyle name="Normal 2 4 3 3 7" xfId="3453" xr:uid="{86A5FB80-53E6-43C8-923A-BBE1484E70C6}"/>
    <cellStyle name="Normal 2 4 3 3 7 2" xfId="3454" xr:uid="{8FC406D1-5D2A-402E-83AC-8651F74FA261}"/>
    <cellStyle name="Normal 2 4 3 3 8" xfId="3455" xr:uid="{CC3E929B-2F18-4F6F-A445-F63A44D52AF2}"/>
    <cellStyle name="Normal 2 4 3 4" xfId="3456" xr:uid="{E48E584D-35AB-4F64-AA9A-9508D218D17C}"/>
    <cellStyle name="Normal 2 4 3 4 2" xfId="3457" xr:uid="{C89C8A81-EE7F-4B98-8850-748B55A297BA}"/>
    <cellStyle name="Normal 2 4 3 4 2 2" xfId="3458" xr:uid="{F7F1BDAB-D17E-4FAB-A348-9A3775CFAEBE}"/>
    <cellStyle name="Normal 2 4 3 4 2 2 2" xfId="3459" xr:uid="{F0A47AA9-7B99-4E3E-A027-419E12DA572D}"/>
    <cellStyle name="Normal 2 4 3 4 2 2 2 2" xfId="3460" xr:uid="{52E2E309-830A-4C81-8062-E41819CA28E6}"/>
    <cellStyle name="Normal 2 4 3 4 2 2 2 2 2" xfId="3461" xr:uid="{40EB3008-F23B-4E1F-88AE-577C018E15D0}"/>
    <cellStyle name="Normal 2 4 3 4 2 2 2 3" xfId="3462" xr:uid="{99A3170C-A947-481B-A88C-D51247029C0C}"/>
    <cellStyle name="Normal 2 4 3 4 2 2 3" xfId="3463" xr:uid="{E460237A-36A5-4BE6-BF00-59A7B2F1040C}"/>
    <cellStyle name="Normal 2 4 3 4 2 2 3 2" xfId="3464" xr:uid="{79231EB3-1A95-4B9F-A950-118F4C31E719}"/>
    <cellStyle name="Normal 2 4 3 4 2 2 3 2 2" xfId="3465" xr:uid="{39CF32ED-7AED-4FB8-987A-DFF5CDC07D4A}"/>
    <cellStyle name="Normal 2 4 3 4 2 2 3 3" xfId="3466" xr:uid="{02FB4070-EB46-494C-9FC9-DB39FBED823A}"/>
    <cellStyle name="Normal 2 4 3 4 2 2 4" xfId="3467" xr:uid="{186905B7-5BA8-4AE4-B54E-56C22EFC6B7C}"/>
    <cellStyle name="Normal 2 4 3 4 2 2 4 2" xfId="3468" xr:uid="{C33B4C34-4D24-4878-94CB-F150289C93DC}"/>
    <cellStyle name="Normal 2 4 3 4 2 2 4 2 2" xfId="3469" xr:uid="{258F0AD1-5528-4E30-BB05-F260B4462A4E}"/>
    <cellStyle name="Normal 2 4 3 4 2 2 4 3" xfId="3470" xr:uid="{400D61A0-26AA-4C86-A5AC-8D8CE5C49BC5}"/>
    <cellStyle name="Normal 2 4 3 4 2 2 5" xfId="3471" xr:uid="{008AB1CC-EEA0-4F67-85C8-8737C8BD7411}"/>
    <cellStyle name="Normal 2 4 3 4 2 2 5 2" xfId="3472" xr:uid="{D612D538-ABDD-4F0D-ABAF-812EF446B472}"/>
    <cellStyle name="Normal 2 4 3 4 2 2 6" xfId="3473" xr:uid="{23EEDBC8-E150-41D7-9C14-5E64B422416F}"/>
    <cellStyle name="Normal 2 4 3 4 2 3" xfId="3474" xr:uid="{6F2A57D0-4FA5-4DA0-AD61-443D8984294D}"/>
    <cellStyle name="Normal 2 4 3 4 2 3 2" xfId="3475" xr:uid="{907C1EF7-7839-4D6D-BC34-6F0B9221548F}"/>
    <cellStyle name="Normal 2 4 3 4 2 3 2 2" xfId="3476" xr:uid="{1549A0DC-806E-442E-AE42-70FF93473E8D}"/>
    <cellStyle name="Normal 2 4 3 4 2 3 3" xfId="3477" xr:uid="{16B56551-2DE8-4D60-8957-FD3B3BCBE1A0}"/>
    <cellStyle name="Normal 2 4 3 4 2 4" xfId="3478" xr:uid="{B2EFBEAC-971C-46F9-B871-40C9C25FE6F7}"/>
    <cellStyle name="Normal 2 4 3 4 2 4 2" xfId="3479" xr:uid="{6AB32780-4215-4E65-B4A2-59914A3615F9}"/>
    <cellStyle name="Normal 2 4 3 4 2 4 2 2" xfId="3480" xr:uid="{AB6C7531-74FB-4B3C-A770-9186235D8472}"/>
    <cellStyle name="Normal 2 4 3 4 2 4 3" xfId="3481" xr:uid="{33DF495B-9A3A-44DA-9A46-28E702FE4BA4}"/>
    <cellStyle name="Normal 2 4 3 4 2 5" xfId="3482" xr:uid="{0D5C37D2-7EE9-464C-9DE6-EB0880037C63}"/>
    <cellStyle name="Normal 2 4 3 4 2 5 2" xfId="3483" xr:uid="{91972A8F-7084-436D-B401-EA3BC0DC9C4C}"/>
    <cellStyle name="Normal 2 4 3 4 2 5 2 2" xfId="3484" xr:uid="{EDB68230-1E8C-4B17-8B31-A1AF8076097E}"/>
    <cellStyle name="Normal 2 4 3 4 2 5 3" xfId="3485" xr:uid="{B94B3234-FA49-4031-AB6D-900F6BED10B1}"/>
    <cellStyle name="Normal 2 4 3 4 2 6" xfId="3486" xr:uid="{B9DD7B22-35B3-45E8-B2D0-CD10012E9F64}"/>
    <cellStyle name="Normal 2 4 3 4 2 6 2" xfId="3487" xr:uid="{2943B503-E562-44A6-9F89-5CC6F859FA84}"/>
    <cellStyle name="Normal 2 4 3 4 2 7" xfId="3488" xr:uid="{2C5DE891-C341-4B9A-9404-E37E741EB4BD}"/>
    <cellStyle name="Normal 2 4 3 4 3" xfId="3489" xr:uid="{94DE6FDD-0D43-467F-BE03-9E0838D34A73}"/>
    <cellStyle name="Normal 2 4 3 4 3 2" xfId="3490" xr:uid="{75AEA57D-0A35-47E8-81AF-169DD048D0FA}"/>
    <cellStyle name="Normal 2 4 3 4 3 2 2" xfId="3491" xr:uid="{B1889C5A-F77D-4616-A62B-31F405961A33}"/>
    <cellStyle name="Normal 2 4 3 4 3 2 2 2" xfId="3492" xr:uid="{696DBD13-B875-4BD8-947B-88EA37A75A90}"/>
    <cellStyle name="Normal 2 4 3 4 3 2 3" xfId="3493" xr:uid="{33D9C9E6-6E0C-448D-B0AC-F1DB650E2C35}"/>
    <cellStyle name="Normal 2 4 3 4 3 3" xfId="3494" xr:uid="{D9455AF9-11FF-4307-9825-BD4A52E52F58}"/>
    <cellStyle name="Normal 2 4 3 4 3 3 2" xfId="3495" xr:uid="{889CF91A-1CDF-489A-B171-7B91B39915EB}"/>
    <cellStyle name="Normal 2 4 3 4 3 3 2 2" xfId="3496" xr:uid="{295CDA6F-F0AB-420C-A11E-A8EB7A261C3A}"/>
    <cellStyle name="Normal 2 4 3 4 3 3 3" xfId="3497" xr:uid="{30D6936E-BB51-457C-ABDC-9E44A56B1C9D}"/>
    <cellStyle name="Normal 2 4 3 4 3 4" xfId="3498" xr:uid="{DBE38742-7255-476D-AB74-605B5D8F804D}"/>
    <cellStyle name="Normal 2 4 3 4 3 4 2" xfId="3499" xr:uid="{C5D650AE-1F1A-4118-A368-D869ABDFD7D7}"/>
    <cellStyle name="Normal 2 4 3 4 3 4 2 2" xfId="3500" xr:uid="{9CCE5896-CFD5-4179-A017-474CA2665A8B}"/>
    <cellStyle name="Normal 2 4 3 4 3 4 3" xfId="3501" xr:uid="{7D09FBFE-D05E-4C7D-AACB-A2621366E5BA}"/>
    <cellStyle name="Normal 2 4 3 4 3 5" xfId="3502" xr:uid="{50A3D1BE-11D4-498F-A118-AA790D1EE24C}"/>
    <cellStyle name="Normal 2 4 3 4 3 5 2" xfId="3503" xr:uid="{D320CD35-4E15-4DB8-A1D0-5912BE6F44EC}"/>
    <cellStyle name="Normal 2 4 3 4 3 6" xfId="3504" xr:uid="{4FA34A4D-6BCE-4D34-A7B0-01CE84BF1FB1}"/>
    <cellStyle name="Normal 2 4 3 4 4" xfId="3505" xr:uid="{E8892300-6131-4915-BCF6-BB162BAF36A8}"/>
    <cellStyle name="Normal 2 4 3 4 4 2" xfId="3506" xr:uid="{D1EF7A68-3B61-4695-88EE-2DB7E3D61E89}"/>
    <cellStyle name="Normal 2 4 3 4 4 2 2" xfId="3507" xr:uid="{E6922372-DA9B-4B48-A1B7-999714428A3E}"/>
    <cellStyle name="Normal 2 4 3 4 4 3" xfId="3508" xr:uid="{8D3CC5AF-199C-4875-8F0C-2BF005A15CBC}"/>
    <cellStyle name="Normal 2 4 3 4 5" xfId="3509" xr:uid="{A77ADDD5-45AB-42D9-88BD-C4FBACB6A1A6}"/>
    <cellStyle name="Normal 2 4 3 4 5 2" xfId="3510" xr:uid="{524D2EF2-8DC4-4643-8094-18CB214E8025}"/>
    <cellStyle name="Normal 2 4 3 4 5 2 2" xfId="3511" xr:uid="{4C5AB84B-B222-4066-A9BA-2B05982068B4}"/>
    <cellStyle name="Normal 2 4 3 4 5 3" xfId="3512" xr:uid="{1D4E00A3-7C2A-48E4-95A4-62AA40E462C6}"/>
    <cellStyle name="Normal 2 4 3 4 6" xfId="3513" xr:uid="{25B249E0-56F4-454E-8299-49202A581FB0}"/>
    <cellStyle name="Normal 2 4 3 4 6 2" xfId="3514" xr:uid="{CEF23021-BE3D-4977-947E-8E81FADD9D35}"/>
    <cellStyle name="Normal 2 4 3 4 6 2 2" xfId="3515" xr:uid="{F6FEF94B-9C5C-4586-A470-FC2500423B2E}"/>
    <cellStyle name="Normal 2 4 3 4 6 3" xfId="3516" xr:uid="{C5AEC9A8-8E0B-4B0B-BB58-7A38DAEB1F98}"/>
    <cellStyle name="Normal 2 4 3 4 7" xfId="3517" xr:uid="{5FD67EC2-F8FF-4B7F-9626-54F2F475ABF9}"/>
    <cellStyle name="Normal 2 4 3 4 7 2" xfId="3518" xr:uid="{EE2FB754-F308-4DA0-BB38-6ED2FF354121}"/>
    <cellStyle name="Normal 2 4 3 4 8" xfId="3519" xr:uid="{CCFFDE01-62DF-418A-8ABC-AC861182F95F}"/>
    <cellStyle name="Normal 2 4 3 5" xfId="3520" xr:uid="{DCCA44DD-8A70-48D7-948D-A212E181FAF6}"/>
    <cellStyle name="Normal 2 4 3 5 2" xfId="3521" xr:uid="{3594AC00-3FDF-44A3-BC93-74235730B58E}"/>
    <cellStyle name="Normal 2 4 3 5 2 2" xfId="3522" xr:uid="{B1D65194-6564-41EB-B95B-A43651D3DBFC}"/>
    <cellStyle name="Normal 2 4 3 5 2 2 2" xfId="3523" xr:uid="{83F0D882-FE7C-4E4E-A0EE-E1C8ECF365CC}"/>
    <cellStyle name="Normal 2 4 3 5 2 2 2 2" xfId="3524" xr:uid="{CA7933B4-DF87-4652-8F34-9231BF1C835D}"/>
    <cellStyle name="Normal 2 4 3 5 2 2 3" xfId="3525" xr:uid="{F8D11850-DB96-42E8-A3A0-15579206CE0C}"/>
    <cellStyle name="Normal 2 4 3 5 2 3" xfId="3526" xr:uid="{891A5C62-0218-4589-A433-11270F35222B}"/>
    <cellStyle name="Normal 2 4 3 5 2 3 2" xfId="3527" xr:uid="{4C72A51D-774B-407C-A0F6-5A92C65F16EC}"/>
    <cellStyle name="Normal 2 4 3 5 2 3 2 2" xfId="3528" xr:uid="{2B82DF96-374B-457D-8BDC-C69ED8B80A5E}"/>
    <cellStyle name="Normal 2 4 3 5 2 3 3" xfId="3529" xr:uid="{18F37ADD-A733-4DCB-BACA-1B4B143D6F77}"/>
    <cellStyle name="Normal 2 4 3 5 2 4" xfId="3530" xr:uid="{0D3A16C4-BFDD-416C-AA37-A3AE4BF1DACB}"/>
    <cellStyle name="Normal 2 4 3 5 2 4 2" xfId="3531" xr:uid="{F7F12FF2-43CF-4A21-B874-32511208BAD1}"/>
    <cellStyle name="Normal 2 4 3 5 2 4 2 2" xfId="3532" xr:uid="{AF059FFA-ED34-46DE-B384-2571932E707E}"/>
    <cellStyle name="Normal 2 4 3 5 2 4 3" xfId="3533" xr:uid="{EC782C47-F6F4-4035-B67D-C71F822874B9}"/>
    <cellStyle name="Normal 2 4 3 5 2 5" xfId="3534" xr:uid="{D64DED20-F549-4FC8-ABB5-5C5C9BEA860C}"/>
    <cellStyle name="Normal 2 4 3 5 2 5 2" xfId="3535" xr:uid="{738B9C2E-C2BD-409C-95A3-9B709AFC8F69}"/>
    <cellStyle name="Normal 2 4 3 5 2 6" xfId="3536" xr:uid="{5C74A228-2E6A-47CD-A0D1-A37CD1C449E8}"/>
    <cellStyle name="Normal 2 4 3 5 3" xfId="3537" xr:uid="{CCEE0A03-1BCE-4098-8052-4192D81D1AE3}"/>
    <cellStyle name="Normal 2 4 3 5 3 2" xfId="3538" xr:uid="{529DE8E5-0352-41A1-8D95-413894BD86A3}"/>
    <cellStyle name="Normal 2 4 3 5 3 2 2" xfId="3539" xr:uid="{ED34073F-BAE1-4FD3-8190-BFDAD273E3C4}"/>
    <cellStyle name="Normal 2 4 3 5 3 3" xfId="3540" xr:uid="{49256277-DA66-40EE-B09E-EE2AD1715560}"/>
    <cellStyle name="Normal 2 4 3 5 4" xfId="3541" xr:uid="{CDCD44B1-C604-46F3-BAD4-4AD312A638E9}"/>
    <cellStyle name="Normal 2 4 3 5 4 2" xfId="3542" xr:uid="{8B6F8331-C247-441C-ABB5-9E16CF4BC24C}"/>
    <cellStyle name="Normal 2 4 3 5 4 2 2" xfId="3543" xr:uid="{309A1DE4-B00A-490F-AB24-1216C3A28B70}"/>
    <cellStyle name="Normal 2 4 3 5 4 3" xfId="3544" xr:uid="{E9288614-9BA2-4916-9B89-80D8487D23F1}"/>
    <cellStyle name="Normal 2 4 3 5 5" xfId="3545" xr:uid="{58512F8B-4683-4A3D-B90F-327169D1191E}"/>
    <cellStyle name="Normal 2 4 3 5 5 2" xfId="3546" xr:uid="{D2771038-43D4-4702-BA13-F2B13EEB5F36}"/>
    <cellStyle name="Normal 2 4 3 5 5 2 2" xfId="3547" xr:uid="{2F52D75D-A61F-4DE9-962F-3931007B07B8}"/>
    <cellStyle name="Normal 2 4 3 5 5 3" xfId="3548" xr:uid="{FEA8BED7-EA22-4F59-BA31-318CA16A408D}"/>
    <cellStyle name="Normal 2 4 3 5 6" xfId="3549" xr:uid="{352DF80D-9DAB-424E-90B4-AA59EDF94B8C}"/>
    <cellStyle name="Normal 2 4 3 5 6 2" xfId="3550" xr:uid="{FE1D7930-6A15-4C7D-9FD2-87AF9F18ED0D}"/>
    <cellStyle name="Normal 2 4 3 5 7" xfId="3551" xr:uid="{ECF82E11-0E06-438C-8560-1EEBB7A3AA33}"/>
    <cellStyle name="Normal 2 4 3 6" xfId="3552" xr:uid="{63E2BF57-C458-47F5-89FB-BBD3FD0AA41C}"/>
    <cellStyle name="Normal 2 4 3 6 2" xfId="3553" xr:uid="{BDA06592-2DC1-4459-BC88-70FF8ECE703D}"/>
    <cellStyle name="Normal 2 4 3 6 2 2" xfId="3554" xr:uid="{768E5357-ECDF-4AD1-8812-4837C3721BA2}"/>
    <cellStyle name="Normal 2 4 3 6 2 2 2" xfId="3555" xr:uid="{C53DA27E-62AA-493E-AA3A-EDB098B4E7D3}"/>
    <cellStyle name="Normal 2 4 3 6 2 3" xfId="3556" xr:uid="{A0DA99A8-FD7B-4496-ABC9-76AF7834DEDC}"/>
    <cellStyle name="Normal 2 4 3 6 3" xfId="3557" xr:uid="{92D2615B-6478-4CB2-819E-FD922B5AD8D7}"/>
    <cellStyle name="Normal 2 4 3 6 3 2" xfId="3558" xr:uid="{4800935B-2EE3-4387-BF39-2E92137709AA}"/>
    <cellStyle name="Normal 2 4 3 6 3 2 2" xfId="3559" xr:uid="{5772623D-9391-403F-AC49-E36399713AF3}"/>
    <cellStyle name="Normal 2 4 3 6 3 3" xfId="3560" xr:uid="{540FEBFA-DA4E-4F2B-825C-B5F9963D54E6}"/>
    <cellStyle name="Normal 2 4 3 6 4" xfId="3561" xr:uid="{AD5E294F-BA8E-44B3-B201-881063A3B449}"/>
    <cellStyle name="Normal 2 4 3 6 4 2" xfId="3562" xr:uid="{C240956F-64F8-404B-9718-09734368F268}"/>
    <cellStyle name="Normal 2 4 3 6 4 2 2" xfId="3563" xr:uid="{2AB2E362-4A82-412E-99B2-4ED72CE190D9}"/>
    <cellStyle name="Normal 2 4 3 6 4 3" xfId="3564" xr:uid="{9A5F8196-81E9-4AA3-9175-B96415C0B8AD}"/>
    <cellStyle name="Normal 2 4 3 6 5" xfId="3565" xr:uid="{AB2AC495-DEBF-49B3-8F01-BB66256B4D6F}"/>
    <cellStyle name="Normal 2 4 3 6 5 2" xfId="3566" xr:uid="{8113CC25-9606-45B8-9BC5-2968C5566CAB}"/>
    <cellStyle name="Normal 2 4 3 6 6" xfId="3567" xr:uid="{CDF698DD-2977-438B-9B89-5F998E9C2944}"/>
    <cellStyle name="Normal 2 4 3 7" xfId="3568" xr:uid="{183BBDAE-47A5-4652-A8E4-70F5D62B9EE3}"/>
    <cellStyle name="Normal 2 4 3 7 2" xfId="3569" xr:uid="{9F3B1D6D-D7CC-4D41-98D3-1B36D4D10B3F}"/>
    <cellStyle name="Normal 2 4 3 7 2 2" xfId="3570" xr:uid="{49B21321-3151-4DC3-BBB3-B5476C9969EB}"/>
    <cellStyle name="Normal 2 4 3 7 3" xfId="3571" xr:uid="{C7EF4D7D-7094-4ED7-B2E2-E30F736E6A33}"/>
    <cellStyle name="Normal 2 4 3 8" xfId="3572" xr:uid="{9434E2D2-9DB1-47BB-9DB4-8B30E82EA522}"/>
    <cellStyle name="Normal 2 4 3 8 2" xfId="3573" xr:uid="{25D77480-EB81-4BF6-A1F5-F4FDF58A5954}"/>
    <cellStyle name="Normal 2 4 3 8 2 2" xfId="3574" xr:uid="{E1634DD2-E7A8-479D-8341-420186072137}"/>
    <cellStyle name="Normal 2 4 3 8 3" xfId="3575" xr:uid="{67DD8474-A700-448F-8D82-CE909A26BC3D}"/>
    <cellStyle name="Normal 2 4 3 9" xfId="3576" xr:uid="{6349A6BE-C2BA-47B4-AE23-B1C7C60EBEF5}"/>
    <cellStyle name="Normal 2 4 3 9 2" xfId="3577" xr:uid="{2CCBDA4E-5409-41A1-BF4E-D8C6860983CA}"/>
    <cellStyle name="Normal 2 4 3 9 2 2" xfId="3578" xr:uid="{907D8685-596A-48EB-8261-60D27B5402DA}"/>
    <cellStyle name="Normal 2 4 3 9 3" xfId="3579" xr:uid="{084D5A00-ECAF-4DC0-8343-4E39B9C90F37}"/>
    <cellStyle name="Normal 2 4 4" xfId="3580" xr:uid="{6CB18263-B576-438E-A672-DB15150AD6BA}"/>
    <cellStyle name="Normal 2 4 4 10" xfId="3581" xr:uid="{A7E9A68E-1FEF-41A9-AEE5-80962F2D2EB9}"/>
    <cellStyle name="Normal 2 4 4 10 2" xfId="3582" xr:uid="{FEA92583-D9D9-4858-AF70-3F2A3A9EDBFE}"/>
    <cellStyle name="Normal 2 4 4 11" xfId="3583" xr:uid="{61D07281-B45F-4AF6-ACA8-AEE3EEF40755}"/>
    <cellStyle name="Normal 2 4 4 2" xfId="3584" xr:uid="{E2908139-CF31-4B21-8766-AA0230DD73BB}"/>
    <cellStyle name="Normal 2 4 4 2 2" xfId="3585" xr:uid="{34E11F90-3A6B-4DE3-AEA9-6EE9923855D4}"/>
    <cellStyle name="Normal 2 4 4 2 2 2" xfId="3586" xr:uid="{7A77374D-B998-40E8-8701-833B76B6F303}"/>
    <cellStyle name="Normal 2 4 4 2 2 2 2" xfId="3587" xr:uid="{B047E658-A313-4A05-97F1-BF376B2EDDDF}"/>
    <cellStyle name="Normal 2 4 4 2 2 2 2 2" xfId="3588" xr:uid="{CA681007-90DA-40BC-B944-F99DC6757747}"/>
    <cellStyle name="Normal 2 4 4 2 2 2 2 2 2" xfId="3589" xr:uid="{94460BEE-04B4-42B9-877A-05D8C7D1BBBB}"/>
    <cellStyle name="Normal 2 4 4 2 2 2 2 3" xfId="3590" xr:uid="{C78B768D-E515-4ECA-A8EC-04EE5631622C}"/>
    <cellStyle name="Normal 2 4 4 2 2 2 3" xfId="3591" xr:uid="{4A0ECF66-2098-4B71-97ED-E23A938E0175}"/>
    <cellStyle name="Normal 2 4 4 2 2 2 3 2" xfId="3592" xr:uid="{B344349F-1FCF-4D0C-9964-E8E179875A48}"/>
    <cellStyle name="Normal 2 4 4 2 2 2 3 2 2" xfId="3593" xr:uid="{357BFF57-F6B7-40D4-B728-37780E7DF6EC}"/>
    <cellStyle name="Normal 2 4 4 2 2 2 3 3" xfId="3594" xr:uid="{072112AD-9917-4DA0-90F9-C33A1E5D1D81}"/>
    <cellStyle name="Normal 2 4 4 2 2 2 4" xfId="3595" xr:uid="{EECD81C4-AE29-4974-8FD2-483EF48E664D}"/>
    <cellStyle name="Normal 2 4 4 2 2 2 4 2" xfId="3596" xr:uid="{52D378D0-900C-4BBE-B07D-7EC81FAC6CFF}"/>
    <cellStyle name="Normal 2 4 4 2 2 2 4 2 2" xfId="3597" xr:uid="{6ED25DBD-FDDE-46B2-A466-E2E385B1F0C2}"/>
    <cellStyle name="Normal 2 4 4 2 2 2 4 3" xfId="3598" xr:uid="{4FCC3A61-2865-4B48-B42A-15603578A94D}"/>
    <cellStyle name="Normal 2 4 4 2 2 2 5" xfId="3599" xr:uid="{2240971F-B3DA-40C8-B376-CC2A9419925B}"/>
    <cellStyle name="Normal 2 4 4 2 2 2 5 2" xfId="3600" xr:uid="{53A035C1-7B17-4D92-BDC5-75A82697CFED}"/>
    <cellStyle name="Normal 2 4 4 2 2 2 6" xfId="3601" xr:uid="{3B68EED7-192A-418D-8E57-7D609EFDB510}"/>
    <cellStyle name="Normal 2 4 4 2 2 3" xfId="3602" xr:uid="{BE9DF861-BA06-45D4-B09E-B5DCB1DB78EC}"/>
    <cellStyle name="Normal 2 4 4 2 2 3 2" xfId="3603" xr:uid="{F7B6246B-ACB2-4C47-A9EF-DAF78AABB90E}"/>
    <cellStyle name="Normal 2 4 4 2 2 3 2 2" xfId="3604" xr:uid="{08CA163A-1426-4259-96F9-C60A9D7BED52}"/>
    <cellStyle name="Normal 2 4 4 2 2 3 3" xfId="3605" xr:uid="{0D8344E5-EF03-46D6-9277-57F25E2BDCB0}"/>
    <cellStyle name="Normal 2 4 4 2 2 4" xfId="3606" xr:uid="{570A2F6B-040C-49B3-A7A6-DF1AA435C2AF}"/>
    <cellStyle name="Normal 2 4 4 2 2 4 2" xfId="3607" xr:uid="{24A68E20-E8F4-45C2-8569-9F008DCAF446}"/>
    <cellStyle name="Normal 2 4 4 2 2 4 2 2" xfId="3608" xr:uid="{690C8467-D098-4B83-B11C-FEC3716E0D6E}"/>
    <cellStyle name="Normal 2 4 4 2 2 4 3" xfId="3609" xr:uid="{DDEA295F-8FBE-4D49-A9A9-267C6C36391F}"/>
    <cellStyle name="Normal 2 4 4 2 2 5" xfId="3610" xr:uid="{6B504EA9-3ACE-470C-8F36-0428F74EF1B4}"/>
    <cellStyle name="Normal 2 4 4 2 2 5 2" xfId="3611" xr:uid="{63C99AAE-919F-48CA-910A-EF910E57A0F8}"/>
    <cellStyle name="Normal 2 4 4 2 2 5 2 2" xfId="3612" xr:uid="{E0E8628C-9E29-499A-84A8-C2CD647C318C}"/>
    <cellStyle name="Normal 2 4 4 2 2 5 3" xfId="3613" xr:uid="{B301B3B4-751B-434A-86D2-B6C96B66D495}"/>
    <cellStyle name="Normal 2 4 4 2 2 6" xfId="3614" xr:uid="{603242D2-4747-45C0-8A2B-6DDB2A2087BF}"/>
    <cellStyle name="Normal 2 4 4 2 2 6 2" xfId="3615" xr:uid="{A9716496-29AF-471E-A9E8-6185544F94EA}"/>
    <cellStyle name="Normal 2 4 4 2 2 7" xfId="3616" xr:uid="{4B1F875B-CB3C-4547-89C4-16FF4CF27411}"/>
    <cellStyle name="Normal 2 4 4 2 3" xfId="3617" xr:uid="{EE690E75-D657-4138-B3DA-3E860D4FB790}"/>
    <cellStyle name="Normal 2 4 4 2 3 2" xfId="3618" xr:uid="{AB62B7D9-1771-4155-86E0-8EEC5DE9B128}"/>
    <cellStyle name="Normal 2 4 4 2 3 2 2" xfId="3619" xr:uid="{D6B7A30F-08A5-474B-BB85-83B1A4BF9B40}"/>
    <cellStyle name="Normal 2 4 4 2 3 2 2 2" xfId="3620" xr:uid="{D5886CB9-938A-40E8-9822-52AC8CC1EF0F}"/>
    <cellStyle name="Normal 2 4 4 2 3 2 3" xfId="3621" xr:uid="{4B3EF8D6-0EC3-4EFF-B4EE-6FC1A398D878}"/>
    <cellStyle name="Normal 2 4 4 2 3 3" xfId="3622" xr:uid="{C1D6379E-203C-4036-9A2C-6076465A1F42}"/>
    <cellStyle name="Normal 2 4 4 2 3 3 2" xfId="3623" xr:uid="{6B05DF3F-3966-4265-A85E-937F4EC8B0E3}"/>
    <cellStyle name="Normal 2 4 4 2 3 3 2 2" xfId="3624" xr:uid="{8052DF00-4EAA-4D08-9F09-6FE129327DF0}"/>
    <cellStyle name="Normal 2 4 4 2 3 3 3" xfId="3625" xr:uid="{09212570-56AC-4309-B8DB-30C5DF44A721}"/>
    <cellStyle name="Normal 2 4 4 2 3 4" xfId="3626" xr:uid="{A488F419-2EC6-4405-92DE-07DD6D09FB38}"/>
    <cellStyle name="Normal 2 4 4 2 3 4 2" xfId="3627" xr:uid="{448080F4-7455-4B4B-9105-B7576510990D}"/>
    <cellStyle name="Normal 2 4 4 2 3 4 2 2" xfId="3628" xr:uid="{AED71612-7E6B-454C-BCDD-2F6373529A0E}"/>
    <cellStyle name="Normal 2 4 4 2 3 4 3" xfId="3629" xr:uid="{18D19F90-5212-4294-B6D4-CD28DFC8B09B}"/>
    <cellStyle name="Normal 2 4 4 2 3 5" xfId="3630" xr:uid="{EE84D6E8-88C0-41E5-91B9-3BF2FCA7AC40}"/>
    <cellStyle name="Normal 2 4 4 2 3 5 2" xfId="3631" xr:uid="{19F255A4-4FF6-4500-8C99-86CC032BE07F}"/>
    <cellStyle name="Normal 2 4 4 2 3 6" xfId="3632" xr:uid="{5E4A137D-78A0-4435-9E64-C7C74EF1B298}"/>
    <cellStyle name="Normal 2 4 4 2 4" xfId="3633" xr:uid="{85E0C341-54B9-4F0B-B688-31A5AF6D3318}"/>
    <cellStyle name="Normal 2 4 4 2 4 2" xfId="3634" xr:uid="{484D6BA7-BA10-4BCA-AFFE-DD5FE742984E}"/>
    <cellStyle name="Normal 2 4 4 2 4 2 2" xfId="3635" xr:uid="{7608C004-E1E5-48C2-A83B-EA54DFC78900}"/>
    <cellStyle name="Normal 2 4 4 2 4 3" xfId="3636" xr:uid="{8B1C83C1-6F68-4789-877D-1ADA208A0BE0}"/>
    <cellStyle name="Normal 2 4 4 2 5" xfId="3637" xr:uid="{F3E8F711-606D-4FAE-963E-FBAC7D73FBD3}"/>
    <cellStyle name="Normal 2 4 4 2 5 2" xfId="3638" xr:uid="{1DD8E63A-6501-4212-A1B1-57278C21FBBE}"/>
    <cellStyle name="Normal 2 4 4 2 5 2 2" xfId="3639" xr:uid="{7047E6FF-56BD-4CA0-A493-4206FE5D6CDC}"/>
    <cellStyle name="Normal 2 4 4 2 5 3" xfId="3640" xr:uid="{F98EDC8C-A11A-448E-A368-7715760F7A7D}"/>
    <cellStyle name="Normal 2 4 4 2 6" xfId="3641" xr:uid="{26DCEFED-0813-44E1-A322-71FD4C4A11DE}"/>
    <cellStyle name="Normal 2 4 4 2 6 2" xfId="3642" xr:uid="{A4BC8546-51D6-4719-967F-F83E4CAC5C8C}"/>
    <cellStyle name="Normal 2 4 4 2 6 2 2" xfId="3643" xr:uid="{3E7E5271-D584-4DB7-858F-800D9996ED3B}"/>
    <cellStyle name="Normal 2 4 4 2 6 3" xfId="3644" xr:uid="{C6C4211D-6AAE-4AA6-A304-AE18A3DA2AD8}"/>
    <cellStyle name="Normal 2 4 4 2 7" xfId="3645" xr:uid="{AD1DAA5E-FC48-4873-A30A-0D2161BD7BF8}"/>
    <cellStyle name="Normal 2 4 4 2 7 2" xfId="3646" xr:uid="{4181AC6C-4324-40CE-9F18-15050E3B5F52}"/>
    <cellStyle name="Normal 2 4 4 2 8" xfId="3647" xr:uid="{6AB602CB-1E3B-432F-A97C-AB8441ADFEB2}"/>
    <cellStyle name="Normal 2 4 4 3" xfId="3648" xr:uid="{382798A7-86E5-426B-8E07-B1A09374CC01}"/>
    <cellStyle name="Normal 2 4 4 3 2" xfId="3649" xr:uid="{1C138EB0-6E8F-4F63-982D-F526F14019A3}"/>
    <cellStyle name="Normal 2 4 4 3 2 2" xfId="3650" xr:uid="{0AD7F535-5CA6-4118-BF9A-2DF32E3C3028}"/>
    <cellStyle name="Normal 2 4 4 3 2 2 2" xfId="3651" xr:uid="{4334E942-DCB8-43C7-952A-144136132284}"/>
    <cellStyle name="Normal 2 4 4 3 2 2 2 2" xfId="3652" xr:uid="{19FA1E44-92A6-42A0-B5DA-4DAD83C82F4D}"/>
    <cellStyle name="Normal 2 4 4 3 2 2 2 2 2" xfId="3653" xr:uid="{2072A1E1-3DBC-4236-8AED-71F305AC48A7}"/>
    <cellStyle name="Normal 2 4 4 3 2 2 2 3" xfId="3654" xr:uid="{130DD200-F7F5-4084-8DCD-937E0AF90690}"/>
    <cellStyle name="Normal 2 4 4 3 2 2 3" xfId="3655" xr:uid="{0CE9936E-BBF9-4B64-AC08-E42DEB615234}"/>
    <cellStyle name="Normal 2 4 4 3 2 2 3 2" xfId="3656" xr:uid="{DDA5DAC3-D56F-4E7B-B7CD-A57ED09B9051}"/>
    <cellStyle name="Normal 2 4 4 3 2 2 3 2 2" xfId="3657" xr:uid="{94CD5731-7AD9-46D1-9840-EDBAE5247161}"/>
    <cellStyle name="Normal 2 4 4 3 2 2 3 3" xfId="3658" xr:uid="{75672C68-CE6F-410C-BFB7-DF8E300D11B3}"/>
    <cellStyle name="Normal 2 4 4 3 2 2 4" xfId="3659" xr:uid="{B0A4DA1E-6BC8-415D-A386-045A394B417B}"/>
    <cellStyle name="Normal 2 4 4 3 2 2 4 2" xfId="3660" xr:uid="{D060EEAC-601C-4FF9-BCFD-86D7DC5A11F3}"/>
    <cellStyle name="Normal 2 4 4 3 2 2 4 2 2" xfId="3661" xr:uid="{88B5ECFD-197C-4993-85E1-F4294F5AB2F6}"/>
    <cellStyle name="Normal 2 4 4 3 2 2 4 3" xfId="3662" xr:uid="{BA43BF61-77AA-4D9E-99B5-106C4B18B93B}"/>
    <cellStyle name="Normal 2 4 4 3 2 2 5" xfId="3663" xr:uid="{8D9F64D1-19FA-4CF5-9FCD-9674762DF934}"/>
    <cellStyle name="Normal 2 4 4 3 2 2 5 2" xfId="3664" xr:uid="{6FBD3E60-E2CE-4ABD-911D-089845E6A2F7}"/>
    <cellStyle name="Normal 2 4 4 3 2 2 6" xfId="3665" xr:uid="{CD484ECD-A906-47E8-A272-DC31F2451393}"/>
    <cellStyle name="Normal 2 4 4 3 2 3" xfId="3666" xr:uid="{8071F936-0B5C-4985-AC73-07B84D1EEB0B}"/>
    <cellStyle name="Normal 2 4 4 3 2 3 2" xfId="3667" xr:uid="{EE17A350-5D99-4A3C-A29F-FA92A79FF7B5}"/>
    <cellStyle name="Normal 2 4 4 3 2 3 2 2" xfId="3668" xr:uid="{36DB04E2-02F5-41BC-8856-F513094B30A1}"/>
    <cellStyle name="Normal 2 4 4 3 2 3 3" xfId="3669" xr:uid="{D25FC3BC-3A35-4867-B0FD-2434667527E9}"/>
    <cellStyle name="Normal 2 4 4 3 2 4" xfId="3670" xr:uid="{EDE1165D-96C9-41A5-BDE2-BE1A2FC3BC2E}"/>
    <cellStyle name="Normal 2 4 4 3 2 4 2" xfId="3671" xr:uid="{112CAE4F-0330-49BB-8BD0-6A421E5817B1}"/>
    <cellStyle name="Normal 2 4 4 3 2 4 2 2" xfId="3672" xr:uid="{C52ABBE1-ADEA-4951-87E6-92040809F314}"/>
    <cellStyle name="Normal 2 4 4 3 2 4 3" xfId="3673" xr:uid="{BE089610-FB36-49E4-9537-458D8FC160A0}"/>
    <cellStyle name="Normal 2 4 4 3 2 5" xfId="3674" xr:uid="{AF0AB5E7-A2C6-42B3-AACF-35F73A4FF4B6}"/>
    <cellStyle name="Normal 2 4 4 3 2 5 2" xfId="3675" xr:uid="{519FF785-08AA-44E7-839B-4FE8731635B1}"/>
    <cellStyle name="Normal 2 4 4 3 2 5 2 2" xfId="3676" xr:uid="{6C6B8E63-05ED-4842-8009-268DA94C761B}"/>
    <cellStyle name="Normal 2 4 4 3 2 5 3" xfId="3677" xr:uid="{620EFA55-1E28-4ACE-823B-935D2816B10C}"/>
    <cellStyle name="Normal 2 4 4 3 2 6" xfId="3678" xr:uid="{4D1E74C9-78A0-4E73-9C20-9546D90D9129}"/>
    <cellStyle name="Normal 2 4 4 3 2 6 2" xfId="3679" xr:uid="{181AB740-847A-4449-89F6-D957E1CD7EE4}"/>
    <cellStyle name="Normal 2 4 4 3 2 7" xfId="3680" xr:uid="{64B42067-C3A6-4C45-801A-3888E81718CD}"/>
    <cellStyle name="Normal 2 4 4 3 3" xfId="3681" xr:uid="{58D39B0D-5BDF-419F-B9EB-278F41B6920D}"/>
    <cellStyle name="Normal 2 4 4 3 3 2" xfId="3682" xr:uid="{68734F05-B12F-44A7-8300-D318A494D77E}"/>
    <cellStyle name="Normal 2 4 4 3 3 2 2" xfId="3683" xr:uid="{CFADD2FB-780F-4B91-8131-EDCE0B56D96D}"/>
    <cellStyle name="Normal 2 4 4 3 3 2 2 2" xfId="3684" xr:uid="{2BEC4FF2-B8D4-464E-BE71-FD1899A561CE}"/>
    <cellStyle name="Normal 2 4 4 3 3 2 3" xfId="3685" xr:uid="{8D50FBC7-B9CB-4707-8231-E675E965EE04}"/>
    <cellStyle name="Normal 2 4 4 3 3 3" xfId="3686" xr:uid="{B764E43E-FC6E-4506-B941-4FCA8382D3D1}"/>
    <cellStyle name="Normal 2 4 4 3 3 3 2" xfId="3687" xr:uid="{B4BD8477-F33C-4899-ADC9-FE33437017EE}"/>
    <cellStyle name="Normal 2 4 4 3 3 3 2 2" xfId="3688" xr:uid="{F971CBAF-5C0A-4EE5-9F16-BEB996A1BDE3}"/>
    <cellStyle name="Normal 2 4 4 3 3 3 3" xfId="3689" xr:uid="{3A91809C-613E-4499-B815-CC7C292F17E1}"/>
    <cellStyle name="Normal 2 4 4 3 3 4" xfId="3690" xr:uid="{6F021BA7-4961-477A-9922-0B06B7D0341A}"/>
    <cellStyle name="Normal 2 4 4 3 3 4 2" xfId="3691" xr:uid="{AD4CC6A8-469A-47D2-9F0F-31E741AFB76B}"/>
    <cellStyle name="Normal 2 4 4 3 3 4 2 2" xfId="3692" xr:uid="{0EF22B78-D1AB-43CD-A1AA-38F3B480F8AD}"/>
    <cellStyle name="Normal 2 4 4 3 3 4 3" xfId="3693" xr:uid="{F8FED32C-8C58-4258-ABD5-1BDB4C206466}"/>
    <cellStyle name="Normal 2 4 4 3 3 5" xfId="3694" xr:uid="{141A19DE-4631-430D-988C-A05CCC84D9D1}"/>
    <cellStyle name="Normal 2 4 4 3 3 5 2" xfId="3695" xr:uid="{A7F6C7F3-DEE1-4EEF-A17E-823F634CE909}"/>
    <cellStyle name="Normal 2 4 4 3 3 6" xfId="3696" xr:uid="{5F58C354-5F70-4E4F-A2F0-451FAF9832E8}"/>
    <cellStyle name="Normal 2 4 4 3 4" xfId="3697" xr:uid="{F0C5F0E0-ED62-44BC-8FF0-5F1F4FDDD67A}"/>
    <cellStyle name="Normal 2 4 4 3 4 2" xfId="3698" xr:uid="{F3B4ABAC-E348-4795-A1F1-5F6D74C42BE0}"/>
    <cellStyle name="Normal 2 4 4 3 4 2 2" xfId="3699" xr:uid="{019D2D9E-C245-487F-91B7-A12C993C7E96}"/>
    <cellStyle name="Normal 2 4 4 3 4 3" xfId="3700" xr:uid="{8F89387E-4731-4F44-8825-B833AB7AEC53}"/>
    <cellStyle name="Normal 2 4 4 3 5" xfId="3701" xr:uid="{EAFE17E2-F39B-41DC-A607-9775A48C46AC}"/>
    <cellStyle name="Normal 2 4 4 3 5 2" xfId="3702" xr:uid="{D1B8D054-7F6A-4CD9-97ED-73085AA88A70}"/>
    <cellStyle name="Normal 2 4 4 3 5 2 2" xfId="3703" xr:uid="{6CA67627-7C1B-4C4F-94E2-218E172AF336}"/>
    <cellStyle name="Normal 2 4 4 3 5 3" xfId="3704" xr:uid="{D9D10ABA-68A6-457A-8EA9-20BD22351EFE}"/>
    <cellStyle name="Normal 2 4 4 3 6" xfId="3705" xr:uid="{95252878-0902-4493-A9C3-1E6365214217}"/>
    <cellStyle name="Normal 2 4 4 3 6 2" xfId="3706" xr:uid="{1EE250CE-8677-45CB-97B9-CFD3B17FF374}"/>
    <cellStyle name="Normal 2 4 4 3 6 2 2" xfId="3707" xr:uid="{5611F4E1-FB01-4559-9B49-2465EDE3ACA8}"/>
    <cellStyle name="Normal 2 4 4 3 6 3" xfId="3708" xr:uid="{ECD08835-7110-491C-9727-BE0B4AE0F208}"/>
    <cellStyle name="Normal 2 4 4 3 7" xfId="3709" xr:uid="{D161B740-2A3A-4AD4-B112-43683E382C09}"/>
    <cellStyle name="Normal 2 4 4 3 7 2" xfId="3710" xr:uid="{2C2B1E29-F00A-45C6-91DB-DD0A825FD1DD}"/>
    <cellStyle name="Normal 2 4 4 3 8" xfId="3711" xr:uid="{AFA1F71C-4823-46B3-A98B-71F28E7B5EB8}"/>
    <cellStyle name="Normal 2 4 4 4" xfId="3712" xr:uid="{B1FBBD13-1360-45C7-BEB5-516CD5619F17}"/>
    <cellStyle name="Normal 2 4 4 4 2" xfId="3713" xr:uid="{76A768FF-DA4F-4822-AE6F-9BD3AE33C345}"/>
    <cellStyle name="Normal 2 4 4 4 2 2" xfId="3714" xr:uid="{D0E2AF96-1886-45ED-A85C-7E15B06EBFDB}"/>
    <cellStyle name="Normal 2 4 4 4 2 2 2" xfId="3715" xr:uid="{03C9BCEA-780D-4A77-A994-3058A2B8CF0F}"/>
    <cellStyle name="Normal 2 4 4 4 2 2 2 2" xfId="3716" xr:uid="{6109ED2D-E57A-4ED6-90D6-9B0D5B82B01E}"/>
    <cellStyle name="Normal 2 4 4 4 2 2 3" xfId="3717" xr:uid="{76604A0A-5D15-4F26-A4F9-457C853B239F}"/>
    <cellStyle name="Normal 2 4 4 4 2 3" xfId="3718" xr:uid="{8F046E3B-9BAD-4BFE-A72A-557DAAC0A4E0}"/>
    <cellStyle name="Normal 2 4 4 4 2 3 2" xfId="3719" xr:uid="{3F4894C7-79E5-4DD7-8A44-123970B979E5}"/>
    <cellStyle name="Normal 2 4 4 4 2 3 2 2" xfId="3720" xr:uid="{B96319E1-5AF0-48C6-9C94-DE8E5D82FDBC}"/>
    <cellStyle name="Normal 2 4 4 4 2 3 3" xfId="3721" xr:uid="{B350A079-4569-4D1C-96CC-95976E7F0D7B}"/>
    <cellStyle name="Normal 2 4 4 4 2 4" xfId="3722" xr:uid="{5F506E19-3F2C-439C-87D7-8760825AAF87}"/>
    <cellStyle name="Normal 2 4 4 4 2 4 2" xfId="3723" xr:uid="{154416BA-B352-4E5D-839F-ED13EA0CCC0C}"/>
    <cellStyle name="Normal 2 4 4 4 2 4 2 2" xfId="3724" xr:uid="{CA15DCDF-CACA-4A68-B624-612725FEEFEA}"/>
    <cellStyle name="Normal 2 4 4 4 2 4 3" xfId="3725" xr:uid="{DFF16561-682C-4DCD-B094-9528D5B445BE}"/>
    <cellStyle name="Normal 2 4 4 4 2 5" xfId="3726" xr:uid="{752EE143-F1C9-4F46-984F-7832CD53F885}"/>
    <cellStyle name="Normal 2 4 4 4 2 5 2" xfId="3727" xr:uid="{AC375DDF-1830-4AAC-8FB8-4FA756A133CE}"/>
    <cellStyle name="Normal 2 4 4 4 2 6" xfId="3728" xr:uid="{7037C2A1-3478-49EC-827A-B312311A246F}"/>
    <cellStyle name="Normal 2 4 4 4 3" xfId="3729" xr:uid="{993645B0-646F-4E67-861A-40D50BFE3DCD}"/>
    <cellStyle name="Normal 2 4 4 4 3 2" xfId="3730" xr:uid="{5864F72E-32A0-4BE0-BF0D-1B176F664253}"/>
    <cellStyle name="Normal 2 4 4 4 3 2 2" xfId="3731" xr:uid="{92258CF9-CDB0-4FB9-8D8B-8AFD192EFB5F}"/>
    <cellStyle name="Normal 2 4 4 4 3 3" xfId="3732" xr:uid="{61E9D3B5-D5E2-47FD-B0B2-60ABD503FB35}"/>
    <cellStyle name="Normal 2 4 4 4 4" xfId="3733" xr:uid="{2D30EB34-C7AC-4430-BA9C-C63B09BB0421}"/>
    <cellStyle name="Normal 2 4 4 4 4 2" xfId="3734" xr:uid="{3D0216F0-ECB1-4423-8670-C3B1448EC38B}"/>
    <cellStyle name="Normal 2 4 4 4 4 2 2" xfId="3735" xr:uid="{2A139C6C-338A-4726-88AC-9616DE8B3AE2}"/>
    <cellStyle name="Normal 2 4 4 4 4 3" xfId="3736" xr:uid="{2A75D5F6-CD96-41EB-9325-B08ACDB9B34C}"/>
    <cellStyle name="Normal 2 4 4 4 5" xfId="3737" xr:uid="{92E28943-B7B0-4A36-B3A4-69E27BA6EE05}"/>
    <cellStyle name="Normal 2 4 4 4 5 2" xfId="3738" xr:uid="{BC83FA9B-7A17-4DAF-956E-3EAECAD44393}"/>
    <cellStyle name="Normal 2 4 4 4 5 2 2" xfId="3739" xr:uid="{B8C029B9-BCBD-441D-828A-98893994D261}"/>
    <cellStyle name="Normal 2 4 4 4 5 3" xfId="3740" xr:uid="{1AE2C815-9D49-4066-AFF8-D18A564402A6}"/>
    <cellStyle name="Normal 2 4 4 4 6" xfId="3741" xr:uid="{5E97C0FB-C236-40DC-B146-FEEC8B547AE5}"/>
    <cellStyle name="Normal 2 4 4 4 6 2" xfId="3742" xr:uid="{D3148417-8945-4647-A598-9863A7293F15}"/>
    <cellStyle name="Normal 2 4 4 4 7" xfId="3743" xr:uid="{88F8F865-B81B-42B8-BE70-0078FB7590E6}"/>
    <cellStyle name="Normal 2 4 4 5" xfId="3744" xr:uid="{AFFCCA6E-500C-44AA-A85C-F914CF9F7870}"/>
    <cellStyle name="Normal 2 4 4 5 2" xfId="3745" xr:uid="{928A0646-A139-45AC-A442-D958E14A0283}"/>
    <cellStyle name="Normal 2 4 4 5 2 2" xfId="3746" xr:uid="{C558E327-C58C-4778-9BFC-C52C2C553832}"/>
    <cellStyle name="Normal 2 4 4 5 2 2 2" xfId="3747" xr:uid="{80F44D5E-6500-4BF1-976B-2D15E66280E5}"/>
    <cellStyle name="Normal 2 4 4 5 2 3" xfId="3748" xr:uid="{5AE235A5-209E-4D2A-B4AF-C8BA4671EAFE}"/>
    <cellStyle name="Normal 2 4 4 5 3" xfId="3749" xr:uid="{6C4B0CB9-0A26-4E14-93CD-D2E9F2628773}"/>
    <cellStyle name="Normal 2 4 4 5 3 2" xfId="3750" xr:uid="{63C10FBC-6656-40C2-8186-11E667B82FD5}"/>
    <cellStyle name="Normal 2 4 4 5 3 2 2" xfId="3751" xr:uid="{69A53FFB-2CD4-4590-812C-6640599ADC3D}"/>
    <cellStyle name="Normal 2 4 4 5 3 3" xfId="3752" xr:uid="{8CD1799C-0F78-46E3-B372-01E0773D8F13}"/>
    <cellStyle name="Normal 2 4 4 5 4" xfId="3753" xr:uid="{46E3814D-5D15-4193-847B-CD73A0B769CF}"/>
    <cellStyle name="Normal 2 4 4 5 4 2" xfId="3754" xr:uid="{1F882F19-04B8-4074-9767-6AA844303AE8}"/>
    <cellStyle name="Normal 2 4 4 5 4 2 2" xfId="3755" xr:uid="{B27286FE-F5F9-4E02-B0FB-3070F4A38FB4}"/>
    <cellStyle name="Normal 2 4 4 5 4 3" xfId="3756" xr:uid="{1AD6214B-AD19-42BC-851C-F2D21CE5CEBD}"/>
    <cellStyle name="Normal 2 4 4 5 5" xfId="3757" xr:uid="{24CA3D55-E6F4-46E2-A4D8-851DF51403F9}"/>
    <cellStyle name="Normal 2 4 4 5 5 2" xfId="3758" xr:uid="{45ECF60C-4E71-4C06-9517-0296088A24FA}"/>
    <cellStyle name="Normal 2 4 4 5 6" xfId="3759" xr:uid="{A4303788-B1C9-41E7-A728-1A3387696881}"/>
    <cellStyle name="Normal 2 4 4 6" xfId="3760" xr:uid="{542B9A1E-AB84-4038-AEB2-111C5DC08837}"/>
    <cellStyle name="Normal 2 4 4 6 2" xfId="3761" xr:uid="{607E6C26-4AB9-43D2-BD55-3B0115453E73}"/>
    <cellStyle name="Normal 2 4 4 6 2 2" xfId="3762" xr:uid="{8B87CB5A-DD3E-49CF-AAF8-E050B71A4907}"/>
    <cellStyle name="Normal 2 4 4 6 3" xfId="3763" xr:uid="{87434AE0-6A45-40FB-B354-6B0EA9EE3FD2}"/>
    <cellStyle name="Normal 2 4 4 7" xfId="3764" xr:uid="{93E18534-1C95-4AEF-A3DF-63E06B48CCC2}"/>
    <cellStyle name="Normal 2 4 4 7 2" xfId="3765" xr:uid="{A1D59F59-4AFE-4964-9FA1-295040C491F5}"/>
    <cellStyle name="Normal 2 4 4 7 2 2" xfId="3766" xr:uid="{B0D4B31B-8055-47ED-906E-A6527DF8E8E5}"/>
    <cellStyle name="Normal 2 4 4 7 3" xfId="3767" xr:uid="{E889FD6F-0ABD-4073-B2A6-7A7BA1705193}"/>
    <cellStyle name="Normal 2 4 4 8" xfId="3768" xr:uid="{A8B23A57-D7E1-49E3-8FFB-02401B00CDB6}"/>
    <cellStyle name="Normal 2 4 4 8 2" xfId="3769" xr:uid="{88FE1075-8F7F-44A3-A1D3-4391F80EB466}"/>
    <cellStyle name="Normal 2 4 4 8 2 2" xfId="3770" xr:uid="{D8A82020-A42E-4725-9756-9D30A0F9717A}"/>
    <cellStyle name="Normal 2 4 4 8 3" xfId="3771" xr:uid="{6AF842C8-E1FC-4270-BBE3-22A96FEE80CD}"/>
    <cellStyle name="Normal 2 4 4 9" xfId="3772" xr:uid="{032E6469-6723-4429-8C05-2D0BE989231D}"/>
    <cellStyle name="Normal 2 4 4 9 2" xfId="3773" xr:uid="{F4B5668E-8951-4823-B4EC-E084680FD087}"/>
    <cellStyle name="Normal 2 4 4 9 2 2" xfId="3774" xr:uid="{E319D2DA-E1AC-45F0-BAE7-7E3EA05E89DA}"/>
    <cellStyle name="Normal 2 4 4 9 3" xfId="3775" xr:uid="{711B3F14-AD97-4299-A013-E843916963A8}"/>
    <cellStyle name="Normal 2 4 5" xfId="3776" xr:uid="{AFCACF4E-53B8-445A-B691-1B25F8CA0C10}"/>
    <cellStyle name="Normal 2 4 5 2" xfId="3777" xr:uid="{74F017A3-DCFE-4A44-B31C-2A3CA252C4E0}"/>
    <cellStyle name="Normal 2 4 5 2 2" xfId="3778" xr:uid="{4F3A0A63-378E-41CB-8F07-E2ABEFF89DEE}"/>
    <cellStyle name="Normal 2 4 5 2 2 2" xfId="3779" xr:uid="{29756B60-C39C-47F9-866A-DDACAA28BC6C}"/>
    <cellStyle name="Normal 2 4 5 2 2 2 2" xfId="3780" xr:uid="{8FFDC223-3F14-43D6-8F8B-8405E175E6C6}"/>
    <cellStyle name="Normal 2 4 5 2 2 2 2 2" xfId="3781" xr:uid="{EBF1E988-2FDC-4128-BABB-4E3673CE2B51}"/>
    <cellStyle name="Normal 2 4 5 2 2 2 3" xfId="3782" xr:uid="{4F6464EE-87F3-430C-AF37-B48037D0E302}"/>
    <cellStyle name="Normal 2 4 5 2 2 3" xfId="3783" xr:uid="{C6539FC4-5D84-4D00-ABE0-1CC549C1F288}"/>
    <cellStyle name="Normal 2 4 5 2 2 3 2" xfId="3784" xr:uid="{E74EFDDA-0F76-45D1-B7F5-B711A1F18FA2}"/>
    <cellStyle name="Normal 2 4 5 2 2 3 2 2" xfId="3785" xr:uid="{CB0A504F-B3D1-4E22-9B15-C94E83E38690}"/>
    <cellStyle name="Normal 2 4 5 2 2 3 3" xfId="3786" xr:uid="{E057EA6F-22D5-4B7E-AA06-93DA780CE5C8}"/>
    <cellStyle name="Normal 2 4 5 2 2 4" xfId="3787" xr:uid="{252AB553-5F64-412A-8E1D-F67EDB20A631}"/>
    <cellStyle name="Normal 2 4 5 2 2 4 2" xfId="3788" xr:uid="{00029FEA-9F8D-41EA-90C7-71A2C7A94534}"/>
    <cellStyle name="Normal 2 4 5 2 2 4 2 2" xfId="3789" xr:uid="{1F94913F-EC86-45C5-96B7-5B9B977C0974}"/>
    <cellStyle name="Normal 2 4 5 2 2 4 3" xfId="3790" xr:uid="{DA43E87F-7911-45F1-A11C-49BEB4EDD6F3}"/>
    <cellStyle name="Normal 2 4 5 2 2 5" xfId="3791" xr:uid="{125D6311-349F-4B76-839D-C6FDBDFEF381}"/>
    <cellStyle name="Normal 2 4 5 2 2 5 2" xfId="3792" xr:uid="{4415EFC0-62C5-494D-BE44-561B588B5B0D}"/>
    <cellStyle name="Normal 2 4 5 2 2 6" xfId="3793" xr:uid="{1BFB9C68-B456-4C9D-B47F-FD0FD126F9F0}"/>
    <cellStyle name="Normal 2 4 5 2 3" xfId="3794" xr:uid="{12B32E7F-E67C-4AD8-89A0-4B67B57D9113}"/>
    <cellStyle name="Normal 2 4 5 2 3 2" xfId="3795" xr:uid="{6DF9D076-39C3-439C-B2C2-60E2DB78BD19}"/>
    <cellStyle name="Normal 2 4 5 2 3 2 2" xfId="3796" xr:uid="{0F7F96C4-F64F-4A3F-BD7A-9E876321E84C}"/>
    <cellStyle name="Normal 2 4 5 2 3 3" xfId="3797" xr:uid="{694D0EAE-FB44-4A1F-995A-E95A690400C8}"/>
    <cellStyle name="Normal 2 4 5 2 4" xfId="3798" xr:uid="{F6902C42-B967-496C-8CF9-B15869C7CADD}"/>
    <cellStyle name="Normal 2 4 5 2 4 2" xfId="3799" xr:uid="{FFF3C9E9-490D-4631-848A-EB344176F276}"/>
    <cellStyle name="Normal 2 4 5 2 4 2 2" xfId="3800" xr:uid="{9EED1996-93C7-4B35-AD75-1D39B9C6B605}"/>
    <cellStyle name="Normal 2 4 5 2 4 3" xfId="3801" xr:uid="{39BC52E7-4EF1-42F1-B43B-73F82ECE4717}"/>
    <cellStyle name="Normal 2 4 5 2 5" xfId="3802" xr:uid="{E4DF6D96-33A2-4276-B0AD-F019A9FC539E}"/>
    <cellStyle name="Normal 2 4 5 2 5 2" xfId="3803" xr:uid="{AE8147F2-2302-40EC-B34E-141CE85784B3}"/>
    <cellStyle name="Normal 2 4 5 2 5 2 2" xfId="3804" xr:uid="{1843DCE1-1222-458A-A77F-5F5ED8B731EB}"/>
    <cellStyle name="Normal 2 4 5 2 5 3" xfId="3805" xr:uid="{D3FCFCB7-557D-4713-81F4-EA2A043300D9}"/>
    <cellStyle name="Normal 2 4 5 2 6" xfId="3806" xr:uid="{1CEF0B6E-864C-4FD6-88FF-10CA53A3AE34}"/>
    <cellStyle name="Normal 2 4 5 2 6 2" xfId="3807" xr:uid="{200380DF-3580-4C44-833B-971FD11D0915}"/>
    <cellStyle name="Normal 2 4 5 2 7" xfId="3808" xr:uid="{7C275474-0E30-42CE-A0A5-B403582339D0}"/>
    <cellStyle name="Normal 2 4 5 3" xfId="3809" xr:uid="{CB41F739-0A2F-4CEB-AE0D-B008590455E3}"/>
    <cellStyle name="Normal 2 4 5 3 2" xfId="3810" xr:uid="{E44EBB61-C727-4182-9987-3FD8C791D962}"/>
    <cellStyle name="Normal 2 4 5 3 2 2" xfId="3811" xr:uid="{EB56DF08-93DB-471A-A646-CB3024E5A26C}"/>
    <cellStyle name="Normal 2 4 5 3 2 2 2" xfId="3812" xr:uid="{6335D63B-1F50-4AF6-AC8A-AD59FB75D25A}"/>
    <cellStyle name="Normal 2 4 5 3 2 3" xfId="3813" xr:uid="{E4F798A9-ECFC-4617-82E0-00E2B1E3F64D}"/>
    <cellStyle name="Normal 2 4 5 3 3" xfId="3814" xr:uid="{BFA3AFEA-864D-4DB8-858B-A0AF821C97CD}"/>
    <cellStyle name="Normal 2 4 5 3 3 2" xfId="3815" xr:uid="{B60E8A45-3CAD-4BF8-BEBC-76CE38884965}"/>
    <cellStyle name="Normal 2 4 5 3 3 2 2" xfId="3816" xr:uid="{3B0E83AC-2A5E-4CA4-B180-D10528C11615}"/>
    <cellStyle name="Normal 2 4 5 3 3 3" xfId="3817" xr:uid="{BC082B29-4636-4E68-A8A5-571B5FAE1FBB}"/>
    <cellStyle name="Normal 2 4 5 3 4" xfId="3818" xr:uid="{180C925A-39B9-4436-9794-EE70AFDD30D6}"/>
    <cellStyle name="Normal 2 4 5 3 4 2" xfId="3819" xr:uid="{298C0C01-5A9B-4601-9B46-F69277A65540}"/>
    <cellStyle name="Normal 2 4 5 3 4 2 2" xfId="3820" xr:uid="{0DEAE35A-23F9-4205-854C-CEF8DBA83C1C}"/>
    <cellStyle name="Normal 2 4 5 3 4 3" xfId="3821" xr:uid="{C26D906E-4BE3-4C60-BE53-91D69B27D23A}"/>
    <cellStyle name="Normal 2 4 5 3 5" xfId="3822" xr:uid="{C1C6EA6E-9111-4729-97B4-5C81A586CF2C}"/>
    <cellStyle name="Normal 2 4 5 3 5 2" xfId="3823" xr:uid="{2B615289-694C-4B98-96AA-41E9653A2C17}"/>
    <cellStyle name="Normal 2 4 5 3 6" xfId="3824" xr:uid="{E7EB5C88-4789-46B4-B4CE-E2B21E64D570}"/>
    <cellStyle name="Normal 2 4 5 4" xfId="3825" xr:uid="{AA6AC97B-C95D-4948-A92E-A3F27897DFA6}"/>
    <cellStyle name="Normal 2 4 5 4 2" xfId="3826" xr:uid="{49FB107B-4411-4700-BF52-624FD4138FBE}"/>
    <cellStyle name="Normal 2 4 5 4 2 2" xfId="3827" xr:uid="{21E6A959-1873-4CAC-8B15-CE2887D32025}"/>
    <cellStyle name="Normal 2 4 5 4 3" xfId="3828" xr:uid="{17B39CC0-668F-4E5C-A06A-9C9631F04D27}"/>
    <cellStyle name="Normal 2 4 5 5" xfId="3829" xr:uid="{FCC13D33-9EF9-4A7E-B818-862D54367219}"/>
    <cellStyle name="Normal 2 4 5 5 2" xfId="3830" xr:uid="{BFDA6614-2C4F-4CD2-AFCF-EF951450E242}"/>
    <cellStyle name="Normal 2 4 5 5 2 2" xfId="3831" xr:uid="{21871151-B570-4902-897B-DC2F8415D26B}"/>
    <cellStyle name="Normal 2 4 5 5 3" xfId="3832" xr:uid="{5B36DB12-D75B-463B-88DF-5F95A3D253DA}"/>
    <cellStyle name="Normal 2 4 5 6" xfId="3833" xr:uid="{7FC6FEC5-955B-42CB-BEED-3DD00DEFACB3}"/>
    <cellStyle name="Normal 2 4 5 6 2" xfId="3834" xr:uid="{D338C37A-65B7-4BF8-9642-2C8EB895DD8A}"/>
    <cellStyle name="Normal 2 4 5 6 2 2" xfId="3835" xr:uid="{3DAEAA60-2183-4A76-86D1-5AC03CCCA087}"/>
    <cellStyle name="Normal 2 4 5 6 3" xfId="3836" xr:uid="{6664CE45-B011-451E-9C5B-AD56FFFB0BBA}"/>
    <cellStyle name="Normal 2 4 5 7" xfId="3837" xr:uid="{76C8CAB4-E973-4FF4-B13F-EA4F8C300851}"/>
    <cellStyle name="Normal 2 4 5 7 2" xfId="3838" xr:uid="{ACA155FC-516B-47D1-99E7-449DC98417EB}"/>
    <cellStyle name="Normal 2 4 5 8" xfId="3839" xr:uid="{60666EA3-4966-41C5-8E0E-624C5205DD0C}"/>
    <cellStyle name="Normal 2 4 6" xfId="3840" xr:uid="{89B0BC36-824B-44DD-9BB2-297FFF2E27CB}"/>
    <cellStyle name="Normal 2 4 6 2" xfId="3841" xr:uid="{8ED742E3-0C6E-453C-AD30-C1F0062D888D}"/>
    <cellStyle name="Normal 2 4 6 2 2" xfId="3842" xr:uid="{525EBE64-1A9D-4B46-8B77-31C9590F7641}"/>
    <cellStyle name="Normal 2 4 6 2 2 2" xfId="3843" xr:uid="{16DA4405-EEAF-43C0-B904-BC5E095A092A}"/>
    <cellStyle name="Normal 2 4 6 2 2 2 2" xfId="3844" xr:uid="{17F4F5B7-3D60-49D4-B8F1-F734925131C1}"/>
    <cellStyle name="Normal 2 4 6 2 2 2 2 2" xfId="3845" xr:uid="{A658087C-A69B-4A83-9101-7C63EF37B454}"/>
    <cellStyle name="Normal 2 4 6 2 2 2 3" xfId="3846" xr:uid="{19FAA110-1653-4037-B429-A902D06EC34F}"/>
    <cellStyle name="Normal 2 4 6 2 2 3" xfId="3847" xr:uid="{87FDD218-D711-4978-906F-0598E1E5D63E}"/>
    <cellStyle name="Normal 2 4 6 2 2 3 2" xfId="3848" xr:uid="{B610C4CD-9823-4E2A-9918-65DD99D8674A}"/>
    <cellStyle name="Normal 2 4 6 2 2 3 2 2" xfId="3849" xr:uid="{5DE4EE15-87FF-4EA6-83C2-D589B95CC1D0}"/>
    <cellStyle name="Normal 2 4 6 2 2 3 3" xfId="3850" xr:uid="{B7E7B1FE-062C-4227-8CF4-A573F88755A7}"/>
    <cellStyle name="Normal 2 4 6 2 2 4" xfId="3851" xr:uid="{E6264123-4300-43FA-B26E-5B1A84D2AA59}"/>
    <cellStyle name="Normal 2 4 6 2 2 4 2" xfId="3852" xr:uid="{0D426357-F7DC-4B2A-82A9-9EDA86604891}"/>
    <cellStyle name="Normal 2 4 6 2 2 4 2 2" xfId="3853" xr:uid="{0DA43FF1-3464-4408-B673-41026A9DB2B6}"/>
    <cellStyle name="Normal 2 4 6 2 2 4 3" xfId="3854" xr:uid="{625DC444-E2DF-4EB4-A91E-5272F724C09B}"/>
    <cellStyle name="Normal 2 4 6 2 2 5" xfId="3855" xr:uid="{9276981E-D604-4576-9EAB-659D39C4083E}"/>
    <cellStyle name="Normal 2 4 6 2 2 5 2" xfId="3856" xr:uid="{9A9EFB5D-B955-47C1-B8EB-5BF81745B495}"/>
    <cellStyle name="Normal 2 4 6 2 2 6" xfId="3857" xr:uid="{EF9EA368-2F24-4113-9F6C-75A2D6E35B8D}"/>
    <cellStyle name="Normal 2 4 6 2 3" xfId="3858" xr:uid="{9FADCE5B-66C5-4478-927F-5B0A4B4ACBD2}"/>
    <cellStyle name="Normal 2 4 6 2 3 2" xfId="3859" xr:uid="{B827BBF9-90C6-4D20-81BB-6A541493B3CC}"/>
    <cellStyle name="Normal 2 4 6 2 3 2 2" xfId="3860" xr:uid="{68C7AED5-A894-4063-A9F1-727CD0F88C4B}"/>
    <cellStyle name="Normal 2 4 6 2 3 3" xfId="3861" xr:uid="{28CF8165-89D3-492E-BD44-781D18E2EE7C}"/>
    <cellStyle name="Normal 2 4 6 2 4" xfId="3862" xr:uid="{0D435DC5-CEEF-4A6B-BBFD-889A4E54403B}"/>
    <cellStyle name="Normal 2 4 6 2 4 2" xfId="3863" xr:uid="{385C8D20-629B-4E37-AD94-CCB1C3362E6C}"/>
    <cellStyle name="Normal 2 4 6 2 4 2 2" xfId="3864" xr:uid="{30DD1C16-49E1-4004-A509-078A40BAD0F4}"/>
    <cellStyle name="Normal 2 4 6 2 4 3" xfId="3865" xr:uid="{A0697E9D-6413-4EB4-8779-539B9326D201}"/>
    <cellStyle name="Normal 2 4 6 2 5" xfId="3866" xr:uid="{63382C62-C20E-46A2-B0E2-0E689E3C2827}"/>
    <cellStyle name="Normal 2 4 6 2 5 2" xfId="3867" xr:uid="{6ABF8A32-55D5-4E01-B77A-985AECA5BC61}"/>
    <cellStyle name="Normal 2 4 6 2 5 2 2" xfId="3868" xr:uid="{6406C373-5587-4BA5-8E1A-FE2330A7DDE6}"/>
    <cellStyle name="Normal 2 4 6 2 5 3" xfId="3869" xr:uid="{2DF0FB51-5BD4-4F61-8C2C-F32B78956F78}"/>
    <cellStyle name="Normal 2 4 6 2 6" xfId="3870" xr:uid="{765F8E22-B409-4CF4-BE49-EF0DBD1A2F59}"/>
    <cellStyle name="Normal 2 4 6 2 6 2" xfId="3871" xr:uid="{7C41C807-5C5C-431B-8D34-0435DE1DE06B}"/>
    <cellStyle name="Normal 2 4 6 2 7" xfId="3872" xr:uid="{9D7AEE91-4975-4511-87AD-1A14713922A1}"/>
    <cellStyle name="Normal 2 4 6 3" xfId="3873" xr:uid="{43021596-0A3E-4470-AE87-188DF858030D}"/>
    <cellStyle name="Normal 2 4 6 3 2" xfId="3874" xr:uid="{972B30CD-FD83-4E3F-B3C8-61B8DDD835F6}"/>
    <cellStyle name="Normal 2 4 6 3 2 2" xfId="3875" xr:uid="{0ACE72F8-5503-42D6-86D7-6880E88AD984}"/>
    <cellStyle name="Normal 2 4 6 3 2 2 2" xfId="3876" xr:uid="{C6F9B79D-3615-45FA-A4F2-605FC9CEC590}"/>
    <cellStyle name="Normal 2 4 6 3 2 3" xfId="3877" xr:uid="{DE079658-00C4-43C0-B975-97F424C89BFA}"/>
    <cellStyle name="Normal 2 4 6 3 3" xfId="3878" xr:uid="{B2861AFE-91A2-4D52-B354-73F641431E3B}"/>
    <cellStyle name="Normal 2 4 6 3 3 2" xfId="3879" xr:uid="{BF19B219-2F42-4D20-8B1A-BFAF6BF10836}"/>
    <cellStyle name="Normal 2 4 6 3 3 2 2" xfId="3880" xr:uid="{8AD87D02-9A6A-4E60-9500-C418261BB20B}"/>
    <cellStyle name="Normal 2 4 6 3 3 3" xfId="3881" xr:uid="{DB796CF8-6040-4580-9168-CCC932A5234E}"/>
    <cellStyle name="Normal 2 4 6 3 4" xfId="3882" xr:uid="{EE49CE82-D395-41F0-9CF9-78DA7C47E5F1}"/>
    <cellStyle name="Normal 2 4 6 3 4 2" xfId="3883" xr:uid="{3D278FB0-530E-47B8-BB96-83688C570333}"/>
    <cellStyle name="Normal 2 4 6 3 4 2 2" xfId="3884" xr:uid="{FC5E84BF-63C2-4CB5-99F6-AF2242AF99BA}"/>
    <cellStyle name="Normal 2 4 6 3 4 3" xfId="3885" xr:uid="{90395D6A-850F-4624-9773-9822E4B195D7}"/>
    <cellStyle name="Normal 2 4 6 3 5" xfId="3886" xr:uid="{89046B33-9D95-4904-8199-8857D9A8E3CC}"/>
    <cellStyle name="Normal 2 4 6 3 5 2" xfId="3887" xr:uid="{29C76716-1E79-48C2-95C3-07C0CA27186F}"/>
    <cellStyle name="Normal 2 4 6 3 6" xfId="3888" xr:uid="{6A3701FD-4C21-46A5-A649-303372D4BAA7}"/>
    <cellStyle name="Normal 2 4 6 4" xfId="3889" xr:uid="{5C632A3D-1FE6-42B6-955B-47248060614D}"/>
    <cellStyle name="Normal 2 4 6 4 2" xfId="3890" xr:uid="{2E9CD21D-2028-4CD1-9E31-63E99C38C1C1}"/>
    <cellStyle name="Normal 2 4 6 4 2 2" xfId="3891" xr:uid="{5D174110-9885-4208-AB8D-81C379CBDDD5}"/>
    <cellStyle name="Normal 2 4 6 4 3" xfId="3892" xr:uid="{D0DC1AB7-D1A1-467A-B4F4-BF37566AB7AE}"/>
    <cellStyle name="Normal 2 4 6 5" xfId="3893" xr:uid="{8F63554C-8BF9-4E7F-B15E-00E7DD85B39A}"/>
    <cellStyle name="Normal 2 4 6 5 2" xfId="3894" xr:uid="{C85B0B15-CF18-4CDA-A482-00751352D499}"/>
    <cellStyle name="Normal 2 4 6 5 2 2" xfId="3895" xr:uid="{7C54FB65-BF3B-4B75-A7D9-1F2503F1FE97}"/>
    <cellStyle name="Normal 2 4 6 5 3" xfId="3896" xr:uid="{C4DB6C86-684E-4FC9-BF60-11C210A150DF}"/>
    <cellStyle name="Normal 2 4 6 6" xfId="3897" xr:uid="{03D8419F-E734-4462-9D04-F5C9E3D3F5DF}"/>
    <cellStyle name="Normal 2 4 6 6 2" xfId="3898" xr:uid="{6CD20DB9-041F-4D13-B28D-D691662D10CF}"/>
    <cellStyle name="Normal 2 4 6 6 2 2" xfId="3899" xr:uid="{9ECB2B25-A84E-4DF0-8CA8-2CE5AB895135}"/>
    <cellStyle name="Normal 2 4 6 6 3" xfId="3900" xr:uid="{49A8EB77-44F3-483D-A20B-8C809CB53677}"/>
    <cellStyle name="Normal 2 4 6 7" xfId="3901" xr:uid="{233A5B1F-ABA1-4575-8863-EDE1524DF58C}"/>
    <cellStyle name="Normal 2 4 6 7 2" xfId="3902" xr:uid="{C832F367-9E4D-4A66-A1D5-434366D34CF9}"/>
    <cellStyle name="Normal 2 4 6 8" xfId="3903" xr:uid="{490E5B82-4416-4B2E-B2E3-CE185A846657}"/>
    <cellStyle name="Normal 2 4 7" xfId="3904" xr:uid="{F097A12D-FDBC-45B5-8191-9AB77058C127}"/>
    <cellStyle name="Normal 2 4 7 2" xfId="3905" xr:uid="{80B2ECC9-D36D-4C3C-AF86-C4BFCE6D830A}"/>
    <cellStyle name="Normal 2 4 7 2 2" xfId="3906" xr:uid="{FDD9FAF4-2EA9-4CE0-B3F4-0C20E1E57A5D}"/>
    <cellStyle name="Normal 2 4 7 2 2 2" xfId="3907" xr:uid="{933EE1CE-4B27-4271-B3AC-1F1A850C44EA}"/>
    <cellStyle name="Normal 2 4 7 2 2 2 2" xfId="3908" xr:uid="{EA28CED5-42AC-43C6-9525-A6AC27FEB407}"/>
    <cellStyle name="Normal 2 4 7 2 2 3" xfId="3909" xr:uid="{8259265E-B319-4ECC-B948-7D6654D703D4}"/>
    <cellStyle name="Normal 2 4 7 2 3" xfId="3910" xr:uid="{B8BD6924-5546-4D1D-91E9-E0CE67A257A8}"/>
    <cellStyle name="Normal 2 4 7 2 3 2" xfId="3911" xr:uid="{4A082D72-D7DE-42C3-8221-238881536062}"/>
    <cellStyle name="Normal 2 4 7 2 3 2 2" xfId="3912" xr:uid="{8DF572AF-0C76-4FB6-84C3-9BE621785F50}"/>
    <cellStyle name="Normal 2 4 7 2 3 3" xfId="3913" xr:uid="{7AE6070C-1407-4744-BD0C-F539697B69EA}"/>
    <cellStyle name="Normal 2 4 7 2 4" xfId="3914" xr:uid="{C31C741B-623D-495B-B225-62EB9B4F7544}"/>
    <cellStyle name="Normal 2 4 7 2 4 2" xfId="3915" xr:uid="{B9B239A8-DD25-498F-B9DB-6A4B60B6AB93}"/>
    <cellStyle name="Normal 2 4 7 2 4 2 2" xfId="3916" xr:uid="{0BF16628-B194-4726-BEF0-6C31287F4763}"/>
    <cellStyle name="Normal 2 4 7 2 4 3" xfId="3917" xr:uid="{B4A23370-71CA-4653-9B77-4D8905762A39}"/>
    <cellStyle name="Normal 2 4 7 2 5" xfId="3918" xr:uid="{D5395D94-910A-46B8-88EF-A5246D83F815}"/>
    <cellStyle name="Normal 2 4 7 2 5 2" xfId="3919" xr:uid="{A1E65447-C079-4F21-AFE7-15EE17975FB2}"/>
    <cellStyle name="Normal 2 4 7 2 6" xfId="3920" xr:uid="{C8AE73B2-0A59-4710-BDA6-B349187B09D4}"/>
    <cellStyle name="Normal 2 4 7 3" xfId="3921" xr:uid="{BB679C3C-1CC1-44C5-924F-AE68EC840C30}"/>
    <cellStyle name="Normal 2 4 7 3 2" xfId="3922" xr:uid="{24204090-4BBD-4946-B6A7-12E1C53844AC}"/>
    <cellStyle name="Normal 2 4 7 3 2 2" xfId="3923" xr:uid="{4EDB45C6-549F-415A-97A4-203D3F173B31}"/>
    <cellStyle name="Normal 2 4 7 3 3" xfId="3924" xr:uid="{60BBAA5A-046A-449C-860D-A4C1F9B77F9D}"/>
    <cellStyle name="Normal 2 4 7 4" xfId="3925" xr:uid="{2625F8C2-0F2D-42FD-86D4-54ABC32770EB}"/>
    <cellStyle name="Normal 2 4 7 4 2" xfId="3926" xr:uid="{66B496E8-BD9B-4553-8539-2ABFDEBD8433}"/>
    <cellStyle name="Normal 2 4 7 4 2 2" xfId="3927" xr:uid="{7DF33264-7598-4F98-BF07-D6862B03DD2F}"/>
    <cellStyle name="Normal 2 4 7 4 3" xfId="3928" xr:uid="{F267A397-909F-4AE7-A3C1-E425EB2E5AC2}"/>
    <cellStyle name="Normal 2 4 7 5" xfId="3929" xr:uid="{D50334E6-EDA0-4A30-AB79-99671E3F8F1F}"/>
    <cellStyle name="Normal 2 4 7 5 2" xfId="3930" xr:uid="{377C9507-67E1-40A7-94B9-5CB360D6FF6F}"/>
    <cellStyle name="Normal 2 4 7 5 2 2" xfId="3931" xr:uid="{43790277-D790-4E05-B0FB-ACBD454CB082}"/>
    <cellStyle name="Normal 2 4 7 5 3" xfId="3932" xr:uid="{8F627F3F-3D72-4E75-A570-03FAA90A3CE5}"/>
    <cellStyle name="Normal 2 4 7 6" xfId="3933" xr:uid="{1C325B11-0ECC-4165-98D3-ABB8746716CD}"/>
    <cellStyle name="Normal 2 4 7 6 2" xfId="3934" xr:uid="{07228707-DBDF-4008-98E8-69DEC6D3BBE3}"/>
    <cellStyle name="Normal 2 4 7 7" xfId="3935" xr:uid="{A659C54F-F889-492B-9BD6-73CD4B89A11D}"/>
    <cellStyle name="Normal 2 4 8" xfId="3936" xr:uid="{5969646D-21FB-4EBB-906A-31DEC79B1E4F}"/>
    <cellStyle name="Normal 2 4 8 2" xfId="3937" xr:uid="{E0227133-B460-4414-BD3B-9B7EB5C5125D}"/>
    <cellStyle name="Normal 2 4 8 2 2" xfId="3938" xr:uid="{72094124-F788-48B2-B682-C3C37DB2507C}"/>
    <cellStyle name="Normal 2 4 8 2 2 2" xfId="3939" xr:uid="{E21A96F0-ED66-4B1F-B754-2CB8744622A1}"/>
    <cellStyle name="Normal 2 4 8 2 3" xfId="3940" xr:uid="{136B21A6-DA14-426D-9A3A-B1C822890BA1}"/>
    <cellStyle name="Normal 2 4 8 3" xfId="3941" xr:uid="{683A7FBB-D234-492E-A9C4-31335DC19341}"/>
    <cellStyle name="Normal 2 4 8 3 2" xfId="3942" xr:uid="{36C9ECD7-C962-435A-B5B3-BE34A000B14E}"/>
    <cellStyle name="Normal 2 4 8 3 2 2" xfId="3943" xr:uid="{4B480E51-1032-4706-9E95-E5442FC4F08E}"/>
    <cellStyle name="Normal 2 4 8 3 3" xfId="3944" xr:uid="{553C6523-29A6-4370-9FA7-14ED25F7C3B6}"/>
    <cellStyle name="Normal 2 4 8 4" xfId="3945" xr:uid="{0854580B-2047-45ED-A339-6B8478663AF6}"/>
    <cellStyle name="Normal 2 4 8 4 2" xfId="3946" xr:uid="{A1362F31-16FA-4C9C-9AA7-536C694C5379}"/>
    <cellStyle name="Normal 2 4 8 4 2 2" xfId="3947" xr:uid="{E4CBAD58-7542-48D0-8464-590C94DEE281}"/>
    <cellStyle name="Normal 2 4 8 4 3" xfId="3948" xr:uid="{671EFA5C-8350-4787-B24D-10D369C8E307}"/>
    <cellStyle name="Normal 2 4 8 5" xfId="3949" xr:uid="{E31FE3B3-76CF-45D8-AB6C-19FB1075651D}"/>
    <cellStyle name="Normal 2 4 8 5 2" xfId="3950" xr:uid="{0E112ED7-809A-4183-AE51-211D0E956F3E}"/>
    <cellStyle name="Normal 2 4 8 6" xfId="3951" xr:uid="{9442D5B1-BD2F-49C0-B83E-F80786DFDF8D}"/>
    <cellStyle name="Normal 2 4 9" xfId="3952" xr:uid="{D4424B8D-7ADB-4593-9EEC-B36EB5946768}"/>
    <cellStyle name="Normal 2 4 9 2" xfId="3953" xr:uid="{F86D7B27-E457-4891-9612-91AAE25DB104}"/>
    <cellStyle name="Normal 2 4 9 2 2" xfId="3954" xr:uid="{53B54364-BB58-47E4-A693-AB76E6859A02}"/>
    <cellStyle name="Normal 2 4 9 3" xfId="3955" xr:uid="{997BE9F7-71B7-4249-B390-F54D256C6297}"/>
    <cellStyle name="Normal 2 5" xfId="3956" xr:uid="{04AD0667-DDCC-47DA-950C-26D143561770}"/>
    <cellStyle name="Normal 2 5 2" xfId="7679" xr:uid="{53250124-B516-4E65-947E-F4926251E3CB}"/>
    <cellStyle name="Normal 2 6" xfId="3957" xr:uid="{0EB4622A-22CB-4A5F-A8BB-02E31B2CF38C}"/>
    <cellStyle name="Normal 2 6 10" xfId="3958" xr:uid="{0CF25A17-253D-4389-9449-92CEA5D3841C}"/>
    <cellStyle name="Normal 2 6 10 2" xfId="3959" xr:uid="{2099174D-AFF4-4656-B879-2772E1A429E3}"/>
    <cellStyle name="Normal 2 6 10 2 2" xfId="3960" xr:uid="{46D84FB5-32DA-404D-8216-B3B8076A6ACA}"/>
    <cellStyle name="Normal 2 6 10 3" xfId="3961" xr:uid="{E18E1F66-FE58-47EB-BD9E-680CEF49E6A9}"/>
    <cellStyle name="Normal 2 6 11" xfId="3962" xr:uid="{B15CA777-5978-427C-8499-F9DC753638F5}"/>
    <cellStyle name="Normal 2 6 11 2" xfId="3963" xr:uid="{DF8FD999-1D38-462F-9FA3-ED8086E11094}"/>
    <cellStyle name="Normal 2 6 11 2 2" xfId="3964" xr:uid="{74F91742-873F-4A08-9E77-727DBA490EDE}"/>
    <cellStyle name="Normal 2 6 11 3" xfId="3965" xr:uid="{DE891C47-DB99-4CBB-9885-2F94ECEA0FFA}"/>
    <cellStyle name="Normal 2 6 12" xfId="3966" xr:uid="{198DE96F-CA8A-452F-968A-B202BD269A56}"/>
    <cellStyle name="Normal 2 6 12 2" xfId="3967" xr:uid="{8CDAF1E3-972F-49AA-AF65-41E5CCCBC929}"/>
    <cellStyle name="Normal 2 6 13" xfId="3968" xr:uid="{A123357B-B605-412E-A6AB-A8548E998A87}"/>
    <cellStyle name="Normal 2 6 14" xfId="7672" xr:uid="{6C38CEE2-0CEA-483C-88C2-3D7ADF822A03}"/>
    <cellStyle name="Normal 2 6 14 2" xfId="7853" xr:uid="{F01E11A9-2E19-478D-9ECF-9678FEE2C97E}"/>
    <cellStyle name="Normal 2 6 14 2 2" xfId="8223" xr:uid="{DF4D804A-5957-4892-A0BE-20A444A6DB41}"/>
    <cellStyle name="Normal 2 6 14 2 2 2" xfId="8893" xr:uid="{75F8C05C-D376-48C5-BF5A-34903DC71134}"/>
    <cellStyle name="Normal 2 6 14 2 2 2 2" xfId="10962" xr:uid="{BE1ECE25-55BC-40D3-BE81-8CB574B7B85C}"/>
    <cellStyle name="Normal 2 6 14 2 2 2 2 2" xfId="15168" xr:uid="{FF8F489E-FCEE-4E64-9CDD-8483C24378C2}"/>
    <cellStyle name="Normal 2 6 14 2 2 2 3" xfId="13139" xr:uid="{15493509-1AEC-45AC-B8D2-EB87CEAF0102}"/>
    <cellStyle name="Normal 2 6 14 2 2 3" xfId="10292" xr:uid="{B4E744B8-D2BB-4F54-ABAA-79D3008BB311}"/>
    <cellStyle name="Normal 2 6 14 2 2 3 2" xfId="14498" xr:uid="{797ED974-F34F-4F08-AA97-160F6073081B}"/>
    <cellStyle name="Normal 2 6 14 2 2 4" xfId="12469" xr:uid="{3593C55B-10E2-455D-988D-2B149505CA36}"/>
    <cellStyle name="Normal 2 6 14 2 3" xfId="8559" xr:uid="{D15815AD-8F8C-40E6-9095-A5C99B4FD1E2}"/>
    <cellStyle name="Normal 2 6 14 2 3 2" xfId="10628" xr:uid="{48F4FF90-AAD9-4495-BC59-08AFCE25C727}"/>
    <cellStyle name="Normal 2 6 14 2 3 2 2" xfId="14834" xr:uid="{129BBB3D-8340-4087-B423-FD7CC5208C38}"/>
    <cellStyle name="Normal 2 6 14 2 3 3" xfId="12805" xr:uid="{D0BB1319-957E-45E5-BE31-873261192303}"/>
    <cellStyle name="Normal 2 6 14 2 4" xfId="9232" xr:uid="{BBF68D48-E66A-4CA2-9B89-0238CE1A2B99}"/>
    <cellStyle name="Normal 2 6 14 2 4 2" xfId="11301" xr:uid="{F436DCC7-C092-4A5F-B39F-14DDE9EBB6E6}"/>
    <cellStyle name="Normal 2 6 14 2 4 2 2" xfId="15507" xr:uid="{BB3C4CF6-E9E2-4809-8E1F-B5A0036BD641}"/>
    <cellStyle name="Normal 2 6 14 2 4 3" xfId="13478" xr:uid="{1C45582B-E851-4A37-AD6C-0214355E233D}"/>
    <cellStyle name="Normal 2 6 14 2 5" xfId="9600" xr:uid="{202B5301-46ED-4F2B-BF15-12D795589558}"/>
    <cellStyle name="Normal 2 6 14 2 5 2" xfId="11634" xr:uid="{37246B57-382B-4FAF-B061-180D2E5202C3}"/>
    <cellStyle name="Normal 2 6 14 2 5 2 2" xfId="15840" xr:uid="{9C97E73A-B193-4F5D-B41F-8F0565AFA84B}"/>
    <cellStyle name="Normal 2 6 14 2 5 3" xfId="13811" xr:uid="{915A86A1-F8A5-4834-841C-C7F85455D448}"/>
    <cellStyle name="Normal 2 6 14 2 6" xfId="9958" xr:uid="{EB94A9D7-4565-48F0-8561-E7B94F31CE1E}"/>
    <cellStyle name="Normal 2 6 14 2 6 2" xfId="14164" xr:uid="{05E8F909-CB24-4626-8388-CA3C4EDDBE1B}"/>
    <cellStyle name="Normal 2 6 14 2 7" xfId="12135" xr:uid="{C1585BD5-B1EC-4A19-A605-0467BD7647CA}"/>
    <cellStyle name="Normal 2 6 14 3" xfId="8060" xr:uid="{0103FC4D-E1BF-4A84-AA85-0DEF7DAC4B00}"/>
    <cellStyle name="Normal 2 6 14 3 2" xfId="8730" xr:uid="{39010AF3-124B-49B5-82DE-C2C65A4C2006}"/>
    <cellStyle name="Normal 2 6 14 3 2 2" xfId="10799" xr:uid="{571DECDB-57F8-4554-8239-8231AA4D4840}"/>
    <cellStyle name="Normal 2 6 14 3 2 2 2" xfId="15005" xr:uid="{539D9498-1540-4327-A2D8-C7DDADFE97CC}"/>
    <cellStyle name="Normal 2 6 14 3 2 3" xfId="12976" xr:uid="{036B74B1-DE93-4E4D-A958-FBBACFB1C949}"/>
    <cellStyle name="Normal 2 6 14 3 3" xfId="10129" xr:uid="{93C6130A-73B6-460F-99F4-1F14E4F4521F}"/>
    <cellStyle name="Normal 2 6 14 3 3 2" xfId="14335" xr:uid="{68020EF9-3044-4BCA-BEB6-1888FDEC735C}"/>
    <cellStyle name="Normal 2 6 14 3 4" xfId="12306" xr:uid="{82FC0FB2-4B1C-4CAD-AF34-94C5E9D3ED82}"/>
    <cellStyle name="Normal 2 6 14 4" xfId="8396" xr:uid="{93745A5D-DDD0-420A-95F0-598DC1239B37}"/>
    <cellStyle name="Normal 2 6 14 4 2" xfId="10465" xr:uid="{7ABCFE2E-1FA4-40DA-8C02-78A77A54C88D}"/>
    <cellStyle name="Normal 2 6 14 4 2 2" xfId="14671" xr:uid="{745A7F35-0125-4078-8E6B-E7D099B5EB7B}"/>
    <cellStyle name="Normal 2 6 14 4 3" xfId="12642" xr:uid="{134383A5-EAE6-454C-82EE-78548B8A50E7}"/>
    <cellStyle name="Normal 2 6 14 5" xfId="9069" xr:uid="{2DA1506C-0A4F-4B49-AEC0-F1B9AFB5EB9F}"/>
    <cellStyle name="Normal 2 6 14 5 2" xfId="11138" xr:uid="{87B3E65F-8ED6-443F-9699-A727373653E7}"/>
    <cellStyle name="Normal 2 6 14 5 2 2" xfId="15344" xr:uid="{23A22A99-488C-4421-9034-1547DDA909DF}"/>
    <cellStyle name="Normal 2 6 14 5 3" xfId="13315" xr:uid="{74D62DC5-6CA0-4794-8259-F4909D3C2109}"/>
    <cellStyle name="Normal 2 6 14 6" xfId="9437" xr:uid="{D370D170-3389-412B-BE3B-CD0BDF312445}"/>
    <cellStyle name="Normal 2 6 14 6 2" xfId="11471" xr:uid="{89B9D773-EEE1-4220-BBFD-ADA1E4B0BD79}"/>
    <cellStyle name="Normal 2 6 14 6 2 2" xfId="15677" xr:uid="{90F4D118-2F53-4961-A658-CB7E4E19E37A}"/>
    <cellStyle name="Normal 2 6 14 6 3" xfId="13648" xr:uid="{ED861688-6804-4C81-9EC5-F7AB633B9ABE}"/>
    <cellStyle name="Normal 2 6 14 7" xfId="9795" xr:uid="{46896E3F-5BF1-46D7-A4E2-B3F98F1C29C1}"/>
    <cellStyle name="Normal 2 6 14 7 2" xfId="14001" xr:uid="{5401537B-5060-4648-AD3D-D3BE88B4AB6C}"/>
    <cellStyle name="Normal 2 6 14 8" xfId="11972" xr:uid="{33D34CBE-9BA2-46FF-9E30-E38E50FFB10F}"/>
    <cellStyle name="Normal 2 6 15" xfId="11671" xr:uid="{6243712E-EB88-4875-9FB3-FB0F69D5A88D}"/>
    <cellStyle name="Normal 2 6 15 2" xfId="15876" xr:uid="{C3BF720A-5B5A-4836-93C1-027DF0C5A1C1}"/>
    <cellStyle name="Normal 2 6 16" xfId="11707" xr:uid="{7BB09662-585B-4F7D-BB2D-1A2E12384780}"/>
    <cellStyle name="Normal 2 6 16 2" xfId="15911" xr:uid="{BA0E33E5-235A-48F0-AF8B-555A3106FE25}"/>
    <cellStyle name="Normal 2 6 17" xfId="11731" xr:uid="{710B4CE7-EC4F-4FA9-A84D-58032A4A0CC1}"/>
    <cellStyle name="Normal 2 6 17 2" xfId="15934" xr:uid="{71FB7C41-9803-45F5-ABC9-D8200124F2D0}"/>
    <cellStyle name="Normal 2 6 18" xfId="11757" xr:uid="{1FE04E85-D580-412A-988A-E4CFB88C7BDD}"/>
    <cellStyle name="Normal 2 6 18 2" xfId="15958" xr:uid="{9CB3CB6D-33FB-4B1B-94E4-16AAD1A28416}"/>
    <cellStyle name="Normal 2 6 19" xfId="11774" xr:uid="{806AD028-776E-4BC3-922B-BB02D95802AB}"/>
    <cellStyle name="Normal 2 6 19 2" xfId="15975" xr:uid="{97EDDBE8-7C14-49F7-85E7-DC9A984961EE}"/>
    <cellStyle name="Normal 2 6 2" xfId="3969" xr:uid="{420256B8-BD29-4326-AAF8-3621E81F4B17}"/>
    <cellStyle name="Normal 2 6 2 10" xfId="3970" xr:uid="{DC278DE5-85AF-416A-B256-997CF90ED9F9}"/>
    <cellStyle name="Normal 2 6 2 10 2" xfId="3971" xr:uid="{3B952EB6-3ECC-452B-B0E4-814695CD7C45}"/>
    <cellStyle name="Normal 2 6 2 11" xfId="3972" xr:uid="{A3D349BE-C779-4CE6-A508-032481822557}"/>
    <cellStyle name="Normal 2 6 2 2" xfId="3973" xr:uid="{A2EEA91F-194F-4C68-9D9F-F43F0A42C3CD}"/>
    <cellStyle name="Normal 2 6 2 2 2" xfId="3974" xr:uid="{96316556-9F3F-4775-9957-E7ACAF3192D5}"/>
    <cellStyle name="Normal 2 6 2 2 2 2" xfId="3975" xr:uid="{8BE88EEE-3342-4132-BAF6-D7473DA8D4EF}"/>
    <cellStyle name="Normal 2 6 2 2 2 2 2" xfId="3976" xr:uid="{ECC5654C-5562-4A5C-9FD4-73863695FBBD}"/>
    <cellStyle name="Normal 2 6 2 2 2 2 2 2" xfId="3977" xr:uid="{20A03DD4-92B5-4289-A859-E35C2C60B592}"/>
    <cellStyle name="Normal 2 6 2 2 2 2 2 2 2" xfId="3978" xr:uid="{15E92E26-8B16-4F7D-8CC0-8D36573A2D5D}"/>
    <cellStyle name="Normal 2 6 2 2 2 2 2 3" xfId="3979" xr:uid="{87BB2DD0-9314-48A6-A926-7EC8835C3C9F}"/>
    <cellStyle name="Normal 2 6 2 2 2 2 3" xfId="3980" xr:uid="{4432E756-08E6-4410-945C-64736F988334}"/>
    <cellStyle name="Normal 2 6 2 2 2 2 3 2" xfId="3981" xr:uid="{0CF4E80C-E196-4DBE-9C38-3B375B7545DA}"/>
    <cellStyle name="Normal 2 6 2 2 2 2 3 2 2" xfId="3982" xr:uid="{E3566201-D068-4CC1-AD89-6FE0FC7C7E6B}"/>
    <cellStyle name="Normal 2 6 2 2 2 2 3 3" xfId="3983" xr:uid="{8F10998C-A20C-43AB-B76C-878DACE1D061}"/>
    <cellStyle name="Normal 2 6 2 2 2 2 4" xfId="3984" xr:uid="{55969E34-19A3-472D-850F-BA2530D5E33B}"/>
    <cellStyle name="Normal 2 6 2 2 2 2 4 2" xfId="3985" xr:uid="{1647C350-A80D-49B2-8907-2587DD83E058}"/>
    <cellStyle name="Normal 2 6 2 2 2 2 4 2 2" xfId="3986" xr:uid="{199B4043-A0C1-4FA5-9898-CBDE2BADE61A}"/>
    <cellStyle name="Normal 2 6 2 2 2 2 4 3" xfId="3987" xr:uid="{A6FB7C10-078A-467E-8495-3BC5A897E3A1}"/>
    <cellStyle name="Normal 2 6 2 2 2 2 5" xfId="3988" xr:uid="{633AF732-C3EA-4EC3-8F02-A889362FF247}"/>
    <cellStyle name="Normal 2 6 2 2 2 2 5 2" xfId="3989" xr:uid="{6926B6EC-6344-4351-9962-8E307D0A1C61}"/>
    <cellStyle name="Normal 2 6 2 2 2 2 6" xfId="3990" xr:uid="{025BE72F-E8C8-4097-A33C-9A541544AB63}"/>
    <cellStyle name="Normal 2 6 2 2 2 3" xfId="3991" xr:uid="{1045994E-F49D-443E-99F0-798F9C991EE6}"/>
    <cellStyle name="Normal 2 6 2 2 2 3 2" xfId="3992" xr:uid="{C0F3817A-8B6C-4B0B-AC8B-BA328D8F9D9D}"/>
    <cellStyle name="Normal 2 6 2 2 2 3 2 2" xfId="3993" xr:uid="{3CD4CBBC-B6D0-484F-BD89-9BF467F67651}"/>
    <cellStyle name="Normal 2 6 2 2 2 3 3" xfId="3994" xr:uid="{7D0FEA78-8DB0-4CB5-A974-2DF4E531A829}"/>
    <cellStyle name="Normal 2 6 2 2 2 4" xfId="3995" xr:uid="{6CFC813A-1366-4F6B-A2EB-50081D81685F}"/>
    <cellStyle name="Normal 2 6 2 2 2 4 2" xfId="3996" xr:uid="{79AE7A0D-C2CE-4503-AA62-183576DA0022}"/>
    <cellStyle name="Normal 2 6 2 2 2 4 2 2" xfId="3997" xr:uid="{D1AE39AF-351E-4E5A-B019-40DBB51DB7A8}"/>
    <cellStyle name="Normal 2 6 2 2 2 4 3" xfId="3998" xr:uid="{53526500-F4B5-4774-A4BD-0AE19AC7399E}"/>
    <cellStyle name="Normal 2 6 2 2 2 5" xfId="3999" xr:uid="{7F20D8FC-E933-4FDD-8969-E3869EBF266B}"/>
    <cellStyle name="Normal 2 6 2 2 2 5 2" xfId="4000" xr:uid="{7C2A87DF-7692-4710-8D4C-23D6F74C00D8}"/>
    <cellStyle name="Normal 2 6 2 2 2 5 2 2" xfId="4001" xr:uid="{108949DF-734C-42BD-BE6A-7669885C4113}"/>
    <cellStyle name="Normal 2 6 2 2 2 5 3" xfId="4002" xr:uid="{99F247F8-6FF6-4357-8092-20EECC985187}"/>
    <cellStyle name="Normal 2 6 2 2 2 6" xfId="4003" xr:uid="{AF19520C-C87E-4D53-A9C1-90BA6F2DA1FB}"/>
    <cellStyle name="Normal 2 6 2 2 2 6 2" xfId="4004" xr:uid="{4A39638C-E778-44A1-8A24-04ABA5926D62}"/>
    <cellStyle name="Normal 2 6 2 2 2 7" xfId="4005" xr:uid="{09CB87C0-7FC3-429F-B01B-0F2F67402E56}"/>
    <cellStyle name="Normal 2 6 2 2 3" xfId="4006" xr:uid="{0E2B1B90-6491-4A77-92F1-09C04FB8925C}"/>
    <cellStyle name="Normal 2 6 2 2 3 2" xfId="4007" xr:uid="{B162E432-E0FB-499D-A58F-A8640DD4CC51}"/>
    <cellStyle name="Normal 2 6 2 2 3 2 2" xfId="4008" xr:uid="{09CD877E-7820-4821-9D30-2E65AED5796E}"/>
    <cellStyle name="Normal 2 6 2 2 3 2 2 2" xfId="4009" xr:uid="{A07E0373-5161-45CC-A022-B8C8F4FC8FEE}"/>
    <cellStyle name="Normal 2 6 2 2 3 2 3" xfId="4010" xr:uid="{C8210403-8E65-477D-9B9F-85267747D98D}"/>
    <cellStyle name="Normal 2 6 2 2 3 3" xfId="4011" xr:uid="{1FE7722B-F1B2-457C-BA88-69E817EEBBB9}"/>
    <cellStyle name="Normal 2 6 2 2 3 3 2" xfId="4012" xr:uid="{C869BE20-2745-4BCE-AC9B-6A2BCBBFDEDA}"/>
    <cellStyle name="Normal 2 6 2 2 3 3 2 2" xfId="4013" xr:uid="{91EC66A5-E841-43FF-83E1-3B7027A2DDA5}"/>
    <cellStyle name="Normal 2 6 2 2 3 3 3" xfId="4014" xr:uid="{F3855734-6B5A-4858-827A-3F4F693A3F82}"/>
    <cellStyle name="Normal 2 6 2 2 3 4" xfId="4015" xr:uid="{9E81D42C-EFE7-43F2-A799-30E50E35298D}"/>
    <cellStyle name="Normal 2 6 2 2 3 4 2" xfId="4016" xr:uid="{7737BFBD-BEC5-4409-9F45-D823DDB157B0}"/>
    <cellStyle name="Normal 2 6 2 2 3 4 2 2" xfId="4017" xr:uid="{A7EC4300-9A0C-4D33-AAAF-55106DFFF545}"/>
    <cellStyle name="Normal 2 6 2 2 3 4 3" xfId="4018" xr:uid="{C2FFF57C-A75F-4E48-9573-F4182D673405}"/>
    <cellStyle name="Normal 2 6 2 2 3 5" xfId="4019" xr:uid="{9DAF65F5-077A-4C51-8B31-903D98978962}"/>
    <cellStyle name="Normal 2 6 2 2 3 5 2" xfId="4020" xr:uid="{86F8BC63-6226-4222-8956-77421E0DB150}"/>
    <cellStyle name="Normal 2 6 2 2 3 6" xfId="4021" xr:uid="{68BDE479-5C84-4BF1-A1F6-2A2907C82633}"/>
    <cellStyle name="Normal 2 6 2 2 4" xfId="4022" xr:uid="{5AD70088-05B4-4B7E-BF4F-20D89D206AAA}"/>
    <cellStyle name="Normal 2 6 2 2 4 2" xfId="4023" xr:uid="{2CED8202-DD81-475E-8BFD-8AED13ACA738}"/>
    <cellStyle name="Normal 2 6 2 2 4 2 2" xfId="4024" xr:uid="{DE2260B4-D272-4AFA-A56E-EBBCA565ECF9}"/>
    <cellStyle name="Normal 2 6 2 2 4 3" xfId="4025" xr:uid="{B33AC9EA-9D0D-4A1C-9D6C-76768B911E21}"/>
    <cellStyle name="Normal 2 6 2 2 5" xfId="4026" xr:uid="{CD594670-1517-493C-B19A-0E0E16EE50E8}"/>
    <cellStyle name="Normal 2 6 2 2 5 2" xfId="4027" xr:uid="{B714F887-47ED-4B6B-90E1-40B93AB7E9A8}"/>
    <cellStyle name="Normal 2 6 2 2 5 2 2" xfId="4028" xr:uid="{FFCEF632-C1DB-4FD0-B1EA-FFFADA6C6EE3}"/>
    <cellStyle name="Normal 2 6 2 2 5 3" xfId="4029" xr:uid="{F8A05911-E052-44E5-8A2A-E64379A66D0D}"/>
    <cellStyle name="Normal 2 6 2 2 6" xfId="4030" xr:uid="{0D7D41A4-4DE7-487E-BC2E-F6572A1E7B1D}"/>
    <cellStyle name="Normal 2 6 2 2 6 2" xfId="4031" xr:uid="{105807E9-065C-43A5-9BCA-AF8D0AA5C0DC}"/>
    <cellStyle name="Normal 2 6 2 2 6 2 2" xfId="4032" xr:uid="{F5956CAD-04F7-4846-82F8-632CC8D50025}"/>
    <cellStyle name="Normal 2 6 2 2 6 3" xfId="4033" xr:uid="{508FD0D7-D584-47C7-8A4F-118427F2521D}"/>
    <cellStyle name="Normal 2 6 2 2 7" xfId="4034" xr:uid="{26538682-F731-49F9-9079-BC966C1042B2}"/>
    <cellStyle name="Normal 2 6 2 2 7 2" xfId="4035" xr:uid="{5D1833F4-9831-4385-9BA8-BF3C35C4B9C5}"/>
    <cellStyle name="Normal 2 6 2 2 8" xfId="4036" xr:uid="{32FB9957-43C4-4D72-8E1F-A5B2AD1E3CAB}"/>
    <cellStyle name="Normal 2 6 2 3" xfId="4037" xr:uid="{0B323A5B-9219-41C1-8A86-958F49D37492}"/>
    <cellStyle name="Normal 2 6 2 3 2" xfId="4038" xr:uid="{FEDC2AD4-6C96-43E9-A326-EDB51E2AE009}"/>
    <cellStyle name="Normal 2 6 2 3 2 2" xfId="4039" xr:uid="{A7E7052D-6323-4003-A707-0D8A726E7C12}"/>
    <cellStyle name="Normal 2 6 2 3 2 2 2" xfId="4040" xr:uid="{19FA65FE-14DC-483F-BB25-6D686BCF4EB7}"/>
    <cellStyle name="Normal 2 6 2 3 2 2 2 2" xfId="4041" xr:uid="{BCACC875-4A32-4E22-BEAA-17CFC1211E3A}"/>
    <cellStyle name="Normal 2 6 2 3 2 2 2 2 2" xfId="4042" xr:uid="{80F8533B-C893-49FD-9E49-8C0A688F3428}"/>
    <cellStyle name="Normal 2 6 2 3 2 2 2 3" xfId="4043" xr:uid="{405950C2-3519-4238-BFF9-82DBEA644138}"/>
    <cellStyle name="Normal 2 6 2 3 2 2 3" xfId="4044" xr:uid="{2526A318-77EF-4233-BD6A-C7110F95EF9E}"/>
    <cellStyle name="Normal 2 6 2 3 2 2 3 2" xfId="4045" xr:uid="{AA469F9C-3C78-464B-B661-FD93973F5ADF}"/>
    <cellStyle name="Normal 2 6 2 3 2 2 3 2 2" xfId="4046" xr:uid="{16C11174-FB09-41DE-8EB5-9B8C1E4524D3}"/>
    <cellStyle name="Normal 2 6 2 3 2 2 3 3" xfId="4047" xr:uid="{6A0FD100-D2BE-4AE8-89E8-03933AC690F6}"/>
    <cellStyle name="Normal 2 6 2 3 2 2 4" xfId="4048" xr:uid="{90FD67C8-27EB-4A70-8FA3-51A5260774A6}"/>
    <cellStyle name="Normal 2 6 2 3 2 2 4 2" xfId="4049" xr:uid="{50D8ADAE-2ABC-4E07-A94A-E4D1D7C9B8F9}"/>
    <cellStyle name="Normal 2 6 2 3 2 2 4 2 2" xfId="4050" xr:uid="{45E00E19-2A77-41AB-85C0-26B196C48EFB}"/>
    <cellStyle name="Normal 2 6 2 3 2 2 4 3" xfId="4051" xr:uid="{AD3E847D-779C-4A5D-BE86-3F60FFE64C45}"/>
    <cellStyle name="Normal 2 6 2 3 2 2 5" xfId="4052" xr:uid="{0DA01C97-76F6-4353-BEAE-25DD69734514}"/>
    <cellStyle name="Normal 2 6 2 3 2 2 5 2" xfId="4053" xr:uid="{5B7AA6A6-42F9-45EE-8A6B-091AB787727F}"/>
    <cellStyle name="Normal 2 6 2 3 2 2 6" xfId="4054" xr:uid="{5A1DC6C2-1141-43FE-8348-76585A4B3CB2}"/>
    <cellStyle name="Normal 2 6 2 3 2 3" xfId="4055" xr:uid="{B6B5A0B4-DAA9-4ED5-8D7E-18920674F9ED}"/>
    <cellStyle name="Normal 2 6 2 3 2 3 2" xfId="4056" xr:uid="{5EFF07F1-584A-4899-8915-A93332EFFB32}"/>
    <cellStyle name="Normal 2 6 2 3 2 3 2 2" xfId="4057" xr:uid="{BCE12EA4-2575-4595-8C55-32FA44D20F02}"/>
    <cellStyle name="Normal 2 6 2 3 2 3 3" xfId="4058" xr:uid="{76865FF2-E928-4064-9FAF-7D49494C4E8D}"/>
    <cellStyle name="Normal 2 6 2 3 2 4" xfId="4059" xr:uid="{ED07E58B-FDB2-48F3-A6F2-DE37377405E1}"/>
    <cellStyle name="Normal 2 6 2 3 2 4 2" xfId="4060" xr:uid="{A549CC91-3DEF-466E-A76D-05301E957076}"/>
    <cellStyle name="Normal 2 6 2 3 2 4 2 2" xfId="4061" xr:uid="{A5590345-1688-4B76-A697-09B30025FAA7}"/>
    <cellStyle name="Normal 2 6 2 3 2 4 3" xfId="4062" xr:uid="{159E3A79-B422-4B90-A89B-6AC2DD0CD544}"/>
    <cellStyle name="Normal 2 6 2 3 2 5" xfId="4063" xr:uid="{043B3FD5-5FDF-4FDD-B070-C38E642149B7}"/>
    <cellStyle name="Normal 2 6 2 3 2 5 2" xfId="4064" xr:uid="{1DFFB424-658D-4114-830F-E89DBF7D5F33}"/>
    <cellStyle name="Normal 2 6 2 3 2 5 2 2" xfId="4065" xr:uid="{24F674A5-AEB6-4897-A054-8A8D362D2581}"/>
    <cellStyle name="Normal 2 6 2 3 2 5 3" xfId="4066" xr:uid="{16199380-8BAF-42B7-A3DB-C26562110825}"/>
    <cellStyle name="Normal 2 6 2 3 2 6" xfId="4067" xr:uid="{C7679BDE-2770-4FA1-AB26-9EF559DDF503}"/>
    <cellStyle name="Normal 2 6 2 3 2 6 2" xfId="4068" xr:uid="{DA583B46-91D9-4A16-A7CA-892441806174}"/>
    <cellStyle name="Normal 2 6 2 3 2 7" xfId="4069" xr:uid="{5C271D4F-ACEC-4950-AD59-6E8EA05B975E}"/>
    <cellStyle name="Normal 2 6 2 3 3" xfId="4070" xr:uid="{0EFB09D5-4C4C-4353-9963-BFB04E0F5DB7}"/>
    <cellStyle name="Normal 2 6 2 3 3 2" xfId="4071" xr:uid="{A35AD406-9159-4CF1-8D47-585EB6B1C063}"/>
    <cellStyle name="Normal 2 6 2 3 3 2 2" xfId="4072" xr:uid="{09BD7812-5838-4523-94D6-33087C567506}"/>
    <cellStyle name="Normal 2 6 2 3 3 2 2 2" xfId="4073" xr:uid="{BFF42308-3F0D-43DA-B804-45503FD5A1B9}"/>
    <cellStyle name="Normal 2 6 2 3 3 2 3" xfId="4074" xr:uid="{E9F73B09-3D41-46B6-93B1-3B9A4D16ECE6}"/>
    <cellStyle name="Normal 2 6 2 3 3 3" xfId="4075" xr:uid="{D6962668-1B9A-4EEC-A0E3-C3216D54EDE0}"/>
    <cellStyle name="Normal 2 6 2 3 3 3 2" xfId="4076" xr:uid="{451EC339-C012-438A-A8A6-697079937D38}"/>
    <cellStyle name="Normal 2 6 2 3 3 3 2 2" xfId="4077" xr:uid="{9CE26FF5-2A55-4CA4-B34D-071035A23DAE}"/>
    <cellStyle name="Normal 2 6 2 3 3 3 3" xfId="4078" xr:uid="{1AB81FA1-9562-4FB2-9D1A-0D8CD864635B}"/>
    <cellStyle name="Normal 2 6 2 3 3 4" xfId="4079" xr:uid="{1F734113-13AA-4FBC-834A-6D3C4E469C23}"/>
    <cellStyle name="Normal 2 6 2 3 3 4 2" xfId="4080" xr:uid="{ED6A611E-9F98-420F-A933-6E5C09471718}"/>
    <cellStyle name="Normal 2 6 2 3 3 4 2 2" xfId="4081" xr:uid="{D5004100-F927-4514-8907-A428E7BE0A8B}"/>
    <cellStyle name="Normal 2 6 2 3 3 4 3" xfId="4082" xr:uid="{2BAFD967-9B4F-4C8D-A891-8D53F439D657}"/>
    <cellStyle name="Normal 2 6 2 3 3 5" xfId="4083" xr:uid="{970BC8CE-2333-48AE-A92D-14EC1E9836FF}"/>
    <cellStyle name="Normal 2 6 2 3 3 5 2" xfId="4084" xr:uid="{401CC1B3-063A-4151-A7F4-261EED00505D}"/>
    <cellStyle name="Normal 2 6 2 3 3 6" xfId="4085" xr:uid="{42029569-76FF-4411-AB4D-B75D6D0A37EE}"/>
    <cellStyle name="Normal 2 6 2 3 4" xfId="4086" xr:uid="{F7B0B9C8-668A-4A8B-B26F-33FD54A9510C}"/>
    <cellStyle name="Normal 2 6 2 3 4 2" xfId="4087" xr:uid="{2EAB73C3-85F0-4CFD-AF44-EA21B725AD9E}"/>
    <cellStyle name="Normal 2 6 2 3 4 2 2" xfId="4088" xr:uid="{C88F14D9-22A8-4F74-AE87-A344285EBD4F}"/>
    <cellStyle name="Normal 2 6 2 3 4 3" xfId="4089" xr:uid="{FD93D6F5-112A-4B50-84AE-5CC520A45400}"/>
    <cellStyle name="Normal 2 6 2 3 5" xfId="4090" xr:uid="{C099313E-E1FA-4256-974E-E59396CC4C8D}"/>
    <cellStyle name="Normal 2 6 2 3 5 2" xfId="4091" xr:uid="{7B8EB79B-38E7-4757-9EBD-E74202841CDB}"/>
    <cellStyle name="Normal 2 6 2 3 5 2 2" xfId="4092" xr:uid="{D141E180-EEA1-420F-BE29-6F07493E7010}"/>
    <cellStyle name="Normal 2 6 2 3 5 3" xfId="4093" xr:uid="{EB52AA56-8959-4702-83F3-29D0812934B4}"/>
    <cellStyle name="Normal 2 6 2 3 6" xfId="4094" xr:uid="{51B4EB28-79AD-4EE6-A893-084F3A984D7E}"/>
    <cellStyle name="Normal 2 6 2 3 6 2" xfId="4095" xr:uid="{A826B075-D953-4B97-BAB0-DC0E56EAC11C}"/>
    <cellStyle name="Normal 2 6 2 3 6 2 2" xfId="4096" xr:uid="{0D8CC608-3C0B-4E63-804C-A26C66EB7263}"/>
    <cellStyle name="Normal 2 6 2 3 6 3" xfId="4097" xr:uid="{AAC2749A-35E7-4C88-AA46-8EF6AEB2D336}"/>
    <cellStyle name="Normal 2 6 2 3 7" xfId="4098" xr:uid="{C1180C15-515D-4359-AC80-DE65565DB779}"/>
    <cellStyle name="Normal 2 6 2 3 7 2" xfId="4099" xr:uid="{26F8FD9E-FDF2-4B1E-B517-4B4A852BD7FB}"/>
    <cellStyle name="Normal 2 6 2 3 8" xfId="4100" xr:uid="{471414E7-9082-406D-9D6A-B55DF36C8DFB}"/>
    <cellStyle name="Normal 2 6 2 4" xfId="4101" xr:uid="{768C8747-7EB4-4BF6-9054-CD23E5A3A835}"/>
    <cellStyle name="Normal 2 6 2 4 2" xfId="4102" xr:uid="{B0F06AB6-E9A7-45BB-B1ED-F339F5E04E26}"/>
    <cellStyle name="Normal 2 6 2 4 2 2" xfId="4103" xr:uid="{2C992D57-887E-4F34-9FB4-54007AC11657}"/>
    <cellStyle name="Normal 2 6 2 4 2 2 2" xfId="4104" xr:uid="{80D41CDF-DDDA-4F2F-A718-7AA69F378666}"/>
    <cellStyle name="Normal 2 6 2 4 2 2 2 2" xfId="4105" xr:uid="{82F9A86F-96AF-4C28-9C76-D6D6CF3C1E82}"/>
    <cellStyle name="Normal 2 6 2 4 2 2 3" xfId="4106" xr:uid="{20056244-FE3A-466D-A9F9-9A0A7C79F8F8}"/>
    <cellStyle name="Normal 2 6 2 4 2 3" xfId="4107" xr:uid="{189E0CE2-9606-42E3-B674-692D6329F544}"/>
    <cellStyle name="Normal 2 6 2 4 2 3 2" xfId="4108" xr:uid="{B101FE5E-5678-4E38-9D56-ED13C2E53E2B}"/>
    <cellStyle name="Normal 2 6 2 4 2 3 2 2" xfId="4109" xr:uid="{1086B4F0-92E4-42CC-BA14-3977C676A931}"/>
    <cellStyle name="Normal 2 6 2 4 2 3 3" xfId="4110" xr:uid="{CA32D857-B387-4890-8D87-9296975D466F}"/>
    <cellStyle name="Normal 2 6 2 4 2 4" xfId="4111" xr:uid="{E3DB95E4-652D-47B7-BC57-0F412D468433}"/>
    <cellStyle name="Normal 2 6 2 4 2 4 2" xfId="4112" xr:uid="{28CE843B-E27F-4794-BDDA-D462A798A9FD}"/>
    <cellStyle name="Normal 2 6 2 4 2 4 2 2" xfId="4113" xr:uid="{F59DC790-2DA2-4B3B-902A-3DB2DAB851A1}"/>
    <cellStyle name="Normal 2 6 2 4 2 4 3" xfId="4114" xr:uid="{30D7B8BB-E566-4195-8282-5D120B5E4CBD}"/>
    <cellStyle name="Normal 2 6 2 4 2 5" xfId="4115" xr:uid="{EE7D502A-7377-4E4F-A3D7-CA76DAD7F0AA}"/>
    <cellStyle name="Normal 2 6 2 4 2 5 2" xfId="4116" xr:uid="{8CC7B821-F04D-4BE4-9DB8-5C8800F27B51}"/>
    <cellStyle name="Normal 2 6 2 4 2 6" xfId="4117" xr:uid="{09C507D4-07BF-4E63-AA65-0384037D21DE}"/>
    <cellStyle name="Normal 2 6 2 4 3" xfId="4118" xr:uid="{258BED31-978E-42F1-8FFB-773253F79E58}"/>
    <cellStyle name="Normal 2 6 2 4 3 2" xfId="4119" xr:uid="{578D0E30-54FE-4285-B123-5E9B0F33746F}"/>
    <cellStyle name="Normal 2 6 2 4 3 2 2" xfId="4120" xr:uid="{642BE5F4-6A0A-413C-9C23-00BD508ACB43}"/>
    <cellStyle name="Normal 2 6 2 4 3 3" xfId="4121" xr:uid="{A56E29C1-0B8A-41E7-8F99-2C01FBDD965D}"/>
    <cellStyle name="Normal 2 6 2 4 4" xfId="4122" xr:uid="{5B4D3A04-0CDF-43A5-9851-3DFEF3243810}"/>
    <cellStyle name="Normal 2 6 2 4 4 2" xfId="4123" xr:uid="{7CCE4769-4B45-4146-AE19-EA97A0DF26FA}"/>
    <cellStyle name="Normal 2 6 2 4 4 2 2" xfId="4124" xr:uid="{F57D1243-7DBF-414F-91D3-D8EEDBE540B2}"/>
    <cellStyle name="Normal 2 6 2 4 4 3" xfId="4125" xr:uid="{FAA68427-95C2-4381-B5BF-FD04DD92159A}"/>
    <cellStyle name="Normal 2 6 2 4 5" xfId="4126" xr:uid="{494A1324-7047-4293-8A03-C1CBD5FD5EC9}"/>
    <cellStyle name="Normal 2 6 2 4 5 2" xfId="4127" xr:uid="{A391D07C-64E2-4A46-A4D5-728F423D3AAE}"/>
    <cellStyle name="Normal 2 6 2 4 5 2 2" xfId="4128" xr:uid="{F9B805C9-ACE5-4370-88E8-378587ADD9CE}"/>
    <cellStyle name="Normal 2 6 2 4 5 3" xfId="4129" xr:uid="{24A2B8F5-6590-4987-9B64-20FFCE4195A4}"/>
    <cellStyle name="Normal 2 6 2 4 6" xfId="4130" xr:uid="{EFB41381-B2DE-47AB-8382-DFE5ACBCB238}"/>
    <cellStyle name="Normal 2 6 2 4 6 2" xfId="4131" xr:uid="{BD35D509-E0DC-4D73-955C-830B17FAEF22}"/>
    <cellStyle name="Normal 2 6 2 4 7" xfId="4132" xr:uid="{EA14A7BC-45CC-407A-B628-42407F09DD8D}"/>
    <cellStyle name="Normal 2 6 2 5" xfId="4133" xr:uid="{27755013-34EB-401D-958C-B9F6ED585927}"/>
    <cellStyle name="Normal 2 6 2 5 2" xfId="4134" xr:uid="{C88C628D-1235-4B1A-B91E-D81CDFAB747E}"/>
    <cellStyle name="Normal 2 6 2 5 2 2" xfId="4135" xr:uid="{215A49A9-769F-421B-8006-5211A669E87F}"/>
    <cellStyle name="Normal 2 6 2 5 2 2 2" xfId="4136" xr:uid="{4F84B33D-323F-4137-85CC-CA60B8E31076}"/>
    <cellStyle name="Normal 2 6 2 5 2 3" xfId="4137" xr:uid="{A54F5D0F-76A1-4D3F-AD1A-9C593D733CBD}"/>
    <cellStyle name="Normal 2 6 2 5 3" xfId="4138" xr:uid="{080C6A97-0839-4CCD-A6CB-0001447EB363}"/>
    <cellStyle name="Normal 2 6 2 5 3 2" xfId="4139" xr:uid="{F080CC53-4DDE-4145-AEDA-7B10D2679A33}"/>
    <cellStyle name="Normal 2 6 2 5 3 2 2" xfId="4140" xr:uid="{65AE6DB9-E3C9-4614-AD1A-77B6EEE95F01}"/>
    <cellStyle name="Normal 2 6 2 5 3 3" xfId="4141" xr:uid="{D24FE6CF-A7B1-4613-A97A-6E196635C323}"/>
    <cellStyle name="Normal 2 6 2 5 4" xfId="4142" xr:uid="{42CCE737-50C8-4DE1-BCBA-071963087C56}"/>
    <cellStyle name="Normal 2 6 2 5 4 2" xfId="4143" xr:uid="{D92405E3-60F1-492D-B3EC-1E1ECB2D3B28}"/>
    <cellStyle name="Normal 2 6 2 5 4 2 2" xfId="4144" xr:uid="{D49C0FA1-FF8A-4553-A54C-A3144F7026A7}"/>
    <cellStyle name="Normal 2 6 2 5 4 3" xfId="4145" xr:uid="{7A214C6D-B84F-4182-B404-D626BE253B1E}"/>
    <cellStyle name="Normal 2 6 2 5 5" xfId="4146" xr:uid="{58879E88-B4BD-4877-8AFF-D51E639E54B8}"/>
    <cellStyle name="Normal 2 6 2 5 5 2" xfId="4147" xr:uid="{20E8C792-C3AD-442B-9996-8313F1DA2DB4}"/>
    <cellStyle name="Normal 2 6 2 5 6" xfId="4148" xr:uid="{1264B49D-5BC7-45D1-A49C-A749B9CF42A2}"/>
    <cellStyle name="Normal 2 6 2 6" xfId="4149" xr:uid="{64F5D21F-93A3-4B91-9C33-4579DF96F2F5}"/>
    <cellStyle name="Normal 2 6 2 6 2" xfId="4150" xr:uid="{E6F40B61-DE94-44B8-A354-78B3654D4D27}"/>
    <cellStyle name="Normal 2 6 2 6 2 2" xfId="4151" xr:uid="{CFC84F54-68B0-4D80-9D6F-FD8A1C2411E8}"/>
    <cellStyle name="Normal 2 6 2 6 3" xfId="4152" xr:uid="{C34CE3C4-49AB-4686-BFAD-99B9981414C0}"/>
    <cellStyle name="Normal 2 6 2 7" xfId="4153" xr:uid="{FBE57856-18F7-4D8F-BDE3-828DD26B816E}"/>
    <cellStyle name="Normal 2 6 2 7 2" xfId="4154" xr:uid="{9DFC9165-A90E-4C4C-8127-FE7EB64EA062}"/>
    <cellStyle name="Normal 2 6 2 7 2 2" xfId="4155" xr:uid="{AC7E3D26-1A19-4B3A-A069-0024A9ECE7C5}"/>
    <cellStyle name="Normal 2 6 2 7 3" xfId="4156" xr:uid="{5E86F692-A2F9-4217-B60B-0390CC3AA4F4}"/>
    <cellStyle name="Normal 2 6 2 8" xfId="4157" xr:uid="{DE029CFB-F3BC-4AA2-BD34-4BC40288847F}"/>
    <cellStyle name="Normal 2 6 2 8 2" xfId="4158" xr:uid="{B919CB13-EBAB-4860-8324-A5448503F415}"/>
    <cellStyle name="Normal 2 6 2 8 2 2" xfId="4159" xr:uid="{D68A5AE5-CC51-4A31-8BB9-EDE04039C06B}"/>
    <cellStyle name="Normal 2 6 2 8 3" xfId="4160" xr:uid="{1DEF6CF3-395A-49AF-867E-38436305FBA7}"/>
    <cellStyle name="Normal 2 6 2 9" xfId="4161" xr:uid="{739E0AC9-5497-483B-AE51-34A62A265E87}"/>
    <cellStyle name="Normal 2 6 2 9 2" xfId="4162" xr:uid="{55882834-5592-4356-9BF3-0FC2868BB184}"/>
    <cellStyle name="Normal 2 6 2 9 2 2" xfId="4163" xr:uid="{F441A175-87B6-499F-A103-446047FA894C}"/>
    <cellStyle name="Normal 2 6 2 9 3" xfId="4164" xr:uid="{49BD8504-9D88-47DB-B753-39831D605370}"/>
    <cellStyle name="Normal 2 6 3" xfId="4165" xr:uid="{0CA1D401-D3BC-4612-8B00-AB7EE8A77588}"/>
    <cellStyle name="Normal 2 6 3 2" xfId="4166" xr:uid="{C43CDD01-5DE8-4F43-BE48-791E1FA18B43}"/>
    <cellStyle name="Normal 2 6 3 2 2" xfId="4167" xr:uid="{04CDD488-B9BD-4A86-8E7F-FB16C9953626}"/>
    <cellStyle name="Normal 2 6 3 2 2 2" xfId="4168" xr:uid="{0F139FBE-02F8-42E1-AF9C-C221BBD2E921}"/>
    <cellStyle name="Normal 2 6 3 2 2 2 2" xfId="4169" xr:uid="{45FFCF78-AA21-428E-9FBE-36A07F680E0B}"/>
    <cellStyle name="Normal 2 6 3 2 2 2 2 2" xfId="4170" xr:uid="{B59CC083-2A53-4546-B6F6-41E58578FAB5}"/>
    <cellStyle name="Normal 2 6 3 2 2 2 3" xfId="4171" xr:uid="{0C0FC9FA-155F-4243-9F59-CEBA628F7217}"/>
    <cellStyle name="Normal 2 6 3 2 2 3" xfId="4172" xr:uid="{F912C202-BFAB-4355-8081-6C0295094F27}"/>
    <cellStyle name="Normal 2 6 3 2 2 3 2" xfId="4173" xr:uid="{1C44BBDF-9329-40CB-8444-493F79D8CA35}"/>
    <cellStyle name="Normal 2 6 3 2 2 3 2 2" xfId="4174" xr:uid="{E609522F-A571-4074-8EEE-FFF0AB667178}"/>
    <cellStyle name="Normal 2 6 3 2 2 3 3" xfId="4175" xr:uid="{9C7ADEE5-BC57-49F8-A435-F40155FE6CE8}"/>
    <cellStyle name="Normal 2 6 3 2 2 4" xfId="4176" xr:uid="{5FBBE057-FF48-4A17-B0E8-755DF0B5A98A}"/>
    <cellStyle name="Normal 2 6 3 2 2 4 2" xfId="4177" xr:uid="{9246B46A-A0F0-40CF-BB84-6230CBB93264}"/>
    <cellStyle name="Normal 2 6 3 2 2 4 2 2" xfId="4178" xr:uid="{B8EE816F-2325-4CE6-8D36-5190989F5BED}"/>
    <cellStyle name="Normal 2 6 3 2 2 4 3" xfId="4179" xr:uid="{FECE8806-3F3F-4CDA-A7FD-3206458D49F0}"/>
    <cellStyle name="Normal 2 6 3 2 2 5" xfId="4180" xr:uid="{7CDAEBFF-5924-4C2F-A3CD-35E5A63BC12D}"/>
    <cellStyle name="Normal 2 6 3 2 2 5 2" xfId="4181" xr:uid="{38A9DAAB-7A56-40C5-9132-C45E4527E605}"/>
    <cellStyle name="Normal 2 6 3 2 2 6" xfId="4182" xr:uid="{92657A71-17E9-4C08-988B-877A28DED379}"/>
    <cellStyle name="Normal 2 6 3 2 3" xfId="4183" xr:uid="{C01BE798-E2CB-465A-ADEC-183679EE469A}"/>
    <cellStyle name="Normal 2 6 3 2 3 2" xfId="4184" xr:uid="{0F7B5112-D153-4909-98B1-709D6235F9E5}"/>
    <cellStyle name="Normal 2 6 3 2 3 2 2" xfId="4185" xr:uid="{21C29A41-F9E2-4C58-B0C4-7375CEE3A9F4}"/>
    <cellStyle name="Normal 2 6 3 2 3 3" xfId="4186" xr:uid="{533BCF1D-9CF4-48F2-A0D4-3DC33426A595}"/>
    <cellStyle name="Normal 2 6 3 2 4" xfId="4187" xr:uid="{732622BB-76D8-4145-A808-981E3B3F689D}"/>
    <cellStyle name="Normal 2 6 3 2 4 2" xfId="4188" xr:uid="{8EAE0792-9C9C-439F-A548-EF477C3E4C87}"/>
    <cellStyle name="Normal 2 6 3 2 4 2 2" xfId="4189" xr:uid="{F13A52EB-72EC-4844-8569-8764F5B488F2}"/>
    <cellStyle name="Normal 2 6 3 2 4 3" xfId="4190" xr:uid="{B3FD2258-1A13-4D89-875D-5700736AA230}"/>
    <cellStyle name="Normal 2 6 3 2 5" xfId="4191" xr:uid="{A58E1C04-B483-4383-BC26-14570DE52720}"/>
    <cellStyle name="Normal 2 6 3 2 5 2" xfId="4192" xr:uid="{139D7F19-FE91-4782-BB96-A43441560A9B}"/>
    <cellStyle name="Normal 2 6 3 2 5 2 2" xfId="4193" xr:uid="{8169C9BB-60ED-48D8-A698-6C36AB05D8B0}"/>
    <cellStyle name="Normal 2 6 3 2 5 3" xfId="4194" xr:uid="{5ABB02B2-0E5C-40CF-B24E-3651F6D18E51}"/>
    <cellStyle name="Normal 2 6 3 2 6" xfId="4195" xr:uid="{D6E8539A-0599-4C36-B380-7F6A88C39CA4}"/>
    <cellStyle name="Normal 2 6 3 2 6 2" xfId="4196" xr:uid="{9D5FE5B3-FC43-4EDE-9B4B-D297A8A639DC}"/>
    <cellStyle name="Normal 2 6 3 2 7" xfId="4197" xr:uid="{E18B498A-C750-41DE-A032-9C5B9DC663F4}"/>
    <cellStyle name="Normal 2 6 3 3" xfId="4198" xr:uid="{43D19161-38B3-45C8-9C8B-B8D2174F2492}"/>
    <cellStyle name="Normal 2 6 3 3 2" xfId="4199" xr:uid="{8E986EB6-7F78-46FC-B1B0-080926284952}"/>
    <cellStyle name="Normal 2 6 3 3 2 2" xfId="4200" xr:uid="{424CFE15-7515-4A10-BEDA-CAED7DBEE295}"/>
    <cellStyle name="Normal 2 6 3 3 2 2 2" xfId="4201" xr:uid="{B17927C1-71D2-4B1A-A6CD-A1867D87B2AA}"/>
    <cellStyle name="Normal 2 6 3 3 2 3" xfId="4202" xr:uid="{1E7BEF73-BC51-4F0C-B316-055D5F0C4B79}"/>
    <cellStyle name="Normal 2 6 3 3 3" xfId="4203" xr:uid="{F7479ECF-A811-4C9F-A13A-48B50E2107EF}"/>
    <cellStyle name="Normal 2 6 3 3 3 2" xfId="4204" xr:uid="{E8F32260-162E-4FC0-BD02-0C591838F556}"/>
    <cellStyle name="Normal 2 6 3 3 3 2 2" xfId="4205" xr:uid="{B790CBA4-CF5E-400F-BA3E-51659246A886}"/>
    <cellStyle name="Normal 2 6 3 3 3 3" xfId="4206" xr:uid="{680DCBA7-03C1-42BF-B7B7-A530D61A6472}"/>
    <cellStyle name="Normal 2 6 3 3 4" xfId="4207" xr:uid="{6D70E227-1F11-487F-90D8-DD4AAEDC693A}"/>
    <cellStyle name="Normal 2 6 3 3 4 2" xfId="4208" xr:uid="{AEA9E728-5182-4024-BF8D-3699C7874C22}"/>
    <cellStyle name="Normal 2 6 3 3 4 2 2" xfId="4209" xr:uid="{0AB4060C-ACA5-4DCF-AC06-9B32962D31CC}"/>
    <cellStyle name="Normal 2 6 3 3 4 3" xfId="4210" xr:uid="{4C2977DF-B8A6-4EF0-8DF4-D3A5EDD957F6}"/>
    <cellStyle name="Normal 2 6 3 3 5" xfId="4211" xr:uid="{90B4683F-23DE-4C3E-A043-D8FFD909082A}"/>
    <cellStyle name="Normal 2 6 3 3 5 2" xfId="4212" xr:uid="{6FA1EA0A-7F44-495F-8C20-1BC641AE6DD2}"/>
    <cellStyle name="Normal 2 6 3 3 6" xfId="4213" xr:uid="{7C087604-3951-4D59-ACA8-280FB8819800}"/>
    <cellStyle name="Normal 2 6 3 4" xfId="4214" xr:uid="{2E92916C-044A-423F-ABB8-DADBAA7DCBA7}"/>
    <cellStyle name="Normal 2 6 3 4 2" xfId="4215" xr:uid="{DA92C0FC-DFB4-4D33-9E9A-F0CE8344239F}"/>
    <cellStyle name="Normal 2 6 3 4 2 2" xfId="4216" xr:uid="{2C353985-6A1F-4021-A44A-12AE106736CB}"/>
    <cellStyle name="Normal 2 6 3 4 3" xfId="4217" xr:uid="{F7173216-D913-40C1-A3A1-D131EA6F1EA5}"/>
    <cellStyle name="Normal 2 6 3 5" xfId="4218" xr:uid="{E78EB068-A08C-447C-8F1D-83E03810C5D4}"/>
    <cellStyle name="Normal 2 6 3 5 2" xfId="4219" xr:uid="{F754CC4A-6940-4349-AF14-7F3F43B5A204}"/>
    <cellStyle name="Normal 2 6 3 5 2 2" xfId="4220" xr:uid="{E988D700-B88A-4E98-9C11-B117BB3C8FC8}"/>
    <cellStyle name="Normal 2 6 3 5 3" xfId="4221" xr:uid="{4071ACEF-0E0F-43CA-A989-5934441BA947}"/>
    <cellStyle name="Normal 2 6 3 6" xfId="4222" xr:uid="{EC049C44-8DFC-4BFD-8C34-F5E92CD29C96}"/>
    <cellStyle name="Normal 2 6 3 6 2" xfId="4223" xr:uid="{DC419A3F-A95F-4D99-B321-812719683C79}"/>
    <cellStyle name="Normal 2 6 3 6 2 2" xfId="4224" xr:uid="{4FEF9A79-A781-4F38-A376-61346788D4A4}"/>
    <cellStyle name="Normal 2 6 3 6 3" xfId="4225" xr:uid="{CDDE1E5E-82F2-4408-8A6E-236F7B05351B}"/>
    <cellStyle name="Normal 2 6 3 7" xfId="4226" xr:uid="{0A12B0B8-D44B-408A-8E9F-E8F8DC362256}"/>
    <cellStyle name="Normal 2 6 3 7 2" xfId="4227" xr:uid="{DEB23AFF-D788-4545-95AE-F97DF19C4546}"/>
    <cellStyle name="Normal 2 6 3 8" xfId="4228" xr:uid="{E3D63FD2-B20C-4D4A-9050-B0AAA79D8D0C}"/>
    <cellStyle name="Normal 2 6 4" xfId="4229" xr:uid="{5011D4C7-D67A-4457-8BB7-78F7838BD4D9}"/>
    <cellStyle name="Normal 2 6 4 2" xfId="4230" xr:uid="{BEBF136D-E606-4306-B772-D8D55316756D}"/>
    <cellStyle name="Normal 2 6 4 2 2" xfId="4231" xr:uid="{1A3E1230-A81E-4A57-8F77-9F0682D4F389}"/>
    <cellStyle name="Normal 2 6 4 2 2 2" xfId="4232" xr:uid="{77B2DDED-208D-410C-94BE-9EF80B1360DA}"/>
    <cellStyle name="Normal 2 6 4 2 2 2 2" xfId="4233" xr:uid="{CF444B92-2240-4561-9E82-4B13EF45613F}"/>
    <cellStyle name="Normal 2 6 4 2 2 2 2 2" xfId="4234" xr:uid="{4DC4D168-892A-4A75-BD10-0C93925FD9B0}"/>
    <cellStyle name="Normal 2 6 4 2 2 2 3" xfId="4235" xr:uid="{F91D9B01-F9DF-4AC6-8931-B90CCF178AFD}"/>
    <cellStyle name="Normal 2 6 4 2 2 3" xfId="4236" xr:uid="{51181969-8EE8-4767-A02F-A212B5D8FEF0}"/>
    <cellStyle name="Normal 2 6 4 2 2 3 2" xfId="4237" xr:uid="{B5C603E4-756E-4E5A-9EEB-6F6212D79890}"/>
    <cellStyle name="Normal 2 6 4 2 2 3 2 2" xfId="4238" xr:uid="{D4A365FE-BC2A-4B2D-9EF3-C735572478D0}"/>
    <cellStyle name="Normal 2 6 4 2 2 3 3" xfId="4239" xr:uid="{7620F5E0-10A5-4CCF-A5CC-913A19EABC6B}"/>
    <cellStyle name="Normal 2 6 4 2 2 4" xfId="4240" xr:uid="{B60FAADD-894B-46E4-8E0D-130997A4FF20}"/>
    <cellStyle name="Normal 2 6 4 2 2 4 2" xfId="4241" xr:uid="{97F55527-36F9-4A60-B9F3-183BC193DA71}"/>
    <cellStyle name="Normal 2 6 4 2 2 4 2 2" xfId="4242" xr:uid="{CBC31AAE-1DCE-4E0B-B20D-A1AA4805BAEE}"/>
    <cellStyle name="Normal 2 6 4 2 2 4 3" xfId="4243" xr:uid="{2450E132-873A-4536-99F9-FE95B6FA6970}"/>
    <cellStyle name="Normal 2 6 4 2 2 5" xfId="4244" xr:uid="{428C936D-C46F-439B-858C-995857B8FBC0}"/>
    <cellStyle name="Normal 2 6 4 2 2 5 2" xfId="4245" xr:uid="{080151D3-D62E-4FEA-BD3B-56DE724D31E0}"/>
    <cellStyle name="Normal 2 6 4 2 2 6" xfId="4246" xr:uid="{4936FE1A-4EB4-4C0D-B78E-502D7EB7FAC4}"/>
    <cellStyle name="Normal 2 6 4 2 3" xfId="4247" xr:uid="{A187E60F-B76E-4664-A582-0BE627D391C7}"/>
    <cellStyle name="Normal 2 6 4 2 3 2" xfId="4248" xr:uid="{F97CB5F1-9195-4C56-8D08-A671FF3D1A81}"/>
    <cellStyle name="Normal 2 6 4 2 3 2 2" xfId="4249" xr:uid="{011E2609-8647-4161-876C-91F5CD374799}"/>
    <cellStyle name="Normal 2 6 4 2 3 3" xfId="4250" xr:uid="{E7DF9083-4DB9-4D34-A396-2140086CB541}"/>
    <cellStyle name="Normal 2 6 4 2 4" xfId="4251" xr:uid="{FA1B6A9B-84A6-4143-97E4-0D8116C8E922}"/>
    <cellStyle name="Normal 2 6 4 2 4 2" xfId="4252" xr:uid="{4D7CF427-F431-4F5F-A603-F2507AC858E7}"/>
    <cellStyle name="Normal 2 6 4 2 4 2 2" xfId="4253" xr:uid="{D7D3984C-9E77-4189-93BB-0C93F22BA01B}"/>
    <cellStyle name="Normal 2 6 4 2 4 3" xfId="4254" xr:uid="{06A6D5D5-DFB6-41B6-B86F-3352644CC39E}"/>
    <cellStyle name="Normal 2 6 4 2 5" xfId="4255" xr:uid="{8DC2647C-CF59-4F3A-8200-B9BB398E08C2}"/>
    <cellStyle name="Normal 2 6 4 2 5 2" xfId="4256" xr:uid="{2E615CFD-EB56-457E-8911-B6790A7840FD}"/>
    <cellStyle name="Normal 2 6 4 2 5 2 2" xfId="4257" xr:uid="{568C9971-924C-4893-BA13-3A021B2F047D}"/>
    <cellStyle name="Normal 2 6 4 2 5 3" xfId="4258" xr:uid="{4CFCFB3F-5E91-4C39-814E-4960F83F7224}"/>
    <cellStyle name="Normal 2 6 4 2 6" xfId="4259" xr:uid="{F1A50E98-FC4A-4238-A81F-464AD85A4EC6}"/>
    <cellStyle name="Normal 2 6 4 2 6 2" xfId="4260" xr:uid="{F4F0D727-F46F-49FB-9294-B8E0871F294B}"/>
    <cellStyle name="Normal 2 6 4 2 7" xfId="4261" xr:uid="{F7997300-10BD-4325-A462-DE93327738C8}"/>
    <cellStyle name="Normal 2 6 4 3" xfId="4262" xr:uid="{05829E53-1D65-4BAB-8D56-2E339E8DAF58}"/>
    <cellStyle name="Normal 2 6 4 3 2" xfId="4263" xr:uid="{4B36F3AD-FBF2-478C-9779-952CF7673822}"/>
    <cellStyle name="Normal 2 6 4 3 2 2" xfId="4264" xr:uid="{A8901048-9973-4C3F-93D7-3400E95DA88F}"/>
    <cellStyle name="Normal 2 6 4 3 2 2 2" xfId="4265" xr:uid="{6E805301-A0E7-4249-8F13-88B1F076F440}"/>
    <cellStyle name="Normal 2 6 4 3 2 3" xfId="4266" xr:uid="{A743446B-D218-440F-B217-6C8CFD3047D8}"/>
    <cellStyle name="Normal 2 6 4 3 3" xfId="4267" xr:uid="{9A164F0A-DA94-433E-B00C-6004564F0E18}"/>
    <cellStyle name="Normal 2 6 4 3 3 2" xfId="4268" xr:uid="{8712B8F2-C553-439C-A458-7C839B8CD808}"/>
    <cellStyle name="Normal 2 6 4 3 3 2 2" xfId="4269" xr:uid="{3CD93246-8FFE-4B73-991E-C89036C69509}"/>
    <cellStyle name="Normal 2 6 4 3 3 3" xfId="4270" xr:uid="{ED361D35-F52B-4ECD-B680-B064A81BDFC5}"/>
    <cellStyle name="Normal 2 6 4 3 4" xfId="4271" xr:uid="{71C5F91E-7C4D-454B-AF29-CF3166D21F8D}"/>
    <cellStyle name="Normal 2 6 4 3 4 2" xfId="4272" xr:uid="{5BB156DA-9DC7-4433-9DAD-56B48752369B}"/>
    <cellStyle name="Normal 2 6 4 3 4 2 2" xfId="4273" xr:uid="{CF52120A-020B-4037-9807-55A8BAE16D6B}"/>
    <cellStyle name="Normal 2 6 4 3 4 3" xfId="4274" xr:uid="{9594A104-F045-4395-BF52-2F672A60504B}"/>
    <cellStyle name="Normal 2 6 4 3 5" xfId="4275" xr:uid="{85D6A92F-F959-4BD9-B277-77F61808FBFD}"/>
    <cellStyle name="Normal 2 6 4 3 5 2" xfId="4276" xr:uid="{C3F87DCD-AFCC-4E5A-8B4D-6067D4518354}"/>
    <cellStyle name="Normal 2 6 4 3 6" xfId="4277" xr:uid="{B7D3F125-E1E7-426D-AECB-73083E9A3ED4}"/>
    <cellStyle name="Normal 2 6 4 4" xfId="4278" xr:uid="{E4E8A8FC-6BDA-438A-9353-A539EA4A5813}"/>
    <cellStyle name="Normal 2 6 4 4 2" xfId="4279" xr:uid="{BE3611A8-BEC5-43D0-B718-635DE78810AE}"/>
    <cellStyle name="Normal 2 6 4 4 2 2" xfId="4280" xr:uid="{B472DE16-7292-41BE-9533-64F35498F116}"/>
    <cellStyle name="Normal 2 6 4 4 3" xfId="4281" xr:uid="{F9517B5E-35A9-4743-AB3D-02D2984CCC46}"/>
    <cellStyle name="Normal 2 6 4 5" xfId="4282" xr:uid="{84E27B3D-7F56-4147-9A94-659A8A49887E}"/>
    <cellStyle name="Normal 2 6 4 5 2" xfId="4283" xr:uid="{361D0EF8-5AC3-4074-9F71-8187C2864F17}"/>
    <cellStyle name="Normal 2 6 4 5 2 2" xfId="4284" xr:uid="{356EF782-DA04-4FC3-A89B-F19DF6656EEC}"/>
    <cellStyle name="Normal 2 6 4 5 3" xfId="4285" xr:uid="{6DD200FA-3B2D-4DA7-8376-E6DD86B7E4B0}"/>
    <cellStyle name="Normal 2 6 4 6" xfId="4286" xr:uid="{0513837E-37F2-4031-A21C-3BFCB735B9BF}"/>
    <cellStyle name="Normal 2 6 4 6 2" xfId="4287" xr:uid="{747D5671-3F52-4E21-83CC-D27ECF600BDF}"/>
    <cellStyle name="Normal 2 6 4 6 2 2" xfId="4288" xr:uid="{90361179-F5B2-44AF-8F9E-B7B2188B12DF}"/>
    <cellStyle name="Normal 2 6 4 6 3" xfId="4289" xr:uid="{6E0F22CB-AC24-4084-A0E9-3A8331C27388}"/>
    <cellStyle name="Normal 2 6 4 7" xfId="4290" xr:uid="{CD8BD285-6549-4C26-AB17-401F3C1E781E}"/>
    <cellStyle name="Normal 2 6 4 7 2" xfId="4291" xr:uid="{73776971-A1AC-4794-A279-C89DC4FC5EA9}"/>
    <cellStyle name="Normal 2 6 4 8" xfId="4292" xr:uid="{981B7376-B14C-41A0-8CD2-FAB94D77018C}"/>
    <cellStyle name="Normal 2 6 5" xfId="4293" xr:uid="{C1E85DE6-0896-4141-8564-4054EDEE5025}"/>
    <cellStyle name="Normal 2 6 5 2" xfId="4294" xr:uid="{96ACC241-80EF-40CB-9319-C239A1946F21}"/>
    <cellStyle name="Normal 2 6 5 2 2" xfId="4295" xr:uid="{64E89EAD-0B6E-415A-A294-A8409F352A0D}"/>
    <cellStyle name="Normal 2 6 5 2 2 2" xfId="4296" xr:uid="{BEAA2572-8AAE-4C01-9A1B-4014BDD40DDC}"/>
    <cellStyle name="Normal 2 6 5 2 2 2 2" xfId="4297" xr:uid="{066AB912-4B05-45AA-80F7-82EA5B2B2359}"/>
    <cellStyle name="Normal 2 6 5 2 2 3" xfId="4298" xr:uid="{6AC9C606-BF46-4F6B-9958-9A104DFF13FC}"/>
    <cellStyle name="Normal 2 6 5 2 3" xfId="4299" xr:uid="{593967E5-2619-43C9-B3E6-CE9D0E7A0104}"/>
    <cellStyle name="Normal 2 6 5 2 3 2" xfId="4300" xr:uid="{B70355E8-806D-486B-AF0D-E529C787EC77}"/>
    <cellStyle name="Normal 2 6 5 2 3 2 2" xfId="4301" xr:uid="{BA90C5F4-1CC6-41F7-9472-3B0C4CCC1CC2}"/>
    <cellStyle name="Normal 2 6 5 2 3 3" xfId="4302" xr:uid="{D89BEAB5-20B9-4636-8E89-EA3D17B53DD7}"/>
    <cellStyle name="Normal 2 6 5 2 4" xfId="4303" xr:uid="{79BC3129-077B-4052-98DD-365F9F0E5C3F}"/>
    <cellStyle name="Normal 2 6 5 2 4 2" xfId="4304" xr:uid="{429EC861-95A1-41FC-9061-5EEB7D6A0552}"/>
    <cellStyle name="Normal 2 6 5 2 4 2 2" xfId="4305" xr:uid="{C8258877-A82E-4A9F-BC71-2BF772F7D4FB}"/>
    <cellStyle name="Normal 2 6 5 2 4 3" xfId="4306" xr:uid="{1CB55A6E-2DAF-4BE2-AFE0-A8E035CE9E67}"/>
    <cellStyle name="Normal 2 6 5 2 5" xfId="4307" xr:uid="{BD35BE49-8D5A-41CE-9DBB-0BD61F22F697}"/>
    <cellStyle name="Normal 2 6 5 2 5 2" xfId="4308" xr:uid="{B248C756-22A6-44D5-B803-B42F1EE9AC8F}"/>
    <cellStyle name="Normal 2 6 5 2 6" xfId="4309" xr:uid="{21BCCCAE-5BFF-409C-BCC9-B148DB267896}"/>
    <cellStyle name="Normal 2 6 5 3" xfId="4310" xr:uid="{47FAA12D-CB76-4BF4-8152-FC110DED62CF}"/>
    <cellStyle name="Normal 2 6 5 3 2" xfId="4311" xr:uid="{0CD3F06C-8C2E-4997-A0DC-73559D3F1BB2}"/>
    <cellStyle name="Normal 2 6 5 3 2 2" xfId="4312" xr:uid="{1270CB89-6FCD-4CC6-AD3A-50A6DA3D0F61}"/>
    <cellStyle name="Normal 2 6 5 3 3" xfId="4313" xr:uid="{32D1F60D-0E99-412E-B28F-BF068ADA516B}"/>
    <cellStyle name="Normal 2 6 5 4" xfId="4314" xr:uid="{BAB0772C-B3E7-4003-AD9E-E607CE11E3B7}"/>
    <cellStyle name="Normal 2 6 5 4 2" xfId="4315" xr:uid="{E497D847-C722-4399-8CE7-72E6A7DE9491}"/>
    <cellStyle name="Normal 2 6 5 4 2 2" xfId="4316" xr:uid="{736FADBB-DDC4-4A32-92A9-0165839CDD2E}"/>
    <cellStyle name="Normal 2 6 5 4 3" xfId="4317" xr:uid="{7962EE4F-DF8F-4D94-BEAD-91E908F19256}"/>
    <cellStyle name="Normal 2 6 5 5" xfId="4318" xr:uid="{F0DAC864-34D9-4313-B5EF-72E32A67EFAF}"/>
    <cellStyle name="Normal 2 6 5 5 2" xfId="4319" xr:uid="{B8F88328-BEED-4DB7-BC8A-572382FE83D3}"/>
    <cellStyle name="Normal 2 6 5 5 2 2" xfId="4320" xr:uid="{F83C4A06-1989-4F8B-B1D2-028B4CE3F6C1}"/>
    <cellStyle name="Normal 2 6 5 5 3" xfId="4321" xr:uid="{B6FE075F-35DD-4ECC-AFED-551B8E71CAF5}"/>
    <cellStyle name="Normal 2 6 5 6" xfId="4322" xr:uid="{2BE21F2A-6547-4C19-9143-959C9FAB66E1}"/>
    <cellStyle name="Normal 2 6 5 6 2" xfId="4323" xr:uid="{2A86C78B-DD5B-47C9-BB87-65534F2F53BD}"/>
    <cellStyle name="Normal 2 6 5 7" xfId="4324" xr:uid="{45F47B13-135B-4AE4-8E1F-F1A0596954D3}"/>
    <cellStyle name="Normal 2 6 6" xfId="4325" xr:uid="{C34CBBA2-654E-48CE-A569-FE673194CFDF}"/>
    <cellStyle name="Normal 2 6 6 2" xfId="4326" xr:uid="{B3D11A1F-279F-4CFE-BCEF-EB1ACC16396B}"/>
    <cellStyle name="Normal 2 6 6 2 2" xfId="4327" xr:uid="{86317F75-A004-48A8-8B7C-2D35FA79C7AB}"/>
    <cellStyle name="Normal 2 6 6 2 2 2" xfId="4328" xr:uid="{153FA7FD-2498-41D8-8D07-D924E151E0EF}"/>
    <cellStyle name="Normal 2 6 6 2 3" xfId="4329" xr:uid="{F548FEE4-42CE-47AB-8CFB-9B8F76F20CBD}"/>
    <cellStyle name="Normal 2 6 6 3" xfId="4330" xr:uid="{79781832-911D-483F-9435-81169AFBBDC8}"/>
    <cellStyle name="Normal 2 6 6 3 2" xfId="4331" xr:uid="{251F9DA8-1A18-4796-81B2-88EB80BCA286}"/>
    <cellStyle name="Normal 2 6 6 3 2 2" xfId="4332" xr:uid="{88ABB471-1368-4526-8BCF-792053F9A8EE}"/>
    <cellStyle name="Normal 2 6 6 3 3" xfId="4333" xr:uid="{16F75850-E89B-4CE7-A5E7-6E0AE2EDFAFA}"/>
    <cellStyle name="Normal 2 6 6 4" xfId="4334" xr:uid="{4ACEDD5F-61C8-41E5-9954-E2521E6C5648}"/>
    <cellStyle name="Normal 2 6 6 4 2" xfId="4335" xr:uid="{135477B8-B2F0-4F42-87CF-97C423E05449}"/>
    <cellStyle name="Normal 2 6 6 4 2 2" xfId="4336" xr:uid="{FBF3F1CE-860A-4BAB-BA06-B8A6463BC2B1}"/>
    <cellStyle name="Normal 2 6 6 4 3" xfId="4337" xr:uid="{CDBA61EA-5A7F-484D-A41B-59F130033B76}"/>
    <cellStyle name="Normal 2 6 6 5" xfId="4338" xr:uid="{F1C17E2E-C69D-4B53-9642-CB0988B3930E}"/>
    <cellStyle name="Normal 2 6 6 5 2" xfId="4339" xr:uid="{976FB5FE-FC3A-47B8-B1E7-17D809D5E7FA}"/>
    <cellStyle name="Normal 2 6 6 6" xfId="4340" xr:uid="{0CBF352F-3302-41EF-A16E-06B20DD71ED2}"/>
    <cellStyle name="Normal 2 6 7" xfId="4341" xr:uid="{1CBF133F-CBEE-4832-94D3-CD9056178D36}"/>
    <cellStyle name="Normal 2 6 7 2" xfId="4342" xr:uid="{D2E6E761-9D0B-436A-8A7B-0DE459782A96}"/>
    <cellStyle name="Normal 2 6 7 2 2" xfId="4343" xr:uid="{FD17915C-3739-4061-B6E4-795EFBDC47A7}"/>
    <cellStyle name="Normal 2 6 7 3" xfId="4344" xr:uid="{28E0E747-03DE-41C9-A9D8-F21DFCEFC893}"/>
    <cellStyle name="Normal 2 6 8" xfId="4345" xr:uid="{97F61B5F-B792-45FA-BC9E-9AEC1FB002A6}"/>
    <cellStyle name="Normal 2 6 8 2" xfId="4346" xr:uid="{A529BBDC-FA07-4709-B62B-F1AB6EBE7415}"/>
    <cellStyle name="Normal 2 6 8 2 2" xfId="4347" xr:uid="{2C973527-CE71-45A5-9380-47D1BD5817E8}"/>
    <cellStyle name="Normal 2 6 8 3" xfId="4348" xr:uid="{E88EEAF5-9EE7-4E0C-899B-55569FADD441}"/>
    <cellStyle name="Normal 2 6 9" xfId="4349" xr:uid="{CC900EFF-BA04-450C-9575-EE96DB0A7615}"/>
    <cellStyle name="Normal 2 6 9 2" xfId="4350" xr:uid="{B5FDBCBD-DA5A-417C-8ED5-C26647396FFE}"/>
    <cellStyle name="Normal 2 6 9 2 2" xfId="4351" xr:uid="{DDBB5DB1-B744-4634-BA78-6D2B4C0938D2}"/>
    <cellStyle name="Normal 2 6 9 3" xfId="4352" xr:uid="{4F5F927C-6DFA-4ED4-9E82-D6FD18CBB927}"/>
    <cellStyle name="Normal 2 7" xfId="4353" xr:uid="{E5C3E6DB-D69F-4DA4-A62E-881BA4EF9C68}"/>
    <cellStyle name="Normal 2 7 2" xfId="4354" xr:uid="{F4447501-B533-4E1E-B039-BCBE435C1B34}"/>
    <cellStyle name="Normal 2 7 3" xfId="4355" xr:uid="{BEC389BB-B21D-4708-A9E9-C267AA6518F7}"/>
    <cellStyle name="Normal 2 7 3 2" xfId="4356" xr:uid="{4B71828F-E36F-486F-A6F8-29E5EEDBFE76}"/>
    <cellStyle name="Normal 2 7 3 2 2" xfId="4357" xr:uid="{B2208DAA-19CF-4099-894A-1F22F2430C52}"/>
    <cellStyle name="Normal 2 7 3 3" xfId="4358" xr:uid="{0D0DF77C-149A-4398-AE25-570DFFE32517}"/>
    <cellStyle name="Normal 2 7 4" xfId="4359" xr:uid="{BECA3B4E-7A0F-494F-A2BE-910876A0A4CF}"/>
    <cellStyle name="Normal 2 7 4 2" xfId="4360" xr:uid="{B5C06425-ACDC-4754-8E8C-446D364A81E8}"/>
    <cellStyle name="Normal 2 7 4 2 2" xfId="4361" xr:uid="{B0C0FA43-993A-4E90-932E-48D59FF1EB30}"/>
    <cellStyle name="Normal 2 7 4 3" xfId="4362" xr:uid="{D6496DCB-9704-4283-8362-0EE0966B85C2}"/>
    <cellStyle name="Normal 2 7 5" xfId="4363" xr:uid="{CCB0DDA9-1831-454A-9967-1B59EB5075A6}"/>
    <cellStyle name="Normal 2 7 5 2" xfId="4364" xr:uid="{3D40FB11-FEB3-45C5-8B76-DB305A8877B0}"/>
    <cellStyle name="Normal 2 7 5 2 2" xfId="4365" xr:uid="{6EE1D756-090C-4ED1-8DAB-E21CA515DB60}"/>
    <cellStyle name="Normal 2 7 5 3" xfId="4366" xr:uid="{1BA1F22F-E8C5-45EA-8997-945DCBDD9863}"/>
    <cellStyle name="Normal 2 7 6" xfId="7692" xr:uid="{F55588F0-6540-4E8E-962B-6B24CB718F6B}"/>
    <cellStyle name="Normal 2 8" xfId="4367" xr:uid="{7263C3C8-3A89-48CC-BE7B-DC1E518A3EE4}"/>
    <cellStyle name="Normal 2 8 10" xfId="4368" xr:uid="{C290DBD6-8D0B-4FD1-84ED-B718E7451A8D}"/>
    <cellStyle name="Normal 2 8 11" xfId="7666" xr:uid="{429BC25F-4D08-453F-BA56-CBE20F3C9A5F}"/>
    <cellStyle name="Normal 2 8 2" xfId="4369" xr:uid="{B552A41A-6AC8-4013-914C-BC15000B8677}"/>
    <cellStyle name="Normal 2 8 2 2" xfId="4370" xr:uid="{104ED8D8-126B-4151-BB6A-D66DB64F4F26}"/>
    <cellStyle name="Normal 2 8 2 2 2" xfId="4371" xr:uid="{C71D1CCC-C1D8-4ACE-ABB0-E3C7205FE1EB}"/>
    <cellStyle name="Normal 2 8 2 2 2 2" xfId="4372" xr:uid="{A858EE9C-5AAA-4DD1-8C85-A3D7E587C414}"/>
    <cellStyle name="Normal 2 8 2 2 2 2 2" xfId="4373" xr:uid="{BD1E0297-347D-498F-AD35-30A97555EC00}"/>
    <cellStyle name="Normal 2 8 2 2 2 2 2 2" xfId="4374" xr:uid="{BDE078C0-A153-4AF0-A805-05B83DC500EF}"/>
    <cellStyle name="Normal 2 8 2 2 2 2 3" xfId="4375" xr:uid="{9844A46C-AF51-4312-8138-7601F2236598}"/>
    <cellStyle name="Normal 2 8 2 2 2 3" xfId="4376" xr:uid="{8EB50D10-5957-4D73-9DE7-590BB2E7D067}"/>
    <cellStyle name="Normal 2 8 2 2 2 3 2" xfId="4377" xr:uid="{21F36BBF-89DB-4F81-89FC-18A2A1DE0F46}"/>
    <cellStyle name="Normal 2 8 2 2 2 3 2 2" xfId="4378" xr:uid="{FA1CC999-9218-4AF1-B31F-AD1C9B7EB540}"/>
    <cellStyle name="Normal 2 8 2 2 2 3 3" xfId="4379" xr:uid="{188ADE8F-9B13-49C1-A6C0-4167CEABBDB2}"/>
    <cellStyle name="Normal 2 8 2 2 2 4" xfId="4380" xr:uid="{118B5D94-3555-4D52-9512-E504E7626298}"/>
    <cellStyle name="Normal 2 8 2 2 2 4 2" xfId="4381" xr:uid="{CCF58434-F550-4F30-B2F7-005C34D2C96E}"/>
    <cellStyle name="Normal 2 8 2 2 2 4 2 2" xfId="4382" xr:uid="{B33EE3BD-CFCC-40F6-B384-EEAA2EEE7444}"/>
    <cellStyle name="Normal 2 8 2 2 2 4 3" xfId="4383" xr:uid="{7847C653-2422-4046-B3F9-B37C2F451213}"/>
    <cellStyle name="Normal 2 8 2 2 2 5" xfId="4384" xr:uid="{BAB94040-A0A6-4137-8404-309F6AC8767F}"/>
    <cellStyle name="Normal 2 8 2 2 2 5 2" xfId="4385" xr:uid="{4D8F987A-9A9F-45F9-B19F-638064D1A840}"/>
    <cellStyle name="Normal 2 8 2 2 2 6" xfId="4386" xr:uid="{5D6549DB-4F76-4DCE-906B-33D763BE6C48}"/>
    <cellStyle name="Normal 2 8 2 2 3" xfId="4387" xr:uid="{6E1CAB2E-9548-40CF-B3CE-20383A891DF3}"/>
    <cellStyle name="Normal 2 8 2 2 3 2" xfId="4388" xr:uid="{6C31C832-2925-4739-A326-365CF3FF5849}"/>
    <cellStyle name="Normal 2 8 2 2 3 2 2" xfId="4389" xr:uid="{9B9B8D4F-0D1F-4264-99F0-A2EA89C5C6F6}"/>
    <cellStyle name="Normal 2 8 2 2 3 3" xfId="4390" xr:uid="{AA96ABB8-3DDF-41E4-A858-5ACF459882DF}"/>
    <cellStyle name="Normal 2 8 2 2 4" xfId="4391" xr:uid="{FAC73318-7A77-405F-A299-F0E55D7AB6C4}"/>
    <cellStyle name="Normal 2 8 2 2 4 2" xfId="4392" xr:uid="{A68A210F-BA79-4BBE-81F6-6BB025BD3DC2}"/>
    <cellStyle name="Normal 2 8 2 2 4 2 2" xfId="4393" xr:uid="{FD625B4B-6345-4FE6-9019-169FF0C9F9D5}"/>
    <cellStyle name="Normal 2 8 2 2 4 3" xfId="4394" xr:uid="{89F025AD-B948-4E98-A9CA-9DE6114AB8B6}"/>
    <cellStyle name="Normal 2 8 2 2 5" xfId="4395" xr:uid="{7B3F8290-9CF1-4402-A3E8-9D4C2DE89380}"/>
    <cellStyle name="Normal 2 8 2 2 5 2" xfId="4396" xr:uid="{9BDE070D-8ECC-4A01-9D31-6E0299AF16D2}"/>
    <cellStyle name="Normal 2 8 2 2 5 2 2" xfId="4397" xr:uid="{D77E80E0-1E1A-4152-BEC2-E737302E7C46}"/>
    <cellStyle name="Normal 2 8 2 2 5 3" xfId="4398" xr:uid="{4563FEB9-2F30-412F-AA17-922E6D029DE3}"/>
    <cellStyle name="Normal 2 8 2 2 6" xfId="4399" xr:uid="{99A1598E-9B6D-4C6C-B317-0C9FA3C1CDB3}"/>
    <cellStyle name="Normal 2 8 2 2 6 2" xfId="4400" xr:uid="{7ED0E592-9663-49AB-AC2A-C90539B753BB}"/>
    <cellStyle name="Normal 2 8 2 2 7" xfId="4401" xr:uid="{AF76BE0C-4472-4BFC-A0F1-7E05699B6489}"/>
    <cellStyle name="Normal 2 8 2 3" xfId="4402" xr:uid="{39BA8A87-1D80-4D1A-BB4B-02264B182D3C}"/>
    <cellStyle name="Normal 2 8 2 3 2" xfId="4403" xr:uid="{5554CDD4-146A-46CE-B5DC-9F9E6750BF1C}"/>
    <cellStyle name="Normal 2 8 2 3 2 2" xfId="4404" xr:uid="{1A6D5849-F182-4207-A4B9-C1727ED6FC36}"/>
    <cellStyle name="Normal 2 8 2 3 2 2 2" xfId="4405" xr:uid="{09040F3D-9C0F-42BF-9562-46997961C2D3}"/>
    <cellStyle name="Normal 2 8 2 3 2 3" xfId="4406" xr:uid="{EB9756F2-E43A-43B4-8C02-00D7F9DEE2FE}"/>
    <cellStyle name="Normal 2 8 2 3 3" xfId="4407" xr:uid="{1A0002A3-D8AA-40D5-B5AD-BFEE29FF49CA}"/>
    <cellStyle name="Normal 2 8 2 3 3 2" xfId="4408" xr:uid="{7F00D471-696E-4E48-B499-F1409CFA8E47}"/>
    <cellStyle name="Normal 2 8 2 3 3 2 2" xfId="4409" xr:uid="{ECA69D58-FAB1-4854-ABA1-19D87D20B25B}"/>
    <cellStyle name="Normal 2 8 2 3 3 3" xfId="4410" xr:uid="{39DA0E3B-2CA7-4F5D-98B8-C117409D1953}"/>
    <cellStyle name="Normal 2 8 2 3 4" xfId="4411" xr:uid="{C8F1541C-FB5F-48F8-8637-EB509E73BD14}"/>
    <cellStyle name="Normal 2 8 2 3 4 2" xfId="4412" xr:uid="{5112022B-939B-4316-8F88-806C35596272}"/>
    <cellStyle name="Normal 2 8 2 3 4 2 2" xfId="4413" xr:uid="{8595C129-32BE-4219-A042-34BE1320DB31}"/>
    <cellStyle name="Normal 2 8 2 3 4 3" xfId="4414" xr:uid="{FFB80D0B-1B52-4410-8722-4B48C74BAC6D}"/>
    <cellStyle name="Normal 2 8 2 3 5" xfId="4415" xr:uid="{C4809E23-776D-4050-B72D-0625C48D3DEC}"/>
    <cellStyle name="Normal 2 8 2 3 5 2" xfId="4416" xr:uid="{9B16E1DA-5929-4956-B2B8-363A8AEE925A}"/>
    <cellStyle name="Normal 2 8 2 3 6" xfId="4417" xr:uid="{CE89B19C-9B48-4AC9-92A9-D14C9B32ADF1}"/>
    <cellStyle name="Normal 2 8 2 4" xfId="4418" xr:uid="{D4D68F0C-DBBC-4B43-A6FF-69CCA67CB323}"/>
    <cellStyle name="Normal 2 8 2 4 2" xfId="4419" xr:uid="{FDFB01B6-1F36-42C0-B85A-D43A6F37EAAA}"/>
    <cellStyle name="Normal 2 8 2 4 2 2" xfId="4420" xr:uid="{A8824B2E-CD31-4AEB-BD2C-1D081B94BC92}"/>
    <cellStyle name="Normal 2 8 2 4 3" xfId="4421" xr:uid="{A8A379EB-0743-484B-8EC2-2270AAF51671}"/>
    <cellStyle name="Normal 2 8 2 5" xfId="4422" xr:uid="{859E1B89-7FC7-4171-9FFC-498DD1273536}"/>
    <cellStyle name="Normal 2 8 2 5 2" xfId="4423" xr:uid="{0DC1A80D-E980-48B7-A742-23FC63CD0EC1}"/>
    <cellStyle name="Normal 2 8 2 5 2 2" xfId="4424" xr:uid="{173BF9B4-7AB8-4739-ADDB-0E4A6D3B0B00}"/>
    <cellStyle name="Normal 2 8 2 5 3" xfId="4425" xr:uid="{A0CB8385-FDD5-4EEF-B19B-E827EB644E15}"/>
    <cellStyle name="Normal 2 8 2 6" xfId="4426" xr:uid="{0B0C3AEF-4E16-475B-AB26-AAD4CFA20304}"/>
    <cellStyle name="Normal 2 8 2 6 2" xfId="4427" xr:uid="{05ACD5F3-967C-44E3-9DA1-ED1CB2300BDA}"/>
    <cellStyle name="Normal 2 8 2 6 2 2" xfId="4428" xr:uid="{4B58C7EC-B6DA-4E0D-928D-B3D50F93CD5E}"/>
    <cellStyle name="Normal 2 8 2 6 3" xfId="4429" xr:uid="{D6525E8D-74E9-4459-8C3B-BE6147875B5D}"/>
    <cellStyle name="Normal 2 8 2 7" xfId="4430" xr:uid="{7D2A1A2D-EC6A-4920-A16F-84A8C31B929E}"/>
    <cellStyle name="Normal 2 8 2 7 2" xfId="4431" xr:uid="{52209935-8F96-45D4-A958-F0AE797CAABD}"/>
    <cellStyle name="Normal 2 8 2 8" xfId="4432" xr:uid="{3545DFB2-01C5-4E67-BC36-3827D265503D}"/>
    <cellStyle name="Normal 2 8 3" xfId="4433" xr:uid="{5567F7E7-CBD5-44CE-9BE4-9A4B3F2C6203}"/>
    <cellStyle name="Normal 2 8 3 2" xfId="4434" xr:uid="{2A71C478-7B23-4743-B124-1561E269D4CC}"/>
    <cellStyle name="Normal 2 8 3 2 2" xfId="4435" xr:uid="{7ECCA2C5-CEFC-4281-98D0-455394F966E8}"/>
    <cellStyle name="Normal 2 8 3 2 2 2" xfId="4436" xr:uid="{58CB5C2E-D283-4F80-BB02-32DC42B7DAEC}"/>
    <cellStyle name="Normal 2 8 3 2 2 2 2" xfId="4437" xr:uid="{BFFD3D59-4A82-4119-858D-24EA3381A820}"/>
    <cellStyle name="Normal 2 8 3 2 2 2 2 2" xfId="4438" xr:uid="{A97B6244-E875-441A-BFA3-AA0973D3DF86}"/>
    <cellStyle name="Normal 2 8 3 2 2 2 3" xfId="4439" xr:uid="{46330794-FB4A-4592-B35D-B218178CAF45}"/>
    <cellStyle name="Normal 2 8 3 2 2 3" xfId="4440" xr:uid="{07066992-B89E-47CF-8C78-B5DB9A84D0A1}"/>
    <cellStyle name="Normal 2 8 3 2 2 3 2" xfId="4441" xr:uid="{8F54051E-2D25-4519-A819-F642144020D5}"/>
    <cellStyle name="Normal 2 8 3 2 2 3 2 2" xfId="4442" xr:uid="{3DA15B78-513B-43E6-83FA-5DE8F89344DB}"/>
    <cellStyle name="Normal 2 8 3 2 2 3 3" xfId="4443" xr:uid="{92271B43-4D1A-4FBC-B326-52D81384ACB7}"/>
    <cellStyle name="Normal 2 8 3 2 2 4" xfId="4444" xr:uid="{840F054F-C16E-4B0B-9C09-CEBCD04E243E}"/>
    <cellStyle name="Normal 2 8 3 2 2 4 2" xfId="4445" xr:uid="{142263E6-D6D9-4B77-B267-C1264CB22787}"/>
    <cellStyle name="Normal 2 8 3 2 2 4 2 2" xfId="4446" xr:uid="{A86C6D11-0885-471D-8092-A3BA73A3BFBD}"/>
    <cellStyle name="Normal 2 8 3 2 2 4 3" xfId="4447" xr:uid="{67877105-ACF4-470D-9899-57355FD45B2E}"/>
    <cellStyle name="Normal 2 8 3 2 2 5" xfId="4448" xr:uid="{8DC5810F-1C5D-42A5-A882-1E092DE3BF77}"/>
    <cellStyle name="Normal 2 8 3 2 2 5 2" xfId="4449" xr:uid="{57E4E25D-217F-41B0-92F2-E7DD3B0D311D}"/>
    <cellStyle name="Normal 2 8 3 2 2 6" xfId="4450" xr:uid="{0D61A0BE-0441-4D77-ADD0-BEF71951B476}"/>
    <cellStyle name="Normal 2 8 3 2 3" xfId="4451" xr:uid="{3B0BA174-3E68-4378-AA5C-78B80A854BAD}"/>
    <cellStyle name="Normal 2 8 3 2 3 2" xfId="4452" xr:uid="{D778CBF7-9031-49EB-B8EE-2DC1EAA7EA8F}"/>
    <cellStyle name="Normal 2 8 3 2 3 2 2" xfId="4453" xr:uid="{63BCA88E-AA59-4876-8563-E100F582389E}"/>
    <cellStyle name="Normal 2 8 3 2 3 3" xfId="4454" xr:uid="{835B0F0A-C19C-4C53-BC0C-E9E308970AB6}"/>
    <cellStyle name="Normal 2 8 3 2 4" xfId="4455" xr:uid="{D724A290-0B0F-4FAB-9135-735155F0A0E7}"/>
    <cellStyle name="Normal 2 8 3 2 4 2" xfId="4456" xr:uid="{361D74F3-7F82-49F9-A890-E1ABB2016EBE}"/>
    <cellStyle name="Normal 2 8 3 2 4 2 2" xfId="4457" xr:uid="{3CAB8D1C-9039-4F24-BE3E-B90AB5E9B112}"/>
    <cellStyle name="Normal 2 8 3 2 4 3" xfId="4458" xr:uid="{0BA18D65-74BF-417B-B9A4-419EDD5C1E3A}"/>
    <cellStyle name="Normal 2 8 3 2 5" xfId="4459" xr:uid="{44CE0AE0-190A-4141-BD88-34E7F7B3A0EE}"/>
    <cellStyle name="Normal 2 8 3 2 5 2" xfId="4460" xr:uid="{D4D1E168-B8F9-4511-9156-B767EF26FF15}"/>
    <cellStyle name="Normal 2 8 3 2 5 2 2" xfId="4461" xr:uid="{FD3ABAF9-38AA-4385-B66E-5135CEF701EB}"/>
    <cellStyle name="Normal 2 8 3 2 5 3" xfId="4462" xr:uid="{8B1D7AB4-2868-4F4C-A869-276E06A5E76A}"/>
    <cellStyle name="Normal 2 8 3 2 6" xfId="4463" xr:uid="{B350334A-F173-456D-8D22-D475263B7D2B}"/>
    <cellStyle name="Normal 2 8 3 2 6 2" xfId="4464" xr:uid="{4784B4BA-B11B-4D01-8E9E-8AC1B8AB4FD5}"/>
    <cellStyle name="Normal 2 8 3 2 7" xfId="4465" xr:uid="{5B1F303A-B5A8-4D1A-B3D3-6820365855B9}"/>
    <cellStyle name="Normal 2 8 3 3" xfId="4466" xr:uid="{B5AB090D-1A9B-416C-BBE1-EAD32DD855CB}"/>
    <cellStyle name="Normal 2 8 3 3 2" xfId="4467" xr:uid="{7DA4E08E-F163-41B4-92B2-E2770C93C163}"/>
    <cellStyle name="Normal 2 8 3 3 2 2" xfId="4468" xr:uid="{022EEFB0-00E2-4D19-8D7F-7B9E61860B72}"/>
    <cellStyle name="Normal 2 8 3 3 2 2 2" xfId="4469" xr:uid="{FA6017D7-98BF-412E-BD58-268B6F8F8638}"/>
    <cellStyle name="Normal 2 8 3 3 2 3" xfId="4470" xr:uid="{D13D2BB3-C7D4-4116-93A5-23D55035BCA8}"/>
    <cellStyle name="Normal 2 8 3 3 3" xfId="4471" xr:uid="{F3D5F82C-4C29-41C9-98C9-C5821A1A55D9}"/>
    <cellStyle name="Normal 2 8 3 3 3 2" xfId="4472" xr:uid="{CB24ED06-D873-4CA2-8DDE-BE55A72E7FA6}"/>
    <cellStyle name="Normal 2 8 3 3 3 2 2" xfId="4473" xr:uid="{9A89484A-7995-491C-B9B3-7229A09C0F00}"/>
    <cellStyle name="Normal 2 8 3 3 3 3" xfId="4474" xr:uid="{045B24CD-79C4-4609-AE60-AC76F5AFFAD6}"/>
    <cellStyle name="Normal 2 8 3 3 4" xfId="4475" xr:uid="{88A256F9-0E83-4797-8AE6-B5ECDA8EE27C}"/>
    <cellStyle name="Normal 2 8 3 3 4 2" xfId="4476" xr:uid="{1FE75249-D212-4519-8C2B-7743B07EDDC6}"/>
    <cellStyle name="Normal 2 8 3 3 4 2 2" xfId="4477" xr:uid="{DDB3E056-88BA-4D5F-B091-3D317FB98585}"/>
    <cellStyle name="Normal 2 8 3 3 4 3" xfId="4478" xr:uid="{A17A4426-F9A3-4E48-B854-3DF3C557BC37}"/>
    <cellStyle name="Normal 2 8 3 3 5" xfId="4479" xr:uid="{5FE00D2D-F2DE-4266-9C1E-58C4344755C8}"/>
    <cellStyle name="Normal 2 8 3 3 5 2" xfId="4480" xr:uid="{4B91C1B1-EED8-499C-BA2B-97A6928D1044}"/>
    <cellStyle name="Normal 2 8 3 3 6" xfId="4481" xr:uid="{924AC750-F055-4998-9B5B-015756357940}"/>
    <cellStyle name="Normal 2 8 3 4" xfId="4482" xr:uid="{486118B7-B660-4DC2-8A51-9205A37D34A7}"/>
    <cellStyle name="Normal 2 8 3 4 2" xfId="4483" xr:uid="{39E00557-F897-478F-8DA4-03185F023278}"/>
    <cellStyle name="Normal 2 8 3 4 2 2" xfId="4484" xr:uid="{545343EB-AE22-4114-AF26-DC2870F77EC1}"/>
    <cellStyle name="Normal 2 8 3 4 3" xfId="4485" xr:uid="{30406B75-862D-48AF-9601-885412E196BD}"/>
    <cellStyle name="Normal 2 8 3 5" xfId="4486" xr:uid="{EFE3CEB4-7167-4526-A08B-25B6318AFE83}"/>
    <cellStyle name="Normal 2 8 3 5 2" xfId="4487" xr:uid="{618DB5DD-8F5D-4A3D-B533-9B5EEBDB46AD}"/>
    <cellStyle name="Normal 2 8 3 5 2 2" xfId="4488" xr:uid="{0A197A9B-E22A-4FE0-9410-19E23E856078}"/>
    <cellStyle name="Normal 2 8 3 5 3" xfId="4489" xr:uid="{0C06BBFD-8D24-46CE-AF1C-745E60241859}"/>
    <cellStyle name="Normal 2 8 3 6" xfId="4490" xr:uid="{61037F59-9D39-4C49-9616-5D024A51F4EB}"/>
    <cellStyle name="Normal 2 8 3 6 2" xfId="4491" xr:uid="{D5F65BE2-E41D-41D0-8C5C-F209BF7B1B63}"/>
    <cellStyle name="Normal 2 8 3 6 2 2" xfId="4492" xr:uid="{89B4D5C4-71F0-4682-BE10-463AF6ADE837}"/>
    <cellStyle name="Normal 2 8 3 6 3" xfId="4493" xr:uid="{A3FA95D2-7744-4B53-A15E-511FE85CC8AD}"/>
    <cellStyle name="Normal 2 8 3 7" xfId="4494" xr:uid="{6495AD80-85DC-4FBA-ADA3-1CE69161D9FB}"/>
    <cellStyle name="Normal 2 8 3 7 2" xfId="4495" xr:uid="{D48F8F59-6F3F-45D0-9774-3D8B0F63C2DF}"/>
    <cellStyle name="Normal 2 8 3 8" xfId="4496" xr:uid="{4E0EB4CA-6A57-4724-8586-8D48AB62F17B}"/>
    <cellStyle name="Normal 2 8 4" xfId="4497" xr:uid="{993D031C-DA0F-432D-9F46-398350AB1A35}"/>
    <cellStyle name="Normal 2 8 4 2" xfId="4498" xr:uid="{5287ABE3-E976-4A72-8808-52B78F1A3374}"/>
    <cellStyle name="Normal 2 8 4 2 2" xfId="4499" xr:uid="{861EBFCD-EAD0-4418-B917-16E1B95C4A91}"/>
    <cellStyle name="Normal 2 8 4 2 2 2" xfId="4500" xr:uid="{A9FE2D95-BFB6-4999-AEF2-0B348B262628}"/>
    <cellStyle name="Normal 2 8 4 2 2 2 2" xfId="4501" xr:uid="{66E36E4B-D7A9-4531-A2AC-E2BCBA312781}"/>
    <cellStyle name="Normal 2 8 4 2 2 3" xfId="4502" xr:uid="{430115E4-57FB-4D32-B9DB-6D681C6C75C9}"/>
    <cellStyle name="Normal 2 8 4 2 3" xfId="4503" xr:uid="{CBA0EB09-FCE1-4C65-A81D-A3BDD476AED8}"/>
    <cellStyle name="Normal 2 8 4 2 3 2" xfId="4504" xr:uid="{5B98ED06-2D15-4A52-BF78-934B7A57EE0D}"/>
    <cellStyle name="Normal 2 8 4 2 3 2 2" xfId="4505" xr:uid="{7FF493D8-0C17-40E2-88BF-D8550E2FEBBB}"/>
    <cellStyle name="Normal 2 8 4 2 3 3" xfId="4506" xr:uid="{B18B27AE-D5DB-4677-93CE-2FB84DE38143}"/>
    <cellStyle name="Normal 2 8 4 2 4" xfId="4507" xr:uid="{33FCC424-C014-4FC0-BCFD-1A6B2FBFE9AD}"/>
    <cellStyle name="Normal 2 8 4 2 4 2" xfId="4508" xr:uid="{958C0C52-F845-4F18-88DB-8A6D00621BBB}"/>
    <cellStyle name="Normal 2 8 4 2 4 2 2" xfId="4509" xr:uid="{CC07A23E-2957-4535-8959-2876AC6B8E3C}"/>
    <cellStyle name="Normal 2 8 4 2 4 3" xfId="4510" xr:uid="{1A768FF1-0244-4C0D-B94E-F07DD3C88435}"/>
    <cellStyle name="Normal 2 8 4 2 5" xfId="4511" xr:uid="{8D4A907A-4E22-4B3A-9211-58FEA463D184}"/>
    <cellStyle name="Normal 2 8 4 2 5 2" xfId="4512" xr:uid="{D062E880-1F7D-44F9-A263-309D7BADB2D3}"/>
    <cellStyle name="Normal 2 8 4 2 6" xfId="4513" xr:uid="{2A573B24-564D-4EE5-94E9-B0E5F2E92EA2}"/>
    <cellStyle name="Normal 2 8 4 3" xfId="4514" xr:uid="{281BCA4C-B82D-457C-BA28-2B83BFFA6125}"/>
    <cellStyle name="Normal 2 8 4 3 2" xfId="4515" xr:uid="{E7A6FE4E-006D-4F72-9802-4347ECF18770}"/>
    <cellStyle name="Normal 2 8 4 3 2 2" xfId="4516" xr:uid="{B42EFA48-26D6-46F4-A21F-E178D8B80054}"/>
    <cellStyle name="Normal 2 8 4 3 3" xfId="4517" xr:uid="{02C80B3C-B4C5-4340-A7A9-E4B25CC0D880}"/>
    <cellStyle name="Normal 2 8 4 4" xfId="4518" xr:uid="{1EEEC63C-FDA0-4AE4-96D3-3A3EA8396298}"/>
    <cellStyle name="Normal 2 8 4 4 2" xfId="4519" xr:uid="{7A0ABAFA-EC50-49B7-AA3C-321DD02B99B4}"/>
    <cellStyle name="Normal 2 8 4 4 2 2" xfId="4520" xr:uid="{78968FD6-AFFD-4419-8E6A-D2FEF4E5B1AB}"/>
    <cellStyle name="Normal 2 8 4 4 3" xfId="4521" xr:uid="{EA9D311A-943D-4151-9923-147E2B883489}"/>
    <cellStyle name="Normal 2 8 4 5" xfId="4522" xr:uid="{3A970EEA-8F51-46FE-8944-CD25EE369CA2}"/>
    <cellStyle name="Normal 2 8 4 5 2" xfId="4523" xr:uid="{6870DA0D-C22D-43C7-A92D-78253B10D7F4}"/>
    <cellStyle name="Normal 2 8 4 5 2 2" xfId="4524" xr:uid="{9B271CDB-5FB8-4877-8CD2-333524353E56}"/>
    <cellStyle name="Normal 2 8 4 5 3" xfId="4525" xr:uid="{BA32C08D-73BB-4D4F-9B1E-E34777BA848F}"/>
    <cellStyle name="Normal 2 8 4 6" xfId="4526" xr:uid="{46C1AF5C-4EC9-4B0E-A85A-689760219CF1}"/>
    <cellStyle name="Normal 2 8 4 6 2" xfId="4527" xr:uid="{AE46D574-7993-4348-A0BE-46D0655E752A}"/>
    <cellStyle name="Normal 2 8 4 7" xfId="4528" xr:uid="{8CFA8B89-5093-4A6F-BC34-40905D30C823}"/>
    <cellStyle name="Normal 2 8 5" xfId="4529" xr:uid="{B1D1EC22-7652-4B18-9D69-70BC8995B227}"/>
    <cellStyle name="Normal 2 8 5 2" xfId="4530" xr:uid="{96B676FE-161A-42DF-AB41-5CE1EADA2BA5}"/>
    <cellStyle name="Normal 2 8 5 2 2" xfId="4531" xr:uid="{DF9A4BD8-D06E-44AF-B361-018150593DAD}"/>
    <cellStyle name="Normal 2 8 5 2 2 2" xfId="4532" xr:uid="{6B4BB788-791F-4E57-8CCA-32A78268F77C}"/>
    <cellStyle name="Normal 2 8 5 2 3" xfId="4533" xr:uid="{19C78C06-A17D-46B8-826B-8D1C95C86292}"/>
    <cellStyle name="Normal 2 8 5 3" xfId="4534" xr:uid="{3122DB74-E952-484F-A1D9-EB9F997D641C}"/>
    <cellStyle name="Normal 2 8 5 3 2" xfId="4535" xr:uid="{C7872145-CEBE-4BD1-B16E-5FDDB7F48393}"/>
    <cellStyle name="Normal 2 8 5 3 2 2" xfId="4536" xr:uid="{AD3D714B-A1A1-4921-87BB-1E57C669E592}"/>
    <cellStyle name="Normal 2 8 5 3 3" xfId="4537" xr:uid="{8965E348-D9D7-4AA2-81DD-A02D97A18FBD}"/>
    <cellStyle name="Normal 2 8 5 4" xfId="4538" xr:uid="{65AD88F5-3FB2-48BE-9AB1-DF45DF711E79}"/>
    <cellStyle name="Normal 2 8 5 4 2" xfId="4539" xr:uid="{C413B507-8EB4-4CCB-B0F1-1C6B68DE638C}"/>
    <cellStyle name="Normal 2 8 5 4 2 2" xfId="4540" xr:uid="{0DEC641D-1912-49E8-A44E-8A10537D02F8}"/>
    <cellStyle name="Normal 2 8 5 4 3" xfId="4541" xr:uid="{6A47305B-BE53-4A6E-8C3F-238EE850F2A2}"/>
    <cellStyle name="Normal 2 8 5 5" xfId="4542" xr:uid="{D2C5B631-9481-41A3-B301-6E87FF050043}"/>
    <cellStyle name="Normal 2 8 5 5 2" xfId="4543" xr:uid="{D6D92841-D3CE-40B1-9866-8D9B797F0A06}"/>
    <cellStyle name="Normal 2 8 5 6" xfId="4544" xr:uid="{3DE8A643-B4CE-4E7E-821C-C6C96A16C2C8}"/>
    <cellStyle name="Normal 2 8 6" xfId="4545" xr:uid="{BD104CF8-1021-4916-9518-56A92678E168}"/>
    <cellStyle name="Normal 2 8 6 2" xfId="4546" xr:uid="{7A48A965-4192-4706-8CA8-FAA52346A334}"/>
    <cellStyle name="Normal 2 8 6 2 2" xfId="4547" xr:uid="{68FF849A-639C-442D-842C-2CD2646BE9CD}"/>
    <cellStyle name="Normal 2 8 6 3" xfId="4548" xr:uid="{905CCAD2-4C3F-4EFE-A400-1993E2B29764}"/>
    <cellStyle name="Normal 2 8 7" xfId="4549" xr:uid="{81D37145-87F6-4F5C-9C95-5C9F0B070673}"/>
    <cellStyle name="Normal 2 8 7 2" xfId="4550" xr:uid="{7471E4C1-EE62-49F2-82A9-E5E6E05DDADF}"/>
    <cellStyle name="Normal 2 8 7 2 2" xfId="4551" xr:uid="{03BE1F10-D53F-41EB-A572-D1EBF31A90D5}"/>
    <cellStyle name="Normal 2 8 7 3" xfId="4552" xr:uid="{21F577E6-32F1-4060-A217-5BC36A0B28C9}"/>
    <cellStyle name="Normal 2 8 8" xfId="4553" xr:uid="{0E5CF51E-CA73-4179-AFB8-521427503843}"/>
    <cellStyle name="Normal 2 8 8 2" xfId="4554" xr:uid="{60EAB973-19D4-49AD-8E59-DA5975CFA5BF}"/>
    <cellStyle name="Normal 2 8 8 2 2" xfId="4555" xr:uid="{8B336AA8-84AF-4D4F-8A30-2DF666BFAA1C}"/>
    <cellStyle name="Normal 2 8 8 3" xfId="4556" xr:uid="{16C99280-77E3-495B-9E64-341F059A396C}"/>
    <cellStyle name="Normal 2 8 9" xfId="4557" xr:uid="{655A4AB4-64E2-4AA2-B29D-09C71306FB89}"/>
    <cellStyle name="Normal 2 8 9 2" xfId="4558" xr:uid="{8EC1D12E-AFE9-4879-8525-7CFA82E0D74B}"/>
    <cellStyle name="Normal 2 9" xfId="4559" xr:uid="{F046F6DC-973D-4E6F-9F34-FE7B039BB3B3}"/>
    <cellStyle name="Normal 2 9 2" xfId="4560" xr:uid="{CC193B41-260C-4C60-8089-A0E406C89378}"/>
    <cellStyle name="Normal 2 9 2 2" xfId="4561" xr:uid="{3CD48C7A-C89C-4B02-A7A9-7A46092C2F64}"/>
    <cellStyle name="Normal 2 9 2 2 2" xfId="4562" xr:uid="{7409497A-6257-4E94-8C5C-415C73BA4E60}"/>
    <cellStyle name="Normal 2 9 2 2 2 2" xfId="4563" xr:uid="{E6629E4A-761E-414E-A873-608AF239173C}"/>
    <cellStyle name="Normal 2 9 2 2 2 2 2" xfId="4564" xr:uid="{F4C22C69-A1FB-436B-8EB1-BD026A9B56CF}"/>
    <cellStyle name="Normal 2 9 2 2 2 3" xfId="4565" xr:uid="{87C732A8-CACD-4A7B-8489-6EE66A90F743}"/>
    <cellStyle name="Normal 2 9 2 2 3" xfId="4566" xr:uid="{BCADF4C4-DEE6-4C75-8368-24422FE1F6AF}"/>
    <cellStyle name="Normal 2 9 2 2 3 2" xfId="4567" xr:uid="{A1BB44EA-454A-4D2B-85C5-ADEE6614D93E}"/>
    <cellStyle name="Normal 2 9 2 2 3 2 2" xfId="4568" xr:uid="{F906888B-3C41-41C6-A7FB-97FE6F8B90A6}"/>
    <cellStyle name="Normal 2 9 2 2 3 3" xfId="4569" xr:uid="{DC5631E4-71A8-4196-A98F-A04ADC8AA167}"/>
    <cellStyle name="Normal 2 9 2 2 4" xfId="4570" xr:uid="{6232B44F-6924-4844-BD4A-88553B63C4E4}"/>
    <cellStyle name="Normal 2 9 2 2 4 2" xfId="4571" xr:uid="{B785527B-D856-4D6A-BCD6-4C49573AA714}"/>
    <cellStyle name="Normal 2 9 2 2 4 2 2" xfId="4572" xr:uid="{21D64BDC-3876-40B9-A6FC-63C4D07FBEFF}"/>
    <cellStyle name="Normal 2 9 2 2 4 3" xfId="4573" xr:uid="{9E431EA5-5C69-4669-90CA-9759CF7B40D5}"/>
    <cellStyle name="Normal 2 9 2 2 5" xfId="4574" xr:uid="{A8F87EDD-8457-47A9-9A87-F4A85C4BBDBA}"/>
    <cellStyle name="Normal 2 9 2 2 5 2" xfId="4575" xr:uid="{8A34274A-1E14-41ED-A4B4-110D1E622710}"/>
    <cellStyle name="Normal 2 9 2 2 6" xfId="4576" xr:uid="{839BFA4C-316E-44A7-9682-BC4404391F7C}"/>
    <cellStyle name="Normal 2 9 2 3" xfId="4577" xr:uid="{0AF6AF29-09B7-4545-BD1F-5D1ED4E5D55D}"/>
    <cellStyle name="Normal 2 9 2 3 2" xfId="4578" xr:uid="{3D7D3DCB-07D9-487B-8182-CA0505A2A7B1}"/>
    <cellStyle name="Normal 2 9 2 3 2 2" xfId="4579" xr:uid="{A12E6BAC-C995-4BEE-831E-A026B51804E4}"/>
    <cellStyle name="Normal 2 9 2 3 3" xfId="4580" xr:uid="{989A9247-6E05-4102-886D-A073D835AB69}"/>
    <cellStyle name="Normal 2 9 2 4" xfId="4581" xr:uid="{CC9116FC-3C9E-4871-AB5D-A9AC1982EC77}"/>
    <cellStyle name="Normal 2 9 2 4 2" xfId="4582" xr:uid="{1D4F848F-342C-4077-A8BE-E39D13ACC7E3}"/>
    <cellStyle name="Normal 2 9 2 4 2 2" xfId="4583" xr:uid="{A9C4C821-3F60-40CD-95FE-30B441A42DD2}"/>
    <cellStyle name="Normal 2 9 2 4 3" xfId="4584" xr:uid="{4757CF63-A4C0-4B79-9C17-2D3EBC57D940}"/>
    <cellStyle name="Normal 2 9 2 5" xfId="4585" xr:uid="{2F6CD1B0-39B6-4D99-8998-4A8D1924EEB9}"/>
    <cellStyle name="Normal 2 9 2 5 2" xfId="4586" xr:uid="{C5F791DB-E6DB-4A77-BB68-810C7E678B1C}"/>
    <cellStyle name="Normal 2 9 2 5 2 2" xfId="4587" xr:uid="{6A0A4917-9979-49B7-8B50-30340F10CBC5}"/>
    <cellStyle name="Normal 2 9 2 5 3" xfId="4588" xr:uid="{84FF4D5B-09BC-443E-BF27-B114A4F76C9A}"/>
    <cellStyle name="Normal 2 9 2 6" xfId="4589" xr:uid="{960DE926-21B9-443F-A643-35A1AE83B691}"/>
    <cellStyle name="Normal 2 9 2 6 2" xfId="4590" xr:uid="{ED30437E-CD85-4D2A-9EA0-BD47E239E0E2}"/>
    <cellStyle name="Normal 2 9 2 7" xfId="4591" xr:uid="{12A1D553-3479-40FA-A696-EA5F72E2EAEB}"/>
    <cellStyle name="Normal 2 9 3" xfId="4592" xr:uid="{345A3EA5-0A31-46CC-AD55-AA8BFED6B427}"/>
    <cellStyle name="Normal 2 9 3 2" xfId="4593" xr:uid="{4F9A1CE0-67A9-4940-9D04-096E8D1FDB6D}"/>
    <cellStyle name="Normal 2 9 3 2 2" xfId="4594" xr:uid="{95E22AD1-78AF-491C-9449-4C7A963887AC}"/>
    <cellStyle name="Normal 2 9 3 2 2 2" xfId="4595" xr:uid="{85751F98-8F9E-4605-8B63-F3722EF30E21}"/>
    <cellStyle name="Normal 2 9 3 2 3" xfId="4596" xr:uid="{9A3EAE34-F407-4C99-909B-1A89B682931A}"/>
    <cellStyle name="Normal 2 9 3 3" xfId="4597" xr:uid="{2C0CFDCD-1BE9-4992-89E0-DDF65AA4447B}"/>
    <cellStyle name="Normal 2 9 3 3 2" xfId="4598" xr:uid="{96773455-EE96-4336-B858-1DAD7F946E21}"/>
    <cellStyle name="Normal 2 9 3 3 2 2" xfId="4599" xr:uid="{28BFE6B4-8578-408F-8969-D8C461315BCD}"/>
    <cellStyle name="Normal 2 9 3 3 3" xfId="4600" xr:uid="{29AA1554-C6B7-4163-869D-6A0839C50BE4}"/>
    <cellStyle name="Normal 2 9 3 4" xfId="4601" xr:uid="{FE552809-E2AA-4A43-82B5-E88D43BF0953}"/>
    <cellStyle name="Normal 2 9 3 4 2" xfId="4602" xr:uid="{68B25F05-7479-4F4A-973E-A69AAA1A807A}"/>
    <cellStyle name="Normal 2 9 3 4 2 2" xfId="4603" xr:uid="{D2072F09-DE5D-4AA6-9BFA-60D4285BA653}"/>
    <cellStyle name="Normal 2 9 3 4 3" xfId="4604" xr:uid="{CB3CD5A4-C7DC-4ECD-ADD3-10D722F580A1}"/>
    <cellStyle name="Normal 2 9 3 5" xfId="4605" xr:uid="{BB0F8547-65BB-4869-9EF2-4716BC7A475E}"/>
    <cellStyle name="Normal 2 9 3 5 2" xfId="4606" xr:uid="{593D1116-E910-41C3-BAB8-599E6FC645C8}"/>
    <cellStyle name="Normal 2 9 3 6" xfId="4607" xr:uid="{3F138389-AAC9-4102-8BA7-D055757AD13F}"/>
    <cellStyle name="Normal 2 9 4" xfId="4608" xr:uid="{458B57A3-52AB-4302-A5D0-A80F2892334D}"/>
    <cellStyle name="Normal 2 9 4 2" xfId="4609" xr:uid="{C8935FA5-9874-4439-9D66-358DD1627664}"/>
    <cellStyle name="Normal 2 9 4 2 2" xfId="4610" xr:uid="{9B8AF944-15AB-4BE3-BAE8-CF29D439CDDB}"/>
    <cellStyle name="Normal 2 9 4 3" xfId="4611" xr:uid="{5857734C-9F87-48C8-970D-03620631A009}"/>
    <cellStyle name="Normal 2 9 5" xfId="4612" xr:uid="{F62469AA-364B-4F31-AFD7-44DF25F1D8A3}"/>
    <cellStyle name="Normal 2 9 5 2" xfId="4613" xr:uid="{70159229-D118-4721-BB49-BA30C33D70F0}"/>
    <cellStyle name="Normal 2 9 5 2 2" xfId="4614" xr:uid="{317BCCEF-B06F-4CCC-AA29-E12F9036B533}"/>
    <cellStyle name="Normal 2 9 5 3" xfId="4615" xr:uid="{7F7B1514-78A0-433F-9D6D-6B12AB3D269B}"/>
    <cellStyle name="Normal 2 9 6" xfId="4616" xr:uid="{6D8651F5-0E0E-472C-8F2A-CE1D730E0BD4}"/>
    <cellStyle name="Normal 2 9 6 2" xfId="4617" xr:uid="{A0F5B27A-1B89-40C8-AF69-CB4141FBC2E7}"/>
    <cellStyle name="Normal 2 9 6 2 2" xfId="4618" xr:uid="{0B73F035-07C2-4CE5-9128-4DFE416E66E0}"/>
    <cellStyle name="Normal 2 9 6 3" xfId="4619" xr:uid="{9E7A6671-3EE8-4886-9EBA-EE54F605689F}"/>
    <cellStyle name="Normal 2 9 7" xfId="4620" xr:uid="{C1EC683C-105D-4CAD-A790-5B66F2A1EF38}"/>
    <cellStyle name="Normal 2 9 7 2" xfId="4621" xr:uid="{ECEE5E4E-0B98-4CEE-B45B-51F344EE4935}"/>
    <cellStyle name="Normal 2 9 8" xfId="4622" xr:uid="{612ADA92-9008-461C-AB72-7F69A5078BC5}"/>
    <cellStyle name="Normal 20" xfId="4623" xr:uid="{C90A82F8-A4F5-4408-BBFA-60AA741F1DCB}"/>
    <cellStyle name="Normal 20 2" xfId="4624" xr:uid="{801EBDBA-23A5-4D2D-904B-49DBD8581180}"/>
    <cellStyle name="Normal 21" xfId="4625" xr:uid="{AB0E499D-596D-4C59-A269-D463D2021200}"/>
    <cellStyle name="Normal 21 2" xfId="4626" xr:uid="{0A7E4A93-36C8-439E-83F4-3956E69E4095}"/>
    <cellStyle name="Normal 21 2 2" xfId="4627" xr:uid="{65A4C29B-0BA2-4464-83C9-CEDEFCF20CAF}"/>
    <cellStyle name="Normal 21 3" xfId="4628" xr:uid="{6A7C18D9-90A8-4FA2-888B-4983D3160BE0}"/>
    <cellStyle name="Normal 22" xfId="4629" xr:uid="{9EEA32F1-94DB-4604-BA68-E6FDC3A4D9AB}"/>
    <cellStyle name="Normal 22 2" xfId="4630" xr:uid="{52CC0CC6-B088-497F-BDA8-E4F74B5389D8}"/>
    <cellStyle name="Normal 22 2 2" xfId="4631" xr:uid="{96342E92-CDBA-47F3-96A2-02ACB6C560AD}"/>
    <cellStyle name="Normal 22 3" xfId="4632" xr:uid="{F7FDF179-A574-44CD-8440-A86D5D618340}"/>
    <cellStyle name="Normal 23" xfId="4633" xr:uid="{4C02F6B6-8201-44B5-B3EE-9D9F9E9565A3}"/>
    <cellStyle name="Normal 24" xfId="4634" xr:uid="{83808C51-7C00-45AE-8143-49324ED7BF38}"/>
    <cellStyle name="Normal 24 2" xfId="4635" xr:uid="{C3B79E3B-DDD8-4180-917F-E47DE284D00D}"/>
    <cellStyle name="Normal 24 2 2" xfId="4636" xr:uid="{DE03CDE2-21AC-495B-A39F-EA71A58E6755}"/>
    <cellStyle name="Normal 24 3" xfId="4637" xr:uid="{43B7F74D-7B25-43F6-A3DE-D8E5EE47E155}"/>
    <cellStyle name="Normal 25" xfId="4638" xr:uid="{213942E2-E4B1-4EA5-824A-591E18DC2ECE}"/>
    <cellStyle name="Normal 26" xfId="4639" xr:uid="{B0AE5F88-71B4-43F0-A53F-875231F4B7A2}"/>
    <cellStyle name="Normal 26 3" xfId="4640" xr:uid="{9F12C2CC-DF56-4A5C-8F1E-78E62B1E752F}"/>
    <cellStyle name="Normal 27" xfId="4641" xr:uid="{6275049F-5261-4322-96A0-BBAEB8949D54}"/>
    <cellStyle name="Normal 28" xfId="4642" xr:uid="{B5A9A758-A91A-4FEC-8366-2E9790341F13}"/>
    <cellStyle name="Normal 29" xfId="4643" xr:uid="{A871E0C8-8D85-423D-A62B-EA12A0BD9E07}"/>
    <cellStyle name="Normal 3" xfId="4644" xr:uid="{E920F4CF-D5FE-4542-8C7B-99BC291BC949}"/>
    <cellStyle name="Normal 3 2" xfId="4645" xr:uid="{164EAB1C-76F5-401B-8BFD-1D51A461EDB0}"/>
    <cellStyle name="Normal 3 2 2" xfId="7681" xr:uid="{F23BBFDF-06AA-4F20-8324-264B8C508E6B}"/>
    <cellStyle name="Normal 3 3" xfId="4646" xr:uid="{1BCA0920-1DB2-4CB8-BC38-0711680C552E}"/>
    <cellStyle name="Normal 3 3 10" xfId="4647" xr:uid="{0DA17A03-13F3-4DBE-97C6-ECC51B46BB42}"/>
    <cellStyle name="Normal 3 3 10 2" xfId="4648" xr:uid="{775283D7-0840-4929-A907-D066E5AFA1FB}"/>
    <cellStyle name="Normal 3 3 10 2 2" xfId="4649" xr:uid="{3CF75CC8-3DCB-4A71-B953-542B52464B8F}"/>
    <cellStyle name="Normal 3 3 10 3" xfId="4650" xr:uid="{BB4CCCCE-1434-4FF2-B51C-2C84D3CE97C2}"/>
    <cellStyle name="Normal 3 3 11" xfId="4651" xr:uid="{CDFBEFE9-7F0A-4D19-9B0C-8779A3C74636}"/>
    <cellStyle name="Normal 3 3 11 2" xfId="4652" xr:uid="{D3ACE3C5-2CAA-4059-BA5A-B0BF10B18864}"/>
    <cellStyle name="Normal 3 3 11 2 2" xfId="4653" xr:uid="{4268119D-DFE8-4128-A48F-1A7BD7696500}"/>
    <cellStyle name="Normal 3 3 11 3" xfId="4654" xr:uid="{355DD5C3-CA5E-446A-962D-12DFE47C8C58}"/>
    <cellStyle name="Normal 3 3 12" xfId="4655" xr:uid="{32FBF660-8F1E-4B14-BFDA-2EDA2A4DA271}"/>
    <cellStyle name="Normal 3 3 12 2" xfId="4656" xr:uid="{5EC8AF57-6A51-4BF4-907F-5D294018373A}"/>
    <cellStyle name="Normal 3 3 13" xfId="4657" xr:uid="{B84F3940-8DF1-4C69-85A1-40637A0593F5}"/>
    <cellStyle name="Normal 3 3 14" xfId="7680" xr:uid="{36A5C119-12E6-4C97-8CF3-B4774C45D5A8}"/>
    <cellStyle name="Normal 3 3 2" xfId="4658" xr:uid="{4151F6DE-C6B0-421F-886A-1B2C4B0F4AD1}"/>
    <cellStyle name="Normal 3 3 2 10" xfId="4659" xr:uid="{D6124C78-2457-4D2A-8284-C94B132BE959}"/>
    <cellStyle name="Normal 3 3 2 10 2" xfId="4660" xr:uid="{23A3635F-B14C-4D3B-BEE2-DBF4784AB62D}"/>
    <cellStyle name="Normal 3 3 2 11" xfId="4661" xr:uid="{5428E602-A0D2-4DFA-B5F1-FC5829188958}"/>
    <cellStyle name="Normal 3 3 2 2" xfId="4662" xr:uid="{8F6E4781-5A63-408C-BE17-FA988D72CD71}"/>
    <cellStyle name="Normal 3 3 2 2 2" xfId="4663" xr:uid="{E3E5730B-FEBB-43A7-A4BC-2C660942B565}"/>
    <cellStyle name="Normal 3 3 2 2 2 2" xfId="4664" xr:uid="{018C26FC-0A97-44F7-A50F-EA172F366494}"/>
    <cellStyle name="Normal 3 3 2 2 2 2 2" xfId="4665" xr:uid="{C87FAC34-68E8-4C78-A12D-765A9B9A4C5E}"/>
    <cellStyle name="Normal 3 3 2 2 2 2 2 2" xfId="4666" xr:uid="{DDCDC1C8-18FD-4E69-B536-86A3DE8783EC}"/>
    <cellStyle name="Normal 3 3 2 2 2 2 2 2 2" xfId="4667" xr:uid="{309CCAA8-FFC7-4F94-8EF1-499F60449A38}"/>
    <cellStyle name="Normal 3 3 2 2 2 2 2 3" xfId="4668" xr:uid="{3479D6DB-2A74-42D2-BB2D-77F618005613}"/>
    <cellStyle name="Normal 3 3 2 2 2 2 3" xfId="4669" xr:uid="{A10E6510-AE05-49D0-BE75-C2F736A0C363}"/>
    <cellStyle name="Normal 3 3 2 2 2 2 3 2" xfId="4670" xr:uid="{6EA27CF7-07C9-4857-BC07-E0E913423DDF}"/>
    <cellStyle name="Normal 3 3 2 2 2 2 3 2 2" xfId="4671" xr:uid="{AF592E53-F167-48F8-B988-48C8411492E2}"/>
    <cellStyle name="Normal 3 3 2 2 2 2 3 3" xfId="4672" xr:uid="{27A629EA-8A25-4B72-A4F8-1D53F073F25E}"/>
    <cellStyle name="Normal 3 3 2 2 2 2 4" xfId="4673" xr:uid="{308CE150-CD41-4862-92F7-80EE072562CF}"/>
    <cellStyle name="Normal 3 3 2 2 2 2 4 2" xfId="4674" xr:uid="{0DBCC3D5-A6B4-4EF9-A072-DF6FFE6AEC7F}"/>
    <cellStyle name="Normal 3 3 2 2 2 2 4 2 2" xfId="4675" xr:uid="{D2337730-73CA-4356-8719-884D28BCE582}"/>
    <cellStyle name="Normal 3 3 2 2 2 2 4 3" xfId="4676" xr:uid="{2F1C84D2-2C95-4F16-8783-CCD7B37323DC}"/>
    <cellStyle name="Normal 3 3 2 2 2 2 5" xfId="4677" xr:uid="{7C1699FC-EEB9-4160-A581-263FF7A593D2}"/>
    <cellStyle name="Normal 3 3 2 2 2 2 5 2" xfId="4678" xr:uid="{D49DEC2B-1824-48D2-939B-409468A4CC36}"/>
    <cellStyle name="Normal 3 3 2 2 2 2 6" xfId="4679" xr:uid="{F09673E5-4BE4-475A-AD68-6220AD0CB907}"/>
    <cellStyle name="Normal 3 3 2 2 2 3" xfId="4680" xr:uid="{7258FA61-A051-4448-B790-6E9042055A90}"/>
    <cellStyle name="Normal 3 3 2 2 2 3 2" xfId="4681" xr:uid="{3B324931-CF18-425B-A3B9-CE1B46CC94AD}"/>
    <cellStyle name="Normal 3 3 2 2 2 3 2 2" xfId="4682" xr:uid="{5A1F5FEA-13C6-4651-A645-9EC98AD312CA}"/>
    <cellStyle name="Normal 3 3 2 2 2 3 3" xfId="4683" xr:uid="{DA21C9B1-D674-4A27-AB24-F62769F4AE84}"/>
    <cellStyle name="Normal 3 3 2 2 2 4" xfId="4684" xr:uid="{E2D1A71C-40F5-47A3-B817-3878C688211F}"/>
    <cellStyle name="Normal 3 3 2 2 2 4 2" xfId="4685" xr:uid="{2AEE8224-B771-4EDF-8555-122B67B2C916}"/>
    <cellStyle name="Normal 3 3 2 2 2 4 2 2" xfId="4686" xr:uid="{E4BF350C-D6CD-40EF-BBAB-82E460391DC0}"/>
    <cellStyle name="Normal 3 3 2 2 2 4 3" xfId="4687" xr:uid="{AB801274-6E7C-4D32-A268-F4B6D495C42F}"/>
    <cellStyle name="Normal 3 3 2 2 2 5" xfId="4688" xr:uid="{496D3777-148F-4C8D-9469-43BAA981C209}"/>
    <cellStyle name="Normal 3 3 2 2 2 5 2" xfId="4689" xr:uid="{48AE2A3A-DE7C-4D81-9C5A-A63B1D1C8713}"/>
    <cellStyle name="Normal 3 3 2 2 2 5 2 2" xfId="4690" xr:uid="{A9C7ABE8-8F55-4094-A8DE-EA301B527616}"/>
    <cellStyle name="Normal 3 3 2 2 2 5 3" xfId="4691" xr:uid="{DD996382-BC7D-4A36-BD63-73D131FB8AF3}"/>
    <cellStyle name="Normal 3 3 2 2 2 6" xfId="4692" xr:uid="{65D81C4F-3793-43E2-86C1-FCE4126B59DE}"/>
    <cellStyle name="Normal 3 3 2 2 2 6 2" xfId="4693" xr:uid="{DFD05764-DD15-4A78-8723-97ED0FE4E2A6}"/>
    <cellStyle name="Normal 3 3 2 2 2 7" xfId="4694" xr:uid="{92C82F19-54A1-480F-A584-C06FE0ED190D}"/>
    <cellStyle name="Normal 3 3 2 2 3" xfId="4695" xr:uid="{38B1043A-C0CA-4B35-A1DC-78E00F7FF8D3}"/>
    <cellStyle name="Normal 3 3 2 2 3 2" xfId="4696" xr:uid="{852EFFC9-389C-4E97-ADAB-50B8A3DF0B6D}"/>
    <cellStyle name="Normal 3 3 2 2 3 2 2" xfId="4697" xr:uid="{8F94BEBC-B441-4B77-B8C9-2964D70219BB}"/>
    <cellStyle name="Normal 3 3 2 2 3 2 2 2" xfId="4698" xr:uid="{6572D724-4AE0-462B-9828-4DFEFD27209E}"/>
    <cellStyle name="Normal 3 3 2 2 3 2 3" xfId="4699" xr:uid="{00B328D4-23D8-45DE-9C0D-79498DA7EC42}"/>
    <cellStyle name="Normal 3 3 2 2 3 3" xfId="4700" xr:uid="{D6B3FA89-FC69-43DA-A74E-C3CEF4CCD744}"/>
    <cellStyle name="Normal 3 3 2 2 3 3 2" xfId="4701" xr:uid="{EBE341E1-7015-45BB-AC9A-FF831C63CA20}"/>
    <cellStyle name="Normal 3 3 2 2 3 3 2 2" xfId="4702" xr:uid="{8242DA2A-2BD0-423F-878E-4147924881B0}"/>
    <cellStyle name="Normal 3 3 2 2 3 3 3" xfId="4703" xr:uid="{042430FA-DFC4-4494-B222-A6CC623C8F8E}"/>
    <cellStyle name="Normal 3 3 2 2 3 4" xfId="4704" xr:uid="{98E8E148-33B1-472C-8381-B0B49437B380}"/>
    <cellStyle name="Normal 3 3 2 2 3 4 2" xfId="4705" xr:uid="{34E237AD-2F9F-480D-A3F0-3E73B5AD12D8}"/>
    <cellStyle name="Normal 3 3 2 2 3 4 2 2" xfId="4706" xr:uid="{87B14048-4203-4846-92F1-0A29CB2D9AA4}"/>
    <cellStyle name="Normal 3 3 2 2 3 4 3" xfId="4707" xr:uid="{CB349AF0-3C08-4A20-936C-13D8883A3353}"/>
    <cellStyle name="Normal 3 3 2 2 3 5" xfId="4708" xr:uid="{CB289F05-0D9D-45C4-A99E-5EACC3C03139}"/>
    <cellStyle name="Normal 3 3 2 2 3 5 2" xfId="4709" xr:uid="{8A44D853-7290-4D61-820B-ADC7096F4567}"/>
    <cellStyle name="Normal 3 3 2 2 3 6" xfId="4710" xr:uid="{5D03EFCB-BCD7-4AF1-946D-8666518E80CD}"/>
    <cellStyle name="Normal 3 3 2 2 4" xfId="4711" xr:uid="{7EEA80DF-FFDF-43B2-BE2C-099E0309B93A}"/>
    <cellStyle name="Normal 3 3 2 2 4 2" xfId="4712" xr:uid="{97A7063F-BD5C-48B4-9569-2F872B499479}"/>
    <cellStyle name="Normal 3 3 2 2 4 2 2" xfId="4713" xr:uid="{B1091E8B-C234-4743-84F7-7203E0A7A144}"/>
    <cellStyle name="Normal 3 3 2 2 4 3" xfId="4714" xr:uid="{C0D06DC4-DEC4-422F-93BB-C023C1DA3F8E}"/>
    <cellStyle name="Normal 3 3 2 2 5" xfId="4715" xr:uid="{385D5E8A-FD9D-480F-A135-BA191590DAD5}"/>
    <cellStyle name="Normal 3 3 2 2 5 2" xfId="4716" xr:uid="{D46864FE-EC89-4E1F-8AB8-6D23999BDFA3}"/>
    <cellStyle name="Normal 3 3 2 2 5 2 2" xfId="4717" xr:uid="{48B9749F-958B-4598-AC0D-7BD903042996}"/>
    <cellStyle name="Normal 3 3 2 2 5 3" xfId="4718" xr:uid="{0154C6F4-376A-4009-A8FD-45F9885D73BC}"/>
    <cellStyle name="Normal 3 3 2 2 6" xfId="4719" xr:uid="{6A44CE08-D0B5-4E2A-B440-370953595B6C}"/>
    <cellStyle name="Normal 3 3 2 2 6 2" xfId="4720" xr:uid="{0F50A25B-BB31-4809-B9C1-1B535BFEE20F}"/>
    <cellStyle name="Normal 3 3 2 2 6 2 2" xfId="4721" xr:uid="{2594BF60-E376-414E-B2DC-4B818F0143AD}"/>
    <cellStyle name="Normal 3 3 2 2 6 3" xfId="4722" xr:uid="{8D040A13-60A5-41EF-A560-3C2BE01AF2FD}"/>
    <cellStyle name="Normal 3 3 2 2 7" xfId="4723" xr:uid="{C2585F6A-CA22-44E5-8B4D-6C47B8E90F9C}"/>
    <cellStyle name="Normal 3 3 2 2 7 2" xfId="4724" xr:uid="{BC52CDD5-4267-4D0D-8CE1-688A2717C60A}"/>
    <cellStyle name="Normal 3 3 2 2 8" xfId="4725" xr:uid="{16F02C3B-9712-4822-805B-B74ACD790296}"/>
    <cellStyle name="Normal 3 3 2 3" xfId="4726" xr:uid="{EA523EDE-F0CA-46A0-BB1C-48A3F3CBF67D}"/>
    <cellStyle name="Normal 3 3 2 3 2" xfId="4727" xr:uid="{CA1B355E-C5A4-4663-B66D-BAE783648079}"/>
    <cellStyle name="Normal 3 3 2 3 2 2" xfId="4728" xr:uid="{D6AA8884-4163-4326-A455-39F3A76E8BF1}"/>
    <cellStyle name="Normal 3 3 2 3 2 2 2" xfId="4729" xr:uid="{B0E756FD-E951-47B9-BA01-CC4092723011}"/>
    <cellStyle name="Normal 3 3 2 3 2 2 2 2" xfId="4730" xr:uid="{74FE35AA-2C64-41A7-9CE5-7BB8457E397F}"/>
    <cellStyle name="Normal 3 3 2 3 2 2 2 2 2" xfId="4731" xr:uid="{0BB84945-B41E-4CF5-A5C0-C995DF5B13E3}"/>
    <cellStyle name="Normal 3 3 2 3 2 2 2 3" xfId="4732" xr:uid="{53D98000-6937-48FD-B87B-1BEF0EA4A018}"/>
    <cellStyle name="Normal 3 3 2 3 2 2 3" xfId="4733" xr:uid="{E346426D-13E7-48E4-939B-84FDEA2A6671}"/>
    <cellStyle name="Normal 3 3 2 3 2 2 3 2" xfId="4734" xr:uid="{5EC054C3-6CB0-4C0F-A7AF-9774B434FEC4}"/>
    <cellStyle name="Normal 3 3 2 3 2 2 3 2 2" xfId="4735" xr:uid="{482F0B1A-DA7D-49AD-88B4-0947F1167641}"/>
    <cellStyle name="Normal 3 3 2 3 2 2 3 3" xfId="4736" xr:uid="{37EDFEC6-FD24-4800-B35C-61155351FF00}"/>
    <cellStyle name="Normal 3 3 2 3 2 2 4" xfId="4737" xr:uid="{D108D7B9-485D-4122-A88D-487C9CE020B8}"/>
    <cellStyle name="Normal 3 3 2 3 2 2 4 2" xfId="4738" xr:uid="{D18EDB38-A3D5-45D6-A499-B488D84E0A21}"/>
    <cellStyle name="Normal 3 3 2 3 2 2 4 2 2" xfId="4739" xr:uid="{9D0B9B86-CE11-4FE4-8DD3-699A4F0C5438}"/>
    <cellStyle name="Normal 3 3 2 3 2 2 4 3" xfId="4740" xr:uid="{B7A59AD4-8FB3-48CD-B2CA-B4BB6E20B431}"/>
    <cellStyle name="Normal 3 3 2 3 2 2 5" xfId="4741" xr:uid="{98B84C72-1A56-4B5A-9E67-819BBF12996F}"/>
    <cellStyle name="Normal 3 3 2 3 2 2 5 2" xfId="4742" xr:uid="{279A5B03-1155-4376-95CF-788FD0B0C2C0}"/>
    <cellStyle name="Normal 3 3 2 3 2 2 6" xfId="4743" xr:uid="{92DC771F-B736-4658-A0B5-FF2A106A22DB}"/>
    <cellStyle name="Normal 3 3 2 3 2 3" xfId="4744" xr:uid="{FB48A751-DE0B-4337-B126-A3426351BADC}"/>
    <cellStyle name="Normal 3 3 2 3 2 3 2" xfId="4745" xr:uid="{5C5B21F2-5BC8-470F-8940-96A5999D92C1}"/>
    <cellStyle name="Normal 3 3 2 3 2 3 2 2" xfId="4746" xr:uid="{41155D55-6BC1-45D7-9153-1CF4648347FB}"/>
    <cellStyle name="Normal 3 3 2 3 2 3 3" xfId="4747" xr:uid="{A33F3B2F-7D7F-4D70-B5F1-A6702086954A}"/>
    <cellStyle name="Normal 3 3 2 3 2 4" xfId="4748" xr:uid="{7A3C8180-03A0-4F27-A86E-B25D99E35D2D}"/>
    <cellStyle name="Normal 3 3 2 3 2 4 2" xfId="4749" xr:uid="{C2122D85-7BE4-4CB1-AE96-4E41CAD5CD23}"/>
    <cellStyle name="Normal 3 3 2 3 2 4 2 2" xfId="4750" xr:uid="{8132C3F1-A7B5-4229-BB99-EC40C5890A5F}"/>
    <cellStyle name="Normal 3 3 2 3 2 4 3" xfId="4751" xr:uid="{EF2CB24C-6500-4EBA-B8B1-531C89BAFF7E}"/>
    <cellStyle name="Normal 3 3 2 3 2 5" xfId="4752" xr:uid="{D14B767C-974D-4596-B570-351DF8DCFC46}"/>
    <cellStyle name="Normal 3 3 2 3 2 5 2" xfId="4753" xr:uid="{084814A9-C7C9-48DD-B3E4-3472DCEEEAA8}"/>
    <cellStyle name="Normal 3 3 2 3 2 5 2 2" xfId="4754" xr:uid="{AED326AF-5B23-42B6-8DA9-F4A891327CF0}"/>
    <cellStyle name="Normal 3 3 2 3 2 5 3" xfId="4755" xr:uid="{5F2FBA0D-B573-43F7-8599-8172D6773734}"/>
    <cellStyle name="Normal 3 3 2 3 2 6" xfId="4756" xr:uid="{26F279AA-F68A-4E46-8A85-4AC8A195A712}"/>
    <cellStyle name="Normal 3 3 2 3 2 6 2" xfId="4757" xr:uid="{F86B31E9-8911-45E2-907E-0F339E537B19}"/>
    <cellStyle name="Normal 3 3 2 3 2 7" xfId="4758" xr:uid="{CE39A623-8A9C-4173-824B-5E01B69D052A}"/>
    <cellStyle name="Normal 3 3 2 3 3" xfId="4759" xr:uid="{6857195F-0E43-4FBD-9861-0C643A407BC6}"/>
    <cellStyle name="Normal 3 3 2 3 3 2" xfId="4760" xr:uid="{9A625FD6-F524-42B2-9641-D0437A1BF5C6}"/>
    <cellStyle name="Normal 3 3 2 3 3 2 2" xfId="4761" xr:uid="{50DC46B1-1912-4C76-96D9-0D88A0FEB4C6}"/>
    <cellStyle name="Normal 3 3 2 3 3 2 2 2" xfId="4762" xr:uid="{39E7BEDE-6398-48E1-961C-827C902A961E}"/>
    <cellStyle name="Normal 3 3 2 3 3 2 3" xfId="4763" xr:uid="{5A576DBB-165B-4C76-921F-5D3ED4D729E2}"/>
    <cellStyle name="Normal 3 3 2 3 3 3" xfId="4764" xr:uid="{9DAF8D79-1EFB-45FC-BB6C-F3026E7927EB}"/>
    <cellStyle name="Normal 3 3 2 3 3 3 2" xfId="4765" xr:uid="{CF2DB7A2-8975-4D0A-BA00-7631A84D30AB}"/>
    <cellStyle name="Normal 3 3 2 3 3 3 2 2" xfId="4766" xr:uid="{65A57EFE-47B3-438E-B418-DDFBCB433159}"/>
    <cellStyle name="Normal 3 3 2 3 3 3 3" xfId="4767" xr:uid="{63DEA5C3-5B07-4587-BE15-0A45557F1F8A}"/>
    <cellStyle name="Normal 3 3 2 3 3 4" xfId="4768" xr:uid="{D187DA42-2870-479E-BE71-26597D8F7D36}"/>
    <cellStyle name="Normal 3 3 2 3 3 4 2" xfId="4769" xr:uid="{E96740D9-B66A-4DA8-8ADE-5539E9B0B9AD}"/>
    <cellStyle name="Normal 3 3 2 3 3 4 2 2" xfId="4770" xr:uid="{F489F458-17DC-4995-903B-A8A6EA2238AC}"/>
    <cellStyle name="Normal 3 3 2 3 3 4 3" xfId="4771" xr:uid="{013785DA-0259-44CD-88CE-F87F50F60C07}"/>
    <cellStyle name="Normal 3 3 2 3 3 5" xfId="4772" xr:uid="{9DDFCE1B-2039-41CC-8C03-D392546849DB}"/>
    <cellStyle name="Normal 3 3 2 3 3 5 2" xfId="4773" xr:uid="{8BE38C9A-3B8E-4D32-A5A7-F43CD9F160DE}"/>
    <cellStyle name="Normal 3 3 2 3 3 6" xfId="4774" xr:uid="{D2016047-725D-487B-8620-752896A4B3B9}"/>
    <cellStyle name="Normal 3 3 2 3 4" xfId="4775" xr:uid="{3C35FBA0-B44F-4718-9E39-FE1B7E104D31}"/>
    <cellStyle name="Normal 3 3 2 3 4 2" xfId="4776" xr:uid="{13CEB959-8F0C-4C48-A535-3329C942BDD7}"/>
    <cellStyle name="Normal 3 3 2 3 4 2 2" xfId="4777" xr:uid="{43CA7413-47BF-48A1-AAE4-E6ABDCEA0BDC}"/>
    <cellStyle name="Normal 3 3 2 3 4 3" xfId="4778" xr:uid="{EF6938B8-D07F-4494-9DFE-9508DCAA3B45}"/>
    <cellStyle name="Normal 3 3 2 3 5" xfId="4779" xr:uid="{C2D2DF23-7AD5-4109-97EB-F661E0E25744}"/>
    <cellStyle name="Normal 3 3 2 3 5 2" xfId="4780" xr:uid="{8B9BA3EA-8DBE-4973-95BE-2B14D9599B51}"/>
    <cellStyle name="Normal 3 3 2 3 5 2 2" xfId="4781" xr:uid="{727F00F0-B751-42E9-9EA1-82144239ED6A}"/>
    <cellStyle name="Normal 3 3 2 3 5 3" xfId="4782" xr:uid="{952149BB-8F08-4453-B047-679F9DE6C936}"/>
    <cellStyle name="Normal 3 3 2 3 6" xfId="4783" xr:uid="{ACA80F3A-0CB7-40A8-B99F-AA46F86E7756}"/>
    <cellStyle name="Normal 3 3 2 3 6 2" xfId="4784" xr:uid="{666B2503-4A7C-4BFA-817B-1343D91C5CE2}"/>
    <cellStyle name="Normal 3 3 2 3 6 2 2" xfId="4785" xr:uid="{72B2AF91-52CE-48E2-8966-F88388D288B7}"/>
    <cellStyle name="Normal 3 3 2 3 6 3" xfId="4786" xr:uid="{ABF96F11-622F-4CE5-94CB-88AC30372389}"/>
    <cellStyle name="Normal 3 3 2 3 7" xfId="4787" xr:uid="{F00BBDC4-8819-4F5B-BE5D-AFEDF937CB8B}"/>
    <cellStyle name="Normal 3 3 2 3 7 2" xfId="4788" xr:uid="{01E63D7B-4774-4C8F-BB0D-9FA7C8B04A87}"/>
    <cellStyle name="Normal 3 3 2 3 8" xfId="4789" xr:uid="{94A6713F-DAC0-43DB-8E7D-58E816FCD0F6}"/>
    <cellStyle name="Normal 3 3 2 4" xfId="4790" xr:uid="{AB69C12E-121B-4002-AB82-0823D9EC68BF}"/>
    <cellStyle name="Normal 3 3 2 4 2" xfId="4791" xr:uid="{0533330A-2EDA-401C-BC77-426D6869D7BB}"/>
    <cellStyle name="Normal 3 3 2 4 2 2" xfId="4792" xr:uid="{B869C113-DC23-4E96-9EC4-BE2ED935B7F7}"/>
    <cellStyle name="Normal 3 3 2 4 2 2 2" xfId="4793" xr:uid="{0699E9D3-1172-4EA4-9564-BD2F08A2940D}"/>
    <cellStyle name="Normal 3 3 2 4 2 2 2 2" xfId="4794" xr:uid="{B27E8BD1-DF54-431D-9CA8-4C1F79478900}"/>
    <cellStyle name="Normal 3 3 2 4 2 2 3" xfId="4795" xr:uid="{EB9D799A-2AD1-45FA-95F7-50370C7D2BC5}"/>
    <cellStyle name="Normal 3 3 2 4 2 3" xfId="4796" xr:uid="{82B86944-C807-41BF-A63E-33F5104A8E23}"/>
    <cellStyle name="Normal 3 3 2 4 2 3 2" xfId="4797" xr:uid="{272D0814-D006-4726-B959-BC4579202241}"/>
    <cellStyle name="Normal 3 3 2 4 2 3 2 2" xfId="4798" xr:uid="{DD52BE2B-39FF-4CBF-9090-838246FC931B}"/>
    <cellStyle name="Normal 3 3 2 4 2 3 3" xfId="4799" xr:uid="{AC3C9188-AAB6-4403-BB05-A3DCA97684D7}"/>
    <cellStyle name="Normal 3 3 2 4 2 4" xfId="4800" xr:uid="{4A992B8C-735B-443B-B041-037CA20E073B}"/>
    <cellStyle name="Normal 3 3 2 4 2 4 2" xfId="4801" xr:uid="{F539BEA9-C296-4590-811C-DED0682E1903}"/>
    <cellStyle name="Normal 3 3 2 4 2 4 2 2" xfId="4802" xr:uid="{4CE195A2-C1EB-4AB3-A0D4-3F405C29BFF7}"/>
    <cellStyle name="Normal 3 3 2 4 2 4 3" xfId="4803" xr:uid="{C4EC2B94-7FAE-4289-A874-F03131AEDA85}"/>
    <cellStyle name="Normal 3 3 2 4 2 5" xfId="4804" xr:uid="{F7F65015-A733-481A-AA8F-608F0E9BEAB8}"/>
    <cellStyle name="Normal 3 3 2 4 2 5 2" xfId="4805" xr:uid="{A2B14059-37EA-49CC-81AB-950E009F728D}"/>
    <cellStyle name="Normal 3 3 2 4 2 6" xfId="4806" xr:uid="{EF4C49E9-9F72-4676-8383-FC6DC8910BF0}"/>
    <cellStyle name="Normal 3 3 2 4 3" xfId="4807" xr:uid="{B2EBB636-1170-4973-B6BB-B0C7F726A6F7}"/>
    <cellStyle name="Normal 3 3 2 4 3 2" xfId="4808" xr:uid="{E5796337-6A29-4EDE-B96D-C8B4A8AEC5B5}"/>
    <cellStyle name="Normal 3 3 2 4 3 2 2" xfId="4809" xr:uid="{7F67AA1B-2508-402A-A60D-220E4FEFC9DC}"/>
    <cellStyle name="Normal 3 3 2 4 3 3" xfId="4810" xr:uid="{7AA856DD-34BB-48B2-86D0-97FDE0539AD5}"/>
    <cellStyle name="Normal 3 3 2 4 4" xfId="4811" xr:uid="{6B2CA481-12D6-4310-A311-F362E2ACE109}"/>
    <cellStyle name="Normal 3 3 2 4 4 2" xfId="4812" xr:uid="{BCEDDE8A-48AE-4FE3-8356-E8EEA3CED78F}"/>
    <cellStyle name="Normal 3 3 2 4 4 2 2" xfId="4813" xr:uid="{CFE97AAA-E6AB-402E-9F4D-54C9E7AD4EF1}"/>
    <cellStyle name="Normal 3 3 2 4 4 3" xfId="4814" xr:uid="{BDE3B755-1365-4FFE-BA86-B44B1EA328E3}"/>
    <cellStyle name="Normal 3 3 2 4 5" xfId="4815" xr:uid="{BC70CDB0-07D4-4ACC-8DC7-0494344A96C8}"/>
    <cellStyle name="Normal 3 3 2 4 5 2" xfId="4816" xr:uid="{EE8C6A83-6E6D-43CC-BB06-6DEA47BCFB51}"/>
    <cellStyle name="Normal 3 3 2 4 5 2 2" xfId="4817" xr:uid="{5B137286-ABF2-4E6F-988A-46D02AEBDCDE}"/>
    <cellStyle name="Normal 3 3 2 4 5 3" xfId="4818" xr:uid="{0B2F93D2-FE12-405B-A1FC-630EAEF7D633}"/>
    <cellStyle name="Normal 3 3 2 4 6" xfId="4819" xr:uid="{CDE4F610-D855-4427-85E7-EA0D3FD1519E}"/>
    <cellStyle name="Normal 3 3 2 4 6 2" xfId="4820" xr:uid="{E06A3C2B-0883-4C48-B683-7B2AD71356B0}"/>
    <cellStyle name="Normal 3 3 2 4 7" xfId="4821" xr:uid="{489B04C7-837C-43DB-B27D-20A228820763}"/>
    <cellStyle name="Normal 3 3 2 5" xfId="4822" xr:uid="{F2331DD2-AD60-4050-92E1-879CCEB87A1D}"/>
    <cellStyle name="Normal 3 3 2 5 2" xfId="4823" xr:uid="{328D3F69-42B0-435E-A80B-F5309A9FA877}"/>
    <cellStyle name="Normal 3 3 2 5 2 2" xfId="4824" xr:uid="{B490F2BE-5972-4C87-9B43-BE398C746A2E}"/>
    <cellStyle name="Normal 3 3 2 5 2 2 2" xfId="4825" xr:uid="{C113BED8-536A-46B2-B7D7-D163B49A85F7}"/>
    <cellStyle name="Normal 3 3 2 5 2 3" xfId="4826" xr:uid="{F2B5E47F-700A-4725-B0CD-F2B2B97D2B68}"/>
    <cellStyle name="Normal 3 3 2 5 3" xfId="4827" xr:uid="{39B13766-FCA3-409F-B7D4-7728D56B5A0A}"/>
    <cellStyle name="Normal 3 3 2 5 3 2" xfId="4828" xr:uid="{9251CA5F-1595-4895-97E5-013187AF9A8D}"/>
    <cellStyle name="Normal 3 3 2 5 3 2 2" xfId="4829" xr:uid="{C564D7FF-3C2E-4D5C-BA27-F0634E7F4C15}"/>
    <cellStyle name="Normal 3 3 2 5 3 3" xfId="4830" xr:uid="{8237DC21-03F3-4293-AE77-1AC7F9963B6A}"/>
    <cellStyle name="Normal 3 3 2 5 4" xfId="4831" xr:uid="{CB0F6F61-1C9C-4B03-A2F6-D90F2E9B4EC4}"/>
    <cellStyle name="Normal 3 3 2 5 4 2" xfId="4832" xr:uid="{22D18830-3384-48E3-8292-90A306884EE7}"/>
    <cellStyle name="Normal 3 3 2 5 4 2 2" xfId="4833" xr:uid="{A902E9B5-6823-40F8-BD5B-5E6754887139}"/>
    <cellStyle name="Normal 3 3 2 5 4 3" xfId="4834" xr:uid="{DFD93DB3-343E-4FCF-8CC2-7B2BFE2BB711}"/>
    <cellStyle name="Normal 3 3 2 5 5" xfId="4835" xr:uid="{4B18A7EB-4F4D-4150-9CBA-431872CBB0FE}"/>
    <cellStyle name="Normal 3 3 2 5 5 2" xfId="4836" xr:uid="{3279A665-63EE-4993-B3D7-3C7AC20463B1}"/>
    <cellStyle name="Normal 3 3 2 5 6" xfId="4837" xr:uid="{DACD9A57-3AB3-40DE-A49A-638EC6B5D504}"/>
    <cellStyle name="Normal 3 3 2 6" xfId="4838" xr:uid="{4A32DBA0-2BDA-4A72-9CFE-BACEA9CD8EA6}"/>
    <cellStyle name="Normal 3 3 2 6 2" xfId="4839" xr:uid="{2BF82A51-119F-442D-AC7A-538712DE290F}"/>
    <cellStyle name="Normal 3 3 2 6 2 2" xfId="4840" xr:uid="{F990D089-A824-472E-9FE8-91826994358B}"/>
    <cellStyle name="Normal 3 3 2 6 3" xfId="4841" xr:uid="{176FF8C3-8B90-4292-9257-24978381C946}"/>
    <cellStyle name="Normal 3 3 2 7" xfId="4842" xr:uid="{A87EED13-CE5B-47A9-B568-83619D53AA0F}"/>
    <cellStyle name="Normal 3 3 2 7 2" xfId="4843" xr:uid="{81662A5C-EA99-4460-ABE0-19D7517E90FD}"/>
    <cellStyle name="Normal 3 3 2 7 2 2" xfId="4844" xr:uid="{A5A16CC5-472E-45DD-929D-81EB83946B8C}"/>
    <cellStyle name="Normal 3 3 2 7 3" xfId="4845" xr:uid="{5396C674-134C-41CC-A80E-0F1D364DEF0F}"/>
    <cellStyle name="Normal 3 3 2 8" xfId="4846" xr:uid="{262E538A-CBEE-42D7-A713-3794AF99713C}"/>
    <cellStyle name="Normal 3 3 2 8 2" xfId="4847" xr:uid="{7C10E702-8B62-4F65-8D81-99350F4E7E99}"/>
    <cellStyle name="Normal 3 3 2 8 2 2" xfId="4848" xr:uid="{3B6E2C91-E493-4B07-8EF0-8D60CFC752E7}"/>
    <cellStyle name="Normal 3 3 2 8 3" xfId="4849" xr:uid="{683A43B4-CD81-45C7-BD61-2DF799D9B74D}"/>
    <cellStyle name="Normal 3 3 2 9" xfId="4850" xr:uid="{090E4917-D65E-4675-BB51-64C97B109B06}"/>
    <cellStyle name="Normal 3 3 2 9 2" xfId="4851" xr:uid="{EA67E67B-A2B2-472D-B8DF-D9C9647A671F}"/>
    <cellStyle name="Normal 3 3 2 9 2 2" xfId="4852" xr:uid="{80FE25B5-3E44-4D9D-A61C-2413962A826C}"/>
    <cellStyle name="Normal 3 3 2 9 3" xfId="4853" xr:uid="{8256B2EE-C17D-4B27-BAE2-BCC3A795E667}"/>
    <cellStyle name="Normal 3 3 3" xfId="4854" xr:uid="{0A49325F-A0DB-4C97-8FB8-37C3FC242EBD}"/>
    <cellStyle name="Normal 3 3 3 2" xfId="4855" xr:uid="{403A3E86-370A-4E3E-82C0-CA97EF993086}"/>
    <cellStyle name="Normal 3 3 3 2 2" xfId="4856" xr:uid="{35B2B767-7B94-42ED-8911-7C5E4D4434B6}"/>
    <cellStyle name="Normal 3 3 3 2 2 2" xfId="4857" xr:uid="{82A1D782-A8C4-4737-8FCC-045945518BC1}"/>
    <cellStyle name="Normal 3 3 3 2 2 2 2" xfId="4858" xr:uid="{7C37BCFA-F64A-4E8E-BC34-DF876E57AE4A}"/>
    <cellStyle name="Normal 3 3 3 2 2 2 2 2" xfId="4859" xr:uid="{A4E3944C-98AE-4599-BFDF-3D192AFC2014}"/>
    <cellStyle name="Normal 3 3 3 2 2 2 3" xfId="4860" xr:uid="{4119A635-7D33-4558-9EB8-88383AA389E5}"/>
    <cellStyle name="Normal 3 3 3 2 2 3" xfId="4861" xr:uid="{29E5AE37-44D2-47E4-9EAB-AD4D5F971AB8}"/>
    <cellStyle name="Normal 3 3 3 2 2 3 2" xfId="4862" xr:uid="{09F871CB-6B92-4130-A552-F1E82E1CE1FC}"/>
    <cellStyle name="Normal 3 3 3 2 2 3 2 2" xfId="4863" xr:uid="{2C6928B1-FEB6-46A8-B102-C5A84B6012AE}"/>
    <cellStyle name="Normal 3 3 3 2 2 3 3" xfId="4864" xr:uid="{DDF6D6C6-8C21-4FA8-A7F9-50F368E3AC6A}"/>
    <cellStyle name="Normal 3 3 3 2 2 4" xfId="4865" xr:uid="{D3E439D0-B560-4261-B1E2-12E6B688F7C3}"/>
    <cellStyle name="Normal 3 3 3 2 2 4 2" xfId="4866" xr:uid="{64C31AE6-2D6C-4605-A629-3C90ADEA2E83}"/>
    <cellStyle name="Normal 3 3 3 2 2 4 2 2" xfId="4867" xr:uid="{431A5AEE-5D60-4548-AED3-66BA9A796765}"/>
    <cellStyle name="Normal 3 3 3 2 2 4 3" xfId="4868" xr:uid="{E712E41C-F081-48E0-95D1-6D28A7EDE4C2}"/>
    <cellStyle name="Normal 3 3 3 2 2 5" xfId="4869" xr:uid="{E71C69FA-2209-4181-966C-5DA0A4697054}"/>
    <cellStyle name="Normal 3 3 3 2 2 5 2" xfId="4870" xr:uid="{B1A9F4D2-55C4-4C70-80B5-720254F6E489}"/>
    <cellStyle name="Normal 3 3 3 2 2 6" xfId="4871" xr:uid="{3C3DB743-5E65-4104-B0D5-762BFD42C91D}"/>
    <cellStyle name="Normal 3 3 3 2 3" xfId="4872" xr:uid="{6A8EF8B2-836B-4CBE-9CF9-C24480B4DD54}"/>
    <cellStyle name="Normal 3 3 3 2 3 2" xfId="4873" xr:uid="{390C6347-F0E8-4E82-A7F7-FDB07DC2C40E}"/>
    <cellStyle name="Normal 3 3 3 2 3 2 2" xfId="4874" xr:uid="{5CC5B805-C88B-46A6-A0BC-83D3946CFCD7}"/>
    <cellStyle name="Normal 3 3 3 2 3 3" xfId="4875" xr:uid="{9FE6104D-BA66-40E4-B2D7-28D9AA3792BF}"/>
    <cellStyle name="Normal 3 3 3 2 4" xfId="4876" xr:uid="{77312C96-C5FC-42CC-9927-47A3293E78FC}"/>
    <cellStyle name="Normal 3 3 3 2 4 2" xfId="4877" xr:uid="{ABCA6AF5-F8EE-46B5-9C2E-E165092F930F}"/>
    <cellStyle name="Normal 3 3 3 2 4 2 2" xfId="4878" xr:uid="{D156C67F-0481-4C7F-ACD1-8B31DE53D0BA}"/>
    <cellStyle name="Normal 3 3 3 2 4 3" xfId="4879" xr:uid="{223357E2-7E6B-4EDA-AFC5-91356DF4BAEB}"/>
    <cellStyle name="Normal 3 3 3 2 5" xfId="4880" xr:uid="{7A66E3C5-E8A2-4421-A57D-F59C95669BCB}"/>
    <cellStyle name="Normal 3 3 3 2 5 2" xfId="4881" xr:uid="{B2F4FA14-9053-4DA8-B607-F17F33C943BB}"/>
    <cellStyle name="Normal 3 3 3 2 5 2 2" xfId="4882" xr:uid="{EFF96CBB-7AF5-4C76-A80D-EBBA79E9730D}"/>
    <cellStyle name="Normal 3 3 3 2 5 3" xfId="4883" xr:uid="{837C7893-48A3-479E-8912-9485D63F809D}"/>
    <cellStyle name="Normal 3 3 3 2 6" xfId="4884" xr:uid="{8559BFA3-348F-4EE1-A1B9-1952D0AFC890}"/>
    <cellStyle name="Normal 3 3 3 2 6 2" xfId="4885" xr:uid="{6E603BBE-292A-4447-8E6D-E33FFEB1A51A}"/>
    <cellStyle name="Normal 3 3 3 2 7" xfId="4886" xr:uid="{109F9F22-BC4F-4FA6-A651-3787A44CD65A}"/>
    <cellStyle name="Normal 3 3 3 3" xfId="4887" xr:uid="{15764833-5E22-4B3F-9236-F1F50D25B604}"/>
    <cellStyle name="Normal 3 3 3 3 2" xfId="4888" xr:uid="{4842F497-34B2-4A70-A3A9-E9CA20D8B82C}"/>
    <cellStyle name="Normal 3 3 3 3 2 2" xfId="4889" xr:uid="{1EF01AC1-2A9E-426B-8151-56B6427E5808}"/>
    <cellStyle name="Normal 3 3 3 3 2 2 2" xfId="4890" xr:uid="{DF0C36D7-3D41-48CF-A244-7160E4633167}"/>
    <cellStyle name="Normal 3 3 3 3 2 3" xfId="4891" xr:uid="{5FC894E5-CBE9-4F90-9E85-907791E1DC24}"/>
    <cellStyle name="Normal 3 3 3 3 3" xfId="4892" xr:uid="{A1E0F634-989A-488F-BFE6-4EEB10824F9E}"/>
    <cellStyle name="Normal 3 3 3 3 3 2" xfId="4893" xr:uid="{E9DDB284-021A-4E7F-8687-82AEB491E3E8}"/>
    <cellStyle name="Normal 3 3 3 3 3 2 2" xfId="4894" xr:uid="{BAB0D84C-879E-4AE5-A5BB-BE156F6CC536}"/>
    <cellStyle name="Normal 3 3 3 3 3 3" xfId="4895" xr:uid="{6AA41214-D063-423A-A7B6-15D47D974013}"/>
    <cellStyle name="Normal 3 3 3 3 4" xfId="4896" xr:uid="{695020FE-EFFC-47BE-8422-6E928FB99B85}"/>
    <cellStyle name="Normal 3 3 3 3 4 2" xfId="4897" xr:uid="{B26461C8-1E7D-42A2-8C16-2CA0B7DDA67C}"/>
    <cellStyle name="Normal 3 3 3 3 4 2 2" xfId="4898" xr:uid="{0F41D74E-D89D-4122-9D52-505B705F823F}"/>
    <cellStyle name="Normal 3 3 3 3 4 3" xfId="4899" xr:uid="{A4409427-CC89-44C3-8454-6ACD419E8383}"/>
    <cellStyle name="Normal 3 3 3 3 5" xfId="4900" xr:uid="{CBEABA19-A869-4637-905A-C811A5F79968}"/>
    <cellStyle name="Normal 3 3 3 3 5 2" xfId="4901" xr:uid="{89DE2D1A-B97C-4358-AC7B-28A89E5F60D7}"/>
    <cellStyle name="Normal 3 3 3 3 6" xfId="4902" xr:uid="{BADE0F73-68D5-485D-BCFF-C7167EC667A1}"/>
    <cellStyle name="Normal 3 3 3 4" xfId="4903" xr:uid="{3B341940-2B4E-4BCD-BA85-8A3611779B37}"/>
    <cellStyle name="Normal 3 3 3 4 2" xfId="4904" xr:uid="{AA8D370A-B25A-4ED8-A36B-33D0F425771A}"/>
    <cellStyle name="Normal 3 3 3 4 2 2" xfId="4905" xr:uid="{6F4E3438-146D-4098-8A9C-6CEC68738E60}"/>
    <cellStyle name="Normal 3 3 3 4 3" xfId="4906" xr:uid="{0529408D-383C-401D-8483-4E63E91A4DD2}"/>
    <cellStyle name="Normal 3 3 3 5" xfId="4907" xr:uid="{2DC17D73-FC2F-4D25-B342-6DE0FA0D6092}"/>
    <cellStyle name="Normal 3 3 3 5 2" xfId="4908" xr:uid="{9FD8EA38-012C-4B4C-AB4C-C6FBFE02CE27}"/>
    <cellStyle name="Normal 3 3 3 5 2 2" xfId="4909" xr:uid="{29AEA3FF-3DB6-4D2C-AABD-5CEEE6D8168E}"/>
    <cellStyle name="Normal 3 3 3 5 3" xfId="4910" xr:uid="{78371225-54DE-4B06-BAE0-EC3039732033}"/>
    <cellStyle name="Normal 3 3 3 6" xfId="4911" xr:uid="{314BE373-8D6F-4829-A303-5075112900A5}"/>
    <cellStyle name="Normal 3 3 3 6 2" xfId="4912" xr:uid="{398413CF-CBE4-4022-A4C0-13A5091A79C6}"/>
    <cellStyle name="Normal 3 3 3 6 2 2" xfId="4913" xr:uid="{21E3668B-48FC-488D-BC00-629CAF7DEE3B}"/>
    <cellStyle name="Normal 3 3 3 6 3" xfId="4914" xr:uid="{419FA494-6035-43C6-A859-A9F4C435AC63}"/>
    <cellStyle name="Normal 3 3 3 7" xfId="4915" xr:uid="{334F0E26-C198-42FF-971F-6A3E06B767AE}"/>
    <cellStyle name="Normal 3 3 3 7 2" xfId="4916" xr:uid="{8FF0E1E0-2B37-4BA9-9325-BA4C3643AFAD}"/>
    <cellStyle name="Normal 3 3 3 8" xfId="4917" xr:uid="{D5BC028C-4E6D-4826-86BA-0455718B38FF}"/>
    <cellStyle name="Normal 3 3 4" xfId="4918" xr:uid="{8F5AA019-12A3-4518-A634-A47AFDCCCB39}"/>
    <cellStyle name="Normal 3 3 4 2" xfId="4919" xr:uid="{66205397-1704-4BC8-B02B-A96A4E387617}"/>
    <cellStyle name="Normal 3 3 4 2 2" xfId="4920" xr:uid="{BB4EB80A-B763-4493-86B3-60128BEE7D81}"/>
    <cellStyle name="Normal 3 3 4 2 2 2" xfId="4921" xr:uid="{0A3E5608-9AD3-45C5-B1DD-3E4C7C595DD3}"/>
    <cellStyle name="Normal 3 3 4 2 2 2 2" xfId="4922" xr:uid="{01CE58CB-9D09-42B2-A383-1108823822FB}"/>
    <cellStyle name="Normal 3 3 4 2 2 2 2 2" xfId="4923" xr:uid="{8E051790-EDCC-4281-880C-059E4EFE1E38}"/>
    <cellStyle name="Normal 3 3 4 2 2 2 3" xfId="4924" xr:uid="{062E6B46-1394-45C4-8FA0-589B9B5096C9}"/>
    <cellStyle name="Normal 3 3 4 2 2 3" xfId="4925" xr:uid="{42411EDA-7A56-4BD5-A037-159EF26CC41A}"/>
    <cellStyle name="Normal 3 3 4 2 2 3 2" xfId="4926" xr:uid="{06F72CB0-5E5D-4A3C-9E19-D0B3C4E1CD47}"/>
    <cellStyle name="Normal 3 3 4 2 2 3 2 2" xfId="4927" xr:uid="{6FFA3F89-EECE-4C59-9607-DA72473AF216}"/>
    <cellStyle name="Normal 3 3 4 2 2 3 3" xfId="4928" xr:uid="{12384917-AFEE-4996-A400-270EA3CAD372}"/>
    <cellStyle name="Normal 3 3 4 2 2 4" xfId="4929" xr:uid="{63303DE8-B913-4C11-ACB8-BF36DC27F171}"/>
    <cellStyle name="Normal 3 3 4 2 2 4 2" xfId="4930" xr:uid="{9AE05EED-B0FA-4117-895E-B8170D8B1D59}"/>
    <cellStyle name="Normal 3 3 4 2 2 4 2 2" xfId="4931" xr:uid="{056A659A-6C6E-48BF-BCEF-57F0E21B0485}"/>
    <cellStyle name="Normal 3 3 4 2 2 4 3" xfId="4932" xr:uid="{AE891D9E-680C-44BA-B3CA-12BC2E2C78AE}"/>
    <cellStyle name="Normal 3 3 4 2 2 5" xfId="4933" xr:uid="{E2CB9AFB-B22C-44D7-A081-74E1598F37F5}"/>
    <cellStyle name="Normal 3 3 4 2 2 5 2" xfId="4934" xr:uid="{7F5D5301-683B-41EC-86A6-BAD6A63DDE45}"/>
    <cellStyle name="Normal 3 3 4 2 2 6" xfId="4935" xr:uid="{2A6BCA1C-19D9-437E-BF6B-AE57207BC66E}"/>
    <cellStyle name="Normal 3 3 4 2 3" xfId="4936" xr:uid="{AF87D693-DFA8-424C-BA53-9F78FD2B35A4}"/>
    <cellStyle name="Normal 3 3 4 2 3 2" xfId="4937" xr:uid="{9E7F81F6-E340-4B1D-A770-4436E823CA5A}"/>
    <cellStyle name="Normal 3 3 4 2 3 2 2" xfId="4938" xr:uid="{2D32B7C7-69C4-4210-9862-EC65FCAD145B}"/>
    <cellStyle name="Normal 3 3 4 2 3 3" xfId="4939" xr:uid="{38320ABF-6066-4BB1-8C4B-D3DCECED12E0}"/>
    <cellStyle name="Normal 3 3 4 2 4" xfId="4940" xr:uid="{819641E9-9402-471B-B4A3-AE0B4C2BF8D5}"/>
    <cellStyle name="Normal 3 3 4 2 4 2" xfId="4941" xr:uid="{94038B9C-623D-4B1A-954D-5960709B05CC}"/>
    <cellStyle name="Normal 3 3 4 2 4 2 2" xfId="4942" xr:uid="{E4406280-5415-4362-80F5-F14359017178}"/>
    <cellStyle name="Normal 3 3 4 2 4 3" xfId="4943" xr:uid="{F154997D-4CE9-4339-AC98-73433CED2859}"/>
    <cellStyle name="Normal 3 3 4 2 5" xfId="4944" xr:uid="{F52F611C-3483-4405-A799-D84412403243}"/>
    <cellStyle name="Normal 3 3 4 2 5 2" xfId="4945" xr:uid="{DF76DDDE-BA83-48D2-9248-3A8D7387A6D3}"/>
    <cellStyle name="Normal 3 3 4 2 5 2 2" xfId="4946" xr:uid="{A6C0F04B-4909-42E0-AD2D-BFBEF60A37E1}"/>
    <cellStyle name="Normal 3 3 4 2 5 3" xfId="4947" xr:uid="{E8326F21-1988-44E7-B376-F941BBD7D438}"/>
    <cellStyle name="Normal 3 3 4 2 6" xfId="4948" xr:uid="{67CD2F3D-EDA0-42D1-9181-DECB5C761AA1}"/>
    <cellStyle name="Normal 3 3 4 2 6 2" xfId="4949" xr:uid="{ED7A99B0-192A-4F04-B857-5A79D34F9BE0}"/>
    <cellStyle name="Normal 3 3 4 2 7" xfId="4950" xr:uid="{531175BA-3F4E-4E27-AF93-823A877FC74A}"/>
    <cellStyle name="Normal 3 3 4 3" xfId="4951" xr:uid="{62901023-4627-486D-937C-A26D0B4B3017}"/>
    <cellStyle name="Normal 3 3 4 3 2" xfId="4952" xr:uid="{4789CFBD-A5E2-43C9-8E2B-D922CC1598CD}"/>
    <cellStyle name="Normal 3 3 4 3 2 2" xfId="4953" xr:uid="{36BBCDBA-CB31-40FB-B9F4-BF076FC5BE31}"/>
    <cellStyle name="Normal 3 3 4 3 2 2 2" xfId="4954" xr:uid="{184608AE-9B15-4027-BB40-4C81DC1809A3}"/>
    <cellStyle name="Normal 3 3 4 3 2 3" xfId="4955" xr:uid="{7B40C55D-A8E3-4155-9126-9A4ECCA9E248}"/>
    <cellStyle name="Normal 3 3 4 3 3" xfId="4956" xr:uid="{B6AAB40A-9328-4ED1-AF5F-C1D251CFF6B8}"/>
    <cellStyle name="Normal 3 3 4 3 3 2" xfId="4957" xr:uid="{D4EF9130-EF9C-4331-842D-B784B73CCD76}"/>
    <cellStyle name="Normal 3 3 4 3 3 2 2" xfId="4958" xr:uid="{6295CDC4-0EEA-43DD-B164-5091E1689D71}"/>
    <cellStyle name="Normal 3 3 4 3 3 3" xfId="4959" xr:uid="{C93E902D-0861-454F-A2AC-81028ACAEE41}"/>
    <cellStyle name="Normal 3 3 4 3 4" xfId="4960" xr:uid="{DB58C891-A885-4766-A070-8E0AC9003AC8}"/>
    <cellStyle name="Normal 3 3 4 3 4 2" xfId="4961" xr:uid="{1B0CDF3F-8DDF-4E49-8688-731D97EB0749}"/>
    <cellStyle name="Normal 3 3 4 3 4 2 2" xfId="4962" xr:uid="{F956D3D5-27AE-42D8-9FD7-0131B23F05DE}"/>
    <cellStyle name="Normal 3 3 4 3 4 3" xfId="4963" xr:uid="{8D27E132-E129-43BC-A62A-D7AC321AE4F2}"/>
    <cellStyle name="Normal 3 3 4 3 5" xfId="4964" xr:uid="{C347BB0F-0A23-4EE0-8101-7D854E63011F}"/>
    <cellStyle name="Normal 3 3 4 3 5 2" xfId="4965" xr:uid="{A8F589CB-C141-4FD4-92BB-9FC88EB05040}"/>
    <cellStyle name="Normal 3 3 4 3 6" xfId="4966" xr:uid="{4F8BED86-C9EC-4B4F-A789-11A85B6860F3}"/>
    <cellStyle name="Normal 3 3 4 4" xfId="4967" xr:uid="{3C3FBD28-3716-4AC9-B4F4-9F82F2B052E1}"/>
    <cellStyle name="Normal 3 3 4 4 2" xfId="4968" xr:uid="{23C718BA-6C0A-4498-87D2-ABDA43AFCE9B}"/>
    <cellStyle name="Normal 3 3 4 4 2 2" xfId="4969" xr:uid="{8DC18B6A-753E-4EBC-9C9A-7912947D6554}"/>
    <cellStyle name="Normal 3 3 4 4 3" xfId="4970" xr:uid="{82BD4547-FA1E-4A46-9ED8-B5BC250F0C32}"/>
    <cellStyle name="Normal 3 3 4 5" xfId="4971" xr:uid="{2DD283E5-4009-425B-93E2-2D468F52C2DB}"/>
    <cellStyle name="Normal 3 3 4 5 2" xfId="4972" xr:uid="{076BC6D3-DE6F-49E5-B27F-D11F3E0DBF8D}"/>
    <cellStyle name="Normal 3 3 4 5 2 2" xfId="4973" xr:uid="{41375780-B541-466C-9ECF-7DF8C72D7F5B}"/>
    <cellStyle name="Normal 3 3 4 5 3" xfId="4974" xr:uid="{8B966D34-23FF-450E-A896-8C568A5DFB10}"/>
    <cellStyle name="Normal 3 3 4 6" xfId="4975" xr:uid="{A2D21267-3BB1-4683-81B6-A28407CE11B4}"/>
    <cellStyle name="Normal 3 3 4 6 2" xfId="4976" xr:uid="{F90C1A38-BE54-4E22-A6E6-AB1D85DE6879}"/>
    <cellStyle name="Normal 3 3 4 6 2 2" xfId="4977" xr:uid="{5FDAD98C-278D-4D47-948F-EBB5B8B5A9F4}"/>
    <cellStyle name="Normal 3 3 4 6 3" xfId="4978" xr:uid="{0907ED5D-B199-4427-8F11-6FCB0DD563BC}"/>
    <cellStyle name="Normal 3 3 4 7" xfId="4979" xr:uid="{AE36A768-ADF8-402E-A47D-1D7916DF0EB0}"/>
    <cellStyle name="Normal 3 3 4 7 2" xfId="4980" xr:uid="{893279F0-D74D-400E-8406-59766508F820}"/>
    <cellStyle name="Normal 3 3 4 8" xfId="4981" xr:uid="{26BBB2D2-18B1-47E9-93E3-781C4FEE21CA}"/>
    <cellStyle name="Normal 3 3 5" xfId="4982" xr:uid="{E49AD3DE-3E60-49E4-A22C-A6E9D9F96D40}"/>
    <cellStyle name="Normal 3 3 5 2" xfId="4983" xr:uid="{719114BB-26CB-429B-85D7-0A3C0155D114}"/>
    <cellStyle name="Normal 3 3 5 2 2" xfId="4984" xr:uid="{56B72D88-FFCF-4AFA-AB5E-D25C242BC236}"/>
    <cellStyle name="Normal 3 3 5 2 2 2" xfId="4985" xr:uid="{585FEBCB-1E98-4684-883E-17689C7C4D53}"/>
    <cellStyle name="Normal 3 3 5 2 2 2 2" xfId="4986" xr:uid="{FB1D089D-8E31-4D4F-9CB2-E74DBDC072EB}"/>
    <cellStyle name="Normal 3 3 5 2 2 3" xfId="4987" xr:uid="{51AB20E9-A663-409B-B424-CEC98682BA13}"/>
    <cellStyle name="Normal 3 3 5 2 3" xfId="4988" xr:uid="{8A1A86ED-B382-4EF5-864A-A1E2641DCCE9}"/>
    <cellStyle name="Normal 3 3 5 2 3 2" xfId="4989" xr:uid="{658F6638-48CD-4985-8970-B5725EFA7919}"/>
    <cellStyle name="Normal 3 3 5 2 3 2 2" xfId="4990" xr:uid="{64B81BE7-B3D6-4290-A0AF-269061270E7E}"/>
    <cellStyle name="Normal 3 3 5 2 3 3" xfId="4991" xr:uid="{44046ABB-C475-48E5-A753-2E16D9C96EF4}"/>
    <cellStyle name="Normal 3 3 5 2 4" xfId="4992" xr:uid="{47B6E7DE-E04A-4D7C-B735-1B71E83876A6}"/>
    <cellStyle name="Normal 3 3 5 2 4 2" xfId="4993" xr:uid="{4C0BEF52-4583-40E4-8505-9F02543D823D}"/>
    <cellStyle name="Normal 3 3 5 2 4 2 2" xfId="4994" xr:uid="{3D46D9CA-F8E5-4CA6-B43B-547788F40948}"/>
    <cellStyle name="Normal 3 3 5 2 4 3" xfId="4995" xr:uid="{86A20FCE-770A-487F-8E14-2FB81AD691E5}"/>
    <cellStyle name="Normal 3 3 5 2 5" xfId="4996" xr:uid="{FB802996-5660-48E1-B248-BBABCC2AF054}"/>
    <cellStyle name="Normal 3 3 5 2 5 2" xfId="4997" xr:uid="{C3BEE652-E24B-4C5C-8F83-EBED4D64DC0A}"/>
    <cellStyle name="Normal 3 3 5 2 6" xfId="4998" xr:uid="{AEBD8DBC-8BAF-465C-9891-855F149327F0}"/>
    <cellStyle name="Normal 3 3 5 3" xfId="4999" xr:uid="{330BF16A-AC2D-4987-A976-3DD88DAD49FB}"/>
    <cellStyle name="Normal 3 3 5 3 2" xfId="5000" xr:uid="{5A336D0A-FA52-4F3A-8543-2E3F2BE62B61}"/>
    <cellStyle name="Normal 3 3 5 3 2 2" xfId="5001" xr:uid="{0FD46E61-1F06-4E8C-8589-115BBCC193AD}"/>
    <cellStyle name="Normal 3 3 5 3 3" xfId="5002" xr:uid="{EA4AAA1A-EA0B-4850-B5D4-0B2028F8AD6C}"/>
    <cellStyle name="Normal 3 3 5 4" xfId="5003" xr:uid="{6B264FD4-0A15-4D35-8A0B-0F5FC365A128}"/>
    <cellStyle name="Normal 3 3 5 4 2" xfId="5004" xr:uid="{4FD6B74D-A930-4948-B6ED-229CA49F53BB}"/>
    <cellStyle name="Normal 3 3 5 4 2 2" xfId="5005" xr:uid="{7F3662F9-EF08-4E47-AE15-8655CF36FE3B}"/>
    <cellStyle name="Normal 3 3 5 4 3" xfId="5006" xr:uid="{1C6C946E-BB25-4C6F-8431-14C6C1407C05}"/>
    <cellStyle name="Normal 3 3 5 5" xfId="5007" xr:uid="{9CA9E9D3-4D5F-437A-BE69-A6BED2A19005}"/>
    <cellStyle name="Normal 3 3 5 5 2" xfId="5008" xr:uid="{F3A89531-40F2-4E5A-9321-EBE6E26EE1BB}"/>
    <cellStyle name="Normal 3 3 5 5 2 2" xfId="5009" xr:uid="{61E3F7A8-D69F-4F42-8E52-697974C001DE}"/>
    <cellStyle name="Normal 3 3 5 5 3" xfId="5010" xr:uid="{07D28E39-7300-4086-87B9-02A86253778A}"/>
    <cellStyle name="Normal 3 3 5 6" xfId="5011" xr:uid="{50A168BA-7CE6-490A-9E57-D7A5816100A7}"/>
    <cellStyle name="Normal 3 3 5 6 2" xfId="5012" xr:uid="{3841C991-66A6-471C-ABB5-1F958FB00543}"/>
    <cellStyle name="Normal 3 3 5 7" xfId="5013" xr:uid="{678ADC2C-2C69-4F0E-86F1-02903BC7BCC6}"/>
    <cellStyle name="Normal 3 3 6" xfId="5014" xr:uid="{1B79DE81-C455-40AE-ADF2-B4C6CC45310C}"/>
    <cellStyle name="Normal 3 3 6 2" xfId="5015" xr:uid="{D620B5AD-D99A-402D-90CC-F236E74420F4}"/>
    <cellStyle name="Normal 3 3 6 2 2" xfId="5016" xr:uid="{8F83BA2D-D17E-43DD-BA5A-590A2A7D52D9}"/>
    <cellStyle name="Normal 3 3 6 2 2 2" xfId="5017" xr:uid="{FEFAE6EC-1D74-48EE-ADF5-6B5CB858769C}"/>
    <cellStyle name="Normal 3 3 6 2 3" xfId="5018" xr:uid="{5C3E6D0F-033E-438A-9A81-87DBB5E8DE51}"/>
    <cellStyle name="Normal 3 3 6 3" xfId="5019" xr:uid="{C6740ABB-7A17-4C75-93E7-049C9FBAF17D}"/>
    <cellStyle name="Normal 3 3 6 3 2" xfId="5020" xr:uid="{5FD7CE97-6E36-40B2-AA5B-AB7D0DC2A35B}"/>
    <cellStyle name="Normal 3 3 6 3 2 2" xfId="5021" xr:uid="{B48684A5-E206-41C2-A5B3-277FE6AC1A9A}"/>
    <cellStyle name="Normal 3 3 6 3 3" xfId="5022" xr:uid="{D5A3FDBE-5391-46D0-9679-80E58FDCD999}"/>
    <cellStyle name="Normal 3 3 6 4" xfId="5023" xr:uid="{A4BBD44C-D7AB-45DF-9E6D-11605CC4849D}"/>
    <cellStyle name="Normal 3 3 6 4 2" xfId="5024" xr:uid="{97A25307-EC93-45B3-A4E3-07F2AC179D0B}"/>
    <cellStyle name="Normal 3 3 6 4 2 2" xfId="5025" xr:uid="{271C903F-B7CC-4BCA-92F6-36617718D514}"/>
    <cellStyle name="Normal 3 3 6 4 3" xfId="5026" xr:uid="{97FD3756-3203-471D-92C0-85485E2FF5FB}"/>
    <cellStyle name="Normal 3 3 6 5" xfId="5027" xr:uid="{98D71F9C-CA5B-45F8-ACEB-7A2C85667882}"/>
    <cellStyle name="Normal 3 3 6 5 2" xfId="5028" xr:uid="{D5AAE75C-F8FD-4C80-BBE3-7CE683406D43}"/>
    <cellStyle name="Normal 3 3 6 6" xfId="5029" xr:uid="{3453372B-E365-447F-AFBB-91CD6B85F7E1}"/>
    <cellStyle name="Normal 3 3 7" xfId="5030" xr:uid="{2E2A5182-9952-4876-842C-40105E8950CE}"/>
    <cellStyle name="Normal 3 3 7 2" xfId="5031" xr:uid="{871A404F-23A9-4A37-8270-359E8294064A}"/>
    <cellStyle name="Normal 3 3 7 2 2" xfId="5032" xr:uid="{5FF78D30-4FFB-4CBF-B74A-88600FC835D7}"/>
    <cellStyle name="Normal 3 3 7 3" xfId="5033" xr:uid="{BB82C290-6428-4ACD-AD83-4BFB164BB68A}"/>
    <cellStyle name="Normal 3 3 8" xfId="5034" xr:uid="{33774195-20AA-49D2-ADC7-C89C570348ED}"/>
    <cellStyle name="Normal 3 3 8 2" xfId="5035" xr:uid="{6FFA3FF9-7ACE-46B8-8CC5-3D202695B072}"/>
    <cellStyle name="Normal 3 3 8 2 2" xfId="5036" xr:uid="{076C0ECF-9B37-47F5-AF9C-20033AB29C4F}"/>
    <cellStyle name="Normal 3 3 8 3" xfId="5037" xr:uid="{409E6324-BF94-4D3A-88D7-475010F28B24}"/>
    <cellStyle name="Normal 3 3 9" xfId="5038" xr:uid="{8F46823B-C347-461B-9040-8B7D92900F92}"/>
    <cellStyle name="Normal 3 3 9 2" xfId="5039" xr:uid="{C8097CD4-C3A9-4663-91EB-3CF6C9CABCCC}"/>
    <cellStyle name="Normal 3 3 9 2 2" xfId="5040" xr:uid="{8A1013CF-307D-4ED9-BB43-ED1D15365E07}"/>
    <cellStyle name="Normal 3 3 9 3" xfId="5041" xr:uid="{D24C21D5-7C73-4847-9EE6-83DC2ECE94A2}"/>
    <cellStyle name="Normal 3 4" xfId="5042" xr:uid="{F539428C-87B8-4D16-AFEB-374B4DF4FD98}"/>
    <cellStyle name="Normal 3 4 2" xfId="7665" xr:uid="{03D3FB46-9C41-430E-9528-D05B37455146}"/>
    <cellStyle name="Normal 3 5" xfId="5043" xr:uid="{CFBE7F63-BCBE-477C-984A-96BDAEBC656E}"/>
    <cellStyle name="Normal 3 6" xfId="7627" xr:uid="{D61D2C17-B696-4C80-A80E-730BFCA6506D}"/>
    <cellStyle name="Normal 30" xfId="7500" xr:uid="{94C348B9-166B-4F2C-B4D1-12572DBA40BC}"/>
    <cellStyle name="Normal 30 2" xfId="7543" xr:uid="{088C9B70-BFC1-4A24-8FBB-B84465E1E534}"/>
    <cellStyle name="Normal 30 2 2" xfId="7743" xr:uid="{102A5EA4-B2B5-4A63-8C8D-B5BDB5DFFDA1}"/>
    <cellStyle name="Normal 30 2 2 2" xfId="8114" xr:uid="{83C97ABE-11B7-4B0D-930B-730256BAE1B7}"/>
    <cellStyle name="Normal 30 2 2 2 2" xfId="8784" xr:uid="{E487AEB4-C67B-4E2C-AA85-9C91B32688D1}"/>
    <cellStyle name="Normal 30 2 2 2 2 2" xfId="10853" xr:uid="{58DBD8F6-149A-430F-9A65-8CA15C21DCC0}"/>
    <cellStyle name="Normal 30 2 2 2 2 2 2" xfId="15059" xr:uid="{9528608A-7A26-4166-9787-DEC86B17EADC}"/>
    <cellStyle name="Normal 30 2 2 2 2 3" xfId="13030" xr:uid="{678E46A2-5B6A-465F-B599-65C6E4C71B22}"/>
    <cellStyle name="Normal 30 2 2 2 3" xfId="10183" xr:uid="{904FFA9B-D6F4-4289-AB36-ABB57468AC55}"/>
    <cellStyle name="Normal 30 2 2 2 3 2" xfId="14389" xr:uid="{9D182414-E96C-4283-A0C5-A7C82485A168}"/>
    <cellStyle name="Normal 30 2 2 2 4" xfId="12360" xr:uid="{BFA65E6E-0331-4BFD-98A2-DFBD17C31652}"/>
    <cellStyle name="Normal 30 2 2 3" xfId="8450" xr:uid="{4D643638-FAB7-4F46-B46D-DBF05C8A5987}"/>
    <cellStyle name="Normal 30 2 2 3 2" xfId="10519" xr:uid="{D903D453-3114-474B-8D3C-83E189B44727}"/>
    <cellStyle name="Normal 30 2 2 3 2 2" xfId="14725" xr:uid="{7E712CD6-C0D4-40CD-98D9-60E2B70B0AD6}"/>
    <cellStyle name="Normal 30 2 2 3 3" xfId="12696" xr:uid="{4EFE656E-AF35-42C7-87F3-55311E54B53E}"/>
    <cellStyle name="Normal 30 2 2 4" xfId="9123" xr:uid="{F79B220C-23C7-4B40-B60F-496953E98EEF}"/>
    <cellStyle name="Normal 30 2 2 4 2" xfId="11192" xr:uid="{B686D814-5F1D-40C5-BA00-9C47A433C116}"/>
    <cellStyle name="Normal 30 2 2 4 2 2" xfId="15398" xr:uid="{35795969-8D18-471C-B7AB-761C213F81BC}"/>
    <cellStyle name="Normal 30 2 2 4 3" xfId="13369" xr:uid="{252D08BB-77D8-4500-8D58-34D8FAF3EF57}"/>
    <cellStyle name="Normal 30 2 2 5" xfId="9491" xr:uid="{F57497BD-0A74-45DD-9597-6DC9697EDBF1}"/>
    <cellStyle name="Normal 30 2 2 5 2" xfId="11525" xr:uid="{82ED8E25-40CF-423B-AC6B-04F45BDDB930}"/>
    <cellStyle name="Normal 30 2 2 5 2 2" xfId="15731" xr:uid="{A185C3D7-04D8-450D-9F74-B60D530E05FA}"/>
    <cellStyle name="Normal 30 2 2 5 3" xfId="13702" xr:uid="{55CA4B33-77C2-42EA-B522-14705993FBEE}"/>
    <cellStyle name="Normal 30 2 2 6" xfId="9849" xr:uid="{09614650-B980-43BD-85CE-09B35DC9AF77}"/>
    <cellStyle name="Normal 30 2 2 6 2" xfId="14055" xr:uid="{484AEC4B-7682-4FDA-A35D-AE848DE017F0}"/>
    <cellStyle name="Normal 30 2 2 7" xfId="12026" xr:uid="{5BC069A4-3CBB-4E5A-930F-1DB713CD482E}"/>
    <cellStyle name="Normal 30 2 3" xfId="7951" xr:uid="{152252F2-A797-4C6B-8AEC-A89780853203}"/>
    <cellStyle name="Normal 30 2 3 2" xfId="8621" xr:uid="{33804E10-9E53-4B1C-A40D-83CB70D13E3B}"/>
    <cellStyle name="Normal 30 2 3 2 2" xfId="10690" xr:uid="{9B94B46A-7D30-4F83-B3E8-873C92E93C46}"/>
    <cellStyle name="Normal 30 2 3 2 2 2" xfId="14896" xr:uid="{E79A8CFD-5127-4093-86A1-AF60365B9B50}"/>
    <cellStyle name="Normal 30 2 3 2 3" xfId="12867" xr:uid="{87A21654-7634-4104-87ED-1726E206B55F}"/>
    <cellStyle name="Normal 30 2 3 3" xfId="10020" xr:uid="{CFF676A2-6FCE-4152-8391-C4829D2B2AC7}"/>
    <cellStyle name="Normal 30 2 3 3 2" xfId="14226" xr:uid="{FB7DBCFE-3008-4B73-A01C-02187F952925}"/>
    <cellStyle name="Normal 30 2 3 4" xfId="12197" xr:uid="{6A6F5FD4-76D4-4414-B92F-B2BD17A8961E}"/>
    <cellStyle name="Normal 30 2 4" xfId="8287" xr:uid="{7D34F6DC-77DB-48E0-B492-5E407DDF6989}"/>
    <cellStyle name="Normal 30 2 4 2" xfId="10356" xr:uid="{B59C3C99-01A2-4245-8F6A-586BB295B1FB}"/>
    <cellStyle name="Normal 30 2 4 2 2" xfId="14562" xr:uid="{51A7044D-196F-41FD-A5CA-68B11AEDAB3D}"/>
    <cellStyle name="Normal 30 2 4 3" xfId="12533" xr:uid="{9FF7D0FA-F10B-436C-90B9-1AE50A875A25}"/>
    <cellStyle name="Normal 30 2 5" xfId="8960" xr:uid="{92F12FB6-FE4A-4103-AC91-872471238992}"/>
    <cellStyle name="Normal 30 2 5 2" xfId="11029" xr:uid="{AEE0374A-5470-4FEE-A4AD-6EAD90E88694}"/>
    <cellStyle name="Normal 30 2 5 2 2" xfId="15235" xr:uid="{62A21D15-C2F6-4CD8-AD1F-6140060D182A}"/>
    <cellStyle name="Normal 30 2 5 3" xfId="13206" xr:uid="{2C6B5443-F3B2-4098-B3DB-34EE30256939}"/>
    <cellStyle name="Normal 30 2 6" xfId="9328" xr:uid="{6B17B35F-6CFE-445A-A520-20DAB46AD53C}"/>
    <cellStyle name="Normal 30 2 6 2" xfId="11362" xr:uid="{428D5A94-D073-40BC-8BFF-E09EC708C4EB}"/>
    <cellStyle name="Normal 30 2 6 2 2" xfId="15568" xr:uid="{D5A62FDA-A40A-4FF9-8BD7-946634D58583}"/>
    <cellStyle name="Normal 30 2 6 3" xfId="13539" xr:uid="{E40C9EFD-F4B2-4423-AECA-AFC1CD460713}"/>
    <cellStyle name="Normal 30 2 7" xfId="9686" xr:uid="{6B026F3E-F4D2-46D5-8C7D-A464CC71B1D7}"/>
    <cellStyle name="Normal 30 2 7 2" xfId="13892" xr:uid="{E3417F5D-D790-4FFB-8F60-CDFD0B4A2839}"/>
    <cellStyle name="Normal 30 2 8" xfId="11863" xr:uid="{DC876930-98AD-4301-8F5F-8108FBA81F1C}"/>
    <cellStyle name="Normal 30 3" xfId="7702" xr:uid="{E8393308-7A14-4BFE-9739-559D4A38F387}"/>
    <cellStyle name="Normal 30 3 2" xfId="8073" xr:uid="{E9789EED-1F03-4C5B-8EAB-5E79A8D9AD8F}"/>
    <cellStyle name="Normal 30 3 2 2" xfId="8743" xr:uid="{3FBF25E8-4986-4DE3-9713-277B48521EAF}"/>
    <cellStyle name="Normal 30 3 2 2 2" xfId="10812" xr:uid="{7FFD9FDD-FA79-4BFB-83F6-7D0F825A34F0}"/>
    <cellStyle name="Normal 30 3 2 2 2 2" xfId="15018" xr:uid="{C0559E79-C5AA-4958-8FFA-840FBAF2B498}"/>
    <cellStyle name="Normal 30 3 2 2 3" xfId="12989" xr:uid="{8AF44583-C5E2-4FE9-9724-FE90ADC23E64}"/>
    <cellStyle name="Normal 30 3 2 3" xfId="10142" xr:uid="{ABF88538-F8F9-436A-B92B-E48FD4E10122}"/>
    <cellStyle name="Normal 30 3 2 3 2" xfId="14348" xr:uid="{2162DBE5-64E3-4059-A3D6-E544224A3AF2}"/>
    <cellStyle name="Normal 30 3 2 4" xfId="12319" xr:uid="{939C1BC3-3724-42F9-97C1-8C21E839BF23}"/>
    <cellStyle name="Normal 30 3 3" xfId="8409" xr:uid="{84548BEA-D66D-4DB5-A843-7B0A6F7F6A3A}"/>
    <cellStyle name="Normal 30 3 3 2" xfId="10478" xr:uid="{669CDBCB-2787-49A3-BF77-7BB97825CD4F}"/>
    <cellStyle name="Normal 30 3 3 2 2" xfId="14684" xr:uid="{903DA2C5-21EB-416F-8644-38F2BE1D768E}"/>
    <cellStyle name="Normal 30 3 3 3" xfId="12655" xr:uid="{6D8C9E24-9DFD-4C25-B3E5-6D92FED5A6D0}"/>
    <cellStyle name="Normal 30 3 4" xfId="9082" xr:uid="{A83DC404-DDCB-4DD3-985E-E91D105CC2D7}"/>
    <cellStyle name="Normal 30 3 4 2" xfId="11151" xr:uid="{A2B1612F-2DD8-483B-A2C8-11E30B2E75FE}"/>
    <cellStyle name="Normal 30 3 4 2 2" xfId="15357" xr:uid="{191CBF2E-76C4-4AA1-9F47-51025C9E4B52}"/>
    <cellStyle name="Normal 30 3 4 3" xfId="13328" xr:uid="{CDD9D676-A4F6-4837-9702-1D404403C901}"/>
    <cellStyle name="Normal 30 3 5" xfId="9450" xr:uid="{FE42FBFB-C7E4-4783-B4B5-BAC162D117F1}"/>
    <cellStyle name="Normal 30 3 5 2" xfId="11484" xr:uid="{86506612-7041-456F-9D59-F9CCF25A7BA2}"/>
    <cellStyle name="Normal 30 3 5 2 2" xfId="15690" xr:uid="{B881C053-FE83-4329-B083-F5E303459E21}"/>
    <cellStyle name="Normal 30 3 5 3" xfId="13661" xr:uid="{F459AAD6-26D0-4B27-AD9F-8CAA9E43CDF8}"/>
    <cellStyle name="Normal 30 3 6" xfId="9808" xr:uid="{3F8FDB04-D3CA-4F8A-8B92-B1C6064C88B2}"/>
    <cellStyle name="Normal 30 3 6 2" xfId="14014" xr:uid="{C972480B-650A-420B-BD78-226B7D15A971}"/>
    <cellStyle name="Normal 30 3 7" xfId="11985" xr:uid="{8336BE5B-B2FD-4339-A30F-D0C1CAB9F855}"/>
    <cellStyle name="Normal 30 4" xfId="7910" xr:uid="{74DCE53B-309F-4966-955F-1AAFA21B400A}"/>
    <cellStyle name="Normal 30 4 2" xfId="8580" xr:uid="{D3DF50DC-AB2B-4D72-B66A-DDAF2D0A2D37}"/>
    <cellStyle name="Normal 30 4 2 2" xfId="10649" xr:uid="{B3B455C8-C728-4006-A61F-032AD79C7F49}"/>
    <cellStyle name="Normal 30 4 2 2 2" xfId="14855" xr:uid="{1D6E3B23-C715-41F9-B86C-7FEB120D2EF1}"/>
    <cellStyle name="Normal 30 4 2 3" xfId="12826" xr:uid="{37C2645F-EC81-4CC5-B25E-529426FAAFBF}"/>
    <cellStyle name="Normal 30 4 3" xfId="9979" xr:uid="{F5FA134C-B229-44BA-B3F5-199E50ACCF24}"/>
    <cellStyle name="Normal 30 4 3 2" xfId="14185" xr:uid="{FD09FE33-C53B-4121-BC38-AE6F1552D308}"/>
    <cellStyle name="Normal 30 4 4" xfId="12156" xr:uid="{AD77A704-ED8E-451A-8F30-E843EC999D88}"/>
    <cellStyle name="Normal 30 5" xfId="8246" xr:uid="{25B936E7-357E-4B9D-9E16-407CCF45B527}"/>
    <cellStyle name="Normal 30 5 2" xfId="10315" xr:uid="{4722ED69-306F-47CF-963F-36EC58B44AFA}"/>
    <cellStyle name="Normal 30 5 2 2" xfId="14521" xr:uid="{7874DCA8-2E36-4DDB-B508-2A1C457FAF8B}"/>
    <cellStyle name="Normal 30 5 3" xfId="12492" xr:uid="{3059009F-B684-4204-A513-8361DB884E1B}"/>
    <cellStyle name="Normal 30 6" xfId="8919" xr:uid="{7D2837CD-5801-4C0A-A35F-8CF61E722BA6}"/>
    <cellStyle name="Normal 30 6 2" xfId="10988" xr:uid="{22694EDB-03A6-4B7F-A059-C061D3B70AF6}"/>
    <cellStyle name="Normal 30 6 2 2" xfId="15194" xr:uid="{0136B965-A433-4D77-8A3F-7F653D67BE1D}"/>
    <cellStyle name="Normal 30 6 3" xfId="13165" xr:uid="{A31FE532-CD9B-4D47-AAE4-EB163704E598}"/>
    <cellStyle name="Normal 30 7" xfId="9286" xr:uid="{07CDEB2B-31D7-4A9C-91C8-7BB9D3188A7A}"/>
    <cellStyle name="Normal 30 7 2" xfId="11321" xr:uid="{CCB9A8E4-69D1-4668-8B29-C1DACC88D98C}"/>
    <cellStyle name="Normal 30 7 2 2" xfId="15527" xr:uid="{53EE3FAA-AA7C-4878-9F31-D2C9CCBE1CDB}"/>
    <cellStyle name="Normal 30 7 3" xfId="13498" xr:uid="{3873A933-BA0B-47DD-A371-8D0A2B89456F}"/>
    <cellStyle name="Normal 30 8" xfId="9645" xr:uid="{45CCE302-7052-47F0-B8C2-917C463D5944}"/>
    <cellStyle name="Normal 30 8 2" xfId="13851" xr:uid="{B2C1C4D0-3CC4-445E-8AFF-5BB413E6E6E1}"/>
    <cellStyle name="Normal 30 9" xfId="11821" xr:uid="{264CA913-1B00-4941-BA09-2F4144AB4DE6}"/>
    <cellStyle name="Normal 31" xfId="7501" xr:uid="{7B660A9E-B009-4E0D-A235-8E1CBAD63BFA}"/>
    <cellStyle name="Normal 31 2" xfId="7544" xr:uid="{E10B36BB-DB13-4FB5-91CB-94692AFD0098}"/>
    <cellStyle name="Normal 31 2 2" xfId="7744" xr:uid="{03AAF9A9-BA91-48DC-8B1D-0BDED8B698EB}"/>
    <cellStyle name="Normal 31 2 2 2" xfId="8115" xr:uid="{3C2DAE60-4487-4F63-83DA-4BE39367DF31}"/>
    <cellStyle name="Normal 31 2 2 2 2" xfId="8785" xr:uid="{13309B02-A78E-4721-A828-623CA2AC765F}"/>
    <cellStyle name="Normal 31 2 2 2 2 2" xfId="10854" xr:uid="{F2576E31-249B-4C3D-B0F6-6CD60A8D3BC6}"/>
    <cellStyle name="Normal 31 2 2 2 2 2 2" xfId="15060" xr:uid="{7085EEA4-BD78-49AB-896E-F5788AEA9382}"/>
    <cellStyle name="Normal 31 2 2 2 2 3" xfId="13031" xr:uid="{AF74EC06-36D5-482B-8829-C0E25B28987E}"/>
    <cellStyle name="Normal 31 2 2 2 3" xfId="10184" xr:uid="{214565FB-8D04-4537-9AE8-C0445AC4B204}"/>
    <cellStyle name="Normal 31 2 2 2 3 2" xfId="14390" xr:uid="{1C9B3B1C-B59E-4784-9EBD-79ED87D81898}"/>
    <cellStyle name="Normal 31 2 2 2 4" xfId="12361" xr:uid="{5C3DF13F-513B-43AE-8DEF-16B8FFB76610}"/>
    <cellStyle name="Normal 31 2 2 3" xfId="8451" xr:uid="{50405476-5A71-4AA6-8986-420C824E085B}"/>
    <cellStyle name="Normal 31 2 2 3 2" xfId="10520" xr:uid="{EB771C92-1691-45EE-AD89-1F5597B2819E}"/>
    <cellStyle name="Normal 31 2 2 3 2 2" xfId="14726" xr:uid="{DD2209B2-8B2C-4CDF-80F5-E3290F5625AA}"/>
    <cellStyle name="Normal 31 2 2 3 3" xfId="12697" xr:uid="{26DA0998-235C-4610-8ED4-6E5F807E0873}"/>
    <cellStyle name="Normal 31 2 2 4" xfId="9124" xr:uid="{AC8F422B-00B7-44B9-AD77-E6D1D999F7D4}"/>
    <cellStyle name="Normal 31 2 2 4 2" xfId="11193" xr:uid="{F7A6844B-8557-405B-9A22-BCB23DB2DF1C}"/>
    <cellStyle name="Normal 31 2 2 4 2 2" xfId="15399" xr:uid="{4E5935A1-564D-4004-A6FA-F9D71EEBF09B}"/>
    <cellStyle name="Normal 31 2 2 4 3" xfId="13370" xr:uid="{AA1DE3B7-5817-40FD-92B1-B525828BDFEC}"/>
    <cellStyle name="Normal 31 2 2 5" xfId="9492" xr:uid="{0EF2AAB3-DD86-4835-8334-D4B3F6641F75}"/>
    <cellStyle name="Normal 31 2 2 5 2" xfId="11526" xr:uid="{A5D49F0A-219E-4C47-B7FD-E603F6F33BE5}"/>
    <cellStyle name="Normal 31 2 2 5 2 2" xfId="15732" xr:uid="{25BFCBAA-19D3-4014-B58C-765F7A279C10}"/>
    <cellStyle name="Normal 31 2 2 5 3" xfId="13703" xr:uid="{DC83F118-1D19-4085-B6B9-FEA400C3FE7F}"/>
    <cellStyle name="Normal 31 2 2 6" xfId="9850" xr:uid="{37B01994-6B0B-4206-9F6E-6C96B8352447}"/>
    <cellStyle name="Normal 31 2 2 6 2" xfId="14056" xr:uid="{B6BDEC60-E73C-42CA-94EA-D433C409B934}"/>
    <cellStyle name="Normal 31 2 2 7" xfId="12027" xr:uid="{6F1B8DB6-768E-4BEF-B960-71CAAE34D29E}"/>
    <cellStyle name="Normal 31 2 3" xfId="7952" xr:uid="{D58018D4-6FCB-4A91-AD9E-2BC975D37A9A}"/>
    <cellStyle name="Normal 31 2 3 2" xfId="8622" xr:uid="{AE475F6D-5DDE-40CE-9FD2-AF05465AEAF1}"/>
    <cellStyle name="Normal 31 2 3 2 2" xfId="10691" xr:uid="{1A020A9A-1F4A-43FF-AD3A-B372D24076CF}"/>
    <cellStyle name="Normal 31 2 3 2 2 2" xfId="14897" xr:uid="{60FE7A0F-4545-46FA-A160-912C49CE3554}"/>
    <cellStyle name="Normal 31 2 3 2 3" xfId="12868" xr:uid="{43BC7AEE-D5A3-4DE9-B0EC-8F22C61F3460}"/>
    <cellStyle name="Normal 31 2 3 3" xfId="10021" xr:uid="{6EC0C5F8-8AA5-4152-B17F-71564D19BE6F}"/>
    <cellStyle name="Normal 31 2 3 3 2" xfId="14227" xr:uid="{B6438C8D-993B-4C1F-B378-BD9A02983348}"/>
    <cellStyle name="Normal 31 2 3 4" xfId="12198" xr:uid="{D7CA36D3-7239-4A8E-AA7F-3132BB9AA4F9}"/>
    <cellStyle name="Normal 31 2 4" xfId="8288" xr:uid="{8CA509E9-AFF0-45E8-B435-9850A03CDCCA}"/>
    <cellStyle name="Normal 31 2 4 2" xfId="10357" xr:uid="{8E6939AD-9A3B-41BB-83AF-D8A290A5B20A}"/>
    <cellStyle name="Normal 31 2 4 2 2" xfId="14563" xr:uid="{D0478443-0039-4431-94DD-91DE5E151245}"/>
    <cellStyle name="Normal 31 2 4 3" xfId="12534" xr:uid="{27C7AD4E-9E0A-4DC7-AE0B-D7BD54AB7A33}"/>
    <cellStyle name="Normal 31 2 5" xfId="8961" xr:uid="{B1F316FF-D3E7-4DC9-9FCB-E79FDE8F39FB}"/>
    <cellStyle name="Normal 31 2 5 2" xfId="11030" xr:uid="{42B97541-52F8-4F42-B081-CB87569CCE23}"/>
    <cellStyle name="Normal 31 2 5 2 2" xfId="15236" xr:uid="{A46F9B94-CB67-429F-AF2C-6B83E53FAED7}"/>
    <cellStyle name="Normal 31 2 5 3" xfId="13207" xr:uid="{78DD28A5-A154-4FDF-B0A2-88CE38A9A0BA}"/>
    <cellStyle name="Normal 31 2 6" xfId="9329" xr:uid="{37625602-8BCA-4D4D-9DD5-4CFBD94C25FF}"/>
    <cellStyle name="Normal 31 2 6 2" xfId="11363" xr:uid="{74DBAF83-683A-4934-B2DB-508A370F98E8}"/>
    <cellStyle name="Normal 31 2 6 2 2" xfId="15569" xr:uid="{11DD9A03-E46E-4D68-92D0-D399A1D1F6EE}"/>
    <cellStyle name="Normal 31 2 6 3" xfId="13540" xr:uid="{B08495D6-6029-447B-BD0F-B6844826995E}"/>
    <cellStyle name="Normal 31 2 7" xfId="9687" xr:uid="{13E29DD9-AD98-487F-B667-9C1DC9B472AE}"/>
    <cellStyle name="Normal 31 2 7 2" xfId="13893" xr:uid="{702BE462-5BD5-4B7F-A1E6-31E444CE1635}"/>
    <cellStyle name="Normal 31 2 8" xfId="11864" xr:uid="{A211909A-0D91-48E7-9349-DE8D2ACC49E9}"/>
    <cellStyle name="Normal 31 3" xfId="7703" xr:uid="{1E5F1C4D-FA64-48D4-A275-118E0D3B4688}"/>
    <cellStyle name="Normal 31 3 2" xfId="8074" xr:uid="{1A304DB9-1028-40B1-AA3F-893A2991CEFE}"/>
    <cellStyle name="Normal 31 3 2 2" xfId="8744" xr:uid="{4025E8B8-16E5-4192-B852-CDEDECBA55CD}"/>
    <cellStyle name="Normal 31 3 2 2 2" xfId="10813" xr:uid="{8FB13DE1-7D10-4472-BA7E-53A82BE73B08}"/>
    <cellStyle name="Normal 31 3 2 2 2 2" xfId="15019" xr:uid="{0EE2CA95-76C6-4C1C-9F85-AF7B67C45AAD}"/>
    <cellStyle name="Normal 31 3 2 2 3" xfId="12990" xr:uid="{B478A6E0-E44A-4E90-B791-ADA0E96FD0EF}"/>
    <cellStyle name="Normal 31 3 2 3" xfId="10143" xr:uid="{0ED107DA-8572-4A6A-824E-A5841A5F66B5}"/>
    <cellStyle name="Normal 31 3 2 3 2" xfId="14349" xr:uid="{799788FE-4F13-4D17-A05E-E7BB05FED89C}"/>
    <cellStyle name="Normal 31 3 2 4" xfId="12320" xr:uid="{254B0C6A-ED1E-432F-92C9-7B8E09F6BE86}"/>
    <cellStyle name="Normal 31 3 3" xfId="8410" xr:uid="{7068A162-160D-4703-9396-104A402E3627}"/>
    <cellStyle name="Normal 31 3 3 2" xfId="10479" xr:uid="{4920E564-D4EC-4211-A772-FF840C3D3B1E}"/>
    <cellStyle name="Normal 31 3 3 2 2" xfId="14685" xr:uid="{65C4944A-4B58-4096-9D33-6330A1D036A6}"/>
    <cellStyle name="Normal 31 3 3 3" xfId="12656" xr:uid="{A2B83366-F97A-4E50-9697-DDEB4B4349B8}"/>
    <cellStyle name="Normal 31 3 4" xfId="9083" xr:uid="{0E7226F1-B966-4A3C-89B3-AB99B6DFC262}"/>
    <cellStyle name="Normal 31 3 4 2" xfId="11152" xr:uid="{28AE2E4D-8B7A-44A8-AFBF-1812C952F662}"/>
    <cellStyle name="Normal 31 3 4 2 2" xfId="15358" xr:uid="{87BC6DB2-FD25-40D0-ABDB-E5D56EB331F6}"/>
    <cellStyle name="Normal 31 3 4 3" xfId="13329" xr:uid="{3EF770D0-286D-4745-AC50-DEE729549008}"/>
    <cellStyle name="Normal 31 3 5" xfId="9451" xr:uid="{097CA35D-EFB8-4B31-BF19-1B649BAEEE14}"/>
    <cellStyle name="Normal 31 3 5 2" xfId="11485" xr:uid="{0759412C-955E-4B6C-B8D3-2A5077CFB62F}"/>
    <cellStyle name="Normal 31 3 5 2 2" xfId="15691" xr:uid="{C291C464-4CB9-4FD4-89AA-9220CE907DB1}"/>
    <cellStyle name="Normal 31 3 5 3" xfId="13662" xr:uid="{3E158BD9-748F-4AAF-BF9E-502EDC177440}"/>
    <cellStyle name="Normal 31 3 6" xfId="9809" xr:uid="{F81111DF-E8BA-4BD8-9292-A6FA5D538280}"/>
    <cellStyle name="Normal 31 3 6 2" xfId="14015" xr:uid="{57CF58F8-DDA1-4414-8BA3-F2DC0EE40368}"/>
    <cellStyle name="Normal 31 3 7" xfId="11986" xr:uid="{93289E01-03E8-4259-86DF-EDCCA0607087}"/>
    <cellStyle name="Normal 31 4" xfId="7911" xr:uid="{B298B398-2352-41A2-BDFA-060973231265}"/>
    <cellStyle name="Normal 31 4 2" xfId="8581" xr:uid="{8DCA155E-C39D-4B35-B928-80469DE5255D}"/>
    <cellStyle name="Normal 31 4 2 2" xfId="10650" xr:uid="{0426D709-B47D-4C51-BB92-7DB6C5527B76}"/>
    <cellStyle name="Normal 31 4 2 2 2" xfId="14856" xr:uid="{9C127F35-3158-4C22-919E-205213082E83}"/>
    <cellStyle name="Normal 31 4 2 3" xfId="12827" xr:uid="{15AEFCA8-2607-4368-A935-2651092B1AE9}"/>
    <cellStyle name="Normal 31 4 3" xfId="9980" xr:uid="{C124A923-3242-4320-9693-B355E533B762}"/>
    <cellStyle name="Normal 31 4 3 2" xfId="14186" xr:uid="{B14E9638-7BE4-4DE9-8350-B14D8E09382F}"/>
    <cellStyle name="Normal 31 4 4" xfId="12157" xr:uid="{B2CA2FE3-9A1E-427D-9A49-E4B06BF2192F}"/>
    <cellStyle name="Normal 31 5" xfId="8247" xr:uid="{B86C7C4C-6BA0-4CD8-857D-D60DD0FF4800}"/>
    <cellStyle name="Normal 31 5 2" xfId="10316" xr:uid="{96B299DF-D29E-4FF3-B8F5-84515B9DC073}"/>
    <cellStyle name="Normal 31 5 2 2" xfId="14522" xr:uid="{37EE4DFD-F624-436D-B66C-112F1A33E9B9}"/>
    <cellStyle name="Normal 31 5 3" xfId="12493" xr:uid="{5A029061-6029-4576-BCB1-44992F169B06}"/>
    <cellStyle name="Normal 31 6" xfId="8920" xr:uid="{4F51FF89-4DD9-4DD7-BB23-EEDA578CC753}"/>
    <cellStyle name="Normal 31 6 2" xfId="10989" xr:uid="{5510066D-8046-4588-AB74-E75A42E14D46}"/>
    <cellStyle name="Normal 31 6 2 2" xfId="15195" xr:uid="{D06FDAFB-771C-42AA-9C36-381FB5EC2036}"/>
    <cellStyle name="Normal 31 6 3" xfId="13166" xr:uid="{BF9A7F6A-ADF5-4A30-ACD3-649F386D66F7}"/>
    <cellStyle name="Normal 31 7" xfId="9287" xr:uid="{B1693FB7-BC1C-4F11-B07B-A45740D50997}"/>
    <cellStyle name="Normal 31 7 2" xfId="11322" xr:uid="{8483BF2A-654E-45D0-A4EC-34183AC6A010}"/>
    <cellStyle name="Normal 31 7 2 2" xfId="15528" xr:uid="{D64EC466-9F9C-498E-A3B1-57A22B6F25E3}"/>
    <cellStyle name="Normal 31 7 3" xfId="13499" xr:uid="{1FF2AA90-163E-4F1C-95EB-7FBB0528A934}"/>
    <cellStyle name="Normal 31 8" xfId="9646" xr:uid="{4043BF2B-464C-4570-87BE-6C7DB24BF3F9}"/>
    <cellStyle name="Normal 31 8 2" xfId="13852" xr:uid="{99AF1F19-2E88-4F38-BA18-FDFBFA3A3817}"/>
    <cellStyle name="Normal 31 9" xfId="11822" xr:uid="{8F0AAFFB-280F-4828-A349-5F4B7E7FFE19}"/>
    <cellStyle name="Normal 32" xfId="7502" xr:uid="{0BCE3C76-321E-453E-A412-216F9826AF8E}"/>
    <cellStyle name="Normal 32 2" xfId="7545" xr:uid="{0DB1937E-1F32-4076-8086-6F088D4453D5}"/>
    <cellStyle name="Normal 32 2 2" xfId="7745" xr:uid="{15830522-79EA-40A2-B33E-59206483649B}"/>
    <cellStyle name="Normal 32 2 2 2" xfId="8116" xr:uid="{59D5A0F6-8A4B-4257-A9DA-8F4C77017514}"/>
    <cellStyle name="Normal 32 2 2 2 2" xfId="8786" xr:uid="{33A910A2-E994-4A7B-BB2E-BE028E110B1F}"/>
    <cellStyle name="Normal 32 2 2 2 2 2" xfId="10855" xr:uid="{5D5810D6-2C71-4578-A606-E2D91547BC76}"/>
    <cellStyle name="Normal 32 2 2 2 2 2 2" xfId="15061" xr:uid="{97B02A5E-F62F-4EAF-B462-4FA286AE9694}"/>
    <cellStyle name="Normal 32 2 2 2 2 3" xfId="13032" xr:uid="{4A25565D-34D9-4602-B4A0-4A35FBC8E858}"/>
    <cellStyle name="Normal 32 2 2 2 3" xfId="10185" xr:uid="{C0D7F645-20DC-43AB-B74D-F81332F6CD0C}"/>
    <cellStyle name="Normal 32 2 2 2 3 2" xfId="14391" xr:uid="{70B37C91-0F27-4912-BFA9-38BFFF5E51F2}"/>
    <cellStyle name="Normal 32 2 2 2 4" xfId="12362" xr:uid="{01EA3134-CAF9-4566-BADB-B6E16E2D9AE9}"/>
    <cellStyle name="Normal 32 2 2 3" xfId="8452" xr:uid="{E187A6F2-FF7D-447B-BDB1-50C031EFFD0A}"/>
    <cellStyle name="Normal 32 2 2 3 2" xfId="10521" xr:uid="{771B3F47-EDA6-4C67-9A76-34D5C0BA1BF3}"/>
    <cellStyle name="Normal 32 2 2 3 2 2" xfId="14727" xr:uid="{2036E66E-30C8-4450-9931-17A05D0ACA79}"/>
    <cellStyle name="Normal 32 2 2 3 3" xfId="12698" xr:uid="{1B29D988-6F1F-4375-AA99-E11A4B8BE688}"/>
    <cellStyle name="Normal 32 2 2 4" xfId="9125" xr:uid="{5A7D9D48-605E-43F0-B564-7E692DAA189B}"/>
    <cellStyle name="Normal 32 2 2 4 2" xfId="11194" xr:uid="{7C2499CE-9935-4018-8EF8-0F50E10AAEDD}"/>
    <cellStyle name="Normal 32 2 2 4 2 2" xfId="15400" xr:uid="{C83A4CDD-7C4C-4AED-B323-D2F45F43CA7A}"/>
    <cellStyle name="Normal 32 2 2 4 3" xfId="13371" xr:uid="{7AE57EF1-FE09-4E1B-B5E7-D2A3F0D146E2}"/>
    <cellStyle name="Normal 32 2 2 5" xfId="9493" xr:uid="{7DABC7BD-A60F-436A-AABB-9A24EACD562F}"/>
    <cellStyle name="Normal 32 2 2 5 2" xfId="11527" xr:uid="{19BDE3D7-8563-4595-8B06-EC4FC5710627}"/>
    <cellStyle name="Normal 32 2 2 5 2 2" xfId="15733" xr:uid="{6F09B4DF-E77F-40C5-B41E-7E54B913D0B3}"/>
    <cellStyle name="Normal 32 2 2 5 3" xfId="13704" xr:uid="{53701666-E83F-45B9-8BD8-E92E27ECBE7D}"/>
    <cellStyle name="Normal 32 2 2 6" xfId="9851" xr:uid="{FBA3A382-9D98-424C-B6ED-C7A7A29CCEC2}"/>
    <cellStyle name="Normal 32 2 2 6 2" xfId="14057" xr:uid="{6EC45545-F86A-4EB8-A301-7E0A92644B44}"/>
    <cellStyle name="Normal 32 2 2 7" xfId="12028" xr:uid="{0D3B539F-DC3C-4A4A-9CBB-2A29509BC180}"/>
    <cellStyle name="Normal 32 2 3" xfId="7953" xr:uid="{485B3C5B-1748-4502-B734-97BAF7953140}"/>
    <cellStyle name="Normal 32 2 3 2" xfId="8623" xr:uid="{CC2517D3-1682-488E-BE9F-648594BF5705}"/>
    <cellStyle name="Normal 32 2 3 2 2" xfId="10692" xr:uid="{DEDBC855-1250-4054-B42B-2421D15C96F8}"/>
    <cellStyle name="Normal 32 2 3 2 2 2" xfId="14898" xr:uid="{C3E872B6-CBA2-45F1-A9CD-28D675972F66}"/>
    <cellStyle name="Normal 32 2 3 2 3" xfId="12869" xr:uid="{A98E5E50-16C6-45FC-819E-3FFDD65E401F}"/>
    <cellStyle name="Normal 32 2 3 3" xfId="10022" xr:uid="{4D112A70-ACE0-4C0F-B733-E018DF6B4F76}"/>
    <cellStyle name="Normal 32 2 3 3 2" xfId="14228" xr:uid="{573E97D8-A99A-42EE-97BF-39FFC75CD53E}"/>
    <cellStyle name="Normal 32 2 3 4" xfId="12199" xr:uid="{880C736C-9484-4A6F-9F91-4F1D1D84047D}"/>
    <cellStyle name="Normal 32 2 4" xfId="8289" xr:uid="{EFDBABC6-75D6-474C-8FCA-852A69CD824E}"/>
    <cellStyle name="Normal 32 2 4 2" xfId="10358" xr:uid="{4DA4E129-5E91-4883-8E74-158D1CFDCA4C}"/>
    <cellStyle name="Normal 32 2 4 2 2" xfId="14564" xr:uid="{CB076F7C-187B-41D8-AF40-D320CEC68A97}"/>
    <cellStyle name="Normal 32 2 4 3" xfId="12535" xr:uid="{2E53E15F-42CE-4CFD-AF1E-C9646DF886B7}"/>
    <cellStyle name="Normal 32 2 5" xfId="8962" xr:uid="{546E57D1-DE0C-4299-9720-29286C1A69AE}"/>
    <cellStyle name="Normal 32 2 5 2" xfId="11031" xr:uid="{04833271-7B7D-415B-B85E-1BEA27A26307}"/>
    <cellStyle name="Normal 32 2 5 2 2" xfId="15237" xr:uid="{70613295-B934-4B07-A9A6-2156433A12D8}"/>
    <cellStyle name="Normal 32 2 5 3" xfId="13208" xr:uid="{8F6B94C1-4869-4939-8649-96E71BFBDA61}"/>
    <cellStyle name="Normal 32 2 6" xfId="9330" xr:uid="{B87CDF15-9D49-4687-A93D-A293FFC3055C}"/>
    <cellStyle name="Normal 32 2 6 2" xfId="11364" xr:uid="{F50B93A8-70A1-495C-A0D0-417665C1FA46}"/>
    <cellStyle name="Normal 32 2 6 2 2" xfId="15570" xr:uid="{8542BA1E-F7DB-480B-AF51-284C9199F78A}"/>
    <cellStyle name="Normal 32 2 6 3" xfId="13541" xr:uid="{AA4605D5-8F67-42A9-A601-0492E77DBD7C}"/>
    <cellStyle name="Normal 32 2 7" xfId="9688" xr:uid="{CE4201EF-CCD4-469A-83A5-10D8937E0CFA}"/>
    <cellStyle name="Normal 32 2 7 2" xfId="13894" xr:uid="{A8CE688D-D639-42AA-BCC3-6CBCD96F3104}"/>
    <cellStyle name="Normal 32 2 8" xfId="11865" xr:uid="{86253E31-923F-46BE-ADA3-D31EBB437640}"/>
    <cellStyle name="Normal 32 3" xfId="7704" xr:uid="{30DB2A08-3099-48D2-B549-FCBFC676AA85}"/>
    <cellStyle name="Normal 32 3 2" xfId="8075" xr:uid="{AC8130E5-F6F3-44BA-AC39-5B1E05731993}"/>
    <cellStyle name="Normal 32 3 2 2" xfId="8745" xr:uid="{BECBAA6F-5859-47CC-B97F-F39D0C08EA7C}"/>
    <cellStyle name="Normal 32 3 2 2 2" xfId="10814" xr:uid="{ED5B9D70-3EAB-426C-B0F5-13EBEF6BBBFB}"/>
    <cellStyle name="Normal 32 3 2 2 2 2" xfId="15020" xr:uid="{D7DF0866-EDB5-47DB-84AB-5295FA91DC06}"/>
    <cellStyle name="Normal 32 3 2 2 3" xfId="12991" xr:uid="{8D45F11C-E709-4270-B266-8A8446200256}"/>
    <cellStyle name="Normal 32 3 2 3" xfId="10144" xr:uid="{99B441F5-0818-4B56-AC77-1E1D71BC278D}"/>
    <cellStyle name="Normal 32 3 2 3 2" xfId="14350" xr:uid="{556C6475-8F92-4C13-AF79-D759DB0238B3}"/>
    <cellStyle name="Normal 32 3 2 4" xfId="12321" xr:uid="{44AA7AF6-8383-4E0F-8F98-609008AF602F}"/>
    <cellStyle name="Normal 32 3 3" xfId="8411" xr:uid="{42B347CD-8E7C-4B42-8CC4-46A9943F0BA6}"/>
    <cellStyle name="Normal 32 3 3 2" xfId="10480" xr:uid="{43E9C792-6809-4921-9518-9E10296493AC}"/>
    <cellStyle name="Normal 32 3 3 2 2" xfId="14686" xr:uid="{C0ED464C-7D7F-45F4-953F-33346E9C46DE}"/>
    <cellStyle name="Normal 32 3 3 3" xfId="12657" xr:uid="{A2A7212A-75A4-44D4-ADAC-DC8FF54ED4EF}"/>
    <cellStyle name="Normal 32 3 4" xfId="9084" xr:uid="{F0BF4DCA-9EB5-406C-87D9-1328B9555CDB}"/>
    <cellStyle name="Normal 32 3 4 2" xfId="11153" xr:uid="{309C8DD0-2FCB-4F02-B0BB-5DEBCFEC0535}"/>
    <cellStyle name="Normal 32 3 4 2 2" xfId="15359" xr:uid="{E3EE3F4F-3578-484A-B343-54E889E6DC2A}"/>
    <cellStyle name="Normal 32 3 4 3" xfId="13330" xr:uid="{1206D56A-4365-4930-A255-DF2BA19707F9}"/>
    <cellStyle name="Normal 32 3 5" xfId="9452" xr:uid="{7CE77FDA-27EC-4F02-8A84-837A109B700C}"/>
    <cellStyle name="Normal 32 3 5 2" xfId="11486" xr:uid="{CC299D05-7DDD-4AC2-B83A-17B8C86DDD52}"/>
    <cellStyle name="Normal 32 3 5 2 2" xfId="15692" xr:uid="{65B44D26-6885-487A-B0EA-B570DCEB0D74}"/>
    <cellStyle name="Normal 32 3 5 3" xfId="13663" xr:uid="{FBAE34A2-33C1-48D0-B3C6-14422E16F061}"/>
    <cellStyle name="Normal 32 3 6" xfId="9810" xr:uid="{04277503-5695-4A66-9B4E-7D9A72F0ABD0}"/>
    <cellStyle name="Normal 32 3 6 2" xfId="14016" xr:uid="{D259F04D-AA94-43D4-9E5E-AA8D15B74CB7}"/>
    <cellStyle name="Normal 32 3 7" xfId="11987" xr:uid="{392AA102-E1A2-45D1-88A3-EF756CD57966}"/>
    <cellStyle name="Normal 32 4" xfId="7912" xr:uid="{160E15D6-1B52-4E61-9B70-47944B3410C7}"/>
    <cellStyle name="Normal 32 4 2" xfId="8582" xr:uid="{E9197599-0A80-4D44-82F8-1E1C3068B55A}"/>
    <cellStyle name="Normal 32 4 2 2" xfId="10651" xr:uid="{7D3371E6-FE9B-4BF1-8F74-659953D971D7}"/>
    <cellStyle name="Normal 32 4 2 2 2" xfId="14857" xr:uid="{960660B3-B54A-4779-9F26-DA5282E9340D}"/>
    <cellStyle name="Normal 32 4 2 3" xfId="12828" xr:uid="{25F3DBBE-524D-4386-BE9C-D579250ED6F2}"/>
    <cellStyle name="Normal 32 4 3" xfId="9981" xr:uid="{2CC45164-3F67-4570-8A05-15008565A7FA}"/>
    <cellStyle name="Normal 32 4 3 2" xfId="14187" xr:uid="{C52701C4-30AE-48D0-947B-2E7CD98D1026}"/>
    <cellStyle name="Normal 32 4 4" xfId="12158" xr:uid="{C609CDA2-159B-4841-92A0-B0DB2168BC75}"/>
    <cellStyle name="Normal 32 5" xfId="8248" xr:uid="{114CB353-511C-4272-A950-CCEC0C35305B}"/>
    <cellStyle name="Normal 32 5 2" xfId="10317" xr:uid="{694F172E-0CE3-48D9-AE25-251331BF76C8}"/>
    <cellStyle name="Normal 32 5 2 2" xfId="14523" xr:uid="{FBDB73D9-414D-4919-BF8D-BEDA7460468E}"/>
    <cellStyle name="Normal 32 5 3" xfId="12494" xr:uid="{EE3BDCA8-5103-4B2F-8878-D55F3F029835}"/>
    <cellStyle name="Normal 32 6" xfId="8921" xr:uid="{09D8A5BE-E19E-43EA-AD05-A24D968A0EF8}"/>
    <cellStyle name="Normal 32 6 2" xfId="10990" xr:uid="{C2838B4A-C0FE-4F0C-959C-15EB8DB0A6AA}"/>
    <cellStyle name="Normal 32 6 2 2" xfId="15196" xr:uid="{38A3ABEB-F9F7-49D7-93BB-34731AB0C73A}"/>
    <cellStyle name="Normal 32 6 3" xfId="13167" xr:uid="{CAA872F4-6F7D-4A6F-89D8-240BF7A5BACD}"/>
    <cellStyle name="Normal 32 7" xfId="9288" xr:uid="{6690A00A-0CFD-48AE-94D2-DD40D7D2D29A}"/>
    <cellStyle name="Normal 32 7 2" xfId="11323" xr:uid="{A49A2A05-1A4B-40E2-925F-788487D80AEE}"/>
    <cellStyle name="Normal 32 7 2 2" xfId="15529" xr:uid="{70BAEAFC-7122-42BD-B614-CA4D7BD144C7}"/>
    <cellStyle name="Normal 32 7 3" xfId="13500" xr:uid="{00821C09-BE85-4B97-9700-944F7E3CAC9D}"/>
    <cellStyle name="Normal 32 8" xfId="9647" xr:uid="{E988D4E7-0CB0-43AD-9D0E-B944AB015ECB}"/>
    <cellStyle name="Normal 32 8 2" xfId="13853" xr:uid="{BB358781-5CD2-4F97-9AC9-AE7A0E3FE48A}"/>
    <cellStyle name="Normal 32 9" xfId="11823" xr:uid="{B874AA2E-69CE-47F8-BD82-94B584CA3DA8}"/>
    <cellStyle name="Normal 33" xfId="7503" xr:uid="{C3C413B3-BB2A-417B-A2D2-EA99D6A0E246}"/>
    <cellStyle name="Normal 33 2" xfId="7546" xr:uid="{D82C25D1-FE1E-45F2-AC0C-E3DB2414E89B}"/>
    <cellStyle name="Normal 33 2 2" xfId="7746" xr:uid="{200E8B03-978D-4E38-A641-172A70766CA8}"/>
    <cellStyle name="Normal 33 2 2 2" xfId="8117" xr:uid="{D5EE7AA3-AF9A-4E79-8BE8-B5CC609DFC09}"/>
    <cellStyle name="Normal 33 2 2 2 2" xfId="8787" xr:uid="{FDAEFDF4-8095-4BB1-A38C-E2EEB5FC012C}"/>
    <cellStyle name="Normal 33 2 2 2 2 2" xfId="10856" xr:uid="{CEBD7CA8-41C1-46EF-8E5B-B551C9E8A63B}"/>
    <cellStyle name="Normal 33 2 2 2 2 2 2" xfId="15062" xr:uid="{AE341EE3-063C-4E62-A9E5-25598DF2E5F6}"/>
    <cellStyle name="Normal 33 2 2 2 2 3" xfId="13033" xr:uid="{6EA2C8B1-7D11-406F-BFB3-132A08B7B83F}"/>
    <cellStyle name="Normal 33 2 2 2 3" xfId="10186" xr:uid="{4F3990E7-04AC-48E6-9BF1-E1294A6B6AF7}"/>
    <cellStyle name="Normal 33 2 2 2 3 2" xfId="14392" xr:uid="{1B5105F0-CBE1-4746-89A9-B1C69AE3D2A7}"/>
    <cellStyle name="Normal 33 2 2 2 4" xfId="12363" xr:uid="{9303E42F-9FA8-45E9-AAE1-3D3D94DECFBC}"/>
    <cellStyle name="Normal 33 2 2 3" xfId="8453" xr:uid="{DAA9999F-147A-44D0-85AE-5CAEDFF5E41A}"/>
    <cellStyle name="Normal 33 2 2 3 2" xfId="10522" xr:uid="{0DEF99B0-ADA7-41A5-BAC3-F6B761D5F530}"/>
    <cellStyle name="Normal 33 2 2 3 2 2" xfId="14728" xr:uid="{09098723-9E28-4BB4-BBF0-D1E9430668B4}"/>
    <cellStyle name="Normal 33 2 2 3 3" xfId="12699" xr:uid="{B2E37271-166D-4C70-8EE4-4D10692D8E8A}"/>
    <cellStyle name="Normal 33 2 2 4" xfId="9126" xr:uid="{B622515E-D419-4E8F-88F7-F250269C1983}"/>
    <cellStyle name="Normal 33 2 2 4 2" xfId="11195" xr:uid="{ECD20B38-D5A2-4EAF-8E43-9BD71AB0F245}"/>
    <cellStyle name="Normal 33 2 2 4 2 2" xfId="15401" xr:uid="{A944A9A5-FA32-417C-904D-18F22051E978}"/>
    <cellStyle name="Normal 33 2 2 4 3" xfId="13372" xr:uid="{98150F98-BAF7-43DB-800C-5E513AC85769}"/>
    <cellStyle name="Normal 33 2 2 5" xfId="9494" xr:uid="{3BFB0ABC-022A-4C96-B502-5A8A685B09CF}"/>
    <cellStyle name="Normal 33 2 2 5 2" xfId="11528" xr:uid="{E99AB2CA-EF32-4DAE-AA2A-37526F44E59B}"/>
    <cellStyle name="Normal 33 2 2 5 2 2" xfId="15734" xr:uid="{DB983DFF-6B97-4303-A69C-32F58263D760}"/>
    <cellStyle name="Normal 33 2 2 5 3" xfId="13705" xr:uid="{36A48832-8994-4A2D-8934-34B9EBD9B929}"/>
    <cellStyle name="Normal 33 2 2 6" xfId="9852" xr:uid="{187A6AF3-FA7A-4B29-A4AB-17542EA8C5F4}"/>
    <cellStyle name="Normal 33 2 2 6 2" xfId="14058" xr:uid="{897E98A8-3FFD-4B03-A420-986F59A2DAD1}"/>
    <cellStyle name="Normal 33 2 2 7" xfId="12029" xr:uid="{9F87455C-B952-42CC-A87A-23A7834A667D}"/>
    <cellStyle name="Normal 33 2 3" xfId="7954" xr:uid="{4FEEE8E4-EBB2-4E18-B281-8CF24D584794}"/>
    <cellStyle name="Normal 33 2 3 2" xfId="8624" xr:uid="{B7D8EBAE-C48E-4EC7-8772-41095270220B}"/>
    <cellStyle name="Normal 33 2 3 2 2" xfId="10693" xr:uid="{B36721C1-CD91-490B-888A-670FAF4D6750}"/>
    <cellStyle name="Normal 33 2 3 2 2 2" xfId="14899" xr:uid="{F129E136-DD26-46A2-A21A-D7D00AAA9622}"/>
    <cellStyle name="Normal 33 2 3 2 3" xfId="12870" xr:uid="{6FF021C7-B778-4CBD-B5EE-07B3891BA1E8}"/>
    <cellStyle name="Normal 33 2 3 3" xfId="10023" xr:uid="{C64AAC69-FF2A-4777-B725-1540F36CDC00}"/>
    <cellStyle name="Normal 33 2 3 3 2" xfId="14229" xr:uid="{6610D637-6161-40C6-9DF8-8687E2F5E688}"/>
    <cellStyle name="Normal 33 2 3 4" xfId="12200" xr:uid="{1D26599D-3B45-40E4-BA00-43F9827D936D}"/>
    <cellStyle name="Normal 33 2 4" xfId="8290" xr:uid="{7581A883-3F9D-488F-805B-8366C0FB49C6}"/>
    <cellStyle name="Normal 33 2 4 2" xfId="10359" xr:uid="{1A119969-60D6-4F90-8050-940198FFDAC6}"/>
    <cellStyle name="Normal 33 2 4 2 2" xfId="14565" xr:uid="{7AFDE34F-83CE-40D6-8FB7-59A81E6F759E}"/>
    <cellStyle name="Normal 33 2 4 3" xfId="12536" xr:uid="{FC7C5679-D1EE-41FD-830F-1B0933671B84}"/>
    <cellStyle name="Normal 33 2 5" xfId="8963" xr:uid="{69463566-3ED4-4DD4-A5DA-3D9C45B62F77}"/>
    <cellStyle name="Normal 33 2 5 2" xfId="11032" xr:uid="{DB756DDC-F7FD-456B-A8CE-A0C82A48563C}"/>
    <cellStyle name="Normal 33 2 5 2 2" xfId="15238" xr:uid="{D857DC03-BE8C-4C03-852D-2CD0423DE078}"/>
    <cellStyle name="Normal 33 2 5 3" xfId="13209" xr:uid="{21EFEA7B-C371-4C4A-A710-7A6ADFA8C982}"/>
    <cellStyle name="Normal 33 2 6" xfId="9331" xr:uid="{43F87531-7E97-4005-B999-6DDA9DD28211}"/>
    <cellStyle name="Normal 33 2 6 2" xfId="11365" xr:uid="{ABB625BC-EFB7-408F-A9BF-BD490275715E}"/>
    <cellStyle name="Normal 33 2 6 2 2" xfId="15571" xr:uid="{9C93435C-0774-454D-85E3-302778EBCC20}"/>
    <cellStyle name="Normal 33 2 6 3" xfId="13542" xr:uid="{1B6507FD-6DEF-48F5-BA06-6A4A288201B9}"/>
    <cellStyle name="Normal 33 2 7" xfId="9689" xr:uid="{29B7A841-F685-4130-AF59-4E81EA3E238F}"/>
    <cellStyle name="Normal 33 2 7 2" xfId="13895" xr:uid="{9E5263E9-32FD-4C55-9450-BDF3E81EE29E}"/>
    <cellStyle name="Normal 33 2 8" xfId="11866" xr:uid="{216B8375-AD0F-4E7F-8CEF-C3F7D4A86F30}"/>
    <cellStyle name="Normal 33 3" xfId="7705" xr:uid="{73056117-618E-4CFB-99A0-2B0CBE04C296}"/>
    <cellStyle name="Normal 33 3 2" xfId="8076" xr:uid="{89421A7D-ED47-469D-B787-BB87013D45EB}"/>
    <cellStyle name="Normal 33 3 2 2" xfId="8746" xr:uid="{90CD2FE4-61A9-4794-A5FF-BB81636BA2AE}"/>
    <cellStyle name="Normal 33 3 2 2 2" xfId="10815" xr:uid="{DE421BC5-1F72-49A6-9808-342EBA346C9C}"/>
    <cellStyle name="Normal 33 3 2 2 2 2" xfId="15021" xr:uid="{5E5D921C-2F99-46E2-96B5-5B3FA4503286}"/>
    <cellStyle name="Normal 33 3 2 2 3" xfId="12992" xr:uid="{2CB7C01B-B307-4EEF-9C24-9BC34FD196C7}"/>
    <cellStyle name="Normal 33 3 2 3" xfId="10145" xr:uid="{03BAB44C-6AC9-4D71-A750-B4C7ED196147}"/>
    <cellStyle name="Normal 33 3 2 3 2" xfId="14351" xr:uid="{ACA3B666-C52B-435D-B3ED-DEA53408DB29}"/>
    <cellStyle name="Normal 33 3 2 4" xfId="12322" xr:uid="{B35D23A2-985D-4884-AE55-57BA614EC340}"/>
    <cellStyle name="Normal 33 3 3" xfId="8412" xr:uid="{4793C291-CD71-4E48-989E-DAD76FCEF14A}"/>
    <cellStyle name="Normal 33 3 3 2" xfId="10481" xr:uid="{680B42FE-9104-4A50-8AE3-2853BDECAC7F}"/>
    <cellStyle name="Normal 33 3 3 2 2" xfId="14687" xr:uid="{0039165F-0A1B-4AE2-B42D-3B70604AE31D}"/>
    <cellStyle name="Normal 33 3 3 3" xfId="12658" xr:uid="{4A749FB6-64C6-4D84-8665-9CE139BB05CA}"/>
    <cellStyle name="Normal 33 3 4" xfId="9085" xr:uid="{C7EA84F5-8FC8-4EC5-B52B-87EB20646E1C}"/>
    <cellStyle name="Normal 33 3 4 2" xfId="11154" xr:uid="{E5A49093-3CA5-479B-B5F5-B39329497378}"/>
    <cellStyle name="Normal 33 3 4 2 2" xfId="15360" xr:uid="{A083E2DA-0546-43C9-9C99-88CE3349B926}"/>
    <cellStyle name="Normal 33 3 4 3" xfId="13331" xr:uid="{398004BF-7E97-48D1-9C52-E3C3DDB9AD88}"/>
    <cellStyle name="Normal 33 3 5" xfId="9453" xr:uid="{6AB29F03-2239-44D7-BE21-548D740B99CF}"/>
    <cellStyle name="Normal 33 3 5 2" xfId="11487" xr:uid="{6280F0CD-689E-4972-BC7F-A178FAEA90C2}"/>
    <cellStyle name="Normal 33 3 5 2 2" xfId="15693" xr:uid="{F7D7C4EA-A8C0-4998-9BD0-B9EF8D975AD7}"/>
    <cellStyle name="Normal 33 3 5 3" xfId="13664" xr:uid="{C4982C48-495D-4A1F-BA24-54902EB66A12}"/>
    <cellStyle name="Normal 33 3 6" xfId="9811" xr:uid="{4F3E6A35-D948-4004-BD68-D5B96DFD4104}"/>
    <cellStyle name="Normal 33 3 6 2" xfId="14017" xr:uid="{FE3D1621-D72F-488F-92BA-384B5A02052B}"/>
    <cellStyle name="Normal 33 3 7" xfId="11988" xr:uid="{3C8C6864-6B1D-46B9-9A84-A00142408058}"/>
    <cellStyle name="Normal 33 4" xfId="7913" xr:uid="{008539C1-2EEC-406C-B7BF-A4676A5CA46E}"/>
    <cellStyle name="Normal 33 4 2" xfId="8583" xr:uid="{5DADFD21-A7C8-4B81-92AA-AF47B817DC82}"/>
    <cellStyle name="Normal 33 4 2 2" xfId="10652" xr:uid="{33208370-4EFC-4B1F-A553-FC53D44BE66C}"/>
    <cellStyle name="Normal 33 4 2 2 2" xfId="14858" xr:uid="{39DF010A-7B7A-4B4B-A1F0-7A7D76D5BC8A}"/>
    <cellStyle name="Normal 33 4 2 3" xfId="12829" xr:uid="{94537E51-77CC-4C73-975B-D20C19608DB0}"/>
    <cellStyle name="Normal 33 4 3" xfId="9982" xr:uid="{94DEE5F9-EA68-42A3-8907-C2959865E4CD}"/>
    <cellStyle name="Normal 33 4 3 2" xfId="14188" xr:uid="{5C9B5110-CC53-4233-BA04-050287E72AA9}"/>
    <cellStyle name="Normal 33 4 4" xfId="12159" xr:uid="{84BBCD15-576E-4297-9224-FD786A101D5C}"/>
    <cellStyle name="Normal 33 5" xfId="8249" xr:uid="{2613FF4B-90AF-4A02-B75F-C742C77B7084}"/>
    <cellStyle name="Normal 33 5 2" xfId="10318" xr:uid="{2070D71C-9B38-4391-9EF4-71F30680B414}"/>
    <cellStyle name="Normal 33 5 2 2" xfId="14524" xr:uid="{8E65C14C-38C1-40C9-9CBF-4AC7CFE77BF6}"/>
    <cellStyle name="Normal 33 5 3" xfId="12495" xr:uid="{DB3F5FF0-D76F-4660-AE37-26ED07FCE02A}"/>
    <cellStyle name="Normal 33 6" xfId="8922" xr:uid="{9C278606-C7FC-4728-99BE-A4EBA925A854}"/>
    <cellStyle name="Normal 33 6 2" xfId="10991" xr:uid="{995656A6-CF75-4E2B-8C00-B32663EEE39F}"/>
    <cellStyle name="Normal 33 6 2 2" xfId="15197" xr:uid="{4BA36CA8-E30E-4BB3-A3C5-50205BE5D6DE}"/>
    <cellStyle name="Normal 33 6 3" xfId="13168" xr:uid="{774ED0B8-5EEE-47F3-AECD-0C9C2132C898}"/>
    <cellStyle name="Normal 33 7" xfId="9289" xr:uid="{1339B8FC-4708-4024-8F19-ADE8155F1E57}"/>
    <cellStyle name="Normal 33 7 2" xfId="11324" xr:uid="{24E2BBDA-8BC3-4283-9D3A-403A447295AA}"/>
    <cellStyle name="Normal 33 7 2 2" xfId="15530" xr:uid="{E27A5091-BF84-4C78-B383-C09D5DDDEC14}"/>
    <cellStyle name="Normal 33 7 3" xfId="13501" xr:uid="{191D7B16-734E-45C1-BCAD-F4523008E0F3}"/>
    <cellStyle name="Normal 33 8" xfId="9648" xr:uid="{7B5D1ED5-A52C-41DD-99FF-4DBFCA9B4C30}"/>
    <cellStyle name="Normal 33 8 2" xfId="13854" xr:uid="{7D64F608-54B6-4DCA-B88E-168F4CDB1FFA}"/>
    <cellStyle name="Normal 33 9" xfId="11824" xr:uid="{8857CA9A-7C2C-4D6B-B3E9-719A6938BBE3}"/>
    <cellStyle name="Normal 34" xfId="7504" xr:uid="{CDF6092F-8A36-435E-B430-4BFFDCA6F611}"/>
    <cellStyle name="Normal 34 2" xfId="7547" xr:uid="{12CE388D-08B7-4BD6-8B6A-BF76BEAECED1}"/>
    <cellStyle name="Normal 34 2 2" xfId="7747" xr:uid="{5CFBBAD1-3B1A-4FB0-B608-20AAF3BEF433}"/>
    <cellStyle name="Normal 34 2 2 2" xfId="8118" xr:uid="{5C29ED55-B5DD-4A18-8BA5-D8450CF67F22}"/>
    <cellStyle name="Normal 34 2 2 2 2" xfId="8788" xr:uid="{F3CC9F91-ADF1-4DE3-937E-CEC40BD9AEEF}"/>
    <cellStyle name="Normal 34 2 2 2 2 2" xfId="10857" xr:uid="{F24999CD-1E35-42E5-8847-65613144089C}"/>
    <cellStyle name="Normal 34 2 2 2 2 2 2" xfId="15063" xr:uid="{F5AFDDC9-C080-4F4B-88AA-19448FE67515}"/>
    <cellStyle name="Normal 34 2 2 2 2 3" xfId="13034" xr:uid="{EA2BE0F2-F5D3-4671-AE6B-F188304DA884}"/>
    <cellStyle name="Normal 34 2 2 2 3" xfId="10187" xr:uid="{A41DBE57-38CA-4E29-8D81-2EAB0D2C955C}"/>
    <cellStyle name="Normal 34 2 2 2 3 2" xfId="14393" xr:uid="{DA26CF3B-4D15-438B-A11F-2FED24B5FBCA}"/>
    <cellStyle name="Normal 34 2 2 2 4" xfId="12364" xr:uid="{60322919-E8B2-41BD-A645-A40B6DCD3C6F}"/>
    <cellStyle name="Normal 34 2 2 3" xfId="8454" xr:uid="{2DFCAA37-E8CE-41E9-A465-6203F1BE9E46}"/>
    <cellStyle name="Normal 34 2 2 3 2" xfId="10523" xr:uid="{FF9D5F75-ACD1-4D30-AEE0-8B18FDCD6555}"/>
    <cellStyle name="Normal 34 2 2 3 2 2" xfId="14729" xr:uid="{21C72C90-2D79-48E7-8605-903351AB5B01}"/>
    <cellStyle name="Normal 34 2 2 3 3" xfId="12700" xr:uid="{621ECC46-5F6E-4E26-A8B5-9EDED3FBB8B0}"/>
    <cellStyle name="Normal 34 2 2 4" xfId="9127" xr:uid="{F1E76082-5A31-417E-8E16-10FBE59A5ABA}"/>
    <cellStyle name="Normal 34 2 2 4 2" xfId="11196" xr:uid="{41B09FE8-D93C-4C54-BF2A-B57530BEB062}"/>
    <cellStyle name="Normal 34 2 2 4 2 2" xfId="15402" xr:uid="{797B0BA5-A0CF-42D4-A2F0-AD632608B3F4}"/>
    <cellStyle name="Normal 34 2 2 4 3" xfId="13373" xr:uid="{F2808DFA-55B0-41A1-9750-CF6A1941F7FC}"/>
    <cellStyle name="Normal 34 2 2 5" xfId="9495" xr:uid="{0BACF6D0-F587-4BBD-93F8-71A1B4BD105A}"/>
    <cellStyle name="Normal 34 2 2 5 2" xfId="11529" xr:uid="{207E9507-0B65-4EA1-94BB-1D6DDAA98363}"/>
    <cellStyle name="Normal 34 2 2 5 2 2" xfId="15735" xr:uid="{38121FDE-C3C8-4F8F-A50A-421F4053CF1A}"/>
    <cellStyle name="Normal 34 2 2 5 3" xfId="13706" xr:uid="{4724C95B-A0CF-4618-BEE5-50FBDF38A9FF}"/>
    <cellStyle name="Normal 34 2 2 6" xfId="9853" xr:uid="{E818A615-55D0-4EBF-A158-A93FEF445FBB}"/>
    <cellStyle name="Normal 34 2 2 6 2" xfId="14059" xr:uid="{6DDB244E-D4C0-4E61-8FFB-ED2AAE7F4A4C}"/>
    <cellStyle name="Normal 34 2 2 7" xfId="12030" xr:uid="{74B904C1-78F3-4F5F-BA36-4CD52F1D44A5}"/>
    <cellStyle name="Normal 34 2 3" xfId="7955" xr:uid="{0E75C9EF-E654-4FD0-9AEA-7E44EE2EFFBF}"/>
    <cellStyle name="Normal 34 2 3 2" xfId="8625" xr:uid="{C25BD370-57E5-459B-82A7-534B7F2E321E}"/>
    <cellStyle name="Normal 34 2 3 2 2" xfId="10694" xr:uid="{994B0FAA-F6C6-4132-AEDB-D4A0A61CD773}"/>
    <cellStyle name="Normal 34 2 3 2 2 2" xfId="14900" xr:uid="{1BFEE320-7A3D-4F93-93FC-046129C94402}"/>
    <cellStyle name="Normal 34 2 3 2 3" xfId="12871" xr:uid="{46A0FED7-2DE9-4731-AC6E-091A2A4CBDB3}"/>
    <cellStyle name="Normal 34 2 3 3" xfId="10024" xr:uid="{A61BCA4F-0CFC-4033-8753-C3C1147254D5}"/>
    <cellStyle name="Normal 34 2 3 3 2" xfId="14230" xr:uid="{0BF2D209-7A41-4949-B6E8-BC36FD7876B8}"/>
    <cellStyle name="Normal 34 2 3 4" xfId="12201" xr:uid="{44E4782A-656C-4318-9C37-596EC72B6499}"/>
    <cellStyle name="Normal 34 2 4" xfId="8291" xr:uid="{104CB6A7-9E12-496B-9FC2-DFCB007034D6}"/>
    <cellStyle name="Normal 34 2 4 2" xfId="10360" xr:uid="{266A7880-766A-4060-8B60-E065EEFF8E8F}"/>
    <cellStyle name="Normal 34 2 4 2 2" xfId="14566" xr:uid="{9804D169-DFD0-402A-AD81-F5EDF78E2D2C}"/>
    <cellStyle name="Normal 34 2 4 3" xfId="12537" xr:uid="{E7046CB3-8197-47DF-9414-9B4FCD45C38F}"/>
    <cellStyle name="Normal 34 2 5" xfId="8964" xr:uid="{5BCFD3F8-4347-4A91-A34A-AE2FF391938A}"/>
    <cellStyle name="Normal 34 2 5 2" xfId="11033" xr:uid="{342AD039-19F8-4F32-9D87-010EAEFB9C3D}"/>
    <cellStyle name="Normal 34 2 5 2 2" xfId="15239" xr:uid="{B86EF389-440B-4EBE-B254-D7CF90400AA1}"/>
    <cellStyle name="Normal 34 2 5 3" xfId="13210" xr:uid="{39B18B95-4863-46C7-BE61-3C5C98B59B1F}"/>
    <cellStyle name="Normal 34 2 6" xfId="9332" xr:uid="{11DC12C8-F6B4-4B47-A216-F50E4ABCCBAB}"/>
    <cellStyle name="Normal 34 2 6 2" xfId="11366" xr:uid="{13A3D0ED-B2D3-455E-9D22-38C72255D9B6}"/>
    <cellStyle name="Normal 34 2 6 2 2" xfId="15572" xr:uid="{67BE93E5-F7C2-4ABA-AABF-02033B706F8B}"/>
    <cellStyle name="Normal 34 2 6 3" xfId="13543" xr:uid="{3604D3BA-CE40-4362-B5DA-9085327B4299}"/>
    <cellStyle name="Normal 34 2 7" xfId="9690" xr:uid="{56DC0B73-DC86-4C1A-91CB-E519BA7726DD}"/>
    <cellStyle name="Normal 34 2 7 2" xfId="13896" xr:uid="{4AD3EA9F-1A6D-41C1-A7E6-28610DD1FD49}"/>
    <cellStyle name="Normal 34 2 8" xfId="11867" xr:uid="{AF84B584-D5EA-4F3B-9918-CD6B74DB4278}"/>
    <cellStyle name="Normal 34 3" xfId="7706" xr:uid="{DF08C3A5-741D-4D5E-8B1B-1E775217A21F}"/>
    <cellStyle name="Normal 34 3 2" xfId="8077" xr:uid="{0467E438-66FF-428A-98E7-CB904DCC566B}"/>
    <cellStyle name="Normal 34 3 2 2" xfId="8747" xr:uid="{4F96DF56-4A42-4C10-A28D-497E2D246CA8}"/>
    <cellStyle name="Normal 34 3 2 2 2" xfId="10816" xr:uid="{065388B1-C3C2-421D-9D8F-E86EF3E2B4B9}"/>
    <cellStyle name="Normal 34 3 2 2 2 2" xfId="15022" xr:uid="{F84D5FEB-3037-465C-A16A-C4BD1C0FD68F}"/>
    <cellStyle name="Normal 34 3 2 2 3" xfId="12993" xr:uid="{32B0052F-A39A-429B-94FA-5AF444536A45}"/>
    <cellStyle name="Normal 34 3 2 3" xfId="10146" xr:uid="{6C70E738-C735-4B4B-B101-BD90CDC5E5A2}"/>
    <cellStyle name="Normal 34 3 2 3 2" xfId="14352" xr:uid="{8D2EC975-ACFC-418E-B7E0-878FB7CE6918}"/>
    <cellStyle name="Normal 34 3 2 4" xfId="12323" xr:uid="{40EE6EF5-0057-418B-BCD9-FFD4BA9FB9F4}"/>
    <cellStyle name="Normal 34 3 3" xfId="8413" xr:uid="{7B7B6F46-4693-4663-9373-BBAD131673BB}"/>
    <cellStyle name="Normal 34 3 3 2" xfId="10482" xr:uid="{678A3B7F-1264-46DC-9C00-D8BE2932C246}"/>
    <cellStyle name="Normal 34 3 3 2 2" xfId="14688" xr:uid="{4BB982BD-DB06-4467-925E-AC2E3BCEC0A6}"/>
    <cellStyle name="Normal 34 3 3 3" xfId="12659" xr:uid="{E81B6529-8FA3-4B14-97F2-919E1E8472B1}"/>
    <cellStyle name="Normal 34 3 4" xfId="9086" xr:uid="{81CC3F85-EC28-4DC8-B7DB-EFB2797BD782}"/>
    <cellStyle name="Normal 34 3 4 2" xfId="11155" xr:uid="{18D492BE-2220-4D07-B3BA-CA0ECBE579A8}"/>
    <cellStyle name="Normal 34 3 4 2 2" xfId="15361" xr:uid="{F5EE9FC6-E1D5-413B-9D37-902485EE7819}"/>
    <cellStyle name="Normal 34 3 4 3" xfId="13332" xr:uid="{C9E4C4AA-66DB-46A6-AE86-F49665DFDDBA}"/>
    <cellStyle name="Normal 34 3 5" xfId="9454" xr:uid="{A65A64A8-D72F-4268-A2A6-43EF16867837}"/>
    <cellStyle name="Normal 34 3 5 2" xfId="11488" xr:uid="{D40D7578-1E24-4767-9447-8F6A13990776}"/>
    <cellStyle name="Normal 34 3 5 2 2" xfId="15694" xr:uid="{FFB07154-10F8-4F08-BBE7-0869FE1C98D5}"/>
    <cellStyle name="Normal 34 3 5 3" xfId="13665" xr:uid="{7B605B19-C131-4B02-B5D0-AC3AAD286DA0}"/>
    <cellStyle name="Normal 34 3 6" xfId="9812" xr:uid="{A2F11655-49B2-45BD-9471-16317ECD93C3}"/>
    <cellStyle name="Normal 34 3 6 2" xfId="14018" xr:uid="{983D1DAB-0CB0-49E2-97DF-A1A5770A5797}"/>
    <cellStyle name="Normal 34 3 7" xfId="11989" xr:uid="{0E700EEA-50DC-4B74-96BE-3B8FFBDF7F4D}"/>
    <cellStyle name="Normal 34 4" xfId="7914" xr:uid="{E93DD322-0198-4CCB-AA05-A7FDFDA03F7B}"/>
    <cellStyle name="Normal 34 4 2" xfId="8584" xr:uid="{64B54241-593B-46E4-A32D-61C585F89E49}"/>
    <cellStyle name="Normal 34 4 2 2" xfId="10653" xr:uid="{535BCF74-1E57-48AD-BC4E-8530C8FD6C03}"/>
    <cellStyle name="Normal 34 4 2 2 2" xfId="14859" xr:uid="{E2E829E5-2C2E-4F17-A2C5-96712B101BCA}"/>
    <cellStyle name="Normal 34 4 2 3" xfId="12830" xr:uid="{A9558196-568E-4D27-8526-4B65DAAB1A57}"/>
    <cellStyle name="Normal 34 4 3" xfId="9983" xr:uid="{7F22ADD6-E7A4-42EB-8D12-9F00783125C9}"/>
    <cellStyle name="Normal 34 4 3 2" xfId="14189" xr:uid="{7AA793B1-64BF-4DE2-A131-0ADEAD29AEDD}"/>
    <cellStyle name="Normal 34 4 4" xfId="12160" xr:uid="{FD887D51-CBB5-4F56-9744-486FEB964A83}"/>
    <cellStyle name="Normal 34 5" xfId="8250" xr:uid="{A2925FE6-4E32-4D7D-9655-32DD135AF839}"/>
    <cellStyle name="Normal 34 5 2" xfId="10319" xr:uid="{3785DFEF-3CDC-4711-A4CB-6A174D24A379}"/>
    <cellStyle name="Normal 34 5 2 2" xfId="14525" xr:uid="{51C73076-A937-4A83-864F-4586EF9D1442}"/>
    <cellStyle name="Normal 34 5 3" xfId="12496" xr:uid="{47DACCE8-CBEA-409F-A29D-3018F02DA7AC}"/>
    <cellStyle name="Normal 34 6" xfId="8923" xr:uid="{F27C9818-B443-436B-9C8A-A4B6C3813526}"/>
    <cellStyle name="Normal 34 6 2" xfId="10992" xr:uid="{4190FD80-B257-4AE0-9D69-8544C29566F1}"/>
    <cellStyle name="Normal 34 6 2 2" xfId="15198" xr:uid="{ACAE8C05-96AA-40A0-BBE1-04555BD6FC76}"/>
    <cellStyle name="Normal 34 6 3" xfId="13169" xr:uid="{B5A8CED9-D1BD-4B50-99DD-48C79BFCB284}"/>
    <cellStyle name="Normal 34 7" xfId="9290" xr:uid="{B2DB7ADC-B3A0-4294-8399-3338B02A5968}"/>
    <cellStyle name="Normal 34 7 2" xfId="11325" xr:uid="{76B02721-8027-4982-8105-FF34C2CCE0A8}"/>
    <cellStyle name="Normal 34 7 2 2" xfId="15531" xr:uid="{BC8A7067-52FF-412B-8006-DC8FAB4AE7DA}"/>
    <cellStyle name="Normal 34 7 3" xfId="13502" xr:uid="{94B8F464-0134-4C24-A053-9537DFA63F1B}"/>
    <cellStyle name="Normal 34 8" xfId="9649" xr:uid="{B7C23E9A-B32C-49FF-8540-E4B3216CF4C7}"/>
    <cellStyle name="Normal 34 8 2" xfId="13855" xr:uid="{3E6403DC-2E67-4B9E-8D30-4D09ACA8A70D}"/>
    <cellStyle name="Normal 34 9" xfId="11825" xr:uid="{86B3A9C2-57CA-4035-B382-2C37B20A9074}"/>
    <cellStyle name="Normal 35" xfId="7505" xr:uid="{BD13B59B-0A32-48B6-87F3-A9724B52CEA2}"/>
    <cellStyle name="Normal 35 2" xfId="7548" xr:uid="{B5AEA263-6447-4BDF-9C0E-1677F78A41F1}"/>
    <cellStyle name="Normal 35 2 2" xfId="7748" xr:uid="{EED1ABB1-86B8-44C4-9A5B-1F28AD6D24FF}"/>
    <cellStyle name="Normal 35 2 2 2" xfId="8119" xr:uid="{32F9E8B6-B090-45D7-95FA-096AD59B340D}"/>
    <cellStyle name="Normal 35 2 2 2 2" xfId="8789" xr:uid="{AEB1700C-467F-4677-AFD7-736057228124}"/>
    <cellStyle name="Normal 35 2 2 2 2 2" xfId="10858" xr:uid="{648BAFF6-3B52-429D-BFDF-891BF1CE13BF}"/>
    <cellStyle name="Normal 35 2 2 2 2 2 2" xfId="15064" xr:uid="{FD836091-6A53-4E81-9AC4-9FF54F7031F5}"/>
    <cellStyle name="Normal 35 2 2 2 2 3" xfId="13035" xr:uid="{C143727A-08A4-479F-8B5C-C04FC2F750EF}"/>
    <cellStyle name="Normal 35 2 2 2 3" xfId="10188" xr:uid="{A17EEBAC-0C06-4248-A958-51AE29BD7962}"/>
    <cellStyle name="Normal 35 2 2 2 3 2" xfId="14394" xr:uid="{FDF3C6C1-4348-48BC-A7E2-8CA6D6F906C2}"/>
    <cellStyle name="Normal 35 2 2 2 4" xfId="12365" xr:uid="{CBFC3E31-746A-4D16-85A5-4C3CF18D2A46}"/>
    <cellStyle name="Normal 35 2 2 3" xfId="8455" xr:uid="{C8112BBF-ECA5-40B5-9FE4-AFB49E93C5AB}"/>
    <cellStyle name="Normal 35 2 2 3 2" xfId="10524" xr:uid="{3FDA4233-6AC9-4112-B5C4-EBCA9EE33486}"/>
    <cellStyle name="Normal 35 2 2 3 2 2" xfId="14730" xr:uid="{E1149805-1156-44E5-9BFE-94784F6C477D}"/>
    <cellStyle name="Normal 35 2 2 3 3" xfId="12701" xr:uid="{FF4269C2-3652-4984-88B0-50D24A941B69}"/>
    <cellStyle name="Normal 35 2 2 4" xfId="9128" xr:uid="{2BDB5C85-D530-4508-B196-35FB0C326291}"/>
    <cellStyle name="Normal 35 2 2 4 2" xfId="11197" xr:uid="{819F39B4-CBE3-4698-BB3D-F5098FC07501}"/>
    <cellStyle name="Normal 35 2 2 4 2 2" xfId="15403" xr:uid="{1BF8ED30-9AE6-43E6-AD2F-4D58F65BA644}"/>
    <cellStyle name="Normal 35 2 2 4 3" xfId="13374" xr:uid="{29F72B15-49E8-417D-AEDC-CE87B7D8D558}"/>
    <cellStyle name="Normal 35 2 2 5" xfId="9496" xr:uid="{524553D5-F73B-4D6A-9C55-10489B8583BE}"/>
    <cellStyle name="Normal 35 2 2 5 2" xfId="11530" xr:uid="{F456EBD4-5044-43D6-AB9B-1C8E5B9FA9A2}"/>
    <cellStyle name="Normal 35 2 2 5 2 2" xfId="15736" xr:uid="{81EE9F9E-D4DD-4B9C-9243-72C55AF7BA1F}"/>
    <cellStyle name="Normal 35 2 2 5 3" xfId="13707" xr:uid="{421A8D7B-571B-4E14-97AC-2FCB178E3490}"/>
    <cellStyle name="Normal 35 2 2 6" xfId="9854" xr:uid="{DD43A9C8-47ED-434B-BD24-5556540F494B}"/>
    <cellStyle name="Normal 35 2 2 6 2" xfId="14060" xr:uid="{CC76CD7F-182F-4E2A-969A-94F81C2BD00B}"/>
    <cellStyle name="Normal 35 2 2 7" xfId="12031" xr:uid="{2398C6A3-9ADA-4304-B3F6-34CF61E03D46}"/>
    <cellStyle name="Normal 35 2 3" xfId="7956" xr:uid="{4245DEBA-62BD-4532-BEB2-528AB82A14F4}"/>
    <cellStyle name="Normal 35 2 3 2" xfId="8626" xr:uid="{9ADCF1DC-EB9B-45BE-A939-0FEAAE364723}"/>
    <cellStyle name="Normal 35 2 3 2 2" xfId="10695" xr:uid="{2BA447A5-1087-432B-8707-231D922F1975}"/>
    <cellStyle name="Normal 35 2 3 2 2 2" xfId="14901" xr:uid="{E21EADD1-1FB7-44F9-BDA9-B2A89ADB1B4D}"/>
    <cellStyle name="Normal 35 2 3 2 3" xfId="12872" xr:uid="{C0BF59E9-8558-4613-8B92-867600CC2CD2}"/>
    <cellStyle name="Normal 35 2 3 3" xfId="10025" xr:uid="{324922F0-3E6B-4954-92D3-51A88323411F}"/>
    <cellStyle name="Normal 35 2 3 3 2" xfId="14231" xr:uid="{76C6248A-EF20-4686-920A-3E427D5E4EED}"/>
    <cellStyle name="Normal 35 2 3 4" xfId="12202" xr:uid="{088E2AD7-7DEC-46D1-8178-33190D029CF8}"/>
    <cellStyle name="Normal 35 2 4" xfId="8292" xr:uid="{C3D20B74-4DFD-44DF-895D-5F87DC631A4B}"/>
    <cellStyle name="Normal 35 2 4 2" xfId="10361" xr:uid="{300C94E3-FFDC-4776-86D8-7C40B7E6FBF1}"/>
    <cellStyle name="Normal 35 2 4 2 2" xfId="14567" xr:uid="{C7EE68CD-BEC8-49AA-B19B-FE0E24B454A6}"/>
    <cellStyle name="Normal 35 2 4 3" xfId="12538" xr:uid="{6E9E775D-BBCB-42F8-B723-A5694BE4EF00}"/>
    <cellStyle name="Normal 35 2 5" xfId="8965" xr:uid="{3ED408E9-341D-4111-A97A-D865E6571855}"/>
    <cellStyle name="Normal 35 2 5 2" xfId="11034" xr:uid="{093EF447-755B-4ED5-BBF8-2A1B74D93646}"/>
    <cellStyle name="Normal 35 2 5 2 2" xfId="15240" xr:uid="{8F9C3322-8DB8-4B77-9ACF-AA92F47CAFA4}"/>
    <cellStyle name="Normal 35 2 5 3" xfId="13211" xr:uid="{F92339F0-4759-41FE-B0B0-A7C52E41022E}"/>
    <cellStyle name="Normal 35 2 6" xfId="9333" xr:uid="{23AB49F4-D1C2-4695-A75D-F3A5E0061A4F}"/>
    <cellStyle name="Normal 35 2 6 2" xfId="11367" xr:uid="{A423EEE1-4F75-47BE-884E-46095959804C}"/>
    <cellStyle name="Normal 35 2 6 2 2" xfId="15573" xr:uid="{3F73F9DC-DFB9-45CD-A179-042E1E26BB5E}"/>
    <cellStyle name="Normal 35 2 6 3" xfId="13544" xr:uid="{82FEBDA4-8F83-4FEB-B70A-93B28CA7F61C}"/>
    <cellStyle name="Normal 35 2 7" xfId="9691" xr:uid="{C566917C-7102-48BC-A39A-A450097EF8BE}"/>
    <cellStyle name="Normal 35 2 7 2" xfId="13897" xr:uid="{2466F159-65F0-44D8-9DD8-F0A4656D4451}"/>
    <cellStyle name="Normal 35 2 8" xfId="11868" xr:uid="{ECF71ADE-9F22-43F4-948F-DD579035DB88}"/>
    <cellStyle name="Normal 35 3" xfId="7707" xr:uid="{8D263463-BE8C-4F96-9CD0-3F4B6BA52FDF}"/>
    <cellStyle name="Normal 35 3 2" xfId="8078" xr:uid="{9E927355-612A-40FB-A21D-EAC5A830B342}"/>
    <cellStyle name="Normal 35 3 2 2" xfId="8748" xr:uid="{30AECEC1-2A44-4338-AA26-89DF6016F1BF}"/>
    <cellStyle name="Normal 35 3 2 2 2" xfId="10817" xr:uid="{CEC4B8C1-F03F-4DD7-95C4-05AE9C4ED85D}"/>
    <cellStyle name="Normal 35 3 2 2 2 2" xfId="15023" xr:uid="{7A2599BF-96D8-4A09-97CB-65941AD8CCDB}"/>
    <cellStyle name="Normal 35 3 2 2 3" xfId="12994" xr:uid="{A8702063-BC16-4F44-A9CF-B29E70162A70}"/>
    <cellStyle name="Normal 35 3 2 3" xfId="10147" xr:uid="{52874BE3-44E1-48E5-B492-E26B8656E2EB}"/>
    <cellStyle name="Normal 35 3 2 3 2" xfId="14353" xr:uid="{8043951D-740C-408D-8C00-9CE7C385696E}"/>
    <cellStyle name="Normal 35 3 2 4" xfId="12324" xr:uid="{64CB9FAB-55AD-48AA-9562-D1FA6FC8F0A5}"/>
    <cellStyle name="Normal 35 3 3" xfId="8414" xr:uid="{438137D1-213D-46BF-B46E-6007A2C3163A}"/>
    <cellStyle name="Normal 35 3 3 2" xfId="10483" xr:uid="{217C07C5-AA93-4099-B708-3B0176BB174B}"/>
    <cellStyle name="Normal 35 3 3 2 2" xfId="14689" xr:uid="{DF225497-6F60-4D72-9FCA-EBDAA6A87439}"/>
    <cellStyle name="Normal 35 3 3 3" xfId="12660" xr:uid="{4A62CA6A-FC79-48C4-BA11-F692CD435A8D}"/>
    <cellStyle name="Normal 35 3 4" xfId="9087" xr:uid="{80DCD3C6-ABBC-4690-BFE6-2266C2698E90}"/>
    <cellStyle name="Normal 35 3 4 2" xfId="11156" xr:uid="{22ED8E94-0976-4F90-AD23-BF110000D885}"/>
    <cellStyle name="Normal 35 3 4 2 2" xfId="15362" xr:uid="{C214C3BA-DD99-42DF-B213-2A3E1736B820}"/>
    <cellStyle name="Normal 35 3 4 3" xfId="13333" xr:uid="{7B89C882-1834-4653-A0CC-8AB0C9FA8535}"/>
    <cellStyle name="Normal 35 3 5" xfId="9455" xr:uid="{B54DAD7C-7BE9-47FC-A80A-55A05BF84B3D}"/>
    <cellStyle name="Normal 35 3 5 2" xfId="11489" xr:uid="{9A1536FF-85F1-4D27-AF31-F9F2E50B7DAD}"/>
    <cellStyle name="Normal 35 3 5 2 2" xfId="15695" xr:uid="{CA55A939-9AA0-4C03-A7CD-95EE4C100A29}"/>
    <cellStyle name="Normal 35 3 5 3" xfId="13666" xr:uid="{54EDD23D-58E8-4791-940F-629D7C79F02F}"/>
    <cellStyle name="Normal 35 3 6" xfId="9813" xr:uid="{F5513ED8-54B1-4699-B6E5-1065AB2773BF}"/>
    <cellStyle name="Normal 35 3 6 2" xfId="14019" xr:uid="{B3992F01-482C-4506-81AA-469C6A28D017}"/>
    <cellStyle name="Normal 35 3 7" xfId="11990" xr:uid="{802048F7-13D2-44CE-8B72-A85510300391}"/>
    <cellStyle name="Normal 35 4" xfId="7915" xr:uid="{F2C3034E-B9E1-4922-8CC9-09C8B6A70858}"/>
    <cellStyle name="Normal 35 4 2" xfId="8585" xr:uid="{555140FE-9E43-423A-93DE-19EB797FBC6B}"/>
    <cellStyle name="Normal 35 4 2 2" xfId="10654" xr:uid="{A3E6C094-86FE-48ED-8C73-76D9C5D6EDEB}"/>
    <cellStyle name="Normal 35 4 2 2 2" xfId="14860" xr:uid="{C70E461B-8AB3-4C85-9A32-F4C0311CA23B}"/>
    <cellStyle name="Normal 35 4 2 3" xfId="12831" xr:uid="{8FE261E5-5965-49C3-9408-8064504B09A4}"/>
    <cellStyle name="Normal 35 4 3" xfId="9984" xr:uid="{12D21ADA-285E-4D73-8E1E-B19685F10DF1}"/>
    <cellStyle name="Normal 35 4 3 2" xfId="14190" xr:uid="{6A07A9A8-D907-4D6E-8A19-A3AB8751DBAC}"/>
    <cellStyle name="Normal 35 4 4" xfId="12161" xr:uid="{69740472-45E8-430E-8D46-DB470F193EA0}"/>
    <cellStyle name="Normal 35 5" xfId="8251" xr:uid="{F21F1087-A55D-49EE-9471-2DA7A84B66DB}"/>
    <cellStyle name="Normal 35 5 2" xfId="10320" xr:uid="{36A70B09-2D12-4C4B-8F1B-BA9549043BF7}"/>
    <cellStyle name="Normal 35 5 2 2" xfId="14526" xr:uid="{698AAD5C-18D5-4328-B593-4A42DFF6F9DF}"/>
    <cellStyle name="Normal 35 5 3" xfId="12497" xr:uid="{DDB51013-ADD4-4050-9009-13E32FDDB45C}"/>
    <cellStyle name="Normal 35 6" xfId="8924" xr:uid="{18255C36-BB99-4B7D-AFCE-78822E655289}"/>
    <cellStyle name="Normal 35 6 2" xfId="10993" xr:uid="{D5B94A4D-A460-4DC8-A319-B004D8B0C9D1}"/>
    <cellStyle name="Normal 35 6 2 2" xfId="15199" xr:uid="{7F1F3DB7-3DE3-4D23-AC63-C66BC44FB27F}"/>
    <cellStyle name="Normal 35 6 3" xfId="13170" xr:uid="{B2DD4AE2-C09D-4EBD-9F5D-924183C3F910}"/>
    <cellStyle name="Normal 35 7" xfId="9291" xr:uid="{FC6EE28A-506C-4F0F-99F0-DF403BE1AE98}"/>
    <cellStyle name="Normal 35 7 2" xfId="11326" xr:uid="{25492CC6-2913-4094-9524-2F31AFB4AB45}"/>
    <cellStyle name="Normal 35 7 2 2" xfId="15532" xr:uid="{2C9E299A-BF7B-46A9-B97F-C4466F72518B}"/>
    <cellStyle name="Normal 35 7 3" xfId="13503" xr:uid="{54038B5C-9C7E-45B3-96C4-1D558BAB5136}"/>
    <cellStyle name="Normal 35 8" xfId="9650" xr:uid="{AAF22810-E1C0-4341-AC49-33A42323E4B9}"/>
    <cellStyle name="Normal 35 8 2" xfId="13856" xr:uid="{58F8C091-898E-4742-8DA5-35E75CE6EC13}"/>
    <cellStyle name="Normal 35 9" xfId="11826" xr:uid="{116D3BCA-DC32-4EE4-A215-A319CA6EBC0C}"/>
    <cellStyle name="Normal 36" xfId="7506" xr:uid="{4FE39962-8A73-48B4-862C-FFBFDA9B0672}"/>
    <cellStyle name="Normal 36 2" xfId="7549" xr:uid="{F827C039-ED87-4A27-ADCF-1FEDC452FA23}"/>
    <cellStyle name="Normal 36 2 2" xfId="7749" xr:uid="{0DF11329-8737-4105-982C-2349107DEDBD}"/>
    <cellStyle name="Normal 36 2 2 2" xfId="8120" xr:uid="{B62C6A85-45B7-4821-A965-320252D11867}"/>
    <cellStyle name="Normal 36 2 2 2 2" xfId="8790" xr:uid="{A949207A-B1D1-405A-8EDB-016A8D3133E2}"/>
    <cellStyle name="Normal 36 2 2 2 2 2" xfId="10859" xr:uid="{323CC75F-A770-4694-8CA4-C8F543FBB5ED}"/>
    <cellStyle name="Normal 36 2 2 2 2 2 2" xfId="15065" xr:uid="{C0453291-0E69-4686-BCC3-ABC2A6205C75}"/>
    <cellStyle name="Normal 36 2 2 2 2 3" xfId="13036" xr:uid="{B29C9F75-123B-4B8F-A643-509320229A68}"/>
    <cellStyle name="Normal 36 2 2 2 3" xfId="10189" xr:uid="{1EB33158-E031-47F0-9F6C-5123BCE3FD56}"/>
    <cellStyle name="Normal 36 2 2 2 3 2" xfId="14395" xr:uid="{5DB259ED-8B22-4471-A28B-FC56ABE9F224}"/>
    <cellStyle name="Normal 36 2 2 2 4" xfId="12366" xr:uid="{31ADFAB0-11D9-473F-A840-C4F5D29FEF5C}"/>
    <cellStyle name="Normal 36 2 2 3" xfId="8456" xr:uid="{D612721E-CCE1-4D52-AD58-E41642FCFC72}"/>
    <cellStyle name="Normal 36 2 2 3 2" xfId="10525" xr:uid="{646A6D5F-BE90-4D02-9ABF-0164E8D1EB92}"/>
    <cellStyle name="Normal 36 2 2 3 2 2" xfId="14731" xr:uid="{96DF6532-DB0A-4EFE-8897-A31140E7683F}"/>
    <cellStyle name="Normal 36 2 2 3 3" xfId="12702" xr:uid="{7EAE3EB9-338E-49D5-B1B7-B7623F7EBAD1}"/>
    <cellStyle name="Normal 36 2 2 4" xfId="9129" xr:uid="{1B0409D8-0797-47BF-8C5B-116AE3F2A39B}"/>
    <cellStyle name="Normal 36 2 2 4 2" xfId="11198" xr:uid="{12907CB2-8D8C-4366-AD55-477FC26FFE12}"/>
    <cellStyle name="Normal 36 2 2 4 2 2" xfId="15404" xr:uid="{30CFCCBC-B207-4E1D-9B95-35505ECAD61A}"/>
    <cellStyle name="Normal 36 2 2 4 3" xfId="13375" xr:uid="{43C8A7EB-5DF5-4D04-9CCD-63060584E1E7}"/>
    <cellStyle name="Normal 36 2 2 5" xfId="9497" xr:uid="{27E877DE-251D-4218-992C-47EC9617EA43}"/>
    <cellStyle name="Normal 36 2 2 5 2" xfId="11531" xr:uid="{1B9C0F0C-2C9D-4B7D-A2F9-BB305BD1D389}"/>
    <cellStyle name="Normal 36 2 2 5 2 2" xfId="15737" xr:uid="{76908815-F872-4A8A-B53A-94CF289F5A45}"/>
    <cellStyle name="Normal 36 2 2 5 3" xfId="13708" xr:uid="{2AB6E8FC-09B1-4ECA-94BE-0FF4E394055F}"/>
    <cellStyle name="Normal 36 2 2 6" xfId="9855" xr:uid="{924B6262-72E2-4C68-8169-3AFE3757B058}"/>
    <cellStyle name="Normal 36 2 2 6 2" xfId="14061" xr:uid="{F37EE7E8-55B6-4334-9DE5-2114722D508F}"/>
    <cellStyle name="Normal 36 2 2 7" xfId="12032" xr:uid="{C2182EDF-36C5-47D7-A822-CF40A49793DF}"/>
    <cellStyle name="Normal 36 2 3" xfId="7957" xr:uid="{7E940135-E57B-4A41-90B8-E743D613738D}"/>
    <cellStyle name="Normal 36 2 3 2" xfId="8627" xr:uid="{9A8F48FA-DD7C-4FC0-8F72-FE3C3A9C2027}"/>
    <cellStyle name="Normal 36 2 3 2 2" xfId="10696" xr:uid="{619B83F3-CD89-4942-8AE5-0736280DED04}"/>
    <cellStyle name="Normal 36 2 3 2 2 2" xfId="14902" xr:uid="{52B57F50-97EB-4764-915F-35AB846153A8}"/>
    <cellStyle name="Normal 36 2 3 2 3" xfId="12873" xr:uid="{93C2D166-0347-4528-A001-30073B4EFD7E}"/>
    <cellStyle name="Normal 36 2 3 3" xfId="10026" xr:uid="{98BDEE94-A7AE-49AE-A73F-86F8D5C76979}"/>
    <cellStyle name="Normal 36 2 3 3 2" xfId="14232" xr:uid="{E51FFF44-3ABA-4CAF-ABD7-152834BB9328}"/>
    <cellStyle name="Normal 36 2 3 4" xfId="12203" xr:uid="{1F66F23A-4227-434F-8400-1A95D2BF2FBC}"/>
    <cellStyle name="Normal 36 2 4" xfId="8293" xr:uid="{2A509696-168C-43AE-9896-81CCBAB15587}"/>
    <cellStyle name="Normal 36 2 4 2" xfId="10362" xr:uid="{9643C32E-A856-4B63-95FE-20745192C65F}"/>
    <cellStyle name="Normal 36 2 4 2 2" xfId="14568" xr:uid="{48041DA0-0985-4FB6-A157-9251A554EBAB}"/>
    <cellStyle name="Normal 36 2 4 3" xfId="12539" xr:uid="{4083DBE4-43FF-45E0-A20A-6E10B1A33A59}"/>
    <cellStyle name="Normal 36 2 5" xfId="8966" xr:uid="{F415F534-572B-41B5-860B-A9D7727DE7AB}"/>
    <cellStyle name="Normal 36 2 5 2" xfId="11035" xr:uid="{DBF09C22-31F5-471A-A7F5-0F72BAFC38C4}"/>
    <cellStyle name="Normal 36 2 5 2 2" xfId="15241" xr:uid="{88E84BA9-EDFA-4C32-BD42-6C681BC4473D}"/>
    <cellStyle name="Normal 36 2 5 3" xfId="13212" xr:uid="{D32DB24C-F91D-4219-81F9-792E5E9DFA74}"/>
    <cellStyle name="Normal 36 2 6" xfId="9334" xr:uid="{4FA53AB2-7CD4-4D76-906C-2F3C88916F27}"/>
    <cellStyle name="Normal 36 2 6 2" xfId="11368" xr:uid="{A97573ED-A10A-4CD6-A413-761988A27306}"/>
    <cellStyle name="Normal 36 2 6 2 2" xfId="15574" xr:uid="{221F1DC0-D8F2-42D6-B4FD-5BEB5AA07D9D}"/>
    <cellStyle name="Normal 36 2 6 3" xfId="13545" xr:uid="{5B888692-5504-4A9C-B112-5F438B728DDC}"/>
    <cellStyle name="Normal 36 2 7" xfId="9692" xr:uid="{E16A79A0-B09B-4EDE-8244-05A18200642F}"/>
    <cellStyle name="Normal 36 2 7 2" xfId="13898" xr:uid="{47D73655-83C3-4587-837D-19E8A049B485}"/>
    <cellStyle name="Normal 36 2 8" xfId="11869" xr:uid="{68D2CF0D-FE74-4605-BE0B-4963CAFFA8F8}"/>
    <cellStyle name="Normal 36 3" xfId="7708" xr:uid="{A9BCF8B7-7708-417F-8556-9F61B97D20A2}"/>
    <cellStyle name="Normal 36 3 2" xfId="8079" xr:uid="{90B3C4C7-B4A6-47CF-8CE2-A13A75434842}"/>
    <cellStyle name="Normal 36 3 2 2" xfId="8749" xr:uid="{F37C9910-EB35-4C90-B59B-4DA113685F75}"/>
    <cellStyle name="Normal 36 3 2 2 2" xfId="10818" xr:uid="{EB024B10-E3BE-4B69-9218-07BBD1D0BB4A}"/>
    <cellStyle name="Normal 36 3 2 2 2 2" xfId="15024" xr:uid="{BDEB73EF-69E4-475C-AA76-F9A3B4F4809E}"/>
    <cellStyle name="Normal 36 3 2 2 3" xfId="12995" xr:uid="{F7C01454-B6F6-4CCD-9D67-0AC2AF33E1C9}"/>
    <cellStyle name="Normal 36 3 2 3" xfId="10148" xr:uid="{D3149DB7-551B-489A-9081-3ED8C70BDE41}"/>
    <cellStyle name="Normal 36 3 2 3 2" xfId="14354" xr:uid="{95DA21D9-BE8E-41C4-A81C-3E5B4EA017F8}"/>
    <cellStyle name="Normal 36 3 2 4" xfId="12325" xr:uid="{6FBF3B0E-88A1-40E5-A1E3-D2E436DAEDDC}"/>
    <cellStyle name="Normal 36 3 3" xfId="8415" xr:uid="{CDB98A40-EB37-4495-91AD-21A1ACF560E4}"/>
    <cellStyle name="Normal 36 3 3 2" xfId="10484" xr:uid="{8503DC0E-69D8-4519-BD59-99F7B65475F7}"/>
    <cellStyle name="Normal 36 3 3 2 2" xfId="14690" xr:uid="{84C5622D-7C53-420F-A3AF-E2722D002E04}"/>
    <cellStyle name="Normal 36 3 3 3" xfId="12661" xr:uid="{CED6181C-2BEE-4B04-AE16-67CE863698D2}"/>
    <cellStyle name="Normal 36 3 4" xfId="9088" xr:uid="{F119D1B6-C527-4EEF-B73D-977E38152D79}"/>
    <cellStyle name="Normal 36 3 4 2" xfId="11157" xr:uid="{F8F1FCE1-C8F5-42E8-9A3B-B0D9FBE23AB9}"/>
    <cellStyle name="Normal 36 3 4 2 2" xfId="15363" xr:uid="{918CA78A-8498-44EB-A5CB-590E6729674C}"/>
    <cellStyle name="Normal 36 3 4 3" xfId="13334" xr:uid="{523F14CD-BC02-45C1-AFF2-222C3AFF9B6A}"/>
    <cellStyle name="Normal 36 3 5" xfId="9456" xr:uid="{E80E889D-4E99-404B-89C9-655EDF78983B}"/>
    <cellStyle name="Normal 36 3 5 2" xfId="11490" xr:uid="{27F55D48-5598-4D12-ACDA-AB6AE55F5104}"/>
    <cellStyle name="Normal 36 3 5 2 2" xfId="15696" xr:uid="{FC7159DD-735C-494B-9441-C11EC532DDE9}"/>
    <cellStyle name="Normal 36 3 5 3" xfId="13667" xr:uid="{71520DE6-FB9C-46C9-936A-4CE404F9B380}"/>
    <cellStyle name="Normal 36 3 6" xfId="9814" xr:uid="{728D70D6-9DC8-4531-A7BC-28091DE56E7F}"/>
    <cellStyle name="Normal 36 3 6 2" xfId="14020" xr:uid="{8EFF076F-2D1B-4266-AC98-883ACEEBC752}"/>
    <cellStyle name="Normal 36 3 7" xfId="11991" xr:uid="{E0655B47-7040-4E37-8F35-52DD9AA8BB72}"/>
    <cellStyle name="Normal 36 4" xfId="7916" xr:uid="{7D31502F-538E-4829-ACBF-9E52F5CF5EED}"/>
    <cellStyle name="Normal 36 4 2" xfId="8586" xr:uid="{C9E8BBF6-C4D2-4A0D-8876-E78399FCD013}"/>
    <cellStyle name="Normal 36 4 2 2" xfId="10655" xr:uid="{3A9ABEE7-249A-49D3-B091-BD7F22F19A1B}"/>
    <cellStyle name="Normal 36 4 2 2 2" xfId="14861" xr:uid="{7A65C772-E909-4059-B1D2-ECF61D028B02}"/>
    <cellStyle name="Normal 36 4 2 3" xfId="12832" xr:uid="{02645455-1A45-4D55-B372-6D8F5FD509E8}"/>
    <cellStyle name="Normal 36 4 3" xfId="9985" xr:uid="{28B1D0C4-7AB6-4F59-A9B4-33B4AED11FB3}"/>
    <cellStyle name="Normal 36 4 3 2" xfId="14191" xr:uid="{C829DE62-3D4C-4684-BF5E-049D8BF33125}"/>
    <cellStyle name="Normal 36 4 4" xfId="12162" xr:uid="{1DFD989C-6D9D-4328-8615-D8B671642F34}"/>
    <cellStyle name="Normal 36 5" xfId="8252" xr:uid="{8F511DD0-BF6F-42FF-B3E3-D3B3EE07B216}"/>
    <cellStyle name="Normal 36 5 2" xfId="10321" xr:uid="{4BEF6B24-267B-434B-AFAC-25DE83020B39}"/>
    <cellStyle name="Normal 36 5 2 2" xfId="14527" xr:uid="{C4EF8C10-D09D-469B-BB57-AB7200CF0494}"/>
    <cellStyle name="Normal 36 5 3" xfId="12498" xr:uid="{DA1DC340-E7EB-40E9-A95C-97EA0AE32F96}"/>
    <cellStyle name="Normal 36 6" xfId="8925" xr:uid="{E709B895-1FD2-4312-895F-B71659DBCE89}"/>
    <cellStyle name="Normal 36 6 2" xfId="10994" xr:uid="{94E4D410-3353-431B-B1D9-83B8A71EC576}"/>
    <cellStyle name="Normal 36 6 2 2" xfId="15200" xr:uid="{0B7D5B6B-99DE-4924-93F9-8DA1C839D06A}"/>
    <cellStyle name="Normal 36 6 3" xfId="13171" xr:uid="{ABE720C2-B702-458B-A248-948D463653A7}"/>
    <cellStyle name="Normal 36 7" xfId="9292" xr:uid="{67628F47-E102-46C1-B92B-D25CF2E7ACCA}"/>
    <cellStyle name="Normal 36 7 2" xfId="11327" xr:uid="{0702CE24-09B3-46B7-AFDD-5810CF92838C}"/>
    <cellStyle name="Normal 36 7 2 2" xfId="15533" xr:uid="{53FCD7CF-8EC3-4C4A-82F8-F733F69C1C80}"/>
    <cellStyle name="Normal 36 7 3" xfId="13504" xr:uid="{B5F626FA-CA91-4B08-AFD0-EE915F4C8FDA}"/>
    <cellStyle name="Normal 36 8" xfId="9651" xr:uid="{1A7D07B1-669E-48CF-A94F-94432FF87E11}"/>
    <cellStyle name="Normal 36 8 2" xfId="13857" xr:uid="{61220D92-D39D-48CD-A901-612BA6112674}"/>
    <cellStyle name="Normal 36 9" xfId="11827" xr:uid="{F87AE03F-26B3-4983-B2F3-F6B463013370}"/>
    <cellStyle name="Normal 37" xfId="7507" xr:uid="{2D92EDFD-D8A1-4D79-9827-118B44E1C44B}"/>
    <cellStyle name="Normal 37 2" xfId="7550" xr:uid="{B62F9895-F0AA-4931-A5A0-353425A39FD6}"/>
    <cellStyle name="Normal 37 2 2" xfId="7750" xr:uid="{8B96E06F-3CFE-4727-91CC-8ABF83AA5EE7}"/>
    <cellStyle name="Normal 37 2 2 2" xfId="8121" xr:uid="{45A6373C-8A61-4959-B8F7-F001A9E7E534}"/>
    <cellStyle name="Normal 37 2 2 2 2" xfId="8791" xr:uid="{C6BC3988-B9E1-4287-84F1-AFD2F319B562}"/>
    <cellStyle name="Normal 37 2 2 2 2 2" xfId="10860" xr:uid="{B64AD729-F4D5-4D81-8C5D-A9EB51B39B22}"/>
    <cellStyle name="Normal 37 2 2 2 2 2 2" xfId="15066" xr:uid="{5229BD0B-551E-4347-B955-410922CC8EE2}"/>
    <cellStyle name="Normal 37 2 2 2 2 3" xfId="13037" xr:uid="{2E22E7EA-0A03-4C2A-BAE9-44A728C8F200}"/>
    <cellStyle name="Normal 37 2 2 2 3" xfId="10190" xr:uid="{8079DAD3-0556-44DD-9D81-F05E9F4548C1}"/>
    <cellStyle name="Normal 37 2 2 2 3 2" xfId="14396" xr:uid="{7FF04AE3-8B91-40D2-A844-3F1ED7E58461}"/>
    <cellStyle name="Normal 37 2 2 2 4" xfId="12367" xr:uid="{F010D4FE-1E3D-4D19-8F37-32553EA8D7DE}"/>
    <cellStyle name="Normal 37 2 2 3" xfId="8457" xr:uid="{7992F74A-10E2-4DC5-BCFC-15F6BCE7DE6E}"/>
    <cellStyle name="Normal 37 2 2 3 2" xfId="10526" xr:uid="{0EF0D2C4-1FD2-49BC-BC4B-E9DA76581F85}"/>
    <cellStyle name="Normal 37 2 2 3 2 2" xfId="14732" xr:uid="{7B1196F7-D02F-4E2C-AE08-6F971F2241A2}"/>
    <cellStyle name="Normal 37 2 2 3 3" xfId="12703" xr:uid="{66CD6ECB-A762-4C87-A80F-CD703BCCD8F5}"/>
    <cellStyle name="Normal 37 2 2 4" xfId="9130" xr:uid="{63E5CCE3-EE8A-456F-990B-AD0A489F7EB0}"/>
    <cellStyle name="Normal 37 2 2 4 2" xfId="11199" xr:uid="{C351A63D-F84B-4540-947E-A73DBC0CCB0A}"/>
    <cellStyle name="Normal 37 2 2 4 2 2" xfId="15405" xr:uid="{9EC55E3B-06C5-4517-B23F-601504FA07B0}"/>
    <cellStyle name="Normal 37 2 2 4 3" xfId="13376" xr:uid="{673A499F-E98A-44CA-B90D-57F83AEC49FF}"/>
    <cellStyle name="Normal 37 2 2 5" xfId="9498" xr:uid="{09666CBE-CC4A-4737-AB34-7B6389279DD1}"/>
    <cellStyle name="Normal 37 2 2 5 2" xfId="11532" xr:uid="{D7814426-59C0-4D01-8837-D04FD4AF61A4}"/>
    <cellStyle name="Normal 37 2 2 5 2 2" xfId="15738" xr:uid="{94D24690-926F-4329-AF36-EF5D516959D8}"/>
    <cellStyle name="Normal 37 2 2 5 3" xfId="13709" xr:uid="{48D7B5D8-B674-4296-9493-CB0893EE0941}"/>
    <cellStyle name="Normal 37 2 2 6" xfId="9856" xr:uid="{31E5ADA2-2768-41F8-BFBB-325FF384503C}"/>
    <cellStyle name="Normal 37 2 2 6 2" xfId="14062" xr:uid="{EA925D64-7379-4B74-BAAE-EF0854458995}"/>
    <cellStyle name="Normal 37 2 2 7" xfId="12033" xr:uid="{DBA690B9-6AF7-41EE-BBAF-2152E69C02BF}"/>
    <cellStyle name="Normal 37 2 3" xfId="7958" xr:uid="{21F8838E-6919-4AB7-BCCA-1D2CA5E0067E}"/>
    <cellStyle name="Normal 37 2 3 2" xfId="8628" xr:uid="{1C42FBD7-DD47-4A81-B1CB-FED9109E9B51}"/>
    <cellStyle name="Normal 37 2 3 2 2" xfId="10697" xr:uid="{8E9D169B-5738-44D2-B25E-ADC1FF63DADE}"/>
    <cellStyle name="Normal 37 2 3 2 2 2" xfId="14903" xr:uid="{E202E6F0-D972-45F0-8993-71C6BC460DC8}"/>
    <cellStyle name="Normal 37 2 3 2 3" xfId="12874" xr:uid="{3083AA83-9812-4758-8901-BEFF3B759051}"/>
    <cellStyle name="Normal 37 2 3 3" xfId="10027" xr:uid="{F0F55195-539B-4CEA-9E24-45807195E45D}"/>
    <cellStyle name="Normal 37 2 3 3 2" xfId="14233" xr:uid="{4CF2D16E-75C1-486B-BA3F-CE9751A462FB}"/>
    <cellStyle name="Normal 37 2 3 4" xfId="12204" xr:uid="{704E4ECA-6171-4E20-A404-24493ACDB2ED}"/>
    <cellStyle name="Normal 37 2 4" xfId="8294" xr:uid="{EDCF9686-703A-4829-A3B0-353686A726FD}"/>
    <cellStyle name="Normal 37 2 4 2" xfId="10363" xr:uid="{88B8AD11-2E9A-4136-87D6-7CD8F6ADAD9D}"/>
    <cellStyle name="Normal 37 2 4 2 2" xfId="14569" xr:uid="{6B9D4304-23C7-4BC4-8AA3-1C5B13AA8B21}"/>
    <cellStyle name="Normal 37 2 4 3" xfId="12540" xr:uid="{CC939078-3B1A-432C-BA24-94FAF4021455}"/>
    <cellStyle name="Normal 37 2 5" xfId="8967" xr:uid="{8102936B-E86E-4685-B2AA-9A0FF65DB88D}"/>
    <cellStyle name="Normal 37 2 5 2" xfId="11036" xr:uid="{7D0D4E5D-0C6E-4ADD-A27C-B90290701E85}"/>
    <cellStyle name="Normal 37 2 5 2 2" xfId="15242" xr:uid="{23AE90F2-87C8-4827-A5CF-15C6A77EC885}"/>
    <cellStyle name="Normal 37 2 5 3" xfId="13213" xr:uid="{F0D3A5A0-DF3B-4B16-AE9B-3163381CD314}"/>
    <cellStyle name="Normal 37 2 6" xfId="9335" xr:uid="{6D21F58A-CAC1-4A6E-8977-51617297DC1C}"/>
    <cellStyle name="Normal 37 2 6 2" xfId="11369" xr:uid="{E469A2DA-366F-4741-A773-5E65E20F26F0}"/>
    <cellStyle name="Normal 37 2 6 2 2" xfId="15575" xr:uid="{9876550D-5AD1-43A9-AA41-163D11C70382}"/>
    <cellStyle name="Normal 37 2 6 3" xfId="13546" xr:uid="{98A1B89A-D672-4A50-A329-6CC9E6472FAD}"/>
    <cellStyle name="Normal 37 2 7" xfId="9693" xr:uid="{E791E796-7B8D-4D42-912B-C67390EFFABD}"/>
    <cellStyle name="Normal 37 2 7 2" xfId="13899" xr:uid="{515E8222-2BE9-4F92-A8AC-65A3ECAA4100}"/>
    <cellStyle name="Normal 37 2 8" xfId="11870" xr:uid="{1E2A6491-9707-4B60-BB6A-37BA272F631A}"/>
    <cellStyle name="Normal 37 3" xfId="7709" xr:uid="{7EB1B910-FC43-48D5-BA8A-D65ED52727D8}"/>
    <cellStyle name="Normal 37 3 2" xfId="8080" xr:uid="{125D3BE6-C56D-4384-966F-D0FA0956F623}"/>
    <cellStyle name="Normal 37 3 2 2" xfId="8750" xr:uid="{6F64F094-8725-4CF7-80BD-F7CC496FA6B9}"/>
    <cellStyle name="Normal 37 3 2 2 2" xfId="10819" xr:uid="{F604EB7D-5CCC-4745-8455-53B21BFE2C54}"/>
    <cellStyle name="Normal 37 3 2 2 2 2" xfId="15025" xr:uid="{208EE2CE-17E1-46A7-A88C-702F4F0C3A64}"/>
    <cellStyle name="Normal 37 3 2 2 3" xfId="12996" xr:uid="{C194CE5C-DA0B-4DF7-ABB0-AD6E9F59222A}"/>
    <cellStyle name="Normal 37 3 2 3" xfId="10149" xr:uid="{BB9ADE79-29BF-4138-A0B2-2AEBC110D09B}"/>
    <cellStyle name="Normal 37 3 2 3 2" xfId="14355" xr:uid="{D26B96E0-EA1E-4465-93BE-87C3DC9C5256}"/>
    <cellStyle name="Normal 37 3 2 4" xfId="12326" xr:uid="{753D274C-A61D-420C-B157-54A237182759}"/>
    <cellStyle name="Normal 37 3 3" xfId="8416" xr:uid="{BE9F2507-21B6-481D-BDD9-77ED8C939BF6}"/>
    <cellStyle name="Normal 37 3 3 2" xfId="10485" xr:uid="{0BEC5870-1237-4318-BC98-EE4151B8F355}"/>
    <cellStyle name="Normal 37 3 3 2 2" xfId="14691" xr:uid="{F04B2E06-F297-426E-B09A-9B2F20D41008}"/>
    <cellStyle name="Normal 37 3 3 3" xfId="12662" xr:uid="{F5C48BED-4129-4A60-BC98-CC70CFEDC154}"/>
    <cellStyle name="Normal 37 3 4" xfId="9089" xr:uid="{1BF31116-156C-4E4B-B10C-B2D3CD02CF8F}"/>
    <cellStyle name="Normal 37 3 4 2" xfId="11158" xr:uid="{1FC3932B-C2F0-4C91-AD4F-F61F52620837}"/>
    <cellStyle name="Normal 37 3 4 2 2" xfId="15364" xr:uid="{FFA5771F-EB4D-47EE-A63B-BF6247ADE075}"/>
    <cellStyle name="Normal 37 3 4 3" xfId="13335" xr:uid="{DF4A5C63-238F-4091-A8B6-00B794F4194F}"/>
    <cellStyle name="Normal 37 3 5" xfId="9457" xr:uid="{C9B09533-68D5-4315-A063-AEC2F013A4DD}"/>
    <cellStyle name="Normal 37 3 5 2" xfId="11491" xr:uid="{5E64D789-DE01-4073-B29A-6F4D3CB6B63D}"/>
    <cellStyle name="Normal 37 3 5 2 2" xfId="15697" xr:uid="{7F48E98F-0EBD-4E9B-B21C-A211309AC9F9}"/>
    <cellStyle name="Normal 37 3 5 3" xfId="13668" xr:uid="{1B9B5204-7D55-4392-A39D-65D7761F0F40}"/>
    <cellStyle name="Normal 37 3 6" xfId="9815" xr:uid="{75283AE7-502C-46CC-981A-9E81CA45DE3B}"/>
    <cellStyle name="Normal 37 3 6 2" xfId="14021" xr:uid="{5B492A98-F234-4F29-AA73-F6BD582F3F54}"/>
    <cellStyle name="Normal 37 3 7" xfId="11992" xr:uid="{CA17FCA5-E49D-4653-8331-28021E9F0C13}"/>
    <cellStyle name="Normal 37 4" xfId="7917" xr:uid="{FA002FF6-CD05-46B6-B395-1CBC360B5296}"/>
    <cellStyle name="Normal 37 4 2" xfId="8587" xr:uid="{D035FA82-5421-4734-AE1F-32E9B0C4B3D2}"/>
    <cellStyle name="Normal 37 4 2 2" xfId="10656" xr:uid="{9C211762-4F30-4CDE-A1D9-E693C53B7591}"/>
    <cellStyle name="Normal 37 4 2 2 2" xfId="14862" xr:uid="{3585B9DC-3AB3-4FC4-B357-C51E752401FC}"/>
    <cellStyle name="Normal 37 4 2 3" xfId="12833" xr:uid="{A3C97F2A-3ACE-4BAA-8FF3-982CD0752284}"/>
    <cellStyle name="Normal 37 4 3" xfId="9986" xr:uid="{90DEC6B1-A052-4701-83AD-6DF8899BD9C8}"/>
    <cellStyle name="Normal 37 4 3 2" xfId="14192" xr:uid="{165F73CF-82BD-4EFF-B420-FAA773B951D0}"/>
    <cellStyle name="Normal 37 4 4" xfId="12163" xr:uid="{6E6112BC-9FD2-43E4-B40D-FE3294FDE66A}"/>
    <cellStyle name="Normal 37 5" xfId="8253" xr:uid="{B53C8194-B3AF-4783-889D-CF3D7C148E2B}"/>
    <cellStyle name="Normal 37 5 2" xfId="10322" xr:uid="{F3A091DB-652F-4C5E-B568-242AF2AC455A}"/>
    <cellStyle name="Normal 37 5 2 2" xfId="14528" xr:uid="{4BF8DE25-7A9E-43D7-8337-B9F29B1C58A3}"/>
    <cellStyle name="Normal 37 5 3" xfId="12499" xr:uid="{F2B51CC6-1DD6-43F8-A7E8-528B77267850}"/>
    <cellStyle name="Normal 37 6" xfId="8926" xr:uid="{61DE533B-BF92-4C2A-84A1-7C075A1E5870}"/>
    <cellStyle name="Normal 37 6 2" xfId="10995" xr:uid="{1FA7B1FD-A76A-40C9-8F28-2D3C67AB49C2}"/>
    <cellStyle name="Normal 37 6 2 2" xfId="15201" xr:uid="{7B9D2FA5-8CEA-492B-987A-1162807CAEB7}"/>
    <cellStyle name="Normal 37 6 3" xfId="13172" xr:uid="{2E7BDEC0-C554-4088-B694-E03256621900}"/>
    <cellStyle name="Normal 37 7" xfId="9293" xr:uid="{A8F61D89-271C-477E-A46E-2DAA58046277}"/>
    <cellStyle name="Normal 37 7 2" xfId="11328" xr:uid="{7DBC6A28-D7E9-458F-97D8-DE393BA3284B}"/>
    <cellStyle name="Normal 37 7 2 2" xfId="15534" xr:uid="{E0EC1F87-BAA7-4405-93C8-772FDBC7FFF6}"/>
    <cellStyle name="Normal 37 7 3" xfId="13505" xr:uid="{9441BA46-1E3D-4194-BDE2-8334C93A9EAA}"/>
    <cellStyle name="Normal 37 8" xfId="9652" xr:uid="{E6B0662C-8A02-49B8-8ACA-67F948C77B40}"/>
    <cellStyle name="Normal 37 8 2" xfId="13858" xr:uid="{A3275D7F-7603-4E66-A504-3DE46ECFAD16}"/>
    <cellStyle name="Normal 37 9" xfId="11828" xr:uid="{C1C25D97-A9F2-48DE-8B9B-BDE92A9B1279}"/>
    <cellStyle name="Normal 38" xfId="7508" xr:uid="{DF1E8CD5-8CA9-4F28-A1C0-DD9B5721A4C7}"/>
    <cellStyle name="Normal 38 2" xfId="7551" xr:uid="{E94DA7C0-DEB3-459E-9A89-EA778F20321E}"/>
    <cellStyle name="Normal 38 2 2" xfId="7751" xr:uid="{4A3CEA14-2F15-4AB1-B312-C57C80503175}"/>
    <cellStyle name="Normal 38 2 2 2" xfId="8122" xr:uid="{6302760C-E306-4C8A-A3CC-22B4FDE38829}"/>
    <cellStyle name="Normal 38 2 2 2 2" xfId="8792" xr:uid="{C88D8F62-F3C1-449D-8AFF-4B35BBBE31A0}"/>
    <cellStyle name="Normal 38 2 2 2 2 2" xfId="10861" xr:uid="{2BD46CC6-67E3-48F7-A45E-966278BF1AB0}"/>
    <cellStyle name="Normal 38 2 2 2 2 2 2" xfId="15067" xr:uid="{1C913CF0-78CD-4ED8-9A57-249B8819F2AF}"/>
    <cellStyle name="Normal 38 2 2 2 2 3" xfId="13038" xr:uid="{A1561C91-1DA6-47CF-B17D-A06213CB9B4E}"/>
    <cellStyle name="Normal 38 2 2 2 3" xfId="10191" xr:uid="{0756E660-18D7-434D-A8BF-47736647F95F}"/>
    <cellStyle name="Normal 38 2 2 2 3 2" xfId="14397" xr:uid="{34EEBD62-11BA-4059-8DF4-FBE41730961E}"/>
    <cellStyle name="Normal 38 2 2 2 4" xfId="12368" xr:uid="{67CF3256-3758-409A-8878-D1C7A5CF5FF3}"/>
    <cellStyle name="Normal 38 2 2 3" xfId="8458" xr:uid="{27207BF1-2598-4E16-8025-E8B03D028F90}"/>
    <cellStyle name="Normal 38 2 2 3 2" xfId="10527" xr:uid="{2F538807-6A5F-44BD-B85D-0C2DEBCDD912}"/>
    <cellStyle name="Normal 38 2 2 3 2 2" xfId="14733" xr:uid="{37A8C79D-DB5D-4128-B514-A14EA79FDA29}"/>
    <cellStyle name="Normal 38 2 2 3 3" xfId="12704" xr:uid="{42E805D1-21D8-4DC1-9BE1-317AF61BD17A}"/>
    <cellStyle name="Normal 38 2 2 4" xfId="9131" xr:uid="{3F06BF94-ED72-4FE5-ADBE-15D85262848A}"/>
    <cellStyle name="Normal 38 2 2 4 2" xfId="11200" xr:uid="{5626C575-DA80-44FC-8433-9F3CA3FE8DFF}"/>
    <cellStyle name="Normal 38 2 2 4 2 2" xfId="15406" xr:uid="{D4EEE96C-9C27-4D2D-89D8-FAE689E0C7F3}"/>
    <cellStyle name="Normal 38 2 2 4 3" xfId="13377" xr:uid="{83C04F11-3CB6-4914-9DD3-8940AB1C336C}"/>
    <cellStyle name="Normal 38 2 2 5" xfId="9499" xr:uid="{BB3841C1-5E09-444D-8B0D-8EF17EE1873B}"/>
    <cellStyle name="Normal 38 2 2 5 2" xfId="11533" xr:uid="{22469A03-419B-4FB2-A2B6-AC223AAF28BA}"/>
    <cellStyle name="Normal 38 2 2 5 2 2" xfId="15739" xr:uid="{86A479D1-7CBB-4955-B339-6E9074277938}"/>
    <cellStyle name="Normal 38 2 2 5 3" xfId="13710" xr:uid="{1581CF8E-096B-484A-AB37-6B0571F8AEF3}"/>
    <cellStyle name="Normal 38 2 2 6" xfId="9857" xr:uid="{15333DC9-9FDE-4AF8-99DF-3B3320FE4B46}"/>
    <cellStyle name="Normal 38 2 2 6 2" xfId="14063" xr:uid="{9090212E-761D-4F23-90F0-29EBC096376A}"/>
    <cellStyle name="Normal 38 2 2 7" xfId="12034" xr:uid="{75614EC5-68A6-404D-9D2B-5A052CFACE53}"/>
    <cellStyle name="Normal 38 2 3" xfId="7959" xr:uid="{58294D65-4B61-41F3-9BD0-A5AE677102E8}"/>
    <cellStyle name="Normal 38 2 3 2" xfId="8629" xr:uid="{ACFC6A16-8BA7-4D11-9290-F6531B890958}"/>
    <cellStyle name="Normal 38 2 3 2 2" xfId="10698" xr:uid="{F0511768-C093-4096-90BB-6708BFF69F48}"/>
    <cellStyle name="Normal 38 2 3 2 2 2" xfId="14904" xr:uid="{87495C53-BD91-4BC8-961C-BED2EE5B14CA}"/>
    <cellStyle name="Normal 38 2 3 2 3" xfId="12875" xr:uid="{0A4BF129-246B-4F20-A1F9-68007A07B090}"/>
    <cellStyle name="Normal 38 2 3 3" xfId="10028" xr:uid="{53F55390-0EA2-471E-8165-F79C8F42C4FB}"/>
    <cellStyle name="Normal 38 2 3 3 2" xfId="14234" xr:uid="{987D9970-F38D-43E3-8E80-93D307F8FD97}"/>
    <cellStyle name="Normal 38 2 3 4" xfId="12205" xr:uid="{748A885B-F28B-4CF0-843B-79A184719A23}"/>
    <cellStyle name="Normal 38 2 4" xfId="8295" xr:uid="{5564B1F8-C5FE-4539-AA5E-6AD5FFEAF588}"/>
    <cellStyle name="Normal 38 2 4 2" xfId="10364" xr:uid="{482732B2-5691-4081-B9E3-635B4112CC64}"/>
    <cellStyle name="Normal 38 2 4 2 2" xfId="14570" xr:uid="{D9B3D892-55DA-47FD-AFED-0F648375426F}"/>
    <cellStyle name="Normal 38 2 4 3" xfId="12541" xr:uid="{4D5C1A72-256D-4267-A724-565E73F37C17}"/>
    <cellStyle name="Normal 38 2 5" xfId="8968" xr:uid="{1148B6DC-6663-49EE-B8C6-8F9DAC3B837F}"/>
    <cellStyle name="Normal 38 2 5 2" xfId="11037" xr:uid="{97F02112-F70D-4CC5-905C-7B4D548D65FB}"/>
    <cellStyle name="Normal 38 2 5 2 2" xfId="15243" xr:uid="{812411CC-068C-4D7C-962B-2E7192796498}"/>
    <cellStyle name="Normal 38 2 5 3" xfId="13214" xr:uid="{B0291ED3-3124-4012-B450-0A261B1F4DA6}"/>
    <cellStyle name="Normal 38 2 6" xfId="9336" xr:uid="{014979B3-6413-465F-A936-05D2DCF15250}"/>
    <cellStyle name="Normal 38 2 6 2" xfId="11370" xr:uid="{A86E6866-B443-462A-86CA-B2FE84543DBC}"/>
    <cellStyle name="Normal 38 2 6 2 2" xfId="15576" xr:uid="{3F645E0E-35B4-49B6-8CFB-E9BFF84EC8CD}"/>
    <cellStyle name="Normal 38 2 6 3" xfId="13547" xr:uid="{987DE815-3337-4F02-8D6C-EDF89A65CBD9}"/>
    <cellStyle name="Normal 38 2 7" xfId="9694" xr:uid="{A637A82E-91B6-4507-8B82-272274819E4D}"/>
    <cellStyle name="Normal 38 2 7 2" xfId="13900" xr:uid="{BC8B172E-0890-4243-AFCD-723F0B4577C2}"/>
    <cellStyle name="Normal 38 2 8" xfId="11871" xr:uid="{211D9089-4CF1-450F-8D03-DFA36EBFEFC2}"/>
    <cellStyle name="Normal 38 3" xfId="7710" xr:uid="{0454EC03-29A3-4A83-B4C8-C39C4AA94756}"/>
    <cellStyle name="Normal 38 3 2" xfId="8081" xr:uid="{C1E777F9-5614-49EA-AC51-90ED44A02339}"/>
    <cellStyle name="Normal 38 3 2 2" xfId="8751" xr:uid="{B75324A1-1BAE-445A-B318-CE1D71B870F4}"/>
    <cellStyle name="Normal 38 3 2 2 2" xfId="10820" xr:uid="{E1170BF8-5B9D-49C1-9941-CF1FA71BD902}"/>
    <cellStyle name="Normal 38 3 2 2 2 2" xfId="15026" xr:uid="{74BDE792-F067-41B6-93F7-6F28DA61714F}"/>
    <cellStyle name="Normal 38 3 2 2 3" xfId="12997" xr:uid="{30CDCB85-7AA4-4E12-BB17-C20643D2ADAF}"/>
    <cellStyle name="Normal 38 3 2 3" xfId="10150" xr:uid="{2DECB18D-DC98-4E31-BF8E-049CDED45498}"/>
    <cellStyle name="Normal 38 3 2 3 2" xfId="14356" xr:uid="{080E8267-3621-4FB7-AC51-083C656ADA9A}"/>
    <cellStyle name="Normal 38 3 2 4" xfId="12327" xr:uid="{CD1BC3B9-2AD7-4F6C-B138-23EC91CE39E1}"/>
    <cellStyle name="Normal 38 3 3" xfId="8417" xr:uid="{A594DAB0-B6C6-4FC3-A5B8-07D90CC53D80}"/>
    <cellStyle name="Normal 38 3 3 2" xfId="10486" xr:uid="{345B6502-5FCA-4EA4-AF43-CEAB3AE5F5C3}"/>
    <cellStyle name="Normal 38 3 3 2 2" xfId="14692" xr:uid="{96546461-1C0F-4768-98A5-4F0F1F81099C}"/>
    <cellStyle name="Normal 38 3 3 3" xfId="12663" xr:uid="{7E49B3BC-DF09-4FB1-BC5E-DE0D6741D132}"/>
    <cellStyle name="Normal 38 3 4" xfId="9090" xr:uid="{A00B4018-C0E3-4943-9E18-9ACAAD3C170F}"/>
    <cellStyle name="Normal 38 3 4 2" xfId="11159" xr:uid="{1C9E7647-5F1C-4E39-9309-51C9A849CE2B}"/>
    <cellStyle name="Normal 38 3 4 2 2" xfId="15365" xr:uid="{73444D9F-6043-41B0-B267-F7BD0A3C0B3D}"/>
    <cellStyle name="Normal 38 3 4 3" xfId="13336" xr:uid="{713E3B50-C6B6-49FF-9481-7270650E3451}"/>
    <cellStyle name="Normal 38 3 5" xfId="9458" xr:uid="{BAA4B359-71A4-41B3-BA6A-1C3BC7D633FD}"/>
    <cellStyle name="Normal 38 3 5 2" xfId="11492" xr:uid="{DEB557AA-60E4-4655-AAC9-0378B04DA80C}"/>
    <cellStyle name="Normal 38 3 5 2 2" xfId="15698" xr:uid="{E5C8EAF3-712F-4A15-9E42-F3419D8DEEA1}"/>
    <cellStyle name="Normal 38 3 5 3" xfId="13669" xr:uid="{35F48312-E54F-4A36-9DDE-728B84A0F9DF}"/>
    <cellStyle name="Normal 38 3 6" xfId="9816" xr:uid="{28C74047-E4E8-4EA9-AB2D-FEC7E129B6FE}"/>
    <cellStyle name="Normal 38 3 6 2" xfId="14022" xr:uid="{226711B3-BB9E-46E2-AB1A-7C367C334AD2}"/>
    <cellStyle name="Normal 38 3 7" xfId="11993" xr:uid="{3529A598-FD76-4079-8C3D-F4B4D8D62927}"/>
    <cellStyle name="Normal 38 4" xfId="7918" xr:uid="{255C1B78-49B8-430B-A677-C8A6C48399CB}"/>
    <cellStyle name="Normal 38 4 2" xfId="8588" xr:uid="{981716AB-264B-4A11-9ED5-9B47ABF425B8}"/>
    <cellStyle name="Normal 38 4 2 2" xfId="10657" xr:uid="{6D5DD5DE-D6E6-49C8-9F02-7ECC3D59125C}"/>
    <cellStyle name="Normal 38 4 2 2 2" xfId="14863" xr:uid="{25B982B4-AD13-44E9-AFC1-07050A2E61D0}"/>
    <cellStyle name="Normal 38 4 2 3" xfId="12834" xr:uid="{CAD91297-750B-4F7D-AC05-2832C114E341}"/>
    <cellStyle name="Normal 38 4 3" xfId="9987" xr:uid="{E51428F1-53F5-46EA-A9F5-CABB3AD77EC8}"/>
    <cellStyle name="Normal 38 4 3 2" xfId="14193" xr:uid="{B11FE82D-D006-418A-871A-527016CA8002}"/>
    <cellStyle name="Normal 38 4 4" xfId="12164" xr:uid="{D560E35E-4E8B-4663-B02F-09F6ED160B23}"/>
    <cellStyle name="Normal 38 5" xfId="8254" xr:uid="{E1CCACEF-0C0B-4713-BD98-FF629BEBCEAE}"/>
    <cellStyle name="Normal 38 5 2" xfId="10323" xr:uid="{E9023BD0-7527-4890-ADE0-01CBE7809A6A}"/>
    <cellStyle name="Normal 38 5 2 2" xfId="14529" xr:uid="{CD1DC021-8598-49A8-84DC-4D7A8AE9D85A}"/>
    <cellStyle name="Normal 38 5 3" xfId="12500" xr:uid="{490E3B33-C776-47D2-B764-AF97A8221973}"/>
    <cellStyle name="Normal 38 6" xfId="8927" xr:uid="{9ACBA03A-2304-4181-810D-731743CBCCB7}"/>
    <cellStyle name="Normal 38 6 2" xfId="10996" xr:uid="{FD54F594-A3F9-4187-B456-41E053C2E3D0}"/>
    <cellStyle name="Normal 38 6 2 2" xfId="15202" xr:uid="{5582E833-1B59-400E-8879-7871B7D381ED}"/>
    <cellStyle name="Normal 38 6 3" xfId="13173" xr:uid="{1C6DAE63-A42C-4B1D-8C76-C32046B41A27}"/>
    <cellStyle name="Normal 38 7" xfId="9294" xr:uid="{876C75BC-47F6-416C-8D8C-A9AE9EA8040D}"/>
    <cellStyle name="Normal 38 7 2" xfId="11329" xr:uid="{2E5FBF6D-A3E8-420A-9041-041B9D3C14D7}"/>
    <cellStyle name="Normal 38 7 2 2" xfId="15535" xr:uid="{203BE26A-AA0D-4514-BA72-EF1BE3E84B90}"/>
    <cellStyle name="Normal 38 7 3" xfId="13506" xr:uid="{F5E89358-BEDA-40EA-B023-C832CF907E90}"/>
    <cellStyle name="Normal 38 8" xfId="9653" xr:uid="{7CB2327E-7A20-4CFE-B4B5-7780C0721896}"/>
    <cellStyle name="Normal 38 8 2" xfId="13859" xr:uid="{D72FE4A8-8BB5-4EAE-8606-DBA893002ED7}"/>
    <cellStyle name="Normal 38 9" xfId="11829" xr:uid="{1548622F-22F7-4E33-B016-1E71CCCAEA1B}"/>
    <cellStyle name="Normal 39" xfId="7509" xr:uid="{45A1295A-E2FF-46E9-85B6-A757565E4E31}"/>
    <cellStyle name="Normal 39 2" xfId="7552" xr:uid="{858AF5FE-7613-4A2A-8CB4-08F71008F227}"/>
    <cellStyle name="Normal 39 2 2" xfId="7752" xr:uid="{9F366543-9A37-41D5-ACCA-F9658AED9D49}"/>
    <cellStyle name="Normal 39 2 2 2" xfId="8123" xr:uid="{D4725554-E19E-47F0-8322-BC4A4B0EDAEB}"/>
    <cellStyle name="Normal 39 2 2 2 2" xfId="8793" xr:uid="{F706415F-6A82-437A-8F16-8B71A76AF5EE}"/>
    <cellStyle name="Normal 39 2 2 2 2 2" xfId="10862" xr:uid="{D9BB4AB4-8B51-443A-91BD-9668C1DD129D}"/>
    <cellStyle name="Normal 39 2 2 2 2 2 2" xfId="15068" xr:uid="{00B2180A-2FD7-48E3-822B-A55DAA565193}"/>
    <cellStyle name="Normal 39 2 2 2 2 3" xfId="13039" xr:uid="{AD6A730C-2933-4941-A835-B6153D66D58B}"/>
    <cellStyle name="Normal 39 2 2 2 3" xfId="10192" xr:uid="{E026A463-70A3-4B8F-B011-A1939EF94023}"/>
    <cellStyle name="Normal 39 2 2 2 3 2" xfId="14398" xr:uid="{99FCBDAB-8364-474C-9A1D-9083A46B731A}"/>
    <cellStyle name="Normal 39 2 2 2 4" xfId="12369" xr:uid="{C898B76A-E7C7-4890-AC23-8C996346CCE2}"/>
    <cellStyle name="Normal 39 2 2 3" xfId="8459" xr:uid="{4C6C0C90-7CAA-4A36-99F9-D2D115E89DBF}"/>
    <cellStyle name="Normal 39 2 2 3 2" xfId="10528" xr:uid="{3325638E-A894-4770-8B13-C46CA26140CF}"/>
    <cellStyle name="Normal 39 2 2 3 2 2" xfId="14734" xr:uid="{A656FD47-E376-4FAF-AE0A-9B9EAB88970D}"/>
    <cellStyle name="Normal 39 2 2 3 3" xfId="12705" xr:uid="{D774DC78-5FB9-407A-AA71-DD89455F1FB0}"/>
    <cellStyle name="Normal 39 2 2 4" xfId="9132" xr:uid="{D7B47B8F-66CA-4191-971A-60A3011303F6}"/>
    <cellStyle name="Normal 39 2 2 4 2" xfId="11201" xr:uid="{3435B7B1-6041-4A18-A77E-1D1AD420D8B1}"/>
    <cellStyle name="Normal 39 2 2 4 2 2" xfId="15407" xr:uid="{3655269F-781A-4077-9728-3D55D9F99069}"/>
    <cellStyle name="Normal 39 2 2 4 3" xfId="13378" xr:uid="{E3F5C312-CD1C-4AAA-8EE1-31904A67F569}"/>
    <cellStyle name="Normal 39 2 2 5" xfId="9500" xr:uid="{BFDBE22A-6D25-472B-8D0F-A1AD3D4188C8}"/>
    <cellStyle name="Normal 39 2 2 5 2" xfId="11534" xr:uid="{A1EBCAFB-17AC-441A-B6E8-9A37B5DA26E7}"/>
    <cellStyle name="Normal 39 2 2 5 2 2" xfId="15740" xr:uid="{7FFD7763-DB25-4AC8-8F2A-51ACDBBA1069}"/>
    <cellStyle name="Normal 39 2 2 5 3" xfId="13711" xr:uid="{BA196CF0-EB38-4F57-B35C-2CD2818BDACA}"/>
    <cellStyle name="Normal 39 2 2 6" xfId="9858" xr:uid="{84535B08-29C6-4C15-8548-0C422C7C60B2}"/>
    <cellStyle name="Normal 39 2 2 6 2" xfId="14064" xr:uid="{2412A386-7089-4DF2-86ED-59F83628C96C}"/>
    <cellStyle name="Normal 39 2 2 7" xfId="12035" xr:uid="{AEADD231-AD6D-4631-9EEB-5119116B41B2}"/>
    <cellStyle name="Normal 39 2 3" xfId="7960" xr:uid="{0EC4CC68-ACA6-43D9-A011-8EE81A579709}"/>
    <cellStyle name="Normal 39 2 3 2" xfId="8630" xr:uid="{DBD20BEE-E627-4C3E-B13A-891333E6CFCB}"/>
    <cellStyle name="Normal 39 2 3 2 2" xfId="10699" xr:uid="{813535F4-B298-469E-A7E1-8ECC568B82A6}"/>
    <cellStyle name="Normal 39 2 3 2 2 2" xfId="14905" xr:uid="{07363399-B053-4D6B-ACC3-8478DBF12764}"/>
    <cellStyle name="Normal 39 2 3 2 3" xfId="12876" xr:uid="{3C646E77-5033-4BE8-A475-09F64C508D2E}"/>
    <cellStyle name="Normal 39 2 3 3" xfId="10029" xr:uid="{DD31EB60-F889-41A6-986B-C7D7B817A4B9}"/>
    <cellStyle name="Normal 39 2 3 3 2" xfId="14235" xr:uid="{8EF448AE-AD17-48FA-8B27-8AE350FA0B5B}"/>
    <cellStyle name="Normal 39 2 3 4" xfId="12206" xr:uid="{264717A5-8D07-4539-B3FE-C577B2FD466C}"/>
    <cellStyle name="Normal 39 2 4" xfId="8296" xr:uid="{C7C68799-490D-4CA3-A04B-FA4873F6EB63}"/>
    <cellStyle name="Normal 39 2 4 2" xfId="10365" xr:uid="{E6434990-4840-4C23-A3F9-F9E0CFA71DD9}"/>
    <cellStyle name="Normal 39 2 4 2 2" xfId="14571" xr:uid="{48B14CCC-3E2D-402F-A81A-C23DD97C67A6}"/>
    <cellStyle name="Normal 39 2 4 3" xfId="12542" xr:uid="{6E73C26B-5816-4950-8EBE-F25F735755A4}"/>
    <cellStyle name="Normal 39 2 5" xfId="8969" xr:uid="{39E9E65C-7391-4541-B214-A45ACA23A852}"/>
    <cellStyle name="Normal 39 2 5 2" xfId="11038" xr:uid="{4735335D-6648-497E-AA11-827E328AFC0A}"/>
    <cellStyle name="Normal 39 2 5 2 2" xfId="15244" xr:uid="{2CB8310C-54F7-423B-9674-54E70D8A54F8}"/>
    <cellStyle name="Normal 39 2 5 3" xfId="13215" xr:uid="{3B5CF39E-D107-49D0-B263-AD7D6E504A7D}"/>
    <cellStyle name="Normal 39 2 6" xfId="9337" xr:uid="{9A1C5EC1-80C7-4F4B-89FE-9AA2C7BDCE61}"/>
    <cellStyle name="Normal 39 2 6 2" xfId="11371" xr:uid="{CA92A214-190F-431F-A443-99F58971DA50}"/>
    <cellStyle name="Normal 39 2 6 2 2" xfId="15577" xr:uid="{DE392A25-7740-4DC0-A09E-4D403BA78612}"/>
    <cellStyle name="Normal 39 2 6 3" xfId="13548" xr:uid="{16DD89B5-D6D8-466B-BE67-F849D4587180}"/>
    <cellStyle name="Normal 39 2 7" xfId="9695" xr:uid="{35E8C4F7-590B-4CB1-8D96-93305E007E04}"/>
    <cellStyle name="Normal 39 2 7 2" xfId="13901" xr:uid="{6D5333A9-EA01-4FCC-948B-90DCB0BBDD59}"/>
    <cellStyle name="Normal 39 2 8" xfId="11872" xr:uid="{5C371A62-0ADC-4649-887A-B0129EECB12A}"/>
    <cellStyle name="Normal 39 3" xfId="7711" xr:uid="{D4787DE8-AEBC-48BB-AFA6-638586B6ABD9}"/>
    <cellStyle name="Normal 39 3 2" xfId="8082" xr:uid="{54529CC9-A576-48D8-8478-FFE8A6856FF2}"/>
    <cellStyle name="Normal 39 3 2 2" xfId="8752" xr:uid="{77382486-1E16-4FCA-9A91-48EAFC4905A0}"/>
    <cellStyle name="Normal 39 3 2 2 2" xfId="10821" xr:uid="{C5F8A2CA-EBE4-4593-B9E7-7AD5647AD09B}"/>
    <cellStyle name="Normal 39 3 2 2 2 2" xfId="15027" xr:uid="{BAE8AC64-2138-4236-8D9E-C963653CECB8}"/>
    <cellStyle name="Normal 39 3 2 2 3" xfId="12998" xr:uid="{6420BC95-6BBD-403A-9A07-A9754B74022B}"/>
    <cellStyle name="Normal 39 3 2 3" xfId="10151" xr:uid="{9535560B-CB7F-49CC-8D64-117926D06E34}"/>
    <cellStyle name="Normal 39 3 2 3 2" xfId="14357" xr:uid="{E3034C7A-A5B9-4BAA-A619-7942855B4D74}"/>
    <cellStyle name="Normal 39 3 2 4" xfId="12328" xr:uid="{3127790B-B716-4ED9-8EC5-8FAFDB51DFBE}"/>
    <cellStyle name="Normal 39 3 3" xfId="8418" xr:uid="{613C2EB3-0656-4ED1-B9B7-397B64328E0C}"/>
    <cellStyle name="Normal 39 3 3 2" xfId="10487" xr:uid="{9F863207-48A0-485D-9A1D-A90B171D40FE}"/>
    <cellStyle name="Normal 39 3 3 2 2" xfId="14693" xr:uid="{998895CA-1232-4DF0-9882-B3C892C1522F}"/>
    <cellStyle name="Normal 39 3 3 3" xfId="12664" xr:uid="{BDCAED34-63DB-4935-ABEB-3390BB319B1E}"/>
    <cellStyle name="Normal 39 3 4" xfId="9091" xr:uid="{92AA39B3-836C-4B75-9200-10E415857EFA}"/>
    <cellStyle name="Normal 39 3 4 2" xfId="11160" xr:uid="{FDE8BB80-ED9D-4275-B885-F84EE230B228}"/>
    <cellStyle name="Normal 39 3 4 2 2" xfId="15366" xr:uid="{F9D57B5B-EE62-4B81-851C-AC4FD3F1FB14}"/>
    <cellStyle name="Normal 39 3 4 3" xfId="13337" xr:uid="{286F8B15-09A0-49C5-9820-37D485C7D790}"/>
    <cellStyle name="Normal 39 3 5" xfId="9459" xr:uid="{8D0E4B58-61A3-4F25-BD6B-BF36D0D42311}"/>
    <cellStyle name="Normal 39 3 5 2" xfId="11493" xr:uid="{18395460-7F81-4C9B-944A-5ED8E17C8DBA}"/>
    <cellStyle name="Normal 39 3 5 2 2" xfId="15699" xr:uid="{9E633118-05D4-4389-8200-B1CC8170122E}"/>
    <cellStyle name="Normal 39 3 5 3" xfId="13670" xr:uid="{26C86249-1995-4F46-B7DE-777F825FF685}"/>
    <cellStyle name="Normal 39 3 6" xfId="9817" xr:uid="{3C2D8446-4DD0-48F4-8837-C9D66834205D}"/>
    <cellStyle name="Normal 39 3 6 2" xfId="14023" xr:uid="{90FC6327-B0E3-4526-9686-0CD806A9C5FA}"/>
    <cellStyle name="Normal 39 3 7" xfId="11994" xr:uid="{E6A1B99C-608A-4EDC-BEF3-F737951ABDF0}"/>
    <cellStyle name="Normal 39 4" xfId="7919" xr:uid="{335E612E-EC8B-440A-81ED-BF891D7EE0D2}"/>
    <cellStyle name="Normal 39 4 2" xfId="8589" xr:uid="{21198AC8-8004-426B-9112-0F21A05DEBAC}"/>
    <cellStyle name="Normal 39 4 2 2" xfId="10658" xr:uid="{7851F2EB-F3D2-4E2A-88E4-CBC281E3AE0B}"/>
    <cellStyle name="Normal 39 4 2 2 2" xfId="14864" xr:uid="{2A001DA7-BC9D-47B7-BFCF-330DA643F927}"/>
    <cellStyle name="Normal 39 4 2 3" xfId="12835" xr:uid="{45AC9611-76F7-4E7D-80B4-2F9668CA79F0}"/>
    <cellStyle name="Normal 39 4 3" xfId="9988" xr:uid="{956CA5F1-5D40-4D40-8421-7768420A5EE8}"/>
    <cellStyle name="Normal 39 4 3 2" xfId="14194" xr:uid="{60FCBCB3-0453-4419-B54B-BC91F79CDA33}"/>
    <cellStyle name="Normal 39 4 4" xfId="12165" xr:uid="{E2E3A1FA-443E-410F-8271-D5E05BD868DD}"/>
    <cellStyle name="Normal 39 5" xfId="8255" xr:uid="{DAD4F2B5-80A5-498A-8F80-FF5A9968D611}"/>
    <cellStyle name="Normal 39 5 2" xfId="10324" xr:uid="{0D9A107F-13AF-4D46-944A-43492AA15287}"/>
    <cellStyle name="Normal 39 5 2 2" xfId="14530" xr:uid="{7AF5063D-4CE5-4B22-A017-04B247234E73}"/>
    <cellStyle name="Normal 39 5 3" xfId="12501" xr:uid="{A4F6084E-0CF5-4759-AD84-0CE47BBFF02A}"/>
    <cellStyle name="Normal 39 6" xfId="8928" xr:uid="{F7C91682-D1C1-4F7C-99C3-989BF159E7AF}"/>
    <cellStyle name="Normal 39 6 2" xfId="10997" xr:uid="{1050F806-B13B-4D65-9B7A-F171C0EE7598}"/>
    <cellStyle name="Normal 39 6 2 2" xfId="15203" xr:uid="{2FC08799-BDC3-4E1E-ABB1-92CBA38959E4}"/>
    <cellStyle name="Normal 39 6 3" xfId="13174" xr:uid="{8BE72A1A-3A60-4EF8-81F2-8926E6DFC273}"/>
    <cellStyle name="Normal 39 7" xfId="9295" xr:uid="{FC1AAEB3-29DC-420C-BC32-42F8E26D1BC3}"/>
    <cellStyle name="Normal 39 7 2" xfId="11330" xr:uid="{3162C870-3163-41EB-9DB1-06CC0A5E06E7}"/>
    <cellStyle name="Normal 39 7 2 2" xfId="15536" xr:uid="{76AE8A25-DCEF-4346-B902-E4971DEDC022}"/>
    <cellStyle name="Normal 39 7 3" xfId="13507" xr:uid="{CA91A410-CDE5-4CF7-A902-68976C73C41B}"/>
    <cellStyle name="Normal 39 8" xfId="9654" xr:uid="{D6418CC0-8B07-437D-BDFE-4ED1C08ADC30}"/>
    <cellStyle name="Normal 39 8 2" xfId="13860" xr:uid="{35DE4AD8-2C92-4B35-A3FD-91AA76B1DC70}"/>
    <cellStyle name="Normal 39 9" xfId="11830" xr:uid="{824F2442-6A27-416C-B0A5-7B1E3B83E83F}"/>
    <cellStyle name="Normal 4" xfId="5044" xr:uid="{E5B42841-6AC5-4922-A89C-68E663FF96C0}"/>
    <cellStyle name="Normal 4 10" xfId="7645" xr:uid="{B724FA3E-ECED-4409-9D3F-A1EB51205F1E}"/>
    <cellStyle name="Normal 4 11" xfId="7650" xr:uid="{B705E095-CDC5-4E01-9D2D-34059C87F256}"/>
    <cellStyle name="Normal 4 11 2" xfId="7839" xr:uid="{9B7F69CC-A983-4DF1-8D0D-28508D6BB931}"/>
    <cellStyle name="Normal 4 11 2 2" xfId="8209" xr:uid="{907B6397-6FFC-4CA4-BD30-06C890180189}"/>
    <cellStyle name="Normal 4 11 2 2 2" xfId="8879" xr:uid="{D5722F2E-5AAF-4E26-AA0F-A611A65EAB47}"/>
    <cellStyle name="Normal 4 11 2 2 2 2" xfId="10948" xr:uid="{A2C7B71A-524C-4596-B6B8-854942D76FA5}"/>
    <cellStyle name="Normal 4 11 2 2 2 2 2" xfId="15154" xr:uid="{5FE01458-B829-4F09-83E1-6481B73FF658}"/>
    <cellStyle name="Normal 4 11 2 2 2 3" xfId="13125" xr:uid="{ECBC56A4-2931-42C9-AD18-BA05E33197A9}"/>
    <cellStyle name="Normal 4 11 2 2 3" xfId="10278" xr:uid="{84609B06-5B6D-4A0D-A1D5-7488EA9A1353}"/>
    <cellStyle name="Normal 4 11 2 2 3 2" xfId="14484" xr:uid="{6B159EF8-D8D0-4072-BCA8-C13B618C37E2}"/>
    <cellStyle name="Normal 4 11 2 2 4" xfId="12455" xr:uid="{5E3D5C41-548C-40CF-81E8-7931772BD01B}"/>
    <cellStyle name="Normal 4 11 2 3" xfId="8545" xr:uid="{8FC9DB46-090B-4E3A-89EB-60C9458B067C}"/>
    <cellStyle name="Normal 4 11 2 3 2" xfId="10614" xr:uid="{B5543481-6738-485E-97C2-DBF2E62EBCEC}"/>
    <cellStyle name="Normal 4 11 2 3 2 2" xfId="14820" xr:uid="{6871A152-34BF-4713-8CE2-14FC4932AD72}"/>
    <cellStyle name="Normal 4 11 2 3 3" xfId="12791" xr:uid="{C21A4CEA-3D4E-4D36-B76F-DBEB5EDB60EB}"/>
    <cellStyle name="Normal 4 11 2 4" xfId="9218" xr:uid="{F5C539DF-348A-4744-AC2A-DD14F8A1107E}"/>
    <cellStyle name="Normal 4 11 2 4 2" xfId="11287" xr:uid="{5F6E6901-BAF3-43BD-A54E-9077FE56E6C3}"/>
    <cellStyle name="Normal 4 11 2 4 2 2" xfId="15493" xr:uid="{80D2F5FF-BACB-4154-AC27-481247A4189B}"/>
    <cellStyle name="Normal 4 11 2 4 3" xfId="13464" xr:uid="{DD8FC770-CC98-4CF3-84CA-8DB83F7996E3}"/>
    <cellStyle name="Normal 4 11 2 5" xfId="9586" xr:uid="{B74428D8-42F3-4067-B079-19C8505E2E42}"/>
    <cellStyle name="Normal 4 11 2 5 2" xfId="11620" xr:uid="{E09CA3C7-42E1-4ECF-9AE2-4ABDB92A7932}"/>
    <cellStyle name="Normal 4 11 2 5 2 2" xfId="15826" xr:uid="{B9769F0E-188A-4626-B23C-36DDD1CE730A}"/>
    <cellStyle name="Normal 4 11 2 5 3" xfId="13797" xr:uid="{A6E7A7FC-B2C8-4249-AF05-0ED6DEFF12CD}"/>
    <cellStyle name="Normal 4 11 2 6" xfId="9944" xr:uid="{67855D72-ADC3-4248-8421-B3DE59B094CA}"/>
    <cellStyle name="Normal 4 11 2 6 2" xfId="14150" xr:uid="{3C9F2AD3-19D3-47F0-8963-C0841222CDC5}"/>
    <cellStyle name="Normal 4 11 2 7" xfId="12121" xr:uid="{037DA844-2C2D-493D-A81A-B37A753FF8B3}"/>
    <cellStyle name="Normal 4 11 3" xfId="8046" xr:uid="{3A2B20EB-A0D6-4526-872E-4CAEE4C6ED3D}"/>
    <cellStyle name="Normal 4 11 3 2" xfId="8716" xr:uid="{11F89B7B-8223-4670-92C9-09BFA6FB12DD}"/>
    <cellStyle name="Normal 4 11 3 2 2" xfId="10785" xr:uid="{575C52DC-5BB6-4EC4-AF06-4FA169BD3416}"/>
    <cellStyle name="Normal 4 11 3 2 2 2" xfId="14991" xr:uid="{9E1493AC-1F57-4E7B-AB85-C76528615F28}"/>
    <cellStyle name="Normal 4 11 3 2 3" xfId="12962" xr:uid="{4011683B-B3DF-4E20-9E10-11AEBA616CBE}"/>
    <cellStyle name="Normal 4 11 3 3" xfId="10115" xr:uid="{FB88C740-647C-4B2E-9BB8-BDC6E22E1F1E}"/>
    <cellStyle name="Normal 4 11 3 3 2" xfId="14321" xr:uid="{84E81B05-52AD-4CFD-8851-DFCE058D446F}"/>
    <cellStyle name="Normal 4 11 3 4" xfId="12292" xr:uid="{CA9A489F-99B7-4018-B98D-B6215434C772}"/>
    <cellStyle name="Normal 4 11 4" xfId="8382" xr:uid="{C0E53246-1D20-4019-8B64-7CE145C4354D}"/>
    <cellStyle name="Normal 4 11 4 2" xfId="10451" xr:uid="{3A9CB13E-17FC-4670-822B-761863799114}"/>
    <cellStyle name="Normal 4 11 4 2 2" xfId="14657" xr:uid="{72878A77-2EC3-430A-A8A7-0A272B67AF86}"/>
    <cellStyle name="Normal 4 11 4 3" xfId="12628" xr:uid="{7B173941-D5ED-4ABC-84F3-C3383CFEBA93}"/>
    <cellStyle name="Normal 4 11 5" xfId="9055" xr:uid="{C0497E47-BA07-4D7F-ADCB-674F63BE705D}"/>
    <cellStyle name="Normal 4 11 5 2" xfId="11124" xr:uid="{6285F469-4B2E-4D61-8844-07E6DAEA0A5A}"/>
    <cellStyle name="Normal 4 11 5 2 2" xfId="15330" xr:uid="{8C99F301-B98F-4401-970B-3C8DD927B1D0}"/>
    <cellStyle name="Normal 4 11 5 3" xfId="13301" xr:uid="{D6F1D30C-5CD0-4E3E-8164-3E9A8EB24534}"/>
    <cellStyle name="Normal 4 11 6" xfId="9423" xr:uid="{8B1373A0-8A39-4EE8-A066-54F50607A22C}"/>
    <cellStyle name="Normal 4 11 6 2" xfId="11457" xr:uid="{84539A84-79CB-4ECA-AB89-58978DB4036E}"/>
    <cellStyle name="Normal 4 11 6 2 2" xfId="15663" xr:uid="{A4A592BF-7649-4252-A9A8-CE2EFAFEC967}"/>
    <cellStyle name="Normal 4 11 6 3" xfId="13634" xr:uid="{6F7919CC-9BDA-4D47-A482-1FB490AE95B9}"/>
    <cellStyle name="Normal 4 11 7" xfId="9781" xr:uid="{69F2E878-0AA7-4571-80CE-06EEEE5A3797}"/>
    <cellStyle name="Normal 4 11 7 2" xfId="13987" xr:uid="{1159AA28-487A-4623-8A62-B7FF404104CC}"/>
    <cellStyle name="Normal 4 11 8" xfId="11958" xr:uid="{B27FE85C-4E63-4411-B3C4-34CA35028639}"/>
    <cellStyle name="Normal 4 12" xfId="7659" xr:uid="{F5E6287B-766B-4E80-9B63-23913AAFAE5C}"/>
    <cellStyle name="Normal 4 12 2" xfId="7848" xr:uid="{E30FBC88-6B1D-42F0-9AEC-70B0887E5D62}"/>
    <cellStyle name="Normal 4 12 2 2" xfId="8218" xr:uid="{85ABFA30-2822-49C0-8185-FF2EB4E8BAA8}"/>
    <cellStyle name="Normal 4 12 2 2 2" xfId="8888" xr:uid="{6C54A3B7-91F7-455D-911C-2C93343C89EA}"/>
    <cellStyle name="Normal 4 12 2 2 2 2" xfId="10957" xr:uid="{06195A3A-A9BE-4933-9613-6C6AC7545EE7}"/>
    <cellStyle name="Normal 4 12 2 2 2 2 2" xfId="15163" xr:uid="{3D52786F-4D02-4096-9C36-1F96287CAF50}"/>
    <cellStyle name="Normal 4 12 2 2 2 3" xfId="13134" xr:uid="{83B3926C-27FA-43F1-9496-86DB2DED6D9D}"/>
    <cellStyle name="Normal 4 12 2 2 3" xfId="10287" xr:uid="{E521F2EE-D85E-4D2D-9BE6-CF9F4AF69EEB}"/>
    <cellStyle name="Normal 4 12 2 2 3 2" xfId="14493" xr:uid="{13602951-5D72-4DAD-A949-C8D9789B6D06}"/>
    <cellStyle name="Normal 4 12 2 2 4" xfId="12464" xr:uid="{6B398D57-90E9-44BF-90A5-37DF3786984A}"/>
    <cellStyle name="Normal 4 12 2 3" xfId="8554" xr:uid="{04A718B1-2307-41AD-94B5-D9C472C89181}"/>
    <cellStyle name="Normal 4 12 2 3 2" xfId="10623" xr:uid="{367A4F79-1E06-4BE8-BA43-BC152E5F4B80}"/>
    <cellStyle name="Normal 4 12 2 3 2 2" xfId="14829" xr:uid="{5A0BBA58-3066-4346-8517-7C10BB17C0E5}"/>
    <cellStyle name="Normal 4 12 2 3 3" xfId="12800" xr:uid="{EAC1C827-83F6-482A-A69C-64510569AE72}"/>
    <cellStyle name="Normal 4 12 2 4" xfId="9227" xr:uid="{1640AC21-296E-4995-8DD4-00E1ACD38A9A}"/>
    <cellStyle name="Normal 4 12 2 4 2" xfId="11296" xr:uid="{82B22990-9F1F-45B7-B398-D538B788FA90}"/>
    <cellStyle name="Normal 4 12 2 4 2 2" xfId="15502" xr:uid="{3C6FFE81-6830-4F2F-B890-95B1931F5CA0}"/>
    <cellStyle name="Normal 4 12 2 4 3" xfId="13473" xr:uid="{78237A06-6DA9-44E3-9A40-DA6ECE8927B4}"/>
    <cellStyle name="Normal 4 12 2 5" xfId="9595" xr:uid="{01C366A6-CBAD-4365-9745-95CA8A00AFDF}"/>
    <cellStyle name="Normal 4 12 2 5 2" xfId="11629" xr:uid="{47747A4E-E55E-4FEA-AC73-684ABA3EED06}"/>
    <cellStyle name="Normal 4 12 2 5 2 2" xfId="15835" xr:uid="{366B94C2-CE50-494D-9BCE-B58333BD1781}"/>
    <cellStyle name="Normal 4 12 2 5 3" xfId="13806" xr:uid="{121356B2-0849-4F7F-B9F1-1E4DAF2DA9A3}"/>
    <cellStyle name="Normal 4 12 2 6" xfId="9953" xr:uid="{4BF434C7-BF45-4540-9283-BC73EBEB9B9E}"/>
    <cellStyle name="Normal 4 12 2 6 2" xfId="14159" xr:uid="{5A86EDB2-C63F-40E9-9680-11E7BB70E836}"/>
    <cellStyle name="Normal 4 12 2 7" xfId="12130" xr:uid="{D9493747-D285-412F-85A1-B908B8DF428C}"/>
    <cellStyle name="Normal 4 12 3" xfId="8055" xr:uid="{58198F70-B5C0-4615-886A-EBA356959659}"/>
    <cellStyle name="Normal 4 12 3 2" xfId="8725" xr:uid="{304C51A1-7B73-4360-993C-A3EC8B981255}"/>
    <cellStyle name="Normal 4 12 3 2 2" xfId="10794" xr:uid="{7185C8AC-9F28-4758-B51E-D262716F6FDD}"/>
    <cellStyle name="Normal 4 12 3 2 2 2" xfId="15000" xr:uid="{4FBCB5DF-5CFB-4661-97C5-F679487628F0}"/>
    <cellStyle name="Normal 4 12 3 2 3" xfId="12971" xr:uid="{FA4E2F20-947C-477E-8791-D087281363DD}"/>
    <cellStyle name="Normal 4 12 3 3" xfId="10124" xr:uid="{2845B2EF-6E8D-4BF0-ACA4-AA9874994BB9}"/>
    <cellStyle name="Normal 4 12 3 3 2" xfId="14330" xr:uid="{45946749-6BC1-442E-90B4-4F528B88AD48}"/>
    <cellStyle name="Normal 4 12 3 4" xfId="12301" xr:uid="{C38FB8E3-A6BB-48C4-90E5-7A46B9463F30}"/>
    <cellStyle name="Normal 4 12 4" xfId="8391" xr:uid="{BD189F48-7EC3-4B93-BF52-61CDB4C912BE}"/>
    <cellStyle name="Normal 4 12 4 2" xfId="10460" xr:uid="{866E3DF7-D956-4C94-8B0A-577DEAFF8074}"/>
    <cellStyle name="Normal 4 12 4 2 2" xfId="14666" xr:uid="{E1E22C06-DBA9-4097-A6D4-39F6D3AE1137}"/>
    <cellStyle name="Normal 4 12 4 3" xfId="12637" xr:uid="{E0C8CA61-B594-49EC-AF5B-58E640BFA5C5}"/>
    <cellStyle name="Normal 4 12 5" xfId="9064" xr:uid="{57585A8F-A52A-4B62-A3EA-E50ED80C8EEB}"/>
    <cellStyle name="Normal 4 12 5 2" xfId="11133" xr:uid="{11F30C19-7F07-4D3B-AB87-3F000A617F20}"/>
    <cellStyle name="Normal 4 12 5 2 2" xfId="15339" xr:uid="{9E67EEF1-1579-4EFA-859E-5AA812B9DA2E}"/>
    <cellStyle name="Normal 4 12 5 3" xfId="13310" xr:uid="{837A0BA2-4FE8-4727-9FA5-87C7135FE8C5}"/>
    <cellStyle name="Normal 4 12 6" xfId="9432" xr:uid="{7A1E6FA1-1DD5-4FDC-AB5D-138B8A7C901D}"/>
    <cellStyle name="Normal 4 12 6 2" xfId="11466" xr:uid="{6D22F517-4F39-4291-8A9F-5EB6FF92F4F7}"/>
    <cellStyle name="Normal 4 12 6 2 2" xfId="15672" xr:uid="{866B35E9-12D1-431C-88F6-5BAE7675CFD6}"/>
    <cellStyle name="Normal 4 12 6 3" xfId="13643" xr:uid="{C761B9A3-9067-4314-82C1-760175670CA9}"/>
    <cellStyle name="Normal 4 12 7" xfId="9790" xr:uid="{8B15F61D-9A4D-4863-A34A-1BA647BA5CF0}"/>
    <cellStyle name="Normal 4 12 7 2" xfId="13996" xr:uid="{C0727FC6-779F-4A5A-8904-C56930F59520}"/>
    <cellStyle name="Normal 4 12 8" xfId="11967" xr:uid="{A69AE2C5-022A-4B8D-A443-EEE7E33A6C9D}"/>
    <cellStyle name="Normal 4 13" xfId="9640" xr:uid="{5C2EACA0-9046-4CBE-ABCA-97869D8763C6}"/>
    <cellStyle name="Normal 4 13 2" xfId="13847" xr:uid="{2823D40D-3582-49B8-A7EC-3C8545CD7212}"/>
    <cellStyle name="Normal 4 14" xfId="11664" xr:uid="{9EEC7C59-F8E2-428D-B0F7-483120B08B13}"/>
    <cellStyle name="Normal 4 14 2" xfId="15870" xr:uid="{A0BC5516-8D17-4532-A4CF-47EA2DAFE8EC}"/>
    <cellStyle name="Normal 4 15" xfId="11690" xr:uid="{50D2F586-FE89-44FE-BB66-ABF40C457B22}"/>
    <cellStyle name="Normal 4 15 2" xfId="15894" xr:uid="{ECF8D828-0460-48B1-88E9-6C5FDE5DC78E}"/>
    <cellStyle name="Normal 4 16" xfId="11704" xr:uid="{B878B568-34FE-4721-8E4D-5A0A71C87163}"/>
    <cellStyle name="Normal 4 16 2" xfId="15908" xr:uid="{471E4198-FAFA-4601-ADC2-ECEBCC06257D}"/>
    <cellStyle name="Normal 4 17" xfId="11721" xr:uid="{651C066E-94DF-413F-A792-FDE8CBF6B246}"/>
    <cellStyle name="Normal 4 17 2" xfId="15925" xr:uid="{9DE3391B-54D1-4350-B089-2E39117ACCB0}"/>
    <cellStyle name="Normal 4 18" xfId="11784" xr:uid="{373BB725-843F-4D51-8865-92ABC1DADD79}"/>
    <cellStyle name="Normal 4 18 2" xfId="15985" xr:uid="{970BC32F-91EE-43BB-AFEC-CCCAC0846D85}"/>
    <cellStyle name="Normal 4 19" xfId="11799" xr:uid="{0422C4AF-92D4-49C8-8238-D7C0C1B3F522}"/>
    <cellStyle name="Normal 4 19 2" xfId="15995" xr:uid="{8F046150-233F-4A2D-9648-479980B0F8B1}"/>
    <cellStyle name="Normal 4 2" xfId="5045" xr:uid="{0FE12148-21AA-464F-941C-920F56572B19}"/>
    <cellStyle name="Normal 4 2 2" xfId="7684" xr:uid="{5CF9EC9F-13FC-427B-AB0D-8338CC7CB31C}"/>
    <cellStyle name="Normal 4 2 2 10" xfId="11736" xr:uid="{483D4597-F800-43BA-AC66-A8EF08FA31DB}"/>
    <cellStyle name="Normal 4 2 2 10 2" xfId="15939" xr:uid="{48B357AC-15C8-405B-849A-FE58CA49D670}"/>
    <cellStyle name="Normal 4 2 2 11" xfId="11763" xr:uid="{FA892F17-03E6-4DAE-82F5-ECCB315D2862}"/>
    <cellStyle name="Normal 4 2 2 11 2" xfId="15964" xr:uid="{54631127-256D-4220-A34D-312A2D882057}"/>
    <cellStyle name="Normal 4 2 2 12" xfId="11779" xr:uid="{E435C914-35AA-4599-9294-835D9387300C}"/>
    <cellStyle name="Normal 4 2 2 12 2" xfId="15980" xr:uid="{2F5EF8CF-89E1-4A3F-934B-391D043A9717}"/>
    <cellStyle name="Normal 4 2 2 13" xfId="11977" xr:uid="{50B55CA3-7CE1-4381-BAAA-62C025EE02DE}"/>
    <cellStyle name="Normal 4 2 2 2" xfId="7858" xr:uid="{404B2008-31E5-4383-8D8C-FE18C95509A1}"/>
    <cellStyle name="Normal 4 2 2 2 2" xfId="8228" xr:uid="{4E37F625-D30D-4D37-A4F1-8A51A83EEF61}"/>
    <cellStyle name="Normal 4 2 2 2 2 2" xfId="8898" xr:uid="{15A3220D-4067-4A7E-8488-2A1F237F4789}"/>
    <cellStyle name="Normal 4 2 2 2 2 2 2" xfId="10967" xr:uid="{9323ECDA-8828-4287-B269-96B4E6BA3082}"/>
    <cellStyle name="Normal 4 2 2 2 2 2 2 2" xfId="15173" xr:uid="{59AB3CFA-C83C-4F7F-8F5C-1CD15A81C0B9}"/>
    <cellStyle name="Normal 4 2 2 2 2 2 3" xfId="13144" xr:uid="{CA761DCB-FB52-4BE9-AAC1-ED99CB4EEF4D}"/>
    <cellStyle name="Normal 4 2 2 2 2 3" xfId="10297" xr:uid="{1373B258-8E55-4A0B-81BD-E97AACBFAE5C}"/>
    <cellStyle name="Normal 4 2 2 2 2 3 2" xfId="14503" xr:uid="{BEDE5FA2-6341-4FB3-8EB4-30D6B5680352}"/>
    <cellStyle name="Normal 4 2 2 2 2 4" xfId="12474" xr:uid="{DA68B1F9-279B-45F5-AD2C-769FFE441C27}"/>
    <cellStyle name="Normal 4 2 2 2 3" xfId="8564" xr:uid="{39ED1598-DB0D-482E-981C-0853A2B2D59D}"/>
    <cellStyle name="Normal 4 2 2 2 3 2" xfId="10633" xr:uid="{317B1E74-A1F5-42B1-B70C-CC8065CC7577}"/>
    <cellStyle name="Normal 4 2 2 2 3 2 2" xfId="14839" xr:uid="{BC8F996B-46A5-4116-9BF1-AE184FC18DC8}"/>
    <cellStyle name="Normal 4 2 2 2 3 3" xfId="12810" xr:uid="{B855CD3B-44E4-4EC7-B635-CD690276AEFA}"/>
    <cellStyle name="Normal 4 2 2 2 4" xfId="9237" xr:uid="{B404E7B2-3C0A-48D1-B9CF-5D6B12EA8D71}"/>
    <cellStyle name="Normal 4 2 2 2 4 2" xfId="11306" xr:uid="{21659CD5-A0A0-4DC3-89F8-AF5DAB3ACF8C}"/>
    <cellStyle name="Normal 4 2 2 2 4 2 2" xfId="15512" xr:uid="{5FAF5F1F-AED1-4758-A1CB-CBB3086F38D8}"/>
    <cellStyle name="Normal 4 2 2 2 4 3" xfId="13483" xr:uid="{6AA00B58-8279-4FDF-A929-A530027132F1}"/>
    <cellStyle name="Normal 4 2 2 2 5" xfId="9605" xr:uid="{42BAE3BE-0A7C-492F-B6E9-BCBC983BE1C8}"/>
    <cellStyle name="Normal 4 2 2 2 5 2" xfId="11639" xr:uid="{51A5BB57-FA67-45FF-B598-B1DF7A0732A3}"/>
    <cellStyle name="Normal 4 2 2 2 5 2 2" xfId="15845" xr:uid="{DAA047C2-4849-4521-A90F-7695E1CD51B0}"/>
    <cellStyle name="Normal 4 2 2 2 5 3" xfId="13816" xr:uid="{2A387C62-5931-4AC0-9619-36618D903BFC}"/>
    <cellStyle name="Normal 4 2 2 2 6" xfId="9963" xr:uid="{C4608FF0-A7D1-44D9-B172-FD77A56F791B}"/>
    <cellStyle name="Normal 4 2 2 2 6 2" xfId="14169" xr:uid="{5DA00570-5FF0-4D1B-9238-6C6E5ADECAEE}"/>
    <cellStyle name="Normal 4 2 2 2 7" xfId="12140" xr:uid="{6EC034EC-BD5A-4304-B074-CB349951096D}"/>
    <cellStyle name="Normal 4 2 2 3" xfId="8065" xr:uid="{2BCE3DC2-BF7B-4173-84C5-0262AECFDA83}"/>
    <cellStyle name="Normal 4 2 2 3 2" xfId="8735" xr:uid="{C75FC36B-0C0C-4DBF-A367-1EB894206FD8}"/>
    <cellStyle name="Normal 4 2 2 3 2 2" xfId="10804" xr:uid="{F206EA6B-0276-4C32-8E94-8EEBD12F69AE}"/>
    <cellStyle name="Normal 4 2 2 3 2 2 2" xfId="15010" xr:uid="{48460D44-6CF5-4BED-84F8-BC3F82D80934}"/>
    <cellStyle name="Normal 4 2 2 3 2 3" xfId="12981" xr:uid="{A1FCA6E1-27AE-4012-8DBD-2B02EA1E1B0F}"/>
    <cellStyle name="Normal 4 2 2 3 3" xfId="10134" xr:uid="{DFC0B53E-12DD-479A-A857-B9CC42EF0A36}"/>
    <cellStyle name="Normal 4 2 2 3 3 2" xfId="14340" xr:uid="{6132F4CA-2BA1-4187-A397-1A5EE66D883F}"/>
    <cellStyle name="Normal 4 2 2 3 4" xfId="12311" xr:uid="{5C0B8AD2-AE4F-4C34-B4E7-A1E1F5D3E5AF}"/>
    <cellStyle name="Normal 4 2 2 4" xfId="8401" xr:uid="{B5F767CF-B50B-4037-A3EB-09914F4D33AE}"/>
    <cellStyle name="Normal 4 2 2 4 2" xfId="10470" xr:uid="{D2C4C80C-A6A8-4A76-9F0F-64DDC579E6A1}"/>
    <cellStyle name="Normal 4 2 2 4 2 2" xfId="14676" xr:uid="{637A0B4D-0AE1-4599-83C9-51BD31578A08}"/>
    <cellStyle name="Normal 4 2 2 4 3" xfId="12647" xr:uid="{E3D71838-771A-4618-92A9-9FA21AAAA2F3}"/>
    <cellStyle name="Normal 4 2 2 5" xfId="9074" xr:uid="{2EF341E3-AD19-4FC8-AC1A-B161A2B98983}"/>
    <cellStyle name="Normal 4 2 2 5 2" xfId="11143" xr:uid="{77F96BB9-276E-4FD9-A185-4E2720E71DE1}"/>
    <cellStyle name="Normal 4 2 2 5 2 2" xfId="15349" xr:uid="{E1A6400F-6A4A-4D84-B704-7922739CA677}"/>
    <cellStyle name="Normal 4 2 2 5 3" xfId="13320" xr:uid="{7592AE1A-8525-4089-A347-FA3BFC9B3866}"/>
    <cellStyle name="Normal 4 2 2 6" xfId="9442" xr:uid="{DD6F5089-68CD-457A-8DCA-34B036ACBA18}"/>
    <cellStyle name="Normal 4 2 2 6 2" xfId="11476" xr:uid="{704D8A83-D6C9-4661-97DA-0BB9AE1A2948}"/>
    <cellStyle name="Normal 4 2 2 6 2 2" xfId="15682" xr:uid="{75F2D51E-B93F-4A2D-981C-28C8F1DBC234}"/>
    <cellStyle name="Normal 4 2 2 6 3" xfId="13653" xr:uid="{84B78719-9E89-408C-B4D9-EC851239C948}"/>
    <cellStyle name="Normal 4 2 2 7" xfId="9800" xr:uid="{37F94A63-59FD-412D-8B99-2C4A74E59F01}"/>
    <cellStyle name="Normal 4 2 2 7 2" xfId="14006" xr:uid="{0E6863F8-3541-4307-9A2B-EC1C203D2F24}"/>
    <cellStyle name="Normal 4 2 2 8" xfId="11676" xr:uid="{E191F88D-B3FC-4EEB-903E-3A7BE0F74F51}"/>
    <cellStyle name="Normal 4 2 2 8 2" xfId="15881" xr:uid="{421A1E88-3459-4E4E-8C74-BC024DB460EA}"/>
    <cellStyle name="Normal 4 2 2 9" xfId="11712" xr:uid="{81721778-1052-4D2D-A340-AB5A37B58DB5}"/>
    <cellStyle name="Normal 4 2 2 9 2" xfId="15916" xr:uid="{CD8B6F8D-DDBF-40F2-833D-658481684BAB}"/>
    <cellStyle name="Normal 4 2 3" xfId="7683" xr:uid="{F2443F08-4A6C-4D65-A8D3-AE7C092D15CA}"/>
    <cellStyle name="Normal 4 2 4" xfId="7661" xr:uid="{49A9B46A-5AE2-41F8-BE16-EB9C66090082}"/>
    <cellStyle name="Normal 4 2 4 2" xfId="7850" xr:uid="{A1C7E067-1DD7-441C-9DA1-BAE2C244337C}"/>
    <cellStyle name="Normal 4 2 4 2 2" xfId="8220" xr:uid="{8853FAA2-5B3E-467A-9425-72AA5E1599C9}"/>
    <cellStyle name="Normal 4 2 4 2 2 2" xfId="8890" xr:uid="{69AA456B-A31A-488D-BF51-5A508CAAB72E}"/>
    <cellStyle name="Normal 4 2 4 2 2 2 2" xfId="10959" xr:uid="{E3139409-3C33-4500-909A-0C15754D3A4D}"/>
    <cellStyle name="Normal 4 2 4 2 2 2 2 2" xfId="15165" xr:uid="{1919419D-12D3-44CC-9BC4-B7DA9637C9DB}"/>
    <cellStyle name="Normal 4 2 4 2 2 2 3" xfId="13136" xr:uid="{8DDE2158-F206-43D2-86BF-BA7F36AA2CC9}"/>
    <cellStyle name="Normal 4 2 4 2 2 3" xfId="10289" xr:uid="{4858673A-1610-48F9-96C8-7421BBE1E867}"/>
    <cellStyle name="Normal 4 2 4 2 2 3 2" xfId="14495" xr:uid="{7C8CDE96-3FA1-438B-9126-EF0816D1D213}"/>
    <cellStyle name="Normal 4 2 4 2 2 4" xfId="12466" xr:uid="{34A90071-2B06-422A-858A-9BD53B1C2C85}"/>
    <cellStyle name="Normal 4 2 4 2 3" xfId="8556" xr:uid="{6E5475EE-8285-4B25-A70D-83EA65F522F9}"/>
    <cellStyle name="Normal 4 2 4 2 3 2" xfId="10625" xr:uid="{0FF656D9-7293-47C3-B809-D97A6452574A}"/>
    <cellStyle name="Normal 4 2 4 2 3 2 2" xfId="14831" xr:uid="{3DAD220B-58A4-4E76-A654-926A6299DFA4}"/>
    <cellStyle name="Normal 4 2 4 2 3 3" xfId="12802" xr:uid="{2F4279BA-E92F-4E86-A124-11F02BFE77CB}"/>
    <cellStyle name="Normal 4 2 4 2 4" xfId="9229" xr:uid="{BADBD33D-A8AF-4519-A9C0-41BE58B130D5}"/>
    <cellStyle name="Normal 4 2 4 2 4 2" xfId="11298" xr:uid="{DBF7F572-33BA-4069-A5D1-D24A5EF57A5C}"/>
    <cellStyle name="Normal 4 2 4 2 4 2 2" xfId="15504" xr:uid="{2CA91D3F-52C5-41B6-A245-3B54490DDBAC}"/>
    <cellStyle name="Normal 4 2 4 2 4 3" xfId="13475" xr:uid="{BA783B75-8C56-49F0-9188-744163F65E6B}"/>
    <cellStyle name="Normal 4 2 4 2 5" xfId="9597" xr:uid="{21B7C763-F7AA-4B78-9888-63C461726E60}"/>
    <cellStyle name="Normal 4 2 4 2 5 2" xfId="11631" xr:uid="{3D0AFF5C-2A1E-4E67-BC46-CCC0BA364DD2}"/>
    <cellStyle name="Normal 4 2 4 2 5 2 2" xfId="15837" xr:uid="{BD65812F-1D89-4615-A76A-B3FA2F7B9D6F}"/>
    <cellStyle name="Normal 4 2 4 2 5 3" xfId="13808" xr:uid="{5E34E042-7C75-4CF8-9405-383DA86D79A9}"/>
    <cellStyle name="Normal 4 2 4 2 6" xfId="9955" xr:uid="{93FBDD61-8809-4D2B-820F-5F50AE8AC866}"/>
    <cellStyle name="Normal 4 2 4 2 6 2" xfId="14161" xr:uid="{F2BB9E84-6678-486C-9C88-F2FAAE851B5A}"/>
    <cellStyle name="Normal 4 2 4 2 7" xfId="12132" xr:uid="{8A758E27-64FC-4BE5-815D-DA176882C7FE}"/>
    <cellStyle name="Normal 4 2 4 3" xfId="8057" xr:uid="{42BD67D9-F16F-49AE-9EDB-4A624610132D}"/>
    <cellStyle name="Normal 4 2 4 3 2" xfId="8727" xr:uid="{0978660B-C62C-4511-A020-4F568BC40F76}"/>
    <cellStyle name="Normal 4 2 4 3 2 2" xfId="10796" xr:uid="{E6CFC62E-6B4A-4DE6-8D4A-569002F25B43}"/>
    <cellStyle name="Normal 4 2 4 3 2 2 2" xfId="15002" xr:uid="{6E724164-CAB7-4E0F-BADC-775F5D59C447}"/>
    <cellStyle name="Normal 4 2 4 3 2 3" xfId="12973" xr:uid="{7590853D-BA29-4520-94DA-6F6674E0EAD3}"/>
    <cellStyle name="Normal 4 2 4 3 3" xfId="10126" xr:uid="{ABCB2D0E-1E8B-477C-84AC-FDD11FF0EF6F}"/>
    <cellStyle name="Normal 4 2 4 3 3 2" xfId="14332" xr:uid="{EE488C1B-0AEB-4CEC-B7C3-F2674189D745}"/>
    <cellStyle name="Normal 4 2 4 3 4" xfId="12303" xr:uid="{90AF78F2-5385-4660-8291-EF4E7D065BC4}"/>
    <cellStyle name="Normal 4 2 4 4" xfId="8393" xr:uid="{1A47DC51-1FAA-4DF0-8B34-2E1EB4135E7C}"/>
    <cellStyle name="Normal 4 2 4 4 2" xfId="10462" xr:uid="{50C5D664-87A5-41F5-ABEE-D3F13D40F85D}"/>
    <cellStyle name="Normal 4 2 4 4 2 2" xfId="14668" xr:uid="{0A87DD81-9792-4287-88A9-AE4B186F7C14}"/>
    <cellStyle name="Normal 4 2 4 4 3" xfId="12639" xr:uid="{82142234-93C5-47E3-8139-55F982D1762C}"/>
    <cellStyle name="Normal 4 2 4 5" xfId="9066" xr:uid="{EC3E5316-E042-4D07-BAAD-7F5EBBE5EE7A}"/>
    <cellStyle name="Normal 4 2 4 5 2" xfId="11135" xr:uid="{BD264D04-6ED3-4C09-AFA7-5EFC85716508}"/>
    <cellStyle name="Normal 4 2 4 5 2 2" xfId="15341" xr:uid="{757A6B82-38CD-428A-9CC6-E91DEEFB3EEB}"/>
    <cellStyle name="Normal 4 2 4 5 3" xfId="13312" xr:uid="{7BE1E541-8B70-4FFD-A9E5-1FB522AF6DA0}"/>
    <cellStyle name="Normal 4 2 4 6" xfId="9434" xr:uid="{33ECF71B-8E42-4FB0-A8CC-F5B266DDE7B7}"/>
    <cellStyle name="Normal 4 2 4 6 2" xfId="11468" xr:uid="{A0C13A42-5CC5-4FC8-A618-609B16416ED7}"/>
    <cellStyle name="Normal 4 2 4 6 2 2" xfId="15674" xr:uid="{03631153-074F-42BF-BDEA-203A3ED31365}"/>
    <cellStyle name="Normal 4 2 4 6 3" xfId="13645" xr:uid="{E4066B3F-7E88-4BDE-B0FD-B9C39CA4C34A}"/>
    <cellStyle name="Normal 4 2 4 7" xfId="9792" xr:uid="{565B19DF-577F-43E6-A002-2DB2D40477C9}"/>
    <cellStyle name="Normal 4 2 4 7 2" xfId="13998" xr:uid="{01EF5565-37C4-4291-B1D1-CB363D7AC551}"/>
    <cellStyle name="Normal 4 2 4 8" xfId="11969" xr:uid="{46EA0E28-D934-4162-806B-CA9900DB20C6}"/>
    <cellStyle name="Normal 4 2 5" xfId="11661" xr:uid="{BD5FC237-D62E-4A7E-BDF4-ECB91B731948}"/>
    <cellStyle name="Normal 4 2 5 2" xfId="15867" xr:uid="{094E8F55-3496-408E-AAB3-878ADCC39AC0}"/>
    <cellStyle name="Normal 4 2 6" xfId="11697" xr:uid="{6CB2D6CC-B375-4B30-A4B2-079E0DCBEFBC}"/>
    <cellStyle name="Normal 4 2 6 2" xfId="15901" xr:uid="{8181E60C-9B35-4465-97A3-46AD7D9C69D9}"/>
    <cellStyle name="Normal 4 2 7" xfId="11725" xr:uid="{FE10B475-FA4B-4D19-9AF3-C31FA7DC0E82}"/>
    <cellStyle name="Normal 4 2 7 2" xfId="15929" xr:uid="{90F9FB2C-1EF6-443C-8AC4-CA7DEEBE3E9A}"/>
    <cellStyle name="Normal 4 2 8" xfId="11787" xr:uid="{672B6230-EB69-4733-96E3-6A8F223CB84F}"/>
    <cellStyle name="Normal 4 2 8 2" xfId="15988" xr:uid="{5B0EFA4F-D639-416C-8FC7-91ADC0AFF2B8}"/>
    <cellStyle name="Normal 4 2 9" xfId="11793" xr:uid="{3E15C514-5A68-4246-A671-12CA78BD64B6}"/>
    <cellStyle name="Normal 4 3" xfId="5046" xr:uid="{4540A1AC-6107-4309-8049-D87242A9849A}"/>
    <cellStyle name="Normal 4 3 2" xfId="5047" xr:uid="{B1B0DC75-1B93-418C-9A39-74834D99E09C}"/>
    <cellStyle name="Normal 4 3 3" xfId="7685" xr:uid="{07A0B800-13C1-4792-90C2-B524F634CC8A}"/>
    <cellStyle name="Normal 4 3 4" xfId="11694" xr:uid="{68CFDBAB-8491-4E32-A834-661A4A5DED44}"/>
    <cellStyle name="Normal 4 3 4 2" xfId="15898" xr:uid="{5114D314-927B-4EEC-8EFD-72C059FD4C0A}"/>
    <cellStyle name="Normal 4 3 5" xfId="11751" xr:uid="{77C452C0-9CBC-4302-883E-016731802419}"/>
    <cellStyle name="Normal 4 3 5 2" xfId="15952" xr:uid="{AA8A4FB4-9D2F-4305-B5E8-75CDF50D5A2D}"/>
    <cellStyle name="Normal 4 4" xfId="5048" xr:uid="{C9C5A630-F83D-4FDE-9521-9DEA5947C7AC}"/>
    <cellStyle name="Normal 4 4 2" xfId="5049" xr:uid="{6A0F0BF1-2E92-4E95-90F8-22AC4532534F}"/>
    <cellStyle name="Normal 4 4 3" xfId="5050" xr:uid="{47AC5DA4-22DD-4056-969C-07AC41F0410B}"/>
    <cellStyle name="Normal 4 4 4" xfId="7686" xr:uid="{EAC17116-E11D-40B2-9E58-7F2E0B7752A0}"/>
    <cellStyle name="Normal 4 4 4 2" xfId="7859" xr:uid="{747BAA93-0D08-48D5-BBE3-E870898DC415}"/>
    <cellStyle name="Normal 4 4 4 2 2" xfId="8229" xr:uid="{C300F6B0-B792-47B5-B8A3-E114E83F2B47}"/>
    <cellStyle name="Normal 4 4 4 2 2 2" xfId="8899" xr:uid="{B4134516-3650-4C3E-9D0C-AE74046D303A}"/>
    <cellStyle name="Normal 4 4 4 2 2 2 2" xfId="10968" xr:uid="{DCA5D81E-CB06-4669-AA12-90DC627291EB}"/>
    <cellStyle name="Normal 4 4 4 2 2 2 2 2" xfId="15174" xr:uid="{6EDB1815-4362-447E-A2E2-20DA31A39D0E}"/>
    <cellStyle name="Normal 4 4 4 2 2 2 3" xfId="13145" xr:uid="{A5023512-DD32-40EE-AC57-1F899AF4101D}"/>
    <cellStyle name="Normal 4 4 4 2 2 3" xfId="10298" xr:uid="{D6A19554-6E6C-4471-80CC-7DCF8FDE0B50}"/>
    <cellStyle name="Normal 4 4 4 2 2 3 2" xfId="14504" xr:uid="{6085070C-C11C-4B2F-84A9-FE371585CB2D}"/>
    <cellStyle name="Normal 4 4 4 2 2 4" xfId="12475" xr:uid="{570B20D2-AC1D-47C2-AD6D-56FA4F4BE1CE}"/>
    <cellStyle name="Normal 4 4 4 2 3" xfId="8565" xr:uid="{572944A4-5A3A-4337-9B9C-2C5134DE9A08}"/>
    <cellStyle name="Normal 4 4 4 2 3 2" xfId="10634" xr:uid="{D254C3DE-121E-4274-8644-36C900E1B7BF}"/>
    <cellStyle name="Normal 4 4 4 2 3 2 2" xfId="14840" xr:uid="{3C33FE9F-CE68-4A75-9536-96771C3E2F19}"/>
    <cellStyle name="Normal 4 4 4 2 3 3" xfId="12811" xr:uid="{3BB2E165-85EE-496F-9006-E89A16EA6F7E}"/>
    <cellStyle name="Normal 4 4 4 2 4" xfId="9238" xr:uid="{F6C641E8-2838-4D36-8FE8-CDBFD2943BA2}"/>
    <cellStyle name="Normal 4 4 4 2 4 2" xfId="11307" xr:uid="{B0A50422-C7D0-48CA-B10E-3174DA7DE357}"/>
    <cellStyle name="Normal 4 4 4 2 4 2 2" xfId="15513" xr:uid="{7356897C-488C-41AB-A5E0-74C5E77D9DBF}"/>
    <cellStyle name="Normal 4 4 4 2 4 3" xfId="13484" xr:uid="{FBFD3234-1D56-46A2-8A73-7B881D22C10E}"/>
    <cellStyle name="Normal 4 4 4 2 5" xfId="9606" xr:uid="{F4CA7392-E2F6-4F86-BD06-563B071835A7}"/>
    <cellStyle name="Normal 4 4 4 2 5 2" xfId="11640" xr:uid="{851C6433-54D1-4840-84CC-E93C5CD83531}"/>
    <cellStyle name="Normal 4 4 4 2 5 2 2" xfId="15846" xr:uid="{8491DCDA-5809-4B2D-8016-D44B5EE10D79}"/>
    <cellStyle name="Normal 4 4 4 2 5 3" xfId="13817" xr:uid="{35C39E45-3ADA-426D-8DAF-B25CAB6B02F9}"/>
    <cellStyle name="Normal 4 4 4 2 6" xfId="9964" xr:uid="{6938BD3B-A6E1-479C-9D51-FDD25E39D34A}"/>
    <cellStyle name="Normal 4 4 4 2 6 2" xfId="14170" xr:uid="{CCDF2F7A-D19D-4BBF-B21C-945C7D730E64}"/>
    <cellStyle name="Normal 4 4 4 2 7" xfId="12141" xr:uid="{A34FE299-9388-4289-9F53-E02F768FF8D8}"/>
    <cellStyle name="Normal 4 4 4 3" xfId="8066" xr:uid="{9A5F1F5F-CA27-4E2C-A4CD-A6C5DC5CB8EF}"/>
    <cellStyle name="Normal 4 4 4 3 2" xfId="8736" xr:uid="{084876DA-B2DE-40EF-90AD-FE2F79B0D928}"/>
    <cellStyle name="Normal 4 4 4 3 2 2" xfId="10805" xr:uid="{18834F19-70C4-43FC-A4AA-A57573BAD497}"/>
    <cellStyle name="Normal 4 4 4 3 2 2 2" xfId="15011" xr:uid="{1634CE96-805B-4EA5-A66B-760912945D91}"/>
    <cellStyle name="Normal 4 4 4 3 2 3" xfId="12982" xr:uid="{0D070C3B-E846-4847-A7E5-CC62ECBE22D8}"/>
    <cellStyle name="Normal 4 4 4 3 3" xfId="10135" xr:uid="{66E9EA5A-CE72-4E55-992C-62B7D9DAE8D9}"/>
    <cellStyle name="Normal 4 4 4 3 3 2" xfId="14341" xr:uid="{69558908-68B0-4E29-8DBC-5221ACBFD9F2}"/>
    <cellStyle name="Normal 4 4 4 3 4" xfId="12312" xr:uid="{680C73BE-A029-458E-AA66-EE462674E41A}"/>
    <cellStyle name="Normal 4 4 4 4" xfId="8402" xr:uid="{DA3DF466-47BD-4069-85ED-916FF5FAF614}"/>
    <cellStyle name="Normal 4 4 4 4 2" xfId="10471" xr:uid="{1EAE1F35-EA4B-49E8-92F9-C423E80315C2}"/>
    <cellStyle name="Normal 4 4 4 4 2 2" xfId="14677" xr:uid="{60827A01-6ADE-4834-9383-16DAF8CC3B83}"/>
    <cellStyle name="Normal 4 4 4 4 3" xfId="12648" xr:uid="{B5B26BFB-4718-4AAF-A514-3B1A6919C095}"/>
    <cellStyle name="Normal 4 4 4 5" xfId="9075" xr:uid="{CA0166DC-D256-4DDD-B358-BC71866837E5}"/>
    <cellStyle name="Normal 4 4 4 5 2" xfId="11144" xr:uid="{2F9B0370-C68B-419B-ABE6-A8A89C82C316}"/>
    <cellStyle name="Normal 4 4 4 5 2 2" xfId="15350" xr:uid="{ADB3AB8A-D36E-4017-BE72-20AA57A3F630}"/>
    <cellStyle name="Normal 4 4 4 5 3" xfId="13321" xr:uid="{ACFF126A-BFCD-4913-A8FA-32162A955007}"/>
    <cellStyle name="Normal 4 4 4 6" xfId="9443" xr:uid="{E9E0E0EC-76AC-477F-94C2-ACEDD958EFE0}"/>
    <cellStyle name="Normal 4 4 4 6 2" xfId="11477" xr:uid="{9616AF1C-C0FC-476D-9AE1-CF4F27908E0B}"/>
    <cellStyle name="Normal 4 4 4 6 2 2" xfId="15683" xr:uid="{D0AB0559-4017-45A1-9D0A-6238CB0104A4}"/>
    <cellStyle name="Normal 4 4 4 6 3" xfId="13654" xr:uid="{DF395D4B-BA2F-4573-A302-908F715D0BA6}"/>
    <cellStyle name="Normal 4 4 4 7" xfId="9801" xr:uid="{97766EE0-78DD-4940-BD17-3FF98F34B171}"/>
    <cellStyle name="Normal 4 4 4 7 2" xfId="14007" xr:uid="{137273FC-C024-4C75-B66C-E2FF9525A700}"/>
    <cellStyle name="Normal 4 4 4 8" xfId="11978" xr:uid="{8C61C004-B8C8-4424-AC7D-56511B5A4398}"/>
    <cellStyle name="Normal 4 4 5" xfId="11677" xr:uid="{1F3E4865-7D75-4323-9591-725E263837DC}"/>
    <cellStyle name="Normal 4 4 5 2" xfId="15882" xr:uid="{0CF74892-2F61-4571-BBF6-DDBC84A2955F}"/>
    <cellStyle name="Normal 4 4 6" xfId="11713" xr:uid="{AAB52F4A-2B0B-4805-A20B-460F7A3B48D4}"/>
    <cellStyle name="Normal 4 4 6 2" xfId="15917" xr:uid="{412C8AD0-BC02-43BB-980C-BA949B85F569}"/>
    <cellStyle name="Normal 4 4 7" xfId="11737" xr:uid="{C5A4EF0C-C1B6-453D-8517-309516F7BD06}"/>
    <cellStyle name="Normal 4 4 7 2" xfId="15940" xr:uid="{746A3F2B-3620-483E-AFFA-7102872D16EA}"/>
    <cellStyle name="Normal 4 4 8" xfId="11764" xr:uid="{30E7BA9F-091B-40A7-8FCC-1F4EB69F9459}"/>
    <cellStyle name="Normal 4 4 8 2" xfId="15965" xr:uid="{30ACABA8-27FD-4525-A41B-9E4071EC3EAF}"/>
    <cellStyle name="Normal 4 4 9" xfId="11780" xr:uid="{9AC9BCF7-AD44-440D-AA91-C1D0C7E3C9E0}"/>
    <cellStyle name="Normal 4 4 9 2" xfId="15981" xr:uid="{BA9420C9-E2E9-4BDD-83D7-C84FFFB8B521}"/>
    <cellStyle name="Normal 4 5" xfId="5051" xr:uid="{611C5658-6926-4BC8-9CF5-C5236D9A8EFF}"/>
    <cellStyle name="Normal 4 5 2" xfId="5052" xr:uid="{C3798A75-C826-4363-AF66-D6BC8AC07127}"/>
    <cellStyle name="Normal 4 5 3" xfId="7682" xr:uid="{E642DAAC-204A-42DD-A5D4-D105FE7D007F}"/>
    <cellStyle name="Normal 4 5 4" xfId="11681" xr:uid="{A9196CA9-36B5-480B-A0CB-062164A1F808}"/>
    <cellStyle name="Normal 4 5 4 2" xfId="15886" xr:uid="{2C0950FA-8EA4-4F92-923B-DA92CCA311AC}"/>
    <cellStyle name="Normal 4 5 5" xfId="11717" xr:uid="{D5B645C1-D4D6-488B-8975-0D4FAE97787F}"/>
    <cellStyle name="Normal 4 5 5 2" xfId="15921" xr:uid="{8B755490-C798-4B16-B103-E0AA851E1340}"/>
    <cellStyle name="Normal 4 5 6" xfId="11743" xr:uid="{A49B65EB-6F12-4BC6-A4D9-DD9371D799F2}"/>
    <cellStyle name="Normal 4 5 6 2" xfId="15944" xr:uid="{DDBF80C6-2BAB-4997-9A97-D383DAF0056A}"/>
    <cellStyle name="Normal 4 5 7" xfId="11768" xr:uid="{1E67F0B0-9891-408C-8CBB-58FC5ECD7B36}"/>
    <cellStyle name="Normal 4 5 7 2" xfId="15969" xr:uid="{32433718-3040-4C43-8FCA-CC22151FACBE}"/>
    <cellStyle name="Normal 4 6" xfId="5053" xr:uid="{7EB357EC-A087-4E4D-BFA6-B3AE9148804B}"/>
    <cellStyle name="Normal 4 6 2" xfId="5054" xr:uid="{BE060929-EC08-4B3D-A68B-328FA28C4AAC}"/>
    <cellStyle name="Normal 4 6 3" xfId="11738" xr:uid="{85E5E08C-54B4-4B17-9747-3B077D62B595}"/>
    <cellStyle name="Normal 4 7" xfId="5055" xr:uid="{C49FE2DC-4465-4E89-937D-164A2E212B34}"/>
    <cellStyle name="Normal 4 8" xfId="5056" xr:uid="{06E81D1B-15B6-4397-96DB-5886FF89DF5A}"/>
    <cellStyle name="Normal 4 9" xfId="5057" xr:uid="{89C2E430-64C1-47AC-BB89-A138F18074BD}"/>
    <cellStyle name="Normal 40" xfId="7510" xr:uid="{47AFCD31-0511-4A69-A992-0AE538693878}"/>
    <cellStyle name="Normal 40 2" xfId="7553" xr:uid="{B514187E-621C-4ADB-BBF1-E2D63F823376}"/>
    <cellStyle name="Normal 40 2 2" xfId="7753" xr:uid="{9FE5AA32-9F3E-4562-894B-28F5C018277A}"/>
    <cellStyle name="Normal 40 2 2 2" xfId="8124" xr:uid="{FE025506-4FD5-477F-BEA7-7BA3F2DFF49B}"/>
    <cellStyle name="Normal 40 2 2 2 2" xfId="8794" xr:uid="{D0437770-FE22-4CB0-9F0F-68C01AC7DA89}"/>
    <cellStyle name="Normal 40 2 2 2 2 2" xfId="10863" xr:uid="{A99B195B-63DA-4CF5-8200-A36A4D148D88}"/>
    <cellStyle name="Normal 40 2 2 2 2 2 2" xfId="15069" xr:uid="{9A821E63-9CFE-4C32-A70A-8701D2E1C57D}"/>
    <cellStyle name="Normal 40 2 2 2 2 3" xfId="13040" xr:uid="{28D2156E-45DD-407D-ADB1-5A1DE58C1287}"/>
    <cellStyle name="Normal 40 2 2 2 3" xfId="10193" xr:uid="{1C3A9207-9904-4FFE-8955-A7126C952435}"/>
    <cellStyle name="Normal 40 2 2 2 3 2" xfId="14399" xr:uid="{A9D6DFBB-A2BF-48E7-BF5B-6EF9EE1F7B58}"/>
    <cellStyle name="Normal 40 2 2 2 4" xfId="12370" xr:uid="{E3604C5A-C559-48F7-BBA5-6B75FAE71779}"/>
    <cellStyle name="Normal 40 2 2 3" xfId="8460" xr:uid="{3C2FE1B1-4662-4383-8E9F-221075AE2A77}"/>
    <cellStyle name="Normal 40 2 2 3 2" xfId="10529" xr:uid="{CB7495D9-83FB-45FF-9F5D-E7EB973871B2}"/>
    <cellStyle name="Normal 40 2 2 3 2 2" xfId="14735" xr:uid="{4891D415-F68B-4CB5-9947-C322D9CAA7F8}"/>
    <cellStyle name="Normal 40 2 2 3 3" xfId="12706" xr:uid="{E6D6FC7A-2101-4EC1-BBAE-94351B9487DD}"/>
    <cellStyle name="Normal 40 2 2 4" xfId="9133" xr:uid="{5D386107-9F31-43E0-9994-02F69907CFE6}"/>
    <cellStyle name="Normal 40 2 2 4 2" xfId="11202" xr:uid="{800BD2FE-F2F4-44ED-81EE-0C0F168A00F2}"/>
    <cellStyle name="Normal 40 2 2 4 2 2" xfId="15408" xr:uid="{E4B3FA52-3EBE-4EB7-B29B-75E665B10F0B}"/>
    <cellStyle name="Normal 40 2 2 4 3" xfId="13379" xr:uid="{3BDA9B4A-CE65-4C2B-AF15-6FB6A4F8E71A}"/>
    <cellStyle name="Normal 40 2 2 5" xfId="9501" xr:uid="{92B85A69-6DC9-45BE-9DF2-68565BC40563}"/>
    <cellStyle name="Normal 40 2 2 5 2" xfId="11535" xr:uid="{29015DA6-FCEF-442D-9469-277F0F79A704}"/>
    <cellStyle name="Normal 40 2 2 5 2 2" xfId="15741" xr:uid="{F4F88327-8876-4375-8A60-77A7F5AE0FB4}"/>
    <cellStyle name="Normal 40 2 2 5 3" xfId="13712" xr:uid="{5920CD62-2A9C-49BE-A63B-8D1CD83A9668}"/>
    <cellStyle name="Normal 40 2 2 6" xfId="9859" xr:uid="{06963EEB-F94D-4AC9-836B-F0FEB2FC7575}"/>
    <cellStyle name="Normal 40 2 2 6 2" xfId="14065" xr:uid="{E5A3C1BA-020F-4F46-8500-A5528D36757A}"/>
    <cellStyle name="Normal 40 2 2 7" xfId="12036" xr:uid="{5C8EE3B0-07E0-4E9F-AD58-4C1AE483E172}"/>
    <cellStyle name="Normal 40 2 3" xfId="7961" xr:uid="{D39F1C8C-72C2-4AA1-8806-9798D35C0C51}"/>
    <cellStyle name="Normal 40 2 3 2" xfId="8631" xr:uid="{54B21394-AF2A-4715-ACDC-D77CF71AE654}"/>
    <cellStyle name="Normal 40 2 3 2 2" xfId="10700" xr:uid="{86DD59B0-CC55-4193-9CB5-E0C278AB6A94}"/>
    <cellStyle name="Normal 40 2 3 2 2 2" xfId="14906" xr:uid="{FA00AD93-45AB-49E4-9850-FDDD92021F78}"/>
    <cellStyle name="Normal 40 2 3 2 3" xfId="12877" xr:uid="{B8517741-4905-49B6-B669-0133792CFB37}"/>
    <cellStyle name="Normal 40 2 3 3" xfId="10030" xr:uid="{3549EFB0-AB8E-448E-9E46-26603BA76F07}"/>
    <cellStyle name="Normal 40 2 3 3 2" xfId="14236" xr:uid="{1915BA11-D5B5-4AFA-B273-141BA2CDDBC8}"/>
    <cellStyle name="Normal 40 2 3 4" xfId="12207" xr:uid="{03AF6696-E085-43B9-94A9-D6585FD4B2C8}"/>
    <cellStyle name="Normal 40 2 4" xfId="8297" xr:uid="{73FC7869-B15E-44C9-95FF-AD8D61CC7D3B}"/>
    <cellStyle name="Normal 40 2 4 2" xfId="10366" xr:uid="{B502AC74-7460-4105-9744-EE13651DBC62}"/>
    <cellStyle name="Normal 40 2 4 2 2" xfId="14572" xr:uid="{D00A3B1A-B5C0-4449-82A1-38E0AE509E2A}"/>
    <cellStyle name="Normal 40 2 4 3" xfId="12543" xr:uid="{63A80D12-ED33-40CA-8BD0-45C9D432C0D6}"/>
    <cellStyle name="Normal 40 2 5" xfId="8970" xr:uid="{A5A5CB5D-2E4B-41EF-94E3-EC12E9A46B1E}"/>
    <cellStyle name="Normal 40 2 5 2" xfId="11039" xr:uid="{2FDC5646-1167-4080-A14B-80B1391FB778}"/>
    <cellStyle name="Normal 40 2 5 2 2" xfId="15245" xr:uid="{3F614113-448F-44AA-B618-1F74B350C0E1}"/>
    <cellStyle name="Normal 40 2 5 3" xfId="13216" xr:uid="{C741C5E2-022E-4C90-997A-BB558DA1BF9E}"/>
    <cellStyle name="Normal 40 2 6" xfId="9338" xr:uid="{A9170362-2865-4E56-B50C-39D4628CA521}"/>
    <cellStyle name="Normal 40 2 6 2" xfId="11372" xr:uid="{432536DD-F3FC-4958-8510-F1321C03559E}"/>
    <cellStyle name="Normal 40 2 6 2 2" xfId="15578" xr:uid="{D90E5E8C-2039-4979-A5B8-FF03EB0032B3}"/>
    <cellStyle name="Normal 40 2 6 3" xfId="13549" xr:uid="{88552137-5305-425A-A3DB-AAD658E32B94}"/>
    <cellStyle name="Normal 40 2 7" xfId="9696" xr:uid="{7B4DD2C1-D424-48F9-9FF4-BC2E53F2CFCF}"/>
    <cellStyle name="Normal 40 2 7 2" xfId="13902" xr:uid="{AC7E45C2-8760-4D68-BE05-8B3E9ABA5157}"/>
    <cellStyle name="Normal 40 2 8" xfId="11873" xr:uid="{FE560BF5-D4D6-4C1B-B861-76AD223D32A6}"/>
    <cellStyle name="Normal 40 3" xfId="7712" xr:uid="{25BBE899-DE7C-406D-86B1-288ABA8FF019}"/>
    <cellStyle name="Normal 40 3 2" xfId="8083" xr:uid="{CF3BF1F8-8CA3-4D4E-AE7D-AFBC3D0DA844}"/>
    <cellStyle name="Normal 40 3 2 2" xfId="8753" xr:uid="{4EDB06CA-5075-469F-BEB5-EA0899C9AEDF}"/>
    <cellStyle name="Normal 40 3 2 2 2" xfId="10822" xr:uid="{DF5B55D0-0C5B-403E-9F84-F90308AE56A2}"/>
    <cellStyle name="Normal 40 3 2 2 2 2" xfId="15028" xr:uid="{ED60B60E-44D4-418D-96D0-9F9F6703B73A}"/>
    <cellStyle name="Normal 40 3 2 2 3" xfId="12999" xr:uid="{E80D381A-B241-4B0F-A246-B39249B6A27C}"/>
    <cellStyle name="Normal 40 3 2 3" xfId="10152" xr:uid="{0AC81CA1-7534-4FCB-A9EF-031D85D01138}"/>
    <cellStyle name="Normal 40 3 2 3 2" xfId="14358" xr:uid="{7CA6ABD2-0060-4D85-BA87-9FC031F145A7}"/>
    <cellStyle name="Normal 40 3 2 4" xfId="12329" xr:uid="{CCCCC0A7-CE41-4675-B63E-5957D072E08E}"/>
    <cellStyle name="Normal 40 3 3" xfId="8419" xr:uid="{FBAC4A5C-8E87-4765-BECD-64DE906CDB3D}"/>
    <cellStyle name="Normal 40 3 3 2" xfId="10488" xr:uid="{ED25C1E8-B6C0-467F-8D13-4B85E83A5CD8}"/>
    <cellStyle name="Normal 40 3 3 2 2" xfId="14694" xr:uid="{4AFD02EF-82A8-443F-889B-8D6003F61E78}"/>
    <cellStyle name="Normal 40 3 3 3" xfId="12665" xr:uid="{F6544115-2D55-4EAA-B32E-C955AA7C7FF8}"/>
    <cellStyle name="Normal 40 3 4" xfId="9092" xr:uid="{E8C4E27B-5418-4211-80F3-BDF7A252258F}"/>
    <cellStyle name="Normal 40 3 4 2" xfId="11161" xr:uid="{3B019A1D-C6DD-425A-9699-E614403C1F35}"/>
    <cellStyle name="Normal 40 3 4 2 2" xfId="15367" xr:uid="{6B9E54BB-68B1-42AC-92C4-85EADD2BD345}"/>
    <cellStyle name="Normal 40 3 4 3" xfId="13338" xr:uid="{3D7C9D0F-0A9C-483F-AF52-F9566F57FE20}"/>
    <cellStyle name="Normal 40 3 5" xfId="9460" xr:uid="{83BAC137-A25F-41A4-A208-2A29C677A1B2}"/>
    <cellStyle name="Normal 40 3 5 2" xfId="11494" xr:uid="{8FD33E07-07F8-4EB4-9824-90C9F188AFB0}"/>
    <cellStyle name="Normal 40 3 5 2 2" xfId="15700" xr:uid="{F3B20B00-8EE7-490E-9AC5-DDF2297FB2AA}"/>
    <cellStyle name="Normal 40 3 5 3" xfId="13671" xr:uid="{C444C9D1-7B24-4E73-854A-E4368587138F}"/>
    <cellStyle name="Normal 40 3 6" xfId="9818" xr:uid="{FDDBAB75-A3AF-4E53-9021-1847773A5AFC}"/>
    <cellStyle name="Normal 40 3 6 2" xfId="14024" xr:uid="{A2BDFB91-3799-4190-956C-6E8E48A1D1EF}"/>
    <cellStyle name="Normal 40 3 7" xfId="11995" xr:uid="{1951FD0E-F3CE-429F-8A56-36D0CF0B98F1}"/>
    <cellStyle name="Normal 40 4" xfId="7920" xr:uid="{52A37DAD-F599-407B-9F10-4D4477A12D9A}"/>
    <cellStyle name="Normal 40 4 2" xfId="8590" xr:uid="{B8DF703A-2F4A-458A-9559-2184F43D5ACE}"/>
    <cellStyle name="Normal 40 4 2 2" xfId="10659" xr:uid="{A3BCDD7B-FBDB-4812-A4BB-CD342EF72443}"/>
    <cellStyle name="Normal 40 4 2 2 2" xfId="14865" xr:uid="{BCC6CDA3-2294-429E-A260-B083D60508D8}"/>
    <cellStyle name="Normal 40 4 2 3" xfId="12836" xr:uid="{833584EB-03DC-43B6-A38E-3930DC86CD94}"/>
    <cellStyle name="Normal 40 4 3" xfId="9989" xr:uid="{D967E318-17F4-4609-B792-4DF83C692C9C}"/>
    <cellStyle name="Normal 40 4 3 2" xfId="14195" xr:uid="{EB574E57-0A96-40DA-8E9E-D513521249AA}"/>
    <cellStyle name="Normal 40 4 4" xfId="12166" xr:uid="{49C8D32B-975C-46DA-92EC-73DC3F5B617A}"/>
    <cellStyle name="Normal 40 5" xfId="8256" xr:uid="{371F1670-BA70-4DEF-8C25-BA9D1525E698}"/>
    <cellStyle name="Normal 40 5 2" xfId="10325" xr:uid="{1DC1DFFD-EAD5-4F7B-9012-9C4CBD6BEA06}"/>
    <cellStyle name="Normal 40 5 2 2" xfId="14531" xr:uid="{F01E351B-0128-4F82-9368-BA1923B09CEF}"/>
    <cellStyle name="Normal 40 5 3" xfId="12502" xr:uid="{1E3415F1-22C5-4BE0-ADE8-CBE5E2AEF2AF}"/>
    <cellStyle name="Normal 40 6" xfId="8929" xr:uid="{716CEAAA-12BD-4377-860B-E99999774A9B}"/>
    <cellStyle name="Normal 40 6 2" xfId="10998" xr:uid="{E534E810-A42C-4DE1-81AB-14DAAF89245E}"/>
    <cellStyle name="Normal 40 6 2 2" xfId="15204" xr:uid="{7E437619-D667-4423-909A-8EE9BA912DE9}"/>
    <cellStyle name="Normal 40 6 3" xfId="13175" xr:uid="{89BE1F3C-43A7-4FA9-B470-DAFF5ECE330A}"/>
    <cellStyle name="Normal 40 7" xfId="9296" xr:uid="{F6552FD1-17DE-4DEF-9D24-4FFC0D80B516}"/>
    <cellStyle name="Normal 40 7 2" xfId="11331" xr:uid="{8CD5976A-A16A-4C98-A964-3F0329F54268}"/>
    <cellStyle name="Normal 40 7 2 2" xfId="15537" xr:uid="{A1851C8A-CB14-49BB-90AA-466484802954}"/>
    <cellStyle name="Normal 40 7 3" xfId="13508" xr:uid="{DB0A3F69-D948-41CF-8A93-9D6EC2BAF5E0}"/>
    <cellStyle name="Normal 40 8" xfId="9655" xr:uid="{C0584C4C-75E6-41B5-B962-6DC4231C6DF8}"/>
    <cellStyle name="Normal 40 8 2" xfId="13861" xr:uid="{EFF4FD7B-38A5-48F5-9776-E7B9B049735E}"/>
    <cellStyle name="Normal 40 9" xfId="11831" xr:uid="{1A4778CA-CB6D-43A7-96B9-621CC734A166}"/>
    <cellStyle name="Normal 41" xfId="7511" xr:uid="{CA781E04-CC44-4A68-8200-4FA5820DA924}"/>
    <cellStyle name="Normal 41 2" xfId="7554" xr:uid="{85953504-28EB-4584-ABF2-69072AD7D280}"/>
    <cellStyle name="Normal 41 2 2" xfId="7754" xr:uid="{0B4CAAE7-BDA7-4586-8F19-29E9DE50A8BF}"/>
    <cellStyle name="Normal 41 2 2 2" xfId="8125" xr:uid="{AC3CF063-3742-4124-95DF-8BD412B7AA4F}"/>
    <cellStyle name="Normal 41 2 2 2 2" xfId="8795" xr:uid="{6EE8E640-B9E6-4C46-A62F-70FDE99509A9}"/>
    <cellStyle name="Normal 41 2 2 2 2 2" xfId="10864" xr:uid="{8EAF5FE8-324C-4618-9BDF-8923357B7673}"/>
    <cellStyle name="Normal 41 2 2 2 2 2 2" xfId="15070" xr:uid="{3B625364-E026-4BDC-AF95-8409543CF4E1}"/>
    <cellStyle name="Normal 41 2 2 2 2 3" xfId="13041" xr:uid="{7377786F-9567-4F66-BBCC-D397184C3B10}"/>
    <cellStyle name="Normal 41 2 2 2 3" xfId="10194" xr:uid="{8EA83733-B0BC-4437-BABF-07707A730E8B}"/>
    <cellStyle name="Normal 41 2 2 2 3 2" xfId="14400" xr:uid="{E45B7A70-C9B4-463F-8257-9A78EC090955}"/>
    <cellStyle name="Normal 41 2 2 2 4" xfId="12371" xr:uid="{5193BE0F-05EB-4BAA-8E13-1B3A5EA04EBF}"/>
    <cellStyle name="Normal 41 2 2 3" xfId="8461" xr:uid="{9F5436DE-9038-4EA6-8276-67B663F0680F}"/>
    <cellStyle name="Normal 41 2 2 3 2" xfId="10530" xr:uid="{549E173F-F17F-4CCB-BE8A-A95F566C96C4}"/>
    <cellStyle name="Normal 41 2 2 3 2 2" xfId="14736" xr:uid="{1882605A-FBEF-4BA6-B2E3-4B973BC26BFC}"/>
    <cellStyle name="Normal 41 2 2 3 3" xfId="12707" xr:uid="{E7F862CB-B65B-4907-8957-FBFDB928635C}"/>
    <cellStyle name="Normal 41 2 2 4" xfId="9134" xr:uid="{6BB248C4-BBDD-42AF-B4E5-9576FAE6A8B0}"/>
    <cellStyle name="Normal 41 2 2 4 2" xfId="11203" xr:uid="{7152DD82-5B46-4399-BF45-9A05604425FF}"/>
    <cellStyle name="Normal 41 2 2 4 2 2" xfId="15409" xr:uid="{547EB6FC-82FC-4128-8328-2D193A312C4A}"/>
    <cellStyle name="Normal 41 2 2 4 3" xfId="13380" xr:uid="{AF439F45-F7A7-4311-BB72-F291244B688E}"/>
    <cellStyle name="Normal 41 2 2 5" xfId="9502" xr:uid="{CB90E7E1-A793-48DB-B0C5-FD76045E98D5}"/>
    <cellStyle name="Normal 41 2 2 5 2" xfId="11536" xr:uid="{43CDF0ED-4CD3-456A-ACA2-4DB980ADF874}"/>
    <cellStyle name="Normal 41 2 2 5 2 2" xfId="15742" xr:uid="{9FA1C803-0059-4277-B368-F2D2DC376471}"/>
    <cellStyle name="Normal 41 2 2 5 3" xfId="13713" xr:uid="{1602E4FA-18AD-4913-BFE1-96E5E765C733}"/>
    <cellStyle name="Normal 41 2 2 6" xfId="9860" xr:uid="{4F62FB5C-0E6A-4F1D-89CA-27FD3F2B3724}"/>
    <cellStyle name="Normal 41 2 2 6 2" xfId="14066" xr:uid="{D69B9145-C651-413E-9F3C-D7214EFF6BBF}"/>
    <cellStyle name="Normal 41 2 2 7" xfId="12037" xr:uid="{E1DC796A-5EE7-47AB-8561-C2322353FF59}"/>
    <cellStyle name="Normal 41 2 3" xfId="7962" xr:uid="{E3A6497D-8FAA-40D1-BE2D-56F70A36B7E1}"/>
    <cellStyle name="Normal 41 2 3 2" xfId="8632" xr:uid="{18ACC91F-9FE9-4364-BF18-28124FBBF66C}"/>
    <cellStyle name="Normal 41 2 3 2 2" xfId="10701" xr:uid="{D2A031AC-024B-4CC2-9CD5-FDFE778D32C9}"/>
    <cellStyle name="Normal 41 2 3 2 2 2" xfId="14907" xr:uid="{A9CBCA40-9791-4B44-8186-F243429CA28D}"/>
    <cellStyle name="Normal 41 2 3 2 3" xfId="12878" xr:uid="{265012B2-49EA-42A6-ACC5-F7CC0D8F32D8}"/>
    <cellStyle name="Normal 41 2 3 3" xfId="10031" xr:uid="{7D603E2C-5282-42D9-A812-29B40A43050C}"/>
    <cellStyle name="Normal 41 2 3 3 2" xfId="14237" xr:uid="{17048FFA-05BD-48EB-8767-54A4C7C2462F}"/>
    <cellStyle name="Normal 41 2 3 4" xfId="12208" xr:uid="{F2BE321E-FA11-4EA4-B0B3-64D70E2352D1}"/>
    <cellStyle name="Normal 41 2 4" xfId="8298" xr:uid="{8F927B95-AEC3-4E57-A156-400C69A6A473}"/>
    <cellStyle name="Normal 41 2 4 2" xfId="10367" xr:uid="{B5B107CC-E37C-4851-9B19-4D05C8621866}"/>
    <cellStyle name="Normal 41 2 4 2 2" xfId="14573" xr:uid="{B0E9683C-8C39-492C-8310-DF8AC07BEB23}"/>
    <cellStyle name="Normal 41 2 4 3" xfId="12544" xr:uid="{85C55522-2E62-4B26-BDB8-5A8E635BA4B6}"/>
    <cellStyle name="Normal 41 2 5" xfId="8971" xr:uid="{25DC6D2E-E856-4B5E-98FB-C0377AF90D7D}"/>
    <cellStyle name="Normal 41 2 5 2" xfId="11040" xr:uid="{3EF94C2F-ACE1-4089-A790-C4E3746FCB9E}"/>
    <cellStyle name="Normal 41 2 5 2 2" xfId="15246" xr:uid="{E826B5B3-D4C0-46F5-8170-EAF9C3E7F7E0}"/>
    <cellStyle name="Normal 41 2 5 3" xfId="13217" xr:uid="{1B1105FC-F5FC-4AEE-9ECB-BD2DBDDBE029}"/>
    <cellStyle name="Normal 41 2 6" xfId="9339" xr:uid="{E7BD85CE-76CD-420F-BDD6-EDF5BE797968}"/>
    <cellStyle name="Normal 41 2 6 2" xfId="11373" xr:uid="{4AD2DB45-458B-4AD2-B9A1-D6A3282C983B}"/>
    <cellStyle name="Normal 41 2 6 2 2" xfId="15579" xr:uid="{3BD66E28-E7E4-4912-A8A6-A17BBD5243BE}"/>
    <cellStyle name="Normal 41 2 6 3" xfId="13550" xr:uid="{C1823F55-D305-4489-8E4C-9F8E7A4EEC02}"/>
    <cellStyle name="Normal 41 2 7" xfId="9697" xr:uid="{3DBDCD57-310F-44B3-B1F9-6D18F4B397E7}"/>
    <cellStyle name="Normal 41 2 7 2" xfId="13903" xr:uid="{64507A51-D1D8-46AA-8838-4AB43B6C2D3E}"/>
    <cellStyle name="Normal 41 2 8" xfId="11874" xr:uid="{8310A724-DF90-4988-83FF-0139764C13F5}"/>
    <cellStyle name="Normal 41 3" xfId="7713" xr:uid="{114C3309-3648-4388-8577-D91AC736C79B}"/>
    <cellStyle name="Normal 41 3 2" xfId="8084" xr:uid="{5987C5B3-478B-4CDD-8B55-87E98ABF706E}"/>
    <cellStyle name="Normal 41 3 2 2" xfId="8754" xr:uid="{E17C7D4F-43F3-4FEB-B687-F4062C4D125D}"/>
    <cellStyle name="Normal 41 3 2 2 2" xfId="10823" xr:uid="{9E262AD3-680B-4D62-ABA8-2A9B42661F92}"/>
    <cellStyle name="Normal 41 3 2 2 2 2" xfId="15029" xr:uid="{7D5C9B41-07B2-4D4A-B2CA-3F8369828563}"/>
    <cellStyle name="Normal 41 3 2 2 3" xfId="13000" xr:uid="{D579E13D-0B6A-4148-87EC-608F9E36415D}"/>
    <cellStyle name="Normal 41 3 2 3" xfId="10153" xr:uid="{96B17D27-EED0-452A-B0F5-31E64CA704A9}"/>
    <cellStyle name="Normal 41 3 2 3 2" xfId="14359" xr:uid="{CB3123B4-5A35-4447-9FD4-02EC3C9DE77E}"/>
    <cellStyle name="Normal 41 3 2 4" xfId="12330" xr:uid="{C64809C7-82F0-4889-BEFF-34D82B417405}"/>
    <cellStyle name="Normal 41 3 3" xfId="8420" xr:uid="{FF90E9FE-1600-4345-8EDE-CFA9F8727329}"/>
    <cellStyle name="Normal 41 3 3 2" xfId="10489" xr:uid="{FE0D0A3C-B5A2-480D-A1F4-32A132DC0D3F}"/>
    <cellStyle name="Normal 41 3 3 2 2" xfId="14695" xr:uid="{E1C8C64E-2C3C-47A6-8A37-F08A829629F9}"/>
    <cellStyle name="Normal 41 3 3 3" xfId="12666" xr:uid="{73BFD0F6-4CBB-4E9E-A413-35F251805652}"/>
    <cellStyle name="Normal 41 3 4" xfId="9093" xr:uid="{13B45742-C761-4044-B763-38A1161C5F4F}"/>
    <cellStyle name="Normal 41 3 4 2" xfId="11162" xr:uid="{47859AED-08D8-473A-A959-7FA94A4B70E7}"/>
    <cellStyle name="Normal 41 3 4 2 2" xfId="15368" xr:uid="{DB577D27-4F5E-4CA7-AA10-E70FF620C6A7}"/>
    <cellStyle name="Normal 41 3 4 3" xfId="13339" xr:uid="{45B6AFEB-9FA2-4E55-894C-9C7186915876}"/>
    <cellStyle name="Normal 41 3 5" xfId="9461" xr:uid="{8FD6DCAC-5214-4FE0-B1B2-5A240A9C34B7}"/>
    <cellStyle name="Normal 41 3 5 2" xfId="11495" xr:uid="{9B8ACF34-7FBB-4E42-9DED-03DF6D64B629}"/>
    <cellStyle name="Normal 41 3 5 2 2" xfId="15701" xr:uid="{82B0E34B-F868-4CDE-A113-2AFA6FE54869}"/>
    <cellStyle name="Normal 41 3 5 3" xfId="13672" xr:uid="{6522E2F0-115A-42AF-A92E-9C9BF9E46131}"/>
    <cellStyle name="Normal 41 3 6" xfId="9819" xr:uid="{4EB441F3-75A6-49AD-83DF-F7C1ADA4A8D8}"/>
    <cellStyle name="Normal 41 3 6 2" xfId="14025" xr:uid="{E7D2629D-6CA4-4E12-A7BB-C6A90783BF58}"/>
    <cellStyle name="Normal 41 3 7" xfId="11996" xr:uid="{4BFB712C-A36C-48C0-8B02-A5D006BC1F74}"/>
    <cellStyle name="Normal 41 4" xfId="7921" xr:uid="{B0EDD7DE-24E5-479C-A924-63440BC4729A}"/>
    <cellStyle name="Normal 41 4 2" xfId="8591" xr:uid="{4126C715-96DE-4000-82B5-30C903ADC487}"/>
    <cellStyle name="Normal 41 4 2 2" xfId="10660" xr:uid="{E03F5109-3D35-4983-866E-DF6A976CF95F}"/>
    <cellStyle name="Normal 41 4 2 2 2" xfId="14866" xr:uid="{11E07A7A-2EC2-4A98-8B10-6C55DF02359D}"/>
    <cellStyle name="Normal 41 4 2 3" xfId="12837" xr:uid="{81924238-E137-44F6-BE78-9AEF2B96163A}"/>
    <cellStyle name="Normal 41 4 3" xfId="9990" xr:uid="{6250F0E1-3F85-44A1-8EAA-15DFF83F6ECF}"/>
    <cellStyle name="Normal 41 4 3 2" xfId="14196" xr:uid="{F2278435-C022-4D1D-BEB1-B84E54284FA3}"/>
    <cellStyle name="Normal 41 4 4" xfId="12167" xr:uid="{9ABEE73E-A0AE-46DA-9424-B6D3DAD1C1C1}"/>
    <cellStyle name="Normal 41 5" xfId="8257" xr:uid="{03BFFDDF-E4C3-4C82-8FE9-48B9C6429DF7}"/>
    <cellStyle name="Normal 41 5 2" xfId="10326" xr:uid="{7B3219E4-2701-429F-B871-726681DD3794}"/>
    <cellStyle name="Normal 41 5 2 2" xfId="14532" xr:uid="{581E7952-E3EB-4843-9B09-608E2190019B}"/>
    <cellStyle name="Normal 41 5 3" xfId="12503" xr:uid="{1D01D30B-9C94-453E-A925-C377BEBFF24C}"/>
    <cellStyle name="Normal 41 6" xfId="8930" xr:uid="{54BF9A7D-3180-4D5A-BAB6-0527520359A0}"/>
    <cellStyle name="Normal 41 6 2" xfId="10999" xr:uid="{45D576F1-D029-47BF-8A6D-4C3082937B95}"/>
    <cellStyle name="Normal 41 6 2 2" xfId="15205" xr:uid="{BCBD210E-24CD-4DA4-92FA-8EE496E33D73}"/>
    <cellStyle name="Normal 41 6 3" xfId="13176" xr:uid="{5DCD831B-FE00-4CDD-8E25-ADAA5DC3DA4D}"/>
    <cellStyle name="Normal 41 7" xfId="9297" xr:uid="{A3CFFBD1-DE1C-49BB-8F1B-5BC90C817FE6}"/>
    <cellStyle name="Normal 41 7 2" xfId="11332" xr:uid="{C0E369BD-8C47-4801-A2C5-4FFEE2BF73A1}"/>
    <cellStyle name="Normal 41 7 2 2" xfId="15538" xr:uid="{4EFAD74C-B641-4992-BB3C-B4E395DC3422}"/>
    <cellStyle name="Normal 41 7 3" xfId="13509" xr:uid="{086C81A7-7DA1-4BEE-9940-9E76112D416B}"/>
    <cellStyle name="Normal 41 8" xfId="9656" xr:uid="{3D3B260B-48B3-4A5E-B96E-562840A12F2D}"/>
    <cellStyle name="Normal 41 8 2" xfId="13862" xr:uid="{568A11A8-5845-4ABF-B2FE-BB06FC498151}"/>
    <cellStyle name="Normal 41 9" xfId="11832" xr:uid="{E8CA7848-3343-4EE1-8D8B-993895683EE4}"/>
    <cellStyle name="Normal 42" xfId="7512" xr:uid="{BD225C0F-1825-433F-8A90-4AFB08BADE2C}"/>
    <cellStyle name="Normal 42 2" xfId="7555" xr:uid="{39C837E8-5942-4629-82F2-7B702B5FD53A}"/>
    <cellStyle name="Normal 42 2 2" xfId="7755" xr:uid="{E3470857-4DE1-49D4-8BB1-1F9D9A10534C}"/>
    <cellStyle name="Normal 42 2 2 2" xfId="8126" xr:uid="{92F2CAA0-0639-4978-B00D-0F0427EC5179}"/>
    <cellStyle name="Normal 42 2 2 2 2" xfId="8796" xr:uid="{376B4280-BEB7-4B7B-83B3-4CC909F8EFC3}"/>
    <cellStyle name="Normal 42 2 2 2 2 2" xfId="10865" xr:uid="{B4046395-558F-45D0-AD34-0E54D12D7F00}"/>
    <cellStyle name="Normal 42 2 2 2 2 2 2" xfId="15071" xr:uid="{B552AC6F-85B0-4241-813B-9537520BC44A}"/>
    <cellStyle name="Normal 42 2 2 2 2 3" xfId="13042" xr:uid="{BD0F71F4-F2B3-4F71-B348-093FB0BFB46F}"/>
    <cellStyle name="Normal 42 2 2 2 3" xfId="10195" xr:uid="{C73AECF0-83D9-4408-AECA-E33B20571F4E}"/>
    <cellStyle name="Normal 42 2 2 2 3 2" xfId="14401" xr:uid="{2D362CBA-B683-4129-BA9B-0A4700772AA1}"/>
    <cellStyle name="Normal 42 2 2 2 4" xfId="12372" xr:uid="{08E6501A-89B5-45E8-8B9F-347BFDC2D08C}"/>
    <cellStyle name="Normal 42 2 2 3" xfId="8462" xr:uid="{2E3626D2-9AC0-4E5B-BBC4-388924902327}"/>
    <cellStyle name="Normal 42 2 2 3 2" xfId="10531" xr:uid="{7B81AF8A-1FF9-4A24-B11D-FB145DAAD4CA}"/>
    <cellStyle name="Normal 42 2 2 3 2 2" xfId="14737" xr:uid="{1031DF2D-1853-4A30-B81B-4969D9D839F9}"/>
    <cellStyle name="Normal 42 2 2 3 3" xfId="12708" xr:uid="{7B397D16-F983-4D79-B9AB-D06A61B038EF}"/>
    <cellStyle name="Normal 42 2 2 4" xfId="9135" xr:uid="{66B2250F-A570-49F1-8B1A-496374CCEF91}"/>
    <cellStyle name="Normal 42 2 2 4 2" xfId="11204" xr:uid="{DE3C0348-DF2A-412C-9A8B-891DEE1EDEE8}"/>
    <cellStyle name="Normal 42 2 2 4 2 2" xfId="15410" xr:uid="{36BE01B4-AA7B-4C72-BBF0-FA28A190802B}"/>
    <cellStyle name="Normal 42 2 2 4 3" xfId="13381" xr:uid="{273E9DDF-0ABD-4D1D-95AE-4A84805A11D0}"/>
    <cellStyle name="Normal 42 2 2 5" xfId="9503" xr:uid="{2BEC2986-1D70-4825-9253-0E454C29437F}"/>
    <cellStyle name="Normal 42 2 2 5 2" xfId="11537" xr:uid="{36979704-FC5C-4012-B438-EF9085C0827B}"/>
    <cellStyle name="Normal 42 2 2 5 2 2" xfId="15743" xr:uid="{6AFF9B49-D78F-4D77-A66F-BBCC0ED6B787}"/>
    <cellStyle name="Normal 42 2 2 5 3" xfId="13714" xr:uid="{D4A1AA19-EB72-4152-8A0E-25D49A676AE3}"/>
    <cellStyle name="Normal 42 2 2 6" xfId="9861" xr:uid="{E1E34D58-6DE1-41E6-B88A-FA31316A4E68}"/>
    <cellStyle name="Normal 42 2 2 6 2" xfId="14067" xr:uid="{9C4DB6F0-FCEB-4A05-8C03-AF4AFB58D2F0}"/>
    <cellStyle name="Normal 42 2 2 7" xfId="12038" xr:uid="{4EB8AA7F-D404-4308-A030-E29E419D7431}"/>
    <cellStyle name="Normal 42 2 3" xfId="7963" xr:uid="{8B6F9EC2-A57E-4600-9C51-8FDF7B0E7D4A}"/>
    <cellStyle name="Normal 42 2 3 2" xfId="8633" xr:uid="{0E6C1D38-349E-44E1-8852-199BB0097A0A}"/>
    <cellStyle name="Normal 42 2 3 2 2" xfId="10702" xr:uid="{4DDE29AF-BEF3-4C3F-996A-5BD048D15807}"/>
    <cellStyle name="Normal 42 2 3 2 2 2" xfId="14908" xr:uid="{185AB40D-59F7-4012-940A-7847260B9965}"/>
    <cellStyle name="Normal 42 2 3 2 3" xfId="12879" xr:uid="{EB02A37F-2B40-40B5-AE41-EAA761093B00}"/>
    <cellStyle name="Normal 42 2 3 3" xfId="10032" xr:uid="{8605C9EA-62B2-4BB9-B3DC-9CBBABF01BC9}"/>
    <cellStyle name="Normal 42 2 3 3 2" xfId="14238" xr:uid="{58533931-4832-48BC-B621-5A2B7AC1B72E}"/>
    <cellStyle name="Normal 42 2 3 4" xfId="12209" xr:uid="{2F79DCA3-5B6C-47D1-BACB-FE505EEB7DB3}"/>
    <cellStyle name="Normal 42 2 4" xfId="8299" xr:uid="{D1F42F92-ED96-4635-9047-7FD2ECD6F0D1}"/>
    <cellStyle name="Normal 42 2 4 2" xfId="10368" xr:uid="{8B622D7A-7AA8-4247-BDE2-457A7FB6853C}"/>
    <cellStyle name="Normal 42 2 4 2 2" xfId="14574" xr:uid="{26DDEC41-B38B-4EB4-91DC-0C043DF9FB08}"/>
    <cellStyle name="Normal 42 2 4 3" xfId="12545" xr:uid="{28214B46-3AF2-47DE-9020-52DA21A8CC2D}"/>
    <cellStyle name="Normal 42 2 5" xfId="8972" xr:uid="{70185F78-0FAB-4790-843F-DB9EB46F43A3}"/>
    <cellStyle name="Normal 42 2 5 2" xfId="11041" xr:uid="{0CB15B83-B895-4894-90AE-3406685A2AF2}"/>
    <cellStyle name="Normal 42 2 5 2 2" xfId="15247" xr:uid="{75D75218-8074-4E30-8E8E-C0A95F0233DA}"/>
    <cellStyle name="Normal 42 2 5 3" xfId="13218" xr:uid="{2C642089-F0AB-40E3-A5D8-68D9676DC196}"/>
    <cellStyle name="Normal 42 2 6" xfId="9340" xr:uid="{0CD6B10D-09D9-4BD6-9E73-F5E0E9A44198}"/>
    <cellStyle name="Normal 42 2 6 2" xfId="11374" xr:uid="{242C122C-841A-44C4-BF89-2466FF7EAC9A}"/>
    <cellStyle name="Normal 42 2 6 2 2" xfId="15580" xr:uid="{2C801B45-6ACF-4786-B4F3-E2FBDD968B4E}"/>
    <cellStyle name="Normal 42 2 6 3" xfId="13551" xr:uid="{E1FE0F24-082E-4B09-8344-3B2140F3FF83}"/>
    <cellStyle name="Normal 42 2 7" xfId="9698" xr:uid="{8615EC8E-798A-4768-A74B-063E32C2FECF}"/>
    <cellStyle name="Normal 42 2 7 2" xfId="13904" xr:uid="{60739650-7D61-44A5-A833-2304A75C143F}"/>
    <cellStyle name="Normal 42 2 8" xfId="11875" xr:uid="{E232DE54-E1BB-4A5E-BA32-68DCBDA89399}"/>
    <cellStyle name="Normal 42 3" xfId="7714" xr:uid="{BDD04F06-D453-473E-B41D-E2A52D936685}"/>
    <cellStyle name="Normal 42 3 2" xfId="8085" xr:uid="{077100DB-25FD-4A64-BEB5-CB78129F5695}"/>
    <cellStyle name="Normal 42 3 2 2" xfId="8755" xr:uid="{9E17E183-D58A-4ACB-AE86-07C08032AEC7}"/>
    <cellStyle name="Normal 42 3 2 2 2" xfId="10824" xr:uid="{C6A8860F-43D7-4BCB-B6C3-D55E9A59A817}"/>
    <cellStyle name="Normal 42 3 2 2 2 2" xfId="15030" xr:uid="{4107CB97-90BA-4E99-850D-140C49973F17}"/>
    <cellStyle name="Normal 42 3 2 2 3" xfId="13001" xr:uid="{B1FB2434-84E0-4830-B312-6319A08E32EB}"/>
    <cellStyle name="Normal 42 3 2 3" xfId="10154" xr:uid="{6AA9A660-1AFE-49E9-9EDD-4D6676A2E9D7}"/>
    <cellStyle name="Normal 42 3 2 3 2" xfId="14360" xr:uid="{DE26260D-A23B-4CF6-B765-825881136360}"/>
    <cellStyle name="Normal 42 3 2 4" xfId="12331" xr:uid="{1508BA9C-52FE-4B5B-895B-E74BE3190024}"/>
    <cellStyle name="Normal 42 3 3" xfId="8421" xr:uid="{A249A8C4-7B13-4594-8C01-6C24F87DDC98}"/>
    <cellStyle name="Normal 42 3 3 2" xfId="10490" xr:uid="{439570E0-6522-4C3F-BE87-B77A573F5F93}"/>
    <cellStyle name="Normal 42 3 3 2 2" xfId="14696" xr:uid="{AC8B3B17-9832-413B-80C8-049882FCFA64}"/>
    <cellStyle name="Normal 42 3 3 3" xfId="12667" xr:uid="{CF959F33-95BC-4ED4-8B35-E4C6187C65A8}"/>
    <cellStyle name="Normal 42 3 4" xfId="9094" xr:uid="{32800A25-7124-4C5D-B349-907FA3D7A61D}"/>
    <cellStyle name="Normal 42 3 4 2" xfId="11163" xr:uid="{ADC4EDC9-0219-4FD8-8F34-DA654640E1DC}"/>
    <cellStyle name="Normal 42 3 4 2 2" xfId="15369" xr:uid="{EAE8D931-F8B4-4E0A-B856-D731123378CE}"/>
    <cellStyle name="Normal 42 3 4 3" xfId="13340" xr:uid="{A2B3A458-3F93-4991-B5EE-5840E2A2CB98}"/>
    <cellStyle name="Normal 42 3 5" xfId="9462" xr:uid="{1A014DFC-CE0E-4BA5-90B4-D18F372F29F1}"/>
    <cellStyle name="Normal 42 3 5 2" xfId="11496" xr:uid="{CCC7F835-6B71-4022-88D3-CE79608E9294}"/>
    <cellStyle name="Normal 42 3 5 2 2" xfId="15702" xr:uid="{21DAA00C-7FF8-4BFA-AD9B-A00DA93D45DD}"/>
    <cellStyle name="Normal 42 3 5 3" xfId="13673" xr:uid="{51A9FA23-39E9-4ABB-A1CC-A279A70B4722}"/>
    <cellStyle name="Normal 42 3 6" xfId="9820" xr:uid="{252A2A64-48F2-4DA2-965C-8042A21127B1}"/>
    <cellStyle name="Normal 42 3 6 2" xfId="14026" xr:uid="{0D5D8D71-E688-4C4C-A2F3-9C477542124E}"/>
    <cellStyle name="Normal 42 3 7" xfId="11997" xr:uid="{6A52CB4A-D90F-42C7-B47B-73E952A7F223}"/>
    <cellStyle name="Normal 42 4" xfId="7922" xr:uid="{C45010F0-E648-4493-9253-187E9BA6801B}"/>
    <cellStyle name="Normal 42 4 2" xfId="8592" xr:uid="{5E9F4257-F05F-4637-A23E-B29906CB656A}"/>
    <cellStyle name="Normal 42 4 2 2" xfId="10661" xr:uid="{E3CC3C56-7F74-4BAF-ABF9-74AB646828FE}"/>
    <cellStyle name="Normal 42 4 2 2 2" xfId="14867" xr:uid="{54608586-DE12-4E9F-BB89-43A35DBBF765}"/>
    <cellStyle name="Normal 42 4 2 3" xfId="12838" xr:uid="{12D0DC78-12AE-490C-BE10-58F92565B624}"/>
    <cellStyle name="Normal 42 4 3" xfId="9991" xr:uid="{26DABACC-74E1-4B16-9035-92B74B748062}"/>
    <cellStyle name="Normal 42 4 3 2" xfId="14197" xr:uid="{5FA73B3C-B43C-419A-B563-8C33FE561690}"/>
    <cellStyle name="Normal 42 4 4" xfId="12168" xr:uid="{5542E7C7-61D6-4249-A7F1-6FE1D121FB4E}"/>
    <cellStyle name="Normal 42 5" xfId="8258" xr:uid="{93A60062-1EEE-4F5F-9DCB-2BA9CDC7C60A}"/>
    <cellStyle name="Normal 42 5 2" xfId="10327" xr:uid="{2745084A-B56F-4CC3-9583-C8F9CCD88640}"/>
    <cellStyle name="Normal 42 5 2 2" xfId="14533" xr:uid="{C14596E0-620A-498D-B9B5-81DCE6BC5475}"/>
    <cellStyle name="Normal 42 5 3" xfId="12504" xr:uid="{5573A9B9-327E-48C0-9165-351268E19D30}"/>
    <cellStyle name="Normal 42 6" xfId="8931" xr:uid="{B9AAA54A-83A3-4598-A626-0B26DE99029A}"/>
    <cellStyle name="Normal 42 6 2" xfId="11000" xr:uid="{E871ED92-C919-4A18-A263-4E9F73A1474B}"/>
    <cellStyle name="Normal 42 6 2 2" xfId="15206" xr:uid="{E55A69B9-3C39-4313-9706-8A8C913E7E60}"/>
    <cellStyle name="Normal 42 6 3" xfId="13177" xr:uid="{088C5087-8EF5-4268-9618-32B275E52D14}"/>
    <cellStyle name="Normal 42 7" xfId="9298" xr:uid="{883647ED-A4B3-4385-B94B-37FB18CC9263}"/>
    <cellStyle name="Normal 42 7 2" xfId="11333" xr:uid="{5584877B-6DA6-4A64-945E-5386F2F6B37A}"/>
    <cellStyle name="Normal 42 7 2 2" xfId="15539" xr:uid="{501AFA24-EA34-4748-948E-D3146162CC83}"/>
    <cellStyle name="Normal 42 7 3" xfId="13510" xr:uid="{4E0F32E6-C1AF-45E0-8428-22A160818AF8}"/>
    <cellStyle name="Normal 42 8" xfId="9657" xr:uid="{24ADB4CB-AB0A-416B-9422-93AF1EBF7A88}"/>
    <cellStyle name="Normal 42 8 2" xfId="13863" xr:uid="{73556B69-CE16-4A20-8598-CC070E827001}"/>
    <cellStyle name="Normal 42 9" xfId="11833" xr:uid="{231197B4-05E7-4334-B862-BA305D1B0EFA}"/>
    <cellStyle name="Normal 43" xfId="7513" xr:uid="{990881FE-41CC-499D-B4DE-02582C286D85}"/>
    <cellStyle name="Normal 43 2" xfId="7556" xr:uid="{56581CAE-4F82-4E12-B3E2-EE200EC0A926}"/>
    <cellStyle name="Normal 43 2 2" xfId="7756" xr:uid="{A3EE6036-1C5D-4CF6-8972-499A91011417}"/>
    <cellStyle name="Normal 43 2 2 2" xfId="8127" xr:uid="{285019D0-D31A-463E-98CB-0E6A5FACABA7}"/>
    <cellStyle name="Normal 43 2 2 2 2" xfId="8797" xr:uid="{63C9EAFA-4FDD-4892-BC99-7C268F728A66}"/>
    <cellStyle name="Normal 43 2 2 2 2 2" xfId="10866" xr:uid="{CCE64138-09D0-4DD5-B3B9-EE32EB0CA0B1}"/>
    <cellStyle name="Normal 43 2 2 2 2 2 2" xfId="15072" xr:uid="{5205717D-9F7C-415D-A966-E2C0394E284B}"/>
    <cellStyle name="Normal 43 2 2 2 2 3" xfId="13043" xr:uid="{FEA03DB1-AA24-4969-AAC3-2940C88EB19B}"/>
    <cellStyle name="Normal 43 2 2 2 3" xfId="10196" xr:uid="{0FA9B122-1D66-449F-81C4-395A43D10668}"/>
    <cellStyle name="Normal 43 2 2 2 3 2" xfId="14402" xr:uid="{A53B5638-5F74-4548-A9DF-C9A6FFE274D0}"/>
    <cellStyle name="Normal 43 2 2 2 4" xfId="12373" xr:uid="{0A6E7A3F-2E4F-4257-B961-1AB45D8E2259}"/>
    <cellStyle name="Normal 43 2 2 3" xfId="8463" xr:uid="{DFD65CC1-8915-42B8-B8BA-0FDF01D3606E}"/>
    <cellStyle name="Normal 43 2 2 3 2" xfId="10532" xr:uid="{36B74CA7-5A65-481E-B340-88CD65898D7B}"/>
    <cellStyle name="Normal 43 2 2 3 2 2" xfId="14738" xr:uid="{B98CAE28-E7EC-43D6-9DF1-AD3E769E9381}"/>
    <cellStyle name="Normal 43 2 2 3 3" xfId="12709" xr:uid="{FCA0290B-E8F8-42B0-BE82-5CC43E4D2736}"/>
    <cellStyle name="Normal 43 2 2 4" xfId="9136" xr:uid="{3B2D164B-6FDB-4E2B-B489-272BAC48C287}"/>
    <cellStyle name="Normal 43 2 2 4 2" xfId="11205" xr:uid="{D2AA38A5-9460-40D5-BD70-33B972EDE7D9}"/>
    <cellStyle name="Normal 43 2 2 4 2 2" xfId="15411" xr:uid="{DB0A13B8-02DF-4053-BCD9-B2CCE1CACAF5}"/>
    <cellStyle name="Normal 43 2 2 4 3" xfId="13382" xr:uid="{50BDF1FE-4812-4C16-8045-71E58C44DF0A}"/>
    <cellStyle name="Normal 43 2 2 5" xfId="9504" xr:uid="{180B9005-014C-4E9B-9D37-7CD2D9095E44}"/>
    <cellStyle name="Normal 43 2 2 5 2" xfId="11538" xr:uid="{9B8D443E-6E23-4EDB-B6C8-443B88A855C2}"/>
    <cellStyle name="Normal 43 2 2 5 2 2" xfId="15744" xr:uid="{368922CD-4C38-40C4-B91F-36CDE6985E63}"/>
    <cellStyle name="Normal 43 2 2 5 3" xfId="13715" xr:uid="{13F13AFB-C3F4-4041-879A-EFF42806576F}"/>
    <cellStyle name="Normal 43 2 2 6" xfId="9862" xr:uid="{BE05AFF8-7683-4F70-BD5C-83B1A75FE8A0}"/>
    <cellStyle name="Normal 43 2 2 6 2" xfId="14068" xr:uid="{51EC30D7-448B-4FCE-B64D-A1D7FD5A01AF}"/>
    <cellStyle name="Normal 43 2 2 7" xfId="12039" xr:uid="{621CF3D3-12D0-42AB-9DD7-F80E1E0B928B}"/>
    <cellStyle name="Normal 43 2 3" xfId="7964" xr:uid="{C205E940-E398-4C90-872E-B81CCB96D03E}"/>
    <cellStyle name="Normal 43 2 3 2" xfId="8634" xr:uid="{AA16D4C5-8F90-4FAE-BB40-5274D92BA46C}"/>
    <cellStyle name="Normal 43 2 3 2 2" xfId="10703" xr:uid="{E21645D5-4074-4801-B351-4E76B3C4FA21}"/>
    <cellStyle name="Normal 43 2 3 2 2 2" xfId="14909" xr:uid="{E7BF39DB-4BB5-4E2B-A5D8-0E15472628B6}"/>
    <cellStyle name="Normal 43 2 3 2 3" xfId="12880" xr:uid="{5E37AF65-DF0B-4549-A1B0-A29D41D059EB}"/>
    <cellStyle name="Normal 43 2 3 3" xfId="10033" xr:uid="{953D5FE0-77B7-4947-B9A6-8006AFC3CA57}"/>
    <cellStyle name="Normal 43 2 3 3 2" xfId="14239" xr:uid="{488C7C2D-D5BC-4521-B4BC-71B877ADE7A9}"/>
    <cellStyle name="Normal 43 2 3 4" xfId="12210" xr:uid="{AA1EFA20-DF07-4546-8EB6-60D2D1DACC3E}"/>
    <cellStyle name="Normal 43 2 4" xfId="8300" xr:uid="{D70B850D-981C-47E4-B858-14FDC50D395C}"/>
    <cellStyle name="Normal 43 2 4 2" xfId="10369" xr:uid="{5E58D159-7E33-49D7-9769-A1BFECE89251}"/>
    <cellStyle name="Normal 43 2 4 2 2" xfId="14575" xr:uid="{66A45865-3614-4A55-AA74-946A8D019530}"/>
    <cellStyle name="Normal 43 2 4 3" xfId="12546" xr:uid="{CF78088F-C353-494B-B2EC-D2D5D81D54BD}"/>
    <cellStyle name="Normal 43 2 5" xfId="8973" xr:uid="{FF7FA359-6EF8-40E6-8EEC-36BEA198E423}"/>
    <cellStyle name="Normal 43 2 5 2" xfId="11042" xr:uid="{2FB5A5EF-82FE-4779-BB67-0B4F30FA8EC0}"/>
    <cellStyle name="Normal 43 2 5 2 2" xfId="15248" xr:uid="{2A6113AA-FBB4-4207-91B8-60F674E14D65}"/>
    <cellStyle name="Normal 43 2 5 3" xfId="13219" xr:uid="{18C38929-68D2-4AF6-8687-9CFDE31A2CB1}"/>
    <cellStyle name="Normal 43 2 6" xfId="9341" xr:uid="{ECA14582-32F3-4814-A6F5-56DC9BF20447}"/>
    <cellStyle name="Normal 43 2 6 2" xfId="11375" xr:uid="{5D06A38E-6FAC-4FFD-991C-F64FA45033FF}"/>
    <cellStyle name="Normal 43 2 6 2 2" xfId="15581" xr:uid="{E1EAD79B-E3A5-4E49-9712-9021480E97F0}"/>
    <cellStyle name="Normal 43 2 6 3" xfId="13552" xr:uid="{412F5B5B-12BD-4EA0-869F-3D4325731D79}"/>
    <cellStyle name="Normal 43 2 7" xfId="9699" xr:uid="{DA840E37-791D-42C8-B5FA-94274F969475}"/>
    <cellStyle name="Normal 43 2 7 2" xfId="13905" xr:uid="{5C950456-7038-4C11-B8A3-7DF83B5448E7}"/>
    <cellStyle name="Normal 43 2 8" xfId="11876" xr:uid="{EE1D2474-1ED4-452B-AD75-B1AE53E599FD}"/>
    <cellStyle name="Normal 43 3" xfId="7715" xr:uid="{6249D4D1-1C42-426D-A8C1-19D03C623E73}"/>
    <cellStyle name="Normal 43 3 2" xfId="8086" xr:uid="{4A38B26B-F3D1-4261-818A-AC7381E06A3C}"/>
    <cellStyle name="Normal 43 3 2 2" xfId="8756" xr:uid="{9A78F47A-267B-4A0C-B31C-116339637C4C}"/>
    <cellStyle name="Normal 43 3 2 2 2" xfId="10825" xr:uid="{2CC69A15-B427-4B9C-BB82-F2C72C28F2D0}"/>
    <cellStyle name="Normal 43 3 2 2 2 2" xfId="15031" xr:uid="{8936BD4E-93E8-4354-93A9-03F59825061E}"/>
    <cellStyle name="Normal 43 3 2 2 3" xfId="13002" xr:uid="{18D236C6-72AB-46C7-AAE5-4E6779EE927E}"/>
    <cellStyle name="Normal 43 3 2 3" xfId="10155" xr:uid="{127C757E-D401-44B3-9B72-123E65ACBE79}"/>
    <cellStyle name="Normal 43 3 2 3 2" xfId="14361" xr:uid="{0B254ACE-0310-403B-A643-E59EA023F95B}"/>
    <cellStyle name="Normal 43 3 2 4" xfId="12332" xr:uid="{3C952DE4-A0F1-4B9B-8DA0-52954642630F}"/>
    <cellStyle name="Normal 43 3 3" xfId="8422" xr:uid="{9E1B4E36-437F-425D-A6D0-77862B10F358}"/>
    <cellStyle name="Normal 43 3 3 2" xfId="10491" xr:uid="{57E92AD1-BAED-4CEF-A419-691930AC8F97}"/>
    <cellStyle name="Normal 43 3 3 2 2" xfId="14697" xr:uid="{5E6519FF-3F68-4CAE-A3E2-74AAC8FA9C58}"/>
    <cellStyle name="Normal 43 3 3 3" xfId="12668" xr:uid="{39DF7040-702D-45B4-A0A8-85BFC91B2AE6}"/>
    <cellStyle name="Normal 43 3 4" xfId="9095" xr:uid="{D706F1E6-1CFF-4B3E-B42D-15E15641B0C0}"/>
    <cellStyle name="Normal 43 3 4 2" xfId="11164" xr:uid="{92B31338-35B0-4F55-BD8B-16F9599BF54D}"/>
    <cellStyle name="Normal 43 3 4 2 2" xfId="15370" xr:uid="{B5EE402F-392C-4E5E-928C-3BBAA6250958}"/>
    <cellStyle name="Normal 43 3 4 3" xfId="13341" xr:uid="{92FF681C-D9E5-4A3B-8518-E4F52666B663}"/>
    <cellStyle name="Normal 43 3 5" xfId="9463" xr:uid="{575E0BC7-5F32-4AC6-8018-7081DCE2582E}"/>
    <cellStyle name="Normal 43 3 5 2" xfId="11497" xr:uid="{1619FCF3-313E-4752-B85F-8D9E169B41D5}"/>
    <cellStyle name="Normal 43 3 5 2 2" xfId="15703" xr:uid="{555760B7-213C-4A70-9A6C-DCD8915D3CEE}"/>
    <cellStyle name="Normal 43 3 5 3" xfId="13674" xr:uid="{7A8E8D17-7A79-41DB-81C7-2DBD3AB14582}"/>
    <cellStyle name="Normal 43 3 6" xfId="9821" xr:uid="{A98ACEAB-0D85-411E-A36E-24B9F807647B}"/>
    <cellStyle name="Normal 43 3 6 2" xfId="14027" xr:uid="{3EB06763-E482-4FAE-B961-F362C40A7F3C}"/>
    <cellStyle name="Normal 43 3 7" xfId="11998" xr:uid="{7E2899DB-C9B2-48B6-825B-FF3A54D09A05}"/>
    <cellStyle name="Normal 43 4" xfId="7923" xr:uid="{F6DFD223-DA3D-4F5A-B1C4-2CC1B2E566CB}"/>
    <cellStyle name="Normal 43 4 2" xfId="8593" xr:uid="{15E6AB48-F2A2-4118-ADA6-A175CCFD4959}"/>
    <cellStyle name="Normal 43 4 2 2" xfId="10662" xr:uid="{306898D4-FC48-4D67-A597-F8C07489446B}"/>
    <cellStyle name="Normal 43 4 2 2 2" xfId="14868" xr:uid="{1B26A89E-DA19-46C7-B813-17507EAB7798}"/>
    <cellStyle name="Normal 43 4 2 3" xfId="12839" xr:uid="{DF53162B-2A3A-4744-A817-46A1FC781AF8}"/>
    <cellStyle name="Normal 43 4 3" xfId="9992" xr:uid="{21080729-840F-4C03-8E97-DC09EEE07C29}"/>
    <cellStyle name="Normal 43 4 3 2" xfId="14198" xr:uid="{88C49DD4-9525-4B64-BAC8-3A7A4E1E3091}"/>
    <cellStyle name="Normal 43 4 4" xfId="12169" xr:uid="{396DD4DE-0322-423A-9B43-E93E8C32B931}"/>
    <cellStyle name="Normal 43 5" xfId="8259" xr:uid="{1D2EEF79-F20F-4905-8490-650496009A05}"/>
    <cellStyle name="Normal 43 5 2" xfId="10328" xr:uid="{9ACF0B3D-A062-41E1-AD4B-3A6A755758B5}"/>
    <cellStyle name="Normal 43 5 2 2" xfId="14534" xr:uid="{A65DB361-794C-4DDC-B6DD-EA76DB7E940E}"/>
    <cellStyle name="Normal 43 5 3" xfId="12505" xr:uid="{9B51C422-06E0-4615-816F-315846C1FB05}"/>
    <cellStyle name="Normal 43 6" xfId="8932" xr:uid="{C7B9487A-4BF5-4A55-AB34-5118DD6DFE25}"/>
    <cellStyle name="Normal 43 6 2" xfId="11001" xr:uid="{74F98BFD-94B5-4DA5-9496-1C17FE0B77BA}"/>
    <cellStyle name="Normal 43 6 2 2" xfId="15207" xr:uid="{894F6542-802C-421C-936F-4A8FA39DD5EF}"/>
    <cellStyle name="Normal 43 6 3" xfId="13178" xr:uid="{F856716C-A030-4FC2-91DA-D6F3D364812F}"/>
    <cellStyle name="Normal 43 7" xfId="9299" xr:uid="{95A8D140-8CF5-4001-B0AD-38170B4DAB3E}"/>
    <cellStyle name="Normal 43 7 2" xfId="11334" xr:uid="{9866134F-57CD-412F-8072-A258CECECEA1}"/>
    <cellStyle name="Normal 43 7 2 2" xfId="15540" xr:uid="{0F89805D-6A11-4E50-A9D6-E65D771B8C8B}"/>
    <cellStyle name="Normal 43 7 3" xfId="13511" xr:uid="{D17AD477-038D-4321-83E0-933E76F9C70D}"/>
    <cellStyle name="Normal 43 8" xfId="9658" xr:uid="{933D3C47-AAD1-43CA-8AB0-FE0C2FA03253}"/>
    <cellStyle name="Normal 43 8 2" xfId="13864" xr:uid="{75E5268E-77C8-47A7-A250-1EBD92C94BD3}"/>
    <cellStyle name="Normal 43 9" xfId="11834" xr:uid="{4AA3DA67-0038-49EC-AE14-3EA0C5BC7283}"/>
    <cellStyle name="Normal 44" xfId="7514" xr:uid="{14AC5405-3490-4E92-AF0E-67552174CC11}"/>
    <cellStyle name="Normal 44 2" xfId="7557" xr:uid="{9581D6E4-094E-48E7-B01F-077D915E3E5B}"/>
    <cellStyle name="Normal 44 2 2" xfId="7757" xr:uid="{6A9F7AF2-28C6-4798-A243-94EB49D6CD1D}"/>
    <cellStyle name="Normal 44 2 2 2" xfId="8128" xr:uid="{F33B7753-E074-47D6-AA30-10B4E692474D}"/>
    <cellStyle name="Normal 44 2 2 2 2" xfId="8798" xr:uid="{1A5EFBDE-F894-4536-A4E5-BB75993B4761}"/>
    <cellStyle name="Normal 44 2 2 2 2 2" xfId="10867" xr:uid="{128BED0A-6DB6-40D0-B41A-734C4816BC00}"/>
    <cellStyle name="Normal 44 2 2 2 2 2 2" xfId="15073" xr:uid="{905489A0-8010-4371-A3F6-B20648DBEC5B}"/>
    <cellStyle name="Normal 44 2 2 2 2 3" xfId="13044" xr:uid="{A2644276-A3FD-431D-9BE6-0E94709382C1}"/>
    <cellStyle name="Normal 44 2 2 2 3" xfId="10197" xr:uid="{057A983E-7A56-4C69-BE27-4FAF5FED9E7D}"/>
    <cellStyle name="Normal 44 2 2 2 3 2" xfId="14403" xr:uid="{66C5895F-825B-4A04-93BD-CED89B95A0D1}"/>
    <cellStyle name="Normal 44 2 2 2 4" xfId="12374" xr:uid="{D0F1085B-8640-486D-9287-90AB423B6285}"/>
    <cellStyle name="Normal 44 2 2 3" xfId="8464" xr:uid="{366A9584-FA9E-415A-8D67-11F09969F1F5}"/>
    <cellStyle name="Normal 44 2 2 3 2" xfId="10533" xr:uid="{04279C33-29B0-45D4-82FE-AD7543228F99}"/>
    <cellStyle name="Normal 44 2 2 3 2 2" xfId="14739" xr:uid="{66468866-58E9-46D6-B091-849F47907280}"/>
    <cellStyle name="Normal 44 2 2 3 3" xfId="12710" xr:uid="{6B60DDAD-D261-437E-96A2-FBEE65AE2084}"/>
    <cellStyle name="Normal 44 2 2 4" xfId="9137" xr:uid="{86406B4C-B004-4ADD-83E4-28C126D4E01E}"/>
    <cellStyle name="Normal 44 2 2 4 2" xfId="11206" xr:uid="{BA997E08-C67E-4126-A15B-8F80DCD89141}"/>
    <cellStyle name="Normal 44 2 2 4 2 2" xfId="15412" xr:uid="{034E6A71-C7FC-4E16-B8A2-AB8880159AA5}"/>
    <cellStyle name="Normal 44 2 2 4 3" xfId="13383" xr:uid="{18475BB0-06C5-4EC2-A673-02E966F1CBA9}"/>
    <cellStyle name="Normal 44 2 2 5" xfId="9505" xr:uid="{BD9D000C-52CC-4AAC-9778-054E3E7FE2C0}"/>
    <cellStyle name="Normal 44 2 2 5 2" xfId="11539" xr:uid="{BB72B9C4-D352-4813-B063-9A0E033AF44B}"/>
    <cellStyle name="Normal 44 2 2 5 2 2" xfId="15745" xr:uid="{C6361225-F2FE-42FC-BBFC-3053E64AC1F6}"/>
    <cellStyle name="Normal 44 2 2 5 3" xfId="13716" xr:uid="{029786E5-38B1-4C43-BDE2-1099CF2CDE85}"/>
    <cellStyle name="Normal 44 2 2 6" xfId="9863" xr:uid="{962968C3-FA06-4CDE-91BA-6A74077299F0}"/>
    <cellStyle name="Normal 44 2 2 6 2" xfId="14069" xr:uid="{66688318-D9E8-4149-9D79-308079BAF65E}"/>
    <cellStyle name="Normal 44 2 2 7" xfId="12040" xr:uid="{7CBC4594-FE27-40F8-9FE6-FD43A7FAE275}"/>
    <cellStyle name="Normal 44 2 3" xfId="7965" xr:uid="{C5A852FA-D725-4277-8624-C8F0FA7D836B}"/>
    <cellStyle name="Normal 44 2 3 2" xfId="8635" xr:uid="{1D1DBA0B-6AF6-4C71-8D6F-38016C574741}"/>
    <cellStyle name="Normal 44 2 3 2 2" xfId="10704" xr:uid="{237467D0-F7EA-4E6C-8D81-E3763E19F522}"/>
    <cellStyle name="Normal 44 2 3 2 2 2" xfId="14910" xr:uid="{A00A1CFA-CA76-4D4F-9F45-DEF62DEB3ABC}"/>
    <cellStyle name="Normal 44 2 3 2 3" xfId="12881" xr:uid="{0D026FD8-33C5-47DC-8C16-F90E615E920B}"/>
    <cellStyle name="Normal 44 2 3 3" xfId="10034" xr:uid="{D16A9D87-F734-428F-85E8-75104E239AEA}"/>
    <cellStyle name="Normal 44 2 3 3 2" xfId="14240" xr:uid="{0770113A-CBDB-4829-A249-693E5C7F3F91}"/>
    <cellStyle name="Normal 44 2 3 4" xfId="12211" xr:uid="{43077D20-E7BF-4661-AC34-A0BD08A21235}"/>
    <cellStyle name="Normal 44 2 4" xfId="8301" xr:uid="{99651AB8-C649-4770-9488-A16743D4EBE2}"/>
    <cellStyle name="Normal 44 2 4 2" xfId="10370" xr:uid="{F2A2915F-46A3-4050-98DD-73761C38E158}"/>
    <cellStyle name="Normal 44 2 4 2 2" xfId="14576" xr:uid="{E876DE1A-4E06-4A52-B78B-9358A5A213E9}"/>
    <cellStyle name="Normal 44 2 4 3" xfId="12547" xr:uid="{3EB0F38A-134B-449A-BD51-B76E1592185C}"/>
    <cellStyle name="Normal 44 2 5" xfId="8974" xr:uid="{2720779C-90E5-4D3F-9984-5E717618707A}"/>
    <cellStyle name="Normal 44 2 5 2" xfId="11043" xr:uid="{A2D7E6B3-4EAD-45C6-9C3D-9876E777F7E9}"/>
    <cellStyle name="Normal 44 2 5 2 2" xfId="15249" xr:uid="{00588A02-2B82-467C-82D9-FA4B55139382}"/>
    <cellStyle name="Normal 44 2 5 3" xfId="13220" xr:uid="{899B423B-8368-4B6C-BE34-5F0CCB82159C}"/>
    <cellStyle name="Normal 44 2 6" xfId="9342" xr:uid="{42E97D40-EDD1-4DA8-9DCD-210693189FE4}"/>
    <cellStyle name="Normal 44 2 6 2" xfId="11376" xr:uid="{03AAB96B-D1BC-42EF-ABD2-E97143CC4D76}"/>
    <cellStyle name="Normal 44 2 6 2 2" xfId="15582" xr:uid="{145429B3-273E-42B0-B6CA-56FBC06DD9A4}"/>
    <cellStyle name="Normal 44 2 6 3" xfId="13553" xr:uid="{AF56E081-6BF3-42C7-8737-2E587EDB3842}"/>
    <cellStyle name="Normal 44 2 7" xfId="9700" xr:uid="{CECD10B1-BE34-4A57-8F14-45DC81791A14}"/>
    <cellStyle name="Normal 44 2 7 2" xfId="13906" xr:uid="{221806CC-22B8-4CF5-86B9-6CB3B101B38A}"/>
    <cellStyle name="Normal 44 2 8" xfId="11877" xr:uid="{C4B5116B-F4E0-49A8-BD13-2306057D168A}"/>
    <cellStyle name="Normal 44 3" xfId="7716" xr:uid="{E7745C56-4478-44F5-B92D-468BBE68FA21}"/>
    <cellStyle name="Normal 44 3 2" xfId="8087" xr:uid="{4F758D14-FEAE-488B-BBE8-B5D55A8C5224}"/>
    <cellStyle name="Normal 44 3 2 2" xfId="8757" xr:uid="{D1CC0AC5-C123-4615-8A9E-683D44CC8B9A}"/>
    <cellStyle name="Normal 44 3 2 2 2" xfId="10826" xr:uid="{99D14056-3817-4369-AF40-9C8F36DC8842}"/>
    <cellStyle name="Normal 44 3 2 2 2 2" xfId="15032" xr:uid="{C70C9249-61A6-4CD7-BBBE-0103E0E2B2F4}"/>
    <cellStyle name="Normal 44 3 2 2 3" xfId="13003" xr:uid="{F5DB8C68-3EFF-4253-A554-5A64191DAE03}"/>
    <cellStyle name="Normal 44 3 2 3" xfId="10156" xr:uid="{79832A0D-AEEA-458C-A5E8-84A52C94AB27}"/>
    <cellStyle name="Normal 44 3 2 3 2" xfId="14362" xr:uid="{3D4573A7-F52B-40D6-9C6A-6A0801A4FF17}"/>
    <cellStyle name="Normal 44 3 2 4" xfId="12333" xr:uid="{E796459F-58F0-431A-94C2-1EE6B5A622B7}"/>
    <cellStyle name="Normal 44 3 3" xfId="8423" xr:uid="{4448E7C7-4DA5-4133-AEFF-DB624B6B14BC}"/>
    <cellStyle name="Normal 44 3 3 2" xfId="10492" xr:uid="{4BAA3D7D-B370-45FA-8A2C-E67A022EECE7}"/>
    <cellStyle name="Normal 44 3 3 2 2" xfId="14698" xr:uid="{7BAE03CB-CF48-44EC-BCB9-8759E55FFB43}"/>
    <cellStyle name="Normal 44 3 3 3" xfId="12669" xr:uid="{396EA531-3926-4CD6-B590-7C9CE176C47B}"/>
    <cellStyle name="Normal 44 3 4" xfId="9096" xr:uid="{51CD8229-86FE-4E0F-A145-B4CE16F014EB}"/>
    <cellStyle name="Normal 44 3 4 2" xfId="11165" xr:uid="{F2517246-E67B-4E4E-B5F8-17C250EE4C80}"/>
    <cellStyle name="Normal 44 3 4 2 2" xfId="15371" xr:uid="{3995FCB0-10D7-41E3-8ECB-C146D8A330C1}"/>
    <cellStyle name="Normal 44 3 4 3" xfId="13342" xr:uid="{BAA93BF4-77BA-4DB3-AF12-DB659D05C779}"/>
    <cellStyle name="Normal 44 3 5" xfId="9464" xr:uid="{EA21F865-E70F-4B1B-AC23-23114A05FEEE}"/>
    <cellStyle name="Normal 44 3 5 2" xfId="11498" xr:uid="{397D5C3F-FEA5-40AA-B04E-F493ACAF7273}"/>
    <cellStyle name="Normal 44 3 5 2 2" xfId="15704" xr:uid="{A757B6C7-739D-45CF-9881-0029EC1DF815}"/>
    <cellStyle name="Normal 44 3 5 3" xfId="13675" xr:uid="{E7C12216-3686-430D-AF90-011EE360D890}"/>
    <cellStyle name="Normal 44 3 6" xfId="9822" xr:uid="{EC571AAC-710F-4189-80B0-72987D9A56A0}"/>
    <cellStyle name="Normal 44 3 6 2" xfId="14028" xr:uid="{DA8D800C-31DD-4F4A-B6EC-5F260F076295}"/>
    <cellStyle name="Normal 44 3 7" xfId="11999" xr:uid="{F43CBD9F-6969-4323-9A98-95C6CE02826E}"/>
    <cellStyle name="Normal 44 4" xfId="7924" xr:uid="{3A6A676E-A112-48EB-8574-ECBFFBE321D7}"/>
    <cellStyle name="Normal 44 4 2" xfId="8594" xr:uid="{92044E3D-400A-4B1A-AFBF-144F21E9CA41}"/>
    <cellStyle name="Normal 44 4 2 2" xfId="10663" xr:uid="{34E4D67D-8080-4103-8B53-A69E1746A7B1}"/>
    <cellStyle name="Normal 44 4 2 2 2" xfId="14869" xr:uid="{C0ED0C68-A89D-44F3-B377-F2134D1A3DA0}"/>
    <cellStyle name="Normal 44 4 2 3" xfId="12840" xr:uid="{F0843755-715F-4FC9-94A6-FDA5D2E8076C}"/>
    <cellStyle name="Normal 44 4 3" xfId="9993" xr:uid="{4B6FFC1E-2196-4A22-8148-A3CD898502D7}"/>
    <cellStyle name="Normal 44 4 3 2" xfId="14199" xr:uid="{6FAFF65C-2F6D-4D01-9B71-95C8128C5C4B}"/>
    <cellStyle name="Normal 44 4 4" xfId="12170" xr:uid="{1F272870-2986-4A6B-BE64-DA52EB0A03B0}"/>
    <cellStyle name="Normal 44 5" xfId="8260" xr:uid="{836C3D6B-B5DB-4E9F-B309-B2BE200FF475}"/>
    <cellStyle name="Normal 44 5 2" xfId="10329" xr:uid="{2606D31A-9464-4941-9B3F-A51BA931569C}"/>
    <cellStyle name="Normal 44 5 2 2" xfId="14535" xr:uid="{59CE5E39-BB66-4DDE-9F75-3AD4631B7717}"/>
    <cellStyle name="Normal 44 5 3" xfId="12506" xr:uid="{47983509-87F4-4D33-960B-C8B5F733C69F}"/>
    <cellStyle name="Normal 44 6" xfId="8933" xr:uid="{57F7C1F7-B222-4500-AC57-590B241986BE}"/>
    <cellStyle name="Normal 44 6 2" xfId="11002" xr:uid="{DD058D17-9547-48C3-B87F-3BD4B46F27F4}"/>
    <cellStyle name="Normal 44 6 2 2" xfId="15208" xr:uid="{D668CE43-8D1E-47F5-9DEB-334F1BEAA539}"/>
    <cellStyle name="Normal 44 6 3" xfId="13179" xr:uid="{B7191E12-B68B-4CA3-9C18-63E6AF8C093B}"/>
    <cellStyle name="Normal 44 7" xfId="9300" xr:uid="{17DE3849-3565-45CB-8BA0-0FD68079DF6F}"/>
    <cellStyle name="Normal 44 7 2" xfId="11335" xr:uid="{78E1D437-89EE-4E19-B999-7E74BD2DD853}"/>
    <cellStyle name="Normal 44 7 2 2" xfId="15541" xr:uid="{C87B5F59-3A69-4BFB-A06F-F8A592933F76}"/>
    <cellStyle name="Normal 44 7 3" xfId="13512" xr:uid="{63DF246D-C4D3-4191-A4F6-5EE24C4FFD5E}"/>
    <cellStyle name="Normal 44 8" xfId="9659" xr:uid="{BAD5AADB-EE78-480A-865B-FD7604FC6D25}"/>
    <cellStyle name="Normal 44 8 2" xfId="13865" xr:uid="{3C6BD530-1D4F-43E6-A783-86B4FEF2F78C}"/>
    <cellStyle name="Normal 44 9" xfId="11835" xr:uid="{B06066B1-1397-4BDE-B12E-BC1B64BD0BD6}"/>
    <cellStyle name="Normal 45" xfId="7515" xr:uid="{095F6340-9A0A-44E5-B0EF-6F8ED422F1A5}"/>
    <cellStyle name="Normal 45 2" xfId="7558" xr:uid="{47EBFF65-71AA-4519-8904-62E9D6F8C083}"/>
    <cellStyle name="Normal 45 2 2" xfId="7758" xr:uid="{C3792866-BC1D-451B-891E-61CD76463A35}"/>
    <cellStyle name="Normal 45 2 2 2" xfId="8129" xr:uid="{4F696743-8A4B-4893-A1EE-EE950A5A751F}"/>
    <cellStyle name="Normal 45 2 2 2 2" xfId="8799" xr:uid="{C5933706-0CC5-4E5B-86A0-0C6997ECFD07}"/>
    <cellStyle name="Normal 45 2 2 2 2 2" xfId="10868" xr:uid="{1898CBF3-7514-49CA-8006-411BEE6BC8C9}"/>
    <cellStyle name="Normal 45 2 2 2 2 2 2" xfId="15074" xr:uid="{D0E7FA16-3A3C-4447-BCE5-EA09659B73D4}"/>
    <cellStyle name="Normal 45 2 2 2 2 3" xfId="13045" xr:uid="{D6166BC3-2DCD-41FB-8859-8C8FAF6E0ECB}"/>
    <cellStyle name="Normal 45 2 2 2 3" xfId="10198" xr:uid="{60ECE6FB-21A6-4014-96B8-798FF4196201}"/>
    <cellStyle name="Normal 45 2 2 2 3 2" xfId="14404" xr:uid="{8D71335A-4CE2-489E-83FA-E09C32AC3FB3}"/>
    <cellStyle name="Normal 45 2 2 2 4" xfId="12375" xr:uid="{2D5C3056-BE57-497D-BE8E-F1D71592EDE8}"/>
    <cellStyle name="Normal 45 2 2 3" xfId="8465" xr:uid="{C0325464-3520-4DA3-99AA-7509820B9656}"/>
    <cellStyle name="Normal 45 2 2 3 2" xfId="10534" xr:uid="{90B3C988-52F5-4572-9F3D-29D1192741C8}"/>
    <cellStyle name="Normal 45 2 2 3 2 2" xfId="14740" xr:uid="{FD04B8AC-A70A-460D-9749-08FA40B74963}"/>
    <cellStyle name="Normal 45 2 2 3 3" xfId="12711" xr:uid="{739DC236-7EB3-40CA-8AF7-BDEAFDDFCF08}"/>
    <cellStyle name="Normal 45 2 2 4" xfId="9138" xr:uid="{A95F426B-1FE9-4E12-9EEE-0C236A6936A6}"/>
    <cellStyle name="Normal 45 2 2 4 2" xfId="11207" xr:uid="{37126AA3-473A-4C7E-84F5-023F016A8FF0}"/>
    <cellStyle name="Normal 45 2 2 4 2 2" xfId="15413" xr:uid="{36BE153D-FB25-437E-A235-D12AF5B1AB02}"/>
    <cellStyle name="Normal 45 2 2 4 3" xfId="13384" xr:uid="{173E4E10-7C73-4A1D-8D92-AC9D72D5EDF1}"/>
    <cellStyle name="Normal 45 2 2 5" xfId="9506" xr:uid="{612A35C0-2BBC-42DF-AEB9-5210F93E058A}"/>
    <cellStyle name="Normal 45 2 2 5 2" xfId="11540" xr:uid="{9EB26E95-0421-4A81-8DBF-83D1A236F94E}"/>
    <cellStyle name="Normal 45 2 2 5 2 2" xfId="15746" xr:uid="{7AC027FA-1EB5-475C-AA8B-874D0836D603}"/>
    <cellStyle name="Normal 45 2 2 5 3" xfId="13717" xr:uid="{66A4E45A-996E-46A3-90FE-E1D8346B7649}"/>
    <cellStyle name="Normal 45 2 2 6" xfId="9864" xr:uid="{6C682E72-D5D7-4A1D-A15B-ABD88B575A54}"/>
    <cellStyle name="Normal 45 2 2 6 2" xfId="14070" xr:uid="{D0966215-9200-4B71-878C-BE85FA55F494}"/>
    <cellStyle name="Normal 45 2 2 7" xfId="12041" xr:uid="{B62192DD-E1B2-40DC-AA15-C5F3846E2502}"/>
    <cellStyle name="Normal 45 2 3" xfId="7966" xr:uid="{F041788E-6D51-496C-8460-31C57EC0F771}"/>
    <cellStyle name="Normal 45 2 3 2" xfId="8636" xr:uid="{3BCBF20C-06AF-440F-B892-932F6D3C8461}"/>
    <cellStyle name="Normal 45 2 3 2 2" xfId="10705" xr:uid="{B71BD897-8493-4260-88D2-2F5EBA266CC6}"/>
    <cellStyle name="Normal 45 2 3 2 2 2" xfId="14911" xr:uid="{025DAFE0-FD25-414B-B2BF-914860B6CB12}"/>
    <cellStyle name="Normal 45 2 3 2 3" xfId="12882" xr:uid="{DB06660F-EB7F-4352-8CFB-F0001490F187}"/>
    <cellStyle name="Normal 45 2 3 3" xfId="10035" xr:uid="{0F06F680-ED0E-4A34-9576-72419B935C38}"/>
    <cellStyle name="Normal 45 2 3 3 2" xfId="14241" xr:uid="{0F15CF39-ADE0-4325-8D79-3C8F835DA97C}"/>
    <cellStyle name="Normal 45 2 3 4" xfId="12212" xr:uid="{BD4EB9A4-B972-42F6-BFBB-BF936D8CD3D6}"/>
    <cellStyle name="Normal 45 2 4" xfId="8302" xr:uid="{40DAAF9F-3D97-4061-9823-4527F36D2078}"/>
    <cellStyle name="Normal 45 2 4 2" xfId="10371" xr:uid="{300BA9F5-CB08-4E94-9973-46A38856BF3B}"/>
    <cellStyle name="Normal 45 2 4 2 2" xfId="14577" xr:uid="{E8347491-C594-4FE0-88B0-1C6DC1A76A0C}"/>
    <cellStyle name="Normal 45 2 4 3" xfId="12548" xr:uid="{21B07069-C37F-42A2-A746-068D3A651B9B}"/>
    <cellStyle name="Normal 45 2 5" xfId="8975" xr:uid="{B577EE91-15F7-43F3-A315-9430A4781584}"/>
    <cellStyle name="Normal 45 2 5 2" xfId="11044" xr:uid="{1B795436-3FF4-4747-9F42-35BEB44CC0C7}"/>
    <cellStyle name="Normal 45 2 5 2 2" xfId="15250" xr:uid="{FC11915B-88B7-42AB-A74E-F79593BBE94A}"/>
    <cellStyle name="Normal 45 2 5 3" xfId="13221" xr:uid="{B6150AC9-4468-4150-8F54-4DAA274B87A8}"/>
    <cellStyle name="Normal 45 2 6" xfId="9343" xr:uid="{566EAF7F-56BF-4DD6-A5A3-8EFBFDF1BA4A}"/>
    <cellStyle name="Normal 45 2 6 2" xfId="11377" xr:uid="{41EBFF4E-F7E1-437D-B48F-2ED6D9D4E861}"/>
    <cellStyle name="Normal 45 2 6 2 2" xfId="15583" xr:uid="{B083AA90-0FA9-470F-BE82-4CC282B93C89}"/>
    <cellStyle name="Normal 45 2 6 3" xfId="13554" xr:uid="{73631106-086F-47FE-9604-295903245B23}"/>
    <cellStyle name="Normal 45 2 7" xfId="9701" xr:uid="{AE6DA111-D45F-4D5E-B4F3-A9C409FF78F5}"/>
    <cellStyle name="Normal 45 2 7 2" xfId="13907" xr:uid="{C7E0B8ED-E4A6-488E-8A86-E097979B81BF}"/>
    <cellStyle name="Normal 45 2 8" xfId="11878" xr:uid="{38344081-2BCF-4C91-B7F6-D0C279D2704F}"/>
    <cellStyle name="Normal 45 3" xfId="7717" xr:uid="{11716061-4600-421D-81EC-6169FB1DC09C}"/>
    <cellStyle name="Normal 45 3 2" xfId="8088" xr:uid="{E21955EB-2DA1-4137-9EB4-1C7BBDCD6667}"/>
    <cellStyle name="Normal 45 3 2 2" xfId="8758" xr:uid="{9929980A-92FB-4B44-BEA4-DD668003C2CE}"/>
    <cellStyle name="Normal 45 3 2 2 2" xfId="10827" xr:uid="{F8809F4D-3999-4AD3-AFC8-ADCB2A134005}"/>
    <cellStyle name="Normal 45 3 2 2 2 2" xfId="15033" xr:uid="{41BC621E-16FA-4EAC-819F-2432B1C90DF1}"/>
    <cellStyle name="Normal 45 3 2 2 3" xfId="13004" xr:uid="{48FC9816-A4C5-4AE4-98AB-74B91A819F15}"/>
    <cellStyle name="Normal 45 3 2 3" xfId="10157" xr:uid="{C0C583F9-1987-49D5-8F55-67EC5D87681C}"/>
    <cellStyle name="Normal 45 3 2 3 2" xfId="14363" xr:uid="{D051E5CD-680B-456E-BC08-A3A4CA309BC1}"/>
    <cellStyle name="Normal 45 3 2 4" xfId="12334" xr:uid="{E5E0D7BB-70D9-4932-8250-EDD0FC1F7ECF}"/>
    <cellStyle name="Normal 45 3 3" xfId="8424" xr:uid="{EA970725-82A3-4D77-A690-0B69FA5E4687}"/>
    <cellStyle name="Normal 45 3 3 2" xfId="10493" xr:uid="{10FC9F8F-8A0D-466C-B165-88FB956DB0F3}"/>
    <cellStyle name="Normal 45 3 3 2 2" xfId="14699" xr:uid="{388D5704-49AF-4182-852F-ACF635710360}"/>
    <cellStyle name="Normal 45 3 3 3" xfId="12670" xr:uid="{41792967-2533-4769-8E83-93A7408A038A}"/>
    <cellStyle name="Normal 45 3 4" xfId="9097" xr:uid="{C069027D-486A-40D9-BFDA-5F099BAE368F}"/>
    <cellStyle name="Normal 45 3 4 2" xfId="11166" xr:uid="{4EA69480-CE8C-4321-AD99-9A67B56F5689}"/>
    <cellStyle name="Normal 45 3 4 2 2" xfId="15372" xr:uid="{C9D3F294-E228-4914-A4D6-7CE2E1CAE7C2}"/>
    <cellStyle name="Normal 45 3 4 3" xfId="13343" xr:uid="{30B06C3A-2E48-48E3-9ECA-4C43AF8600C2}"/>
    <cellStyle name="Normal 45 3 5" xfId="9465" xr:uid="{4F740B14-8DFE-48D6-9907-73E59BA346B2}"/>
    <cellStyle name="Normal 45 3 5 2" xfId="11499" xr:uid="{CD4588D0-08EB-43A2-8F96-73A67CE06B27}"/>
    <cellStyle name="Normal 45 3 5 2 2" xfId="15705" xr:uid="{BEBFCD12-0DD1-4F8E-8E75-B5B1C8AEDD42}"/>
    <cellStyle name="Normal 45 3 5 3" xfId="13676" xr:uid="{45041744-B170-418A-951B-A3AD68E11EE4}"/>
    <cellStyle name="Normal 45 3 6" xfId="9823" xr:uid="{7181FC33-DA44-497E-813C-C17957A9EE49}"/>
    <cellStyle name="Normal 45 3 6 2" xfId="14029" xr:uid="{2D148CAE-3119-41EE-A9F9-CACF6CB95E3F}"/>
    <cellStyle name="Normal 45 3 7" xfId="12000" xr:uid="{89D28173-72A2-43E0-9A22-4ABCE821192E}"/>
    <cellStyle name="Normal 45 4" xfId="7925" xr:uid="{EE5B98E0-AAAE-4131-9DA7-02A02436D758}"/>
    <cellStyle name="Normal 45 4 2" xfId="8595" xr:uid="{5F73E37F-32B2-4820-9127-50A10CCE0971}"/>
    <cellStyle name="Normal 45 4 2 2" xfId="10664" xr:uid="{484F5BD1-113F-45D8-B1F7-5A6F702873BB}"/>
    <cellStyle name="Normal 45 4 2 2 2" xfId="14870" xr:uid="{A34FF432-D8FD-46E0-B108-73EFB847AD0B}"/>
    <cellStyle name="Normal 45 4 2 3" xfId="12841" xr:uid="{DDAA9841-771F-4374-9692-5AE27B869C88}"/>
    <cellStyle name="Normal 45 4 3" xfId="9994" xr:uid="{3739355E-3573-41C3-A223-B59D1713CBA6}"/>
    <cellStyle name="Normal 45 4 3 2" xfId="14200" xr:uid="{689F3A16-8C19-4B99-8EAF-A9975763CBEE}"/>
    <cellStyle name="Normal 45 4 4" xfId="12171" xr:uid="{D2F05C5C-57A5-444D-BDDB-B8313DDD4C09}"/>
    <cellStyle name="Normal 45 5" xfId="8261" xr:uid="{BAC3D410-6190-4244-913D-F043C50F0049}"/>
    <cellStyle name="Normal 45 5 2" xfId="10330" xr:uid="{A90BD8DD-E3F8-4C3B-B917-A05CD410403E}"/>
    <cellStyle name="Normal 45 5 2 2" xfId="14536" xr:uid="{FED93D51-54B6-4D4A-870F-B00E242DBA55}"/>
    <cellStyle name="Normal 45 5 3" xfId="12507" xr:uid="{F17D1F1F-1880-4068-BB0D-43A446258BA2}"/>
    <cellStyle name="Normal 45 6" xfId="8934" xr:uid="{BB3B1C84-3B8C-4C66-8803-1BDC09A490DE}"/>
    <cellStyle name="Normal 45 6 2" xfId="11003" xr:uid="{2DB9F275-BCCB-4275-86F2-221713925F40}"/>
    <cellStyle name="Normal 45 6 2 2" xfId="15209" xr:uid="{5D6C5597-4DBD-4160-A5B3-C4E31A705A40}"/>
    <cellStyle name="Normal 45 6 3" xfId="13180" xr:uid="{DC7543B4-5327-499A-A169-E8D771D38A6F}"/>
    <cellStyle name="Normal 45 7" xfId="9301" xr:uid="{624EAF3F-68F0-4ED5-BFFB-EF998BEA8661}"/>
    <cellStyle name="Normal 45 7 2" xfId="11336" xr:uid="{1C157276-0174-4ED8-AC54-C506AB08563C}"/>
    <cellStyle name="Normal 45 7 2 2" xfId="15542" xr:uid="{79BCB090-AA82-4162-8868-D6CFFF633990}"/>
    <cellStyle name="Normal 45 7 3" xfId="13513" xr:uid="{08AE6FBD-60E6-4D19-9CBA-BEAD478D23FA}"/>
    <cellStyle name="Normal 45 8" xfId="9660" xr:uid="{567A6C00-8E89-4674-8B35-5CE09D92B956}"/>
    <cellStyle name="Normal 45 8 2" xfId="13866" xr:uid="{8182476B-3A9D-4311-9BE4-E7F6FA78367F}"/>
    <cellStyle name="Normal 45 9" xfId="11836" xr:uid="{BCE90038-9D78-4447-B998-C4219E58DE6F}"/>
    <cellStyle name="Normal 46" xfId="7516" xr:uid="{141E3BCF-4917-4621-86A7-483CDC1E37BC}"/>
    <cellStyle name="Normal 46 2" xfId="7559" xr:uid="{FD3BD953-2958-4DAB-86C0-B6E0373C9B48}"/>
    <cellStyle name="Normal 46 2 2" xfId="7759" xr:uid="{40EB79B8-C8E7-4077-84B5-06D682F12907}"/>
    <cellStyle name="Normal 46 2 2 2" xfId="8130" xr:uid="{B84A6ACC-2D9E-4D40-A1DF-B0EC41B959B1}"/>
    <cellStyle name="Normal 46 2 2 2 2" xfId="8800" xr:uid="{A0F9D93B-E190-4CDD-A8AA-F3B9A9F8CE4E}"/>
    <cellStyle name="Normal 46 2 2 2 2 2" xfId="10869" xr:uid="{96282AE8-71B5-48F6-B385-4219AD1794B6}"/>
    <cellStyle name="Normal 46 2 2 2 2 2 2" xfId="15075" xr:uid="{1653F3F6-8D1C-4D68-85B0-4D3A9F4073DB}"/>
    <cellStyle name="Normal 46 2 2 2 2 3" xfId="13046" xr:uid="{8C64E74F-B179-44F5-9042-D9296F65B3FE}"/>
    <cellStyle name="Normal 46 2 2 2 3" xfId="10199" xr:uid="{29BAFF63-866E-468F-8629-253C6CEFFAB7}"/>
    <cellStyle name="Normal 46 2 2 2 3 2" xfId="14405" xr:uid="{E60D3FCD-CED4-4A83-ABAD-41609742C131}"/>
    <cellStyle name="Normal 46 2 2 2 4" xfId="12376" xr:uid="{899787C8-9490-4440-ABFD-B1FBA12B3EEF}"/>
    <cellStyle name="Normal 46 2 2 3" xfId="8466" xr:uid="{FEE59A0C-1F5A-4ABB-B9A8-A9DE19675F97}"/>
    <cellStyle name="Normal 46 2 2 3 2" xfId="10535" xr:uid="{DD115D65-A814-42DF-9904-B5D0CEEFCEA7}"/>
    <cellStyle name="Normal 46 2 2 3 2 2" xfId="14741" xr:uid="{93B54573-1637-4CB6-8F19-01EF2FE99C63}"/>
    <cellStyle name="Normal 46 2 2 3 3" xfId="12712" xr:uid="{3EA0FF50-78D5-48DF-ADDA-3B543D068CE8}"/>
    <cellStyle name="Normal 46 2 2 4" xfId="9139" xr:uid="{28B76E75-7A8B-415D-8322-015F55DFDF4E}"/>
    <cellStyle name="Normal 46 2 2 4 2" xfId="11208" xr:uid="{9005AD30-B5CF-43FA-8A87-DA3A7343D0CA}"/>
    <cellStyle name="Normal 46 2 2 4 2 2" xfId="15414" xr:uid="{67E0AF9D-4C2D-44C4-9B20-6B9E83AB2D85}"/>
    <cellStyle name="Normal 46 2 2 4 3" xfId="13385" xr:uid="{9E811C6B-1E95-4F2F-9C19-C37E921796B7}"/>
    <cellStyle name="Normal 46 2 2 5" xfId="9507" xr:uid="{F2D4794A-4ED5-4C94-BA61-ED80DA535139}"/>
    <cellStyle name="Normal 46 2 2 5 2" xfId="11541" xr:uid="{812C0617-5884-4EF2-BA86-22F35A69A57C}"/>
    <cellStyle name="Normal 46 2 2 5 2 2" xfId="15747" xr:uid="{4BB6CEA2-359F-49D3-8B8D-31AEFDA46FC8}"/>
    <cellStyle name="Normal 46 2 2 5 3" xfId="13718" xr:uid="{278874E6-8011-413F-B88A-77E9D6BE1CC7}"/>
    <cellStyle name="Normal 46 2 2 6" xfId="9865" xr:uid="{A11B8239-10BF-4252-84BB-283456BC8CAA}"/>
    <cellStyle name="Normal 46 2 2 6 2" xfId="14071" xr:uid="{9B902240-C06A-4B26-8B40-36AA9870E5B7}"/>
    <cellStyle name="Normal 46 2 2 7" xfId="12042" xr:uid="{5207C68F-A92F-49B2-8590-0B35456359EC}"/>
    <cellStyle name="Normal 46 2 3" xfId="7967" xr:uid="{4B92D5D3-9FAE-4BD0-B861-647701280534}"/>
    <cellStyle name="Normal 46 2 3 2" xfId="8637" xr:uid="{A0085B17-0931-4EF8-90B9-53C5B57B0566}"/>
    <cellStyle name="Normal 46 2 3 2 2" xfId="10706" xr:uid="{0E179559-2A02-4149-9096-645434111FE7}"/>
    <cellStyle name="Normal 46 2 3 2 2 2" xfId="14912" xr:uid="{01A08C93-5222-4B97-A27F-9C12E67ACAD6}"/>
    <cellStyle name="Normal 46 2 3 2 3" xfId="12883" xr:uid="{C30DEEDB-5A44-42FE-9000-454F2E895F04}"/>
    <cellStyle name="Normal 46 2 3 3" xfId="10036" xr:uid="{A4885C49-A43C-4B8D-AD6F-9820EE8EAFF0}"/>
    <cellStyle name="Normal 46 2 3 3 2" xfId="14242" xr:uid="{9C62710C-9789-48DF-8C89-AF22EEB3C51F}"/>
    <cellStyle name="Normal 46 2 3 4" xfId="12213" xr:uid="{A20CA3D9-F99E-4E03-9E55-281443368469}"/>
    <cellStyle name="Normal 46 2 4" xfId="8303" xr:uid="{46756B89-8413-404C-8C46-8442A69B27F3}"/>
    <cellStyle name="Normal 46 2 4 2" xfId="10372" xr:uid="{8965D646-4539-458B-8326-A717B09F6088}"/>
    <cellStyle name="Normal 46 2 4 2 2" xfId="14578" xr:uid="{CF6B933C-E24A-4F12-9DCB-34B530671B82}"/>
    <cellStyle name="Normal 46 2 4 3" xfId="12549" xr:uid="{C31D25F5-F483-462B-965F-78400FB0D0B3}"/>
    <cellStyle name="Normal 46 2 5" xfId="8976" xr:uid="{0CBE3032-A1B6-4F9C-AABA-DA52933B630A}"/>
    <cellStyle name="Normal 46 2 5 2" xfId="11045" xr:uid="{C87F59AF-C2ED-4C81-90DF-30753C5894B7}"/>
    <cellStyle name="Normal 46 2 5 2 2" xfId="15251" xr:uid="{56B5E0AA-BCB8-4764-8964-B94583A75C97}"/>
    <cellStyle name="Normal 46 2 5 3" xfId="13222" xr:uid="{4DE3949D-AEFE-4F35-B290-834E753CEA62}"/>
    <cellStyle name="Normal 46 2 6" xfId="9344" xr:uid="{1D29F943-50AC-4CA9-8A49-9B64C6CA9FD2}"/>
    <cellStyle name="Normal 46 2 6 2" xfId="11378" xr:uid="{A927CA3B-6100-4106-91A6-14B0FCCD03C6}"/>
    <cellStyle name="Normal 46 2 6 2 2" xfId="15584" xr:uid="{E94273FE-4FC3-4117-8136-9A500F9117DB}"/>
    <cellStyle name="Normal 46 2 6 3" xfId="13555" xr:uid="{9BCF9E1A-065D-4F95-93F7-4BC1CB589EE3}"/>
    <cellStyle name="Normal 46 2 7" xfId="9702" xr:uid="{825965C4-AB21-48B5-9BCC-227E9CA71B38}"/>
    <cellStyle name="Normal 46 2 7 2" xfId="13908" xr:uid="{DBFEB2B3-D82D-4A31-9D83-D414F2A5AE84}"/>
    <cellStyle name="Normal 46 2 8" xfId="11879" xr:uid="{54139024-9DF8-4060-A14C-ED545552CC7A}"/>
    <cellStyle name="Normal 46 3" xfId="7718" xr:uid="{F0384F09-CB5C-4115-AE33-73ACFDA7460A}"/>
    <cellStyle name="Normal 46 3 2" xfId="8089" xr:uid="{088DAA53-BCF6-49C1-9E5C-A94ED3052F66}"/>
    <cellStyle name="Normal 46 3 2 2" xfId="8759" xr:uid="{76890812-17B8-489A-9809-F9B32909523E}"/>
    <cellStyle name="Normal 46 3 2 2 2" xfId="10828" xr:uid="{02A3E3C5-72FA-4A6E-9516-3D194E924F1F}"/>
    <cellStyle name="Normal 46 3 2 2 2 2" xfId="15034" xr:uid="{4E3D32B8-2828-433D-9B14-4634A91B8B58}"/>
    <cellStyle name="Normal 46 3 2 2 3" xfId="13005" xr:uid="{27EE7EAF-E7E6-47EE-83AB-F65F446848C3}"/>
    <cellStyle name="Normal 46 3 2 3" xfId="10158" xr:uid="{513D85F4-E98B-42D2-B08B-B758C038349A}"/>
    <cellStyle name="Normal 46 3 2 3 2" xfId="14364" xr:uid="{6F4C5B0E-0125-44BF-AA5C-C68D3366D2DA}"/>
    <cellStyle name="Normal 46 3 2 4" xfId="12335" xr:uid="{5ABFD3CB-E5D9-49D1-957C-C640EA1B28BC}"/>
    <cellStyle name="Normal 46 3 3" xfId="8425" xr:uid="{1E44B4CA-6144-44FD-B055-1E54DEB3D45A}"/>
    <cellStyle name="Normal 46 3 3 2" xfId="10494" xr:uid="{061FF795-1BAB-4683-B4CD-F74A07B63836}"/>
    <cellStyle name="Normal 46 3 3 2 2" xfId="14700" xr:uid="{26349518-D63B-449D-BB62-1210C17D5961}"/>
    <cellStyle name="Normal 46 3 3 3" xfId="12671" xr:uid="{288EA82B-BA11-4BCF-9AC7-308C31F99543}"/>
    <cellStyle name="Normal 46 3 4" xfId="9098" xr:uid="{E4AF5DD9-302D-467C-9A65-2B26BB0853B3}"/>
    <cellStyle name="Normal 46 3 4 2" xfId="11167" xr:uid="{C92D515B-9386-4A8C-AE4E-1C5918E24B2B}"/>
    <cellStyle name="Normal 46 3 4 2 2" xfId="15373" xr:uid="{4700B4D5-F642-491C-9E94-AD3DAD802184}"/>
    <cellStyle name="Normal 46 3 4 3" xfId="13344" xr:uid="{8905F39D-7F2C-4D26-AA4F-0B25FCAF0EB7}"/>
    <cellStyle name="Normal 46 3 5" xfId="9466" xr:uid="{D4428E98-6D2D-4218-BC1F-B582B5215541}"/>
    <cellStyle name="Normal 46 3 5 2" xfId="11500" xr:uid="{93ADDB65-4DC3-4462-8262-704B1B8139BD}"/>
    <cellStyle name="Normal 46 3 5 2 2" xfId="15706" xr:uid="{40DFBD3D-50B5-4672-9581-037A219F0598}"/>
    <cellStyle name="Normal 46 3 5 3" xfId="13677" xr:uid="{9E724E1A-C66E-4077-9FF3-B3888F3819FE}"/>
    <cellStyle name="Normal 46 3 6" xfId="9824" xr:uid="{6D1FD19C-714D-4CC8-B41C-F32E79E05FBC}"/>
    <cellStyle name="Normal 46 3 6 2" xfId="14030" xr:uid="{89FFF9B0-725E-4699-B6F0-BB81971D421C}"/>
    <cellStyle name="Normal 46 3 7" xfId="12001" xr:uid="{DE3FC563-B75E-49B2-9413-0AA299899A88}"/>
    <cellStyle name="Normal 46 4" xfId="7926" xr:uid="{C27B5268-A758-49A9-81AA-B7ABACF20A78}"/>
    <cellStyle name="Normal 46 4 2" xfId="8596" xr:uid="{0A18BFD5-A3CB-45B4-991C-FE8FF9BD7312}"/>
    <cellStyle name="Normal 46 4 2 2" xfId="10665" xr:uid="{202D763F-471E-4264-B3CD-BCAA709E0863}"/>
    <cellStyle name="Normal 46 4 2 2 2" xfId="14871" xr:uid="{868B1F67-EA25-45B9-A1AB-DBC6B4D301B7}"/>
    <cellStyle name="Normal 46 4 2 3" xfId="12842" xr:uid="{8F90C1BC-FD4F-41DB-9890-E14B5E360B48}"/>
    <cellStyle name="Normal 46 4 3" xfId="9995" xr:uid="{FA03C3E9-22AF-4583-94B2-4E55050D0BB6}"/>
    <cellStyle name="Normal 46 4 3 2" xfId="14201" xr:uid="{AF3A1A38-24FA-4A71-9591-2745D845FD19}"/>
    <cellStyle name="Normal 46 4 4" xfId="12172" xr:uid="{DF5BAE0E-07F4-448A-A983-A7B00BC1695C}"/>
    <cellStyle name="Normal 46 5" xfId="8262" xr:uid="{D2A6D7ED-97E5-42E4-A4AF-C6C315FF2AD8}"/>
    <cellStyle name="Normal 46 5 2" xfId="10331" xr:uid="{F871C094-ABB8-43DD-B10B-A69472862181}"/>
    <cellStyle name="Normal 46 5 2 2" xfId="14537" xr:uid="{48AE5C7C-1F90-4383-A924-59BD5898AC29}"/>
    <cellStyle name="Normal 46 5 3" xfId="12508" xr:uid="{E08658B5-506F-4BFD-A3E5-7D65F779CC52}"/>
    <cellStyle name="Normal 46 6" xfId="8935" xr:uid="{D7AEAD5D-82DB-4BEC-9D5D-5966896FB7AC}"/>
    <cellStyle name="Normal 46 6 2" xfId="11004" xr:uid="{DDFF5A88-2F1B-4158-8039-7925380C1A7C}"/>
    <cellStyle name="Normal 46 6 2 2" xfId="15210" xr:uid="{A7B5EE24-AB6C-4245-8FE9-E60A0D0B8B40}"/>
    <cellStyle name="Normal 46 6 3" xfId="13181" xr:uid="{ADD9984E-1917-4233-978E-275CFB6088FE}"/>
    <cellStyle name="Normal 46 7" xfId="9302" xr:uid="{457E8342-D089-44B7-9E88-DF61426A15F9}"/>
    <cellStyle name="Normal 46 7 2" xfId="11337" xr:uid="{C4E1478B-626D-411B-B624-473193DBBACE}"/>
    <cellStyle name="Normal 46 7 2 2" xfId="15543" xr:uid="{18DA0041-93AE-434B-B84F-B52F5F8CCCD0}"/>
    <cellStyle name="Normal 46 7 3" xfId="13514" xr:uid="{3CEDFD1B-CC0D-4C34-A506-D6AB6855BCAC}"/>
    <cellStyle name="Normal 46 8" xfId="9661" xr:uid="{DA16FA8E-B573-49D8-AC6F-9C5D29ED20A3}"/>
    <cellStyle name="Normal 46 8 2" xfId="13867" xr:uid="{1AE79F3E-9BB8-43E2-A60B-0DE9B04E035B}"/>
    <cellStyle name="Normal 46 9" xfId="11837" xr:uid="{EC3CB119-8DE7-4035-A4BC-BD12E8D7DA88}"/>
    <cellStyle name="Normal 47" xfId="7517" xr:uid="{24C3C60D-4BFF-41FE-9735-00F1A29E6CFD}"/>
    <cellStyle name="Normal 47 2" xfId="7560" xr:uid="{3FDA8AC0-C218-4F8D-BAFD-C19AC8399472}"/>
    <cellStyle name="Normal 47 2 2" xfId="7760" xr:uid="{0115EBA5-23F3-4FFE-B6CE-6D4A73F135C2}"/>
    <cellStyle name="Normal 47 2 2 2" xfId="8131" xr:uid="{25F97AD9-1314-4227-9E59-F6732CF31BB3}"/>
    <cellStyle name="Normal 47 2 2 2 2" xfId="8801" xr:uid="{7990124F-ED6A-4301-89F5-11C0151C04FF}"/>
    <cellStyle name="Normal 47 2 2 2 2 2" xfId="10870" xr:uid="{D4476544-3D6B-46EE-A367-84042A1A8B67}"/>
    <cellStyle name="Normal 47 2 2 2 2 2 2" xfId="15076" xr:uid="{01186036-D69E-4F37-BC78-6FAF3158B43F}"/>
    <cellStyle name="Normal 47 2 2 2 2 3" xfId="13047" xr:uid="{400EEA0F-C2C2-4432-9B63-1B1E56B5EE9F}"/>
    <cellStyle name="Normal 47 2 2 2 3" xfId="10200" xr:uid="{FA38DE71-D159-4352-8C98-15250CC16EEB}"/>
    <cellStyle name="Normal 47 2 2 2 3 2" xfId="14406" xr:uid="{2767F68C-9A4E-4879-B2DF-E431B7A60BEF}"/>
    <cellStyle name="Normal 47 2 2 2 4" xfId="12377" xr:uid="{1D85EDB5-C003-4ED8-B3CB-9305357B30E3}"/>
    <cellStyle name="Normal 47 2 2 3" xfId="8467" xr:uid="{B67B7DBB-C17D-4068-9D6A-0F2331C497BE}"/>
    <cellStyle name="Normal 47 2 2 3 2" xfId="10536" xr:uid="{8D49CA4F-B00A-40F4-8FB8-BE038AE884E1}"/>
    <cellStyle name="Normal 47 2 2 3 2 2" xfId="14742" xr:uid="{75CF876D-10BD-475D-BB26-ECA4577E9747}"/>
    <cellStyle name="Normal 47 2 2 3 3" xfId="12713" xr:uid="{48FF854F-9364-499F-A2A0-EE9857C44C21}"/>
    <cellStyle name="Normal 47 2 2 4" xfId="9140" xr:uid="{DD2A1E46-25E7-456A-B213-C55BC6EC2869}"/>
    <cellStyle name="Normal 47 2 2 4 2" xfId="11209" xr:uid="{ED8FBD0F-0E85-43AE-97E7-DFED60ADB79B}"/>
    <cellStyle name="Normal 47 2 2 4 2 2" xfId="15415" xr:uid="{E01AA21A-A39F-4281-B10F-464BD4817B9F}"/>
    <cellStyle name="Normal 47 2 2 4 3" xfId="13386" xr:uid="{B6BF34F1-7514-475E-A92A-366637B3DE62}"/>
    <cellStyle name="Normal 47 2 2 5" xfId="9508" xr:uid="{79D9BCA1-4D1D-4446-9E95-DC7A1A5ABD2A}"/>
    <cellStyle name="Normal 47 2 2 5 2" xfId="11542" xr:uid="{C668D0C3-9F82-4DFD-807A-9C834A0F10B3}"/>
    <cellStyle name="Normal 47 2 2 5 2 2" xfId="15748" xr:uid="{FA55A4C7-75B8-42BC-81F4-510CAD53FE47}"/>
    <cellStyle name="Normal 47 2 2 5 3" xfId="13719" xr:uid="{55EF15B4-FDCB-46D5-BFEF-E54C5746ECDB}"/>
    <cellStyle name="Normal 47 2 2 6" xfId="9866" xr:uid="{9EDDE910-85B4-4BBE-88F8-A5745D13484B}"/>
    <cellStyle name="Normal 47 2 2 6 2" xfId="14072" xr:uid="{54F52771-5F8B-45E9-8FCF-A46C16003B41}"/>
    <cellStyle name="Normal 47 2 2 7" xfId="12043" xr:uid="{5D236715-1E81-42F1-A528-9F30A3DB3DD6}"/>
    <cellStyle name="Normal 47 2 3" xfId="7968" xr:uid="{61C34668-C292-404B-BFA1-2D9E39E1F2C0}"/>
    <cellStyle name="Normal 47 2 3 2" xfId="8638" xr:uid="{B8B1A81C-F5A9-440F-842B-E664BF3698D9}"/>
    <cellStyle name="Normal 47 2 3 2 2" xfId="10707" xr:uid="{5009049F-5BC3-49BC-B73A-44007B4ABA11}"/>
    <cellStyle name="Normal 47 2 3 2 2 2" xfId="14913" xr:uid="{C8756BEC-27E0-48DF-B7C3-DF9AF40C528C}"/>
    <cellStyle name="Normal 47 2 3 2 3" xfId="12884" xr:uid="{2642A206-5A61-4E01-AD73-54C9942999C7}"/>
    <cellStyle name="Normal 47 2 3 3" xfId="10037" xr:uid="{D4045985-E3CF-4E09-B3DD-51840A9B7BB4}"/>
    <cellStyle name="Normal 47 2 3 3 2" xfId="14243" xr:uid="{EA9C5922-DA45-4830-B5E5-CB6CBF1DCABA}"/>
    <cellStyle name="Normal 47 2 3 4" xfId="12214" xr:uid="{AF7A9B99-30EF-4D66-85AD-FFF178CED757}"/>
    <cellStyle name="Normal 47 2 4" xfId="8304" xr:uid="{5454AA3A-44CC-4086-832E-A759E0898295}"/>
    <cellStyle name="Normal 47 2 4 2" xfId="10373" xr:uid="{67AEE4E9-057C-4B19-95F4-D089302DC93A}"/>
    <cellStyle name="Normal 47 2 4 2 2" xfId="14579" xr:uid="{691E3BA1-1291-487D-988F-E6B11CFD931B}"/>
    <cellStyle name="Normal 47 2 4 3" xfId="12550" xr:uid="{D4970F6C-D9DB-481F-AB27-82E33E1A0B94}"/>
    <cellStyle name="Normal 47 2 5" xfId="8977" xr:uid="{25BFEE07-31E1-4FE7-A241-7CFBDEC86161}"/>
    <cellStyle name="Normal 47 2 5 2" xfId="11046" xr:uid="{8BEFF9E7-E3E4-4D85-B3D8-E963A12496FE}"/>
    <cellStyle name="Normal 47 2 5 2 2" xfId="15252" xr:uid="{963B820D-D98E-43E3-9663-7FF275FCD6C8}"/>
    <cellStyle name="Normal 47 2 5 3" xfId="13223" xr:uid="{9865F48D-B2FF-4B7B-A435-475C2418A9E3}"/>
    <cellStyle name="Normal 47 2 6" xfId="9345" xr:uid="{013C36A8-CC12-4E66-93C9-AA06544D4932}"/>
    <cellStyle name="Normal 47 2 6 2" xfId="11379" xr:uid="{580E9AAF-9940-47E9-9E55-7D26A0519F1C}"/>
    <cellStyle name="Normal 47 2 6 2 2" xfId="15585" xr:uid="{2E645DAE-BFFD-4F81-B760-A3D7D4C38D08}"/>
    <cellStyle name="Normal 47 2 6 3" xfId="13556" xr:uid="{D746B690-4328-4374-8C69-AA77AA439193}"/>
    <cellStyle name="Normal 47 2 7" xfId="9703" xr:uid="{CF350891-9802-4E2C-9A19-54E3B273FE82}"/>
    <cellStyle name="Normal 47 2 7 2" xfId="13909" xr:uid="{9E5EAF7B-CA0D-4DC6-9709-9332E9E5D0AE}"/>
    <cellStyle name="Normal 47 2 8" xfId="11880" xr:uid="{D47BDD4D-4D42-4864-84B7-3E32DEB495AD}"/>
    <cellStyle name="Normal 47 3" xfId="7719" xr:uid="{3AB230D3-74DA-4A51-B050-5670DCCF8A86}"/>
    <cellStyle name="Normal 47 3 2" xfId="8090" xr:uid="{0F57255C-C65A-48A8-A89C-E86E5FB26CA3}"/>
    <cellStyle name="Normal 47 3 2 2" xfId="8760" xr:uid="{24B645AA-2754-4A78-AC84-7C55BAA61E49}"/>
    <cellStyle name="Normal 47 3 2 2 2" xfId="10829" xr:uid="{4B9D7148-427A-4D32-8296-9C935345BD66}"/>
    <cellStyle name="Normal 47 3 2 2 2 2" xfId="15035" xr:uid="{6A2F725A-3595-489D-895C-8D883AA20B15}"/>
    <cellStyle name="Normal 47 3 2 2 3" xfId="13006" xr:uid="{43BD2BE8-9F3D-4D43-9235-33585711223F}"/>
    <cellStyle name="Normal 47 3 2 3" xfId="10159" xr:uid="{AD378925-C4CB-4C27-9D6A-C11F55B44F02}"/>
    <cellStyle name="Normal 47 3 2 3 2" xfId="14365" xr:uid="{BA051B86-766F-475A-9274-559784482E14}"/>
    <cellStyle name="Normal 47 3 2 4" xfId="12336" xr:uid="{5B5FC29A-2819-4ADA-AB1E-43052EB706AD}"/>
    <cellStyle name="Normal 47 3 3" xfId="8426" xr:uid="{9DB20154-1E3D-46E5-BA15-EF798BBF04DE}"/>
    <cellStyle name="Normal 47 3 3 2" xfId="10495" xr:uid="{EAC7C098-D3F8-44E7-A678-04314E723921}"/>
    <cellStyle name="Normal 47 3 3 2 2" xfId="14701" xr:uid="{AAF5B994-DAF1-4C03-834F-E15C91863D9B}"/>
    <cellStyle name="Normal 47 3 3 3" xfId="12672" xr:uid="{FED568F5-22AE-4DAE-ADA1-2D7D74ABEC1B}"/>
    <cellStyle name="Normal 47 3 4" xfId="9099" xr:uid="{3AA9E545-BBFC-4332-8D22-C8395A4DE94D}"/>
    <cellStyle name="Normal 47 3 4 2" xfId="11168" xr:uid="{A2F1E936-F2DE-4651-80CA-3F6096BA7B85}"/>
    <cellStyle name="Normal 47 3 4 2 2" xfId="15374" xr:uid="{6D3D9407-047F-47E9-B31A-1FAFC42ED74E}"/>
    <cellStyle name="Normal 47 3 4 3" xfId="13345" xr:uid="{A4780364-CEF2-4A0A-A25D-F94BF2CBD37D}"/>
    <cellStyle name="Normal 47 3 5" xfId="9467" xr:uid="{803672BA-3155-4E1F-9EC4-FF87C40A688F}"/>
    <cellStyle name="Normal 47 3 5 2" xfId="11501" xr:uid="{398B2B3B-B7A1-4A62-9B69-D9BD3BC030E2}"/>
    <cellStyle name="Normal 47 3 5 2 2" xfId="15707" xr:uid="{B774F5FC-4AFF-4FAD-8D6C-3DA7C8200808}"/>
    <cellStyle name="Normal 47 3 5 3" xfId="13678" xr:uid="{D67FFA68-24A1-4E80-8C05-35BF17998306}"/>
    <cellStyle name="Normal 47 3 6" xfId="9825" xr:uid="{757D5285-3EC2-4EA3-A6F4-C15555226D2E}"/>
    <cellStyle name="Normal 47 3 6 2" xfId="14031" xr:uid="{AC981D3D-E732-4D7B-A37A-D723FF16C6AF}"/>
    <cellStyle name="Normal 47 3 7" xfId="12002" xr:uid="{F15BD0C1-7093-4D39-874B-D72DE9750E4B}"/>
    <cellStyle name="Normal 47 4" xfId="7927" xr:uid="{B9C19F68-4075-43E1-B7AA-35F5BA340D7A}"/>
    <cellStyle name="Normal 47 4 2" xfId="8597" xr:uid="{29F101D7-06BA-47E7-BECB-B118A0F325C4}"/>
    <cellStyle name="Normal 47 4 2 2" xfId="10666" xr:uid="{8DE22C16-37B4-4AE4-8C9B-9E264154BA97}"/>
    <cellStyle name="Normal 47 4 2 2 2" xfId="14872" xr:uid="{1273FD1A-9295-401F-A8E6-1B7BA18E1681}"/>
    <cellStyle name="Normal 47 4 2 3" xfId="12843" xr:uid="{6D5749FC-C346-4246-B9C7-144B1CF6FD5D}"/>
    <cellStyle name="Normal 47 4 3" xfId="9996" xr:uid="{D26F6482-456C-4439-BCF9-AD640F9A474A}"/>
    <cellStyle name="Normal 47 4 3 2" xfId="14202" xr:uid="{D9366771-F4AA-42D8-8758-C12D7778E523}"/>
    <cellStyle name="Normal 47 4 4" xfId="12173" xr:uid="{A1AAA7F7-9BFC-4B4C-A588-FBA1E0F2E9E9}"/>
    <cellStyle name="Normal 47 5" xfId="8263" xr:uid="{D9D92E70-F8DF-4972-983A-661030728A19}"/>
    <cellStyle name="Normal 47 5 2" xfId="10332" xr:uid="{AB294C95-8BE1-4CCC-9840-40E0779199C9}"/>
    <cellStyle name="Normal 47 5 2 2" xfId="14538" xr:uid="{9BC48702-A695-4456-9357-C53F71CB9206}"/>
    <cellStyle name="Normal 47 5 3" xfId="12509" xr:uid="{8302F8D5-F4C7-4E6A-AA4B-20B7FB1AE671}"/>
    <cellStyle name="Normal 47 6" xfId="8936" xr:uid="{A8C41F54-E5AE-4BF6-8D85-386C59A5F9EC}"/>
    <cellStyle name="Normal 47 6 2" xfId="11005" xr:uid="{BA9F626C-87CC-413D-9EF3-8AE87A816919}"/>
    <cellStyle name="Normal 47 6 2 2" xfId="15211" xr:uid="{9510089D-FD9F-4F59-BEED-FD62EFD01FD6}"/>
    <cellStyle name="Normal 47 6 3" xfId="13182" xr:uid="{C0D8EDA9-FD5F-4BEC-A9B5-F19CE0FB6AAF}"/>
    <cellStyle name="Normal 47 7" xfId="9303" xr:uid="{A2CE594A-6B10-4C23-B175-AA4DD16A620D}"/>
    <cellStyle name="Normal 47 7 2" xfId="11338" xr:uid="{46A90DB6-D004-476E-8814-10A5D9D1814E}"/>
    <cellStyle name="Normal 47 7 2 2" xfId="15544" xr:uid="{6BCE5406-2699-4908-9313-CC1E0A851418}"/>
    <cellStyle name="Normal 47 7 3" xfId="13515" xr:uid="{EF8F905F-4B32-40B1-8A4B-A377F0E3AFB1}"/>
    <cellStyle name="Normal 47 8" xfId="9662" xr:uid="{5EB0B3E3-B520-448C-A273-B06D3BB54F8E}"/>
    <cellStyle name="Normal 47 8 2" xfId="13868" xr:uid="{7BFB2B90-6716-47E2-B384-A68C9DA0FBCA}"/>
    <cellStyle name="Normal 47 9" xfId="11838" xr:uid="{749E758E-B9E7-46EA-9F4B-8418D7E58FA2}"/>
    <cellStyle name="Normal 48" xfId="7518" xr:uid="{07B205B2-355F-4F37-9FF5-0BB356610324}"/>
    <cellStyle name="Normal 48 2" xfId="7561" xr:uid="{41D89413-C712-4450-8615-4DA2A720C32E}"/>
    <cellStyle name="Normal 48 2 2" xfId="7761" xr:uid="{028540B1-F80D-4880-BEA5-46A8AA23E823}"/>
    <cellStyle name="Normal 48 2 2 2" xfId="8132" xr:uid="{88B30F0E-8817-4D40-8E86-A057D8D08031}"/>
    <cellStyle name="Normal 48 2 2 2 2" xfId="8802" xr:uid="{C31A4F2E-50D7-408B-AFAF-8A9BFDEF6379}"/>
    <cellStyle name="Normal 48 2 2 2 2 2" xfId="10871" xr:uid="{17713BAA-6380-4339-B548-DF39AC710536}"/>
    <cellStyle name="Normal 48 2 2 2 2 2 2" xfId="15077" xr:uid="{E1D44195-3A21-4CA4-B84F-ACE2AE2AB411}"/>
    <cellStyle name="Normal 48 2 2 2 2 3" xfId="13048" xr:uid="{BC719D08-161C-434D-82BC-362BB1F9FA18}"/>
    <cellStyle name="Normal 48 2 2 2 3" xfId="10201" xr:uid="{63CA9E77-16DF-468A-9A9B-D85581445551}"/>
    <cellStyle name="Normal 48 2 2 2 3 2" xfId="14407" xr:uid="{849747C3-8523-4665-A025-B916D06FF2EF}"/>
    <cellStyle name="Normal 48 2 2 2 4" xfId="12378" xr:uid="{B77D0962-F457-4760-848D-DA71D47DFFC8}"/>
    <cellStyle name="Normal 48 2 2 3" xfId="8468" xr:uid="{BC61D474-96FD-4CF2-A57D-AB72A88DE79A}"/>
    <cellStyle name="Normal 48 2 2 3 2" xfId="10537" xr:uid="{9BAA63A8-377C-4792-B305-66BE526B96B2}"/>
    <cellStyle name="Normal 48 2 2 3 2 2" xfId="14743" xr:uid="{68227B28-10E4-43B9-AB74-4A5377AB96C7}"/>
    <cellStyle name="Normal 48 2 2 3 3" xfId="12714" xr:uid="{BEE5121D-8C09-40F9-A0C9-188A14A4B8D8}"/>
    <cellStyle name="Normal 48 2 2 4" xfId="9141" xr:uid="{1E02440D-ECF4-4D18-BD76-5FD6E85D7B74}"/>
    <cellStyle name="Normal 48 2 2 4 2" xfId="11210" xr:uid="{FDF04CC6-8820-4F21-855B-FE787083F694}"/>
    <cellStyle name="Normal 48 2 2 4 2 2" xfId="15416" xr:uid="{07402292-7294-45F1-99C6-56AE35C4B38D}"/>
    <cellStyle name="Normal 48 2 2 4 3" xfId="13387" xr:uid="{F8175AD1-D232-477E-BD83-01F12FB9B5A9}"/>
    <cellStyle name="Normal 48 2 2 5" xfId="9509" xr:uid="{EC531C56-A9CA-41D3-ACFD-AAF5E8BE90CA}"/>
    <cellStyle name="Normal 48 2 2 5 2" xfId="11543" xr:uid="{2A4A2F87-B04E-4C38-85E5-9FBC754CA5CC}"/>
    <cellStyle name="Normal 48 2 2 5 2 2" xfId="15749" xr:uid="{585F5457-8CB1-4572-A72F-A77376147559}"/>
    <cellStyle name="Normal 48 2 2 5 3" xfId="13720" xr:uid="{E394908E-D26D-48D5-A9B3-8BE18F3378B1}"/>
    <cellStyle name="Normal 48 2 2 6" xfId="9867" xr:uid="{C710A6FD-3576-42D5-8BD1-700F5F931AE0}"/>
    <cellStyle name="Normal 48 2 2 6 2" xfId="14073" xr:uid="{DD2BA16C-4A58-4D7F-BA17-93AF0B31C39A}"/>
    <cellStyle name="Normal 48 2 2 7" xfId="12044" xr:uid="{1E06CA4E-7604-4763-B769-6F113CEFD06E}"/>
    <cellStyle name="Normal 48 2 3" xfId="7969" xr:uid="{707C3CB8-03AB-4AD7-BD3E-126CD85E20A2}"/>
    <cellStyle name="Normal 48 2 3 2" xfId="8639" xr:uid="{947882AD-DB72-468A-8277-AFAA6BA12B28}"/>
    <cellStyle name="Normal 48 2 3 2 2" xfId="10708" xr:uid="{0A0CBE9C-76A7-4ED0-B9DB-16E1EF0ACF76}"/>
    <cellStyle name="Normal 48 2 3 2 2 2" xfId="14914" xr:uid="{92D1C7C6-EA5B-45BD-A6AC-06E96BA6A7E5}"/>
    <cellStyle name="Normal 48 2 3 2 3" xfId="12885" xr:uid="{BA8BC844-B86C-468C-82BF-476111023786}"/>
    <cellStyle name="Normal 48 2 3 3" xfId="10038" xr:uid="{A7E1512F-6586-4CF3-B22C-483F319D2427}"/>
    <cellStyle name="Normal 48 2 3 3 2" xfId="14244" xr:uid="{A27E0D02-5FFF-4644-B8BA-D76EC4E72138}"/>
    <cellStyle name="Normal 48 2 3 4" xfId="12215" xr:uid="{74053774-F288-4A5A-9EE1-A51F36E41A64}"/>
    <cellStyle name="Normal 48 2 4" xfId="8305" xr:uid="{877DB32B-6FA1-4385-84F2-439E991BFD17}"/>
    <cellStyle name="Normal 48 2 4 2" xfId="10374" xr:uid="{1A457250-D0F1-407A-805A-FF86AD59532C}"/>
    <cellStyle name="Normal 48 2 4 2 2" xfId="14580" xr:uid="{1634E71F-946D-4EBC-9BBD-0392735E937D}"/>
    <cellStyle name="Normal 48 2 4 3" xfId="12551" xr:uid="{4C116C1E-1FF7-4CCD-B50B-DDA2AA0A2185}"/>
    <cellStyle name="Normal 48 2 5" xfId="8978" xr:uid="{36533075-EFF0-4FE8-8C63-D1BE3BBA1850}"/>
    <cellStyle name="Normal 48 2 5 2" xfId="11047" xr:uid="{5EE79087-9A34-43F4-8353-A48A6DD174D9}"/>
    <cellStyle name="Normal 48 2 5 2 2" xfId="15253" xr:uid="{8F424770-11E7-4609-AA1F-38A4815A8103}"/>
    <cellStyle name="Normal 48 2 5 3" xfId="13224" xr:uid="{BB228EAD-4CA8-4719-8B54-05392291C361}"/>
    <cellStyle name="Normal 48 2 6" xfId="9346" xr:uid="{3D46DB83-5338-4900-8D66-BEB4F07FB286}"/>
    <cellStyle name="Normal 48 2 6 2" xfId="11380" xr:uid="{860F6269-C276-4BC7-BFC6-2A9F4543B997}"/>
    <cellStyle name="Normal 48 2 6 2 2" xfId="15586" xr:uid="{7D989C96-7C5E-4A08-AFFA-27AF62470264}"/>
    <cellStyle name="Normal 48 2 6 3" xfId="13557" xr:uid="{086BCBEF-7E81-481C-81EE-FD667C889EFC}"/>
    <cellStyle name="Normal 48 2 7" xfId="9704" xr:uid="{82384575-D9DC-4375-AB8C-5F333F79B84E}"/>
    <cellStyle name="Normal 48 2 7 2" xfId="13910" xr:uid="{B4889C50-97F1-4D5E-ADE3-AB8E34727AFD}"/>
    <cellStyle name="Normal 48 2 8" xfId="11881" xr:uid="{6B3A95D1-F716-4CAF-8CA6-D3DECDA32204}"/>
    <cellStyle name="Normal 48 3" xfId="7720" xr:uid="{D373834D-AD8F-48A8-AED0-09682C807F2D}"/>
    <cellStyle name="Normal 48 3 2" xfId="8091" xr:uid="{113BBD6A-BE8A-4797-A622-FAF3B606E5F6}"/>
    <cellStyle name="Normal 48 3 2 2" xfId="8761" xr:uid="{3BE937E5-18A4-44B4-A1CF-FCCB0BCFD946}"/>
    <cellStyle name="Normal 48 3 2 2 2" xfId="10830" xr:uid="{B25C7493-A8F5-4B0E-BE38-0F658F7EF6FC}"/>
    <cellStyle name="Normal 48 3 2 2 2 2" xfId="15036" xr:uid="{A9B34E93-46C7-41A5-BD20-FBA23B88649D}"/>
    <cellStyle name="Normal 48 3 2 2 3" xfId="13007" xr:uid="{F23C36FF-EA69-4740-B43D-9C63D53C4D7D}"/>
    <cellStyle name="Normal 48 3 2 3" xfId="10160" xr:uid="{99BC9864-D7C0-4232-9BEA-4B5F1A0B2013}"/>
    <cellStyle name="Normal 48 3 2 3 2" xfId="14366" xr:uid="{8E9A4610-3861-4821-910D-4B9D798396EE}"/>
    <cellStyle name="Normal 48 3 2 4" xfId="12337" xr:uid="{86BEA3A7-134F-49A1-B755-71E352AAB827}"/>
    <cellStyle name="Normal 48 3 3" xfId="8427" xr:uid="{27A84DCE-C45D-46F2-B9BC-FEB271B15398}"/>
    <cellStyle name="Normal 48 3 3 2" xfId="10496" xr:uid="{2B75BE09-2D50-489F-A571-CB766D0A25EC}"/>
    <cellStyle name="Normal 48 3 3 2 2" xfId="14702" xr:uid="{21A40F94-DF50-49A9-BEE3-3AA65F218F48}"/>
    <cellStyle name="Normal 48 3 3 3" xfId="12673" xr:uid="{8EB6D09E-9318-4501-BCFD-F35CE59F90D9}"/>
    <cellStyle name="Normal 48 3 4" xfId="9100" xr:uid="{315946E1-FE26-4486-B211-2ADA2540B47C}"/>
    <cellStyle name="Normal 48 3 4 2" xfId="11169" xr:uid="{8DEE93A2-768D-4869-8794-62C69CCDCE6F}"/>
    <cellStyle name="Normal 48 3 4 2 2" xfId="15375" xr:uid="{DFF1860E-44ED-46D1-ACDE-55B6365A018C}"/>
    <cellStyle name="Normal 48 3 4 3" xfId="13346" xr:uid="{ECCC9C0E-2E5C-4E1A-8AFC-5C16B7D6040F}"/>
    <cellStyle name="Normal 48 3 5" xfId="9468" xr:uid="{D11B3E5B-FECC-4114-9781-7D8C78107B09}"/>
    <cellStyle name="Normal 48 3 5 2" xfId="11502" xr:uid="{654BDA9F-EAE0-4D7C-922A-A7AD50962E48}"/>
    <cellStyle name="Normal 48 3 5 2 2" xfId="15708" xr:uid="{9F4A728D-C853-4669-A3BC-75B52E1B123F}"/>
    <cellStyle name="Normal 48 3 5 3" xfId="13679" xr:uid="{5D2D244F-B6F7-4892-807B-9B78DCE131F8}"/>
    <cellStyle name="Normal 48 3 6" xfId="9826" xr:uid="{3E436B93-4C22-48F3-A7E6-B9D56B003ACB}"/>
    <cellStyle name="Normal 48 3 6 2" xfId="14032" xr:uid="{4F19E088-9F52-48BC-A8D6-3CDE0BADC79F}"/>
    <cellStyle name="Normal 48 3 7" xfId="12003" xr:uid="{61C98E8C-6446-4503-8407-19D513272E02}"/>
    <cellStyle name="Normal 48 4" xfId="7928" xr:uid="{FCE54390-6CAF-4C1E-B596-4418D7DB9FDB}"/>
    <cellStyle name="Normal 48 4 2" xfId="8598" xr:uid="{140CDFD5-016A-459E-8126-E4EE93000237}"/>
    <cellStyle name="Normal 48 4 2 2" xfId="10667" xr:uid="{9F2E0890-69F2-4D90-9E5B-99985A3C0A4F}"/>
    <cellStyle name="Normal 48 4 2 2 2" xfId="14873" xr:uid="{3D939DDF-32FE-4095-9156-D8DA0627B80B}"/>
    <cellStyle name="Normal 48 4 2 3" xfId="12844" xr:uid="{B3467AE9-59F3-4F31-A047-D1CD20380305}"/>
    <cellStyle name="Normal 48 4 3" xfId="9997" xr:uid="{054D3F92-49C4-4FE2-A8A9-6C9863B3FA21}"/>
    <cellStyle name="Normal 48 4 3 2" xfId="14203" xr:uid="{E99EEF0E-927C-41DF-AA3B-87195F79CE3D}"/>
    <cellStyle name="Normal 48 4 4" xfId="12174" xr:uid="{A28A107C-28E5-4237-BE68-9D737FD1401F}"/>
    <cellStyle name="Normal 48 5" xfId="8264" xr:uid="{D756C29A-8DC2-4FF9-98AD-7CC6323626C8}"/>
    <cellStyle name="Normal 48 5 2" xfId="10333" xr:uid="{D6EE0CA6-965E-4A70-95EC-A173647AEA08}"/>
    <cellStyle name="Normal 48 5 2 2" xfId="14539" xr:uid="{EB8BCE76-D32C-4AF9-8E5A-771899E6CBEA}"/>
    <cellStyle name="Normal 48 5 3" xfId="12510" xr:uid="{7E0FF87F-9653-48A3-8DA4-F45FE27B5401}"/>
    <cellStyle name="Normal 48 6" xfId="8937" xr:uid="{1D54FC6C-70A6-4B81-A4DB-518E38AE68A0}"/>
    <cellStyle name="Normal 48 6 2" xfId="11006" xr:uid="{BD807007-09DF-4CBF-A2EC-D7E64EC684FD}"/>
    <cellStyle name="Normal 48 6 2 2" xfId="15212" xr:uid="{0CA56FC6-E688-4681-8FE8-B79E54F98E10}"/>
    <cellStyle name="Normal 48 6 3" xfId="13183" xr:uid="{725133A8-53A4-4464-ABC5-0862DD4AC22C}"/>
    <cellStyle name="Normal 48 7" xfId="9304" xr:uid="{11899348-FBB3-4191-912B-8E618DF70ADC}"/>
    <cellStyle name="Normal 48 7 2" xfId="11339" xr:uid="{6914CF6D-960D-4B4F-BA4C-985202082052}"/>
    <cellStyle name="Normal 48 7 2 2" xfId="15545" xr:uid="{A421D3FE-536E-4D81-AE1C-89A5225D9C99}"/>
    <cellStyle name="Normal 48 7 3" xfId="13516" xr:uid="{EBCEA1CA-2646-44AF-8645-B4187D3D79C7}"/>
    <cellStyle name="Normal 48 8" xfId="9663" xr:uid="{BA655FCF-8CBA-4BB4-A975-E6883C932E7F}"/>
    <cellStyle name="Normal 48 8 2" xfId="13869" xr:uid="{28E95602-6EB9-43B3-8467-9591F2239255}"/>
    <cellStyle name="Normal 48 9" xfId="11839" xr:uid="{E3AB4661-54BF-4352-AA4F-8E5DDD351059}"/>
    <cellStyle name="Normal 49" xfId="7519" xr:uid="{A252DE45-E61E-447A-97B0-67E6E58242B3}"/>
    <cellStyle name="Normal 49 2" xfId="7562" xr:uid="{20553889-C5E7-471C-B5C5-76B7212A67E4}"/>
    <cellStyle name="Normal 49 2 2" xfId="7762" xr:uid="{FA186A04-DAF4-440E-8BA1-980B7208CB01}"/>
    <cellStyle name="Normal 49 2 2 2" xfId="8133" xr:uid="{17B4488E-8D4D-466D-9AFD-03F2984D23E8}"/>
    <cellStyle name="Normal 49 2 2 2 2" xfId="8803" xr:uid="{533054AE-5DF9-48F8-B019-163D61B284B0}"/>
    <cellStyle name="Normal 49 2 2 2 2 2" xfId="10872" xr:uid="{5E6B5A9D-C74F-4B66-AE8A-8F27AF3AC98D}"/>
    <cellStyle name="Normal 49 2 2 2 2 2 2" xfId="15078" xr:uid="{17BC6139-AA84-4CE5-971D-CD9B187CF4D2}"/>
    <cellStyle name="Normal 49 2 2 2 2 3" xfId="13049" xr:uid="{A654FD89-3D92-49ED-B17F-B7B71C1CC6EC}"/>
    <cellStyle name="Normal 49 2 2 2 3" xfId="10202" xr:uid="{A78D4003-49B5-4DB8-9593-CF55CF99287A}"/>
    <cellStyle name="Normal 49 2 2 2 3 2" xfId="14408" xr:uid="{6949DBB3-A914-427C-9488-321A22569069}"/>
    <cellStyle name="Normal 49 2 2 2 4" xfId="12379" xr:uid="{C8A6F1AB-76AC-4199-9FC1-2C618D43EE45}"/>
    <cellStyle name="Normal 49 2 2 3" xfId="8469" xr:uid="{A041E26B-8DEF-44A2-8445-589A4D359E7C}"/>
    <cellStyle name="Normal 49 2 2 3 2" xfId="10538" xr:uid="{1E011F92-1D8A-4C9F-871A-CC0A4B5A279E}"/>
    <cellStyle name="Normal 49 2 2 3 2 2" xfId="14744" xr:uid="{64DE587E-2033-4221-9E53-3A8F88CB87EF}"/>
    <cellStyle name="Normal 49 2 2 3 3" xfId="12715" xr:uid="{E4ACBF1C-5240-4701-98A9-13FEA825BB6B}"/>
    <cellStyle name="Normal 49 2 2 4" xfId="9142" xr:uid="{C2D74253-BF61-4DC2-91F1-4B8D521F443F}"/>
    <cellStyle name="Normal 49 2 2 4 2" xfId="11211" xr:uid="{2CE93DCE-5635-4013-B802-C3FA2CDAF35C}"/>
    <cellStyle name="Normal 49 2 2 4 2 2" xfId="15417" xr:uid="{48236653-D7A8-4D2C-BB11-AD5EE7A8D4F9}"/>
    <cellStyle name="Normal 49 2 2 4 3" xfId="13388" xr:uid="{6DB1AF98-E1C4-4E19-959A-2CD67AF2A197}"/>
    <cellStyle name="Normal 49 2 2 5" xfId="9510" xr:uid="{18EE1D3C-B6C2-4023-9F22-D3BA907E0504}"/>
    <cellStyle name="Normal 49 2 2 5 2" xfId="11544" xr:uid="{99149CA6-05BF-428D-ACE7-E342AE73630B}"/>
    <cellStyle name="Normal 49 2 2 5 2 2" xfId="15750" xr:uid="{F42FA3B2-BA8C-4C08-A9D0-951B3BF1AD53}"/>
    <cellStyle name="Normal 49 2 2 5 3" xfId="13721" xr:uid="{B2DCB30B-D954-4808-917B-DA6497F6F596}"/>
    <cellStyle name="Normal 49 2 2 6" xfId="9868" xr:uid="{478405A0-FFB9-451C-B9F3-7BDD9A2D6270}"/>
    <cellStyle name="Normal 49 2 2 6 2" xfId="14074" xr:uid="{B747407B-EEE0-439D-838D-BA0B16C21F21}"/>
    <cellStyle name="Normal 49 2 2 7" xfId="12045" xr:uid="{B20EE0BE-644B-4704-B14A-39AEE514C9EE}"/>
    <cellStyle name="Normal 49 2 3" xfId="7970" xr:uid="{65CAEB2F-48C1-4F2B-B06B-5960616E8348}"/>
    <cellStyle name="Normal 49 2 3 2" xfId="8640" xr:uid="{0BF508DA-E4FC-4A8A-A209-47CDCBBC8BC1}"/>
    <cellStyle name="Normal 49 2 3 2 2" xfId="10709" xr:uid="{46469247-68AE-4C60-857E-9F48DFE868AC}"/>
    <cellStyle name="Normal 49 2 3 2 2 2" xfId="14915" xr:uid="{2E1980F4-0A88-4A51-909B-669A08249D8E}"/>
    <cellStyle name="Normal 49 2 3 2 3" xfId="12886" xr:uid="{6114D80D-ADA6-4A1D-A567-47EB35A7785C}"/>
    <cellStyle name="Normal 49 2 3 3" xfId="10039" xr:uid="{5BCB4E4D-1302-4ABF-A515-C81F188AA603}"/>
    <cellStyle name="Normal 49 2 3 3 2" xfId="14245" xr:uid="{6E77016C-33E5-4AD1-9BCB-CB8D4E6085DF}"/>
    <cellStyle name="Normal 49 2 3 4" xfId="12216" xr:uid="{CA9B1802-F83A-4BC9-B06E-188CA1D0EB4E}"/>
    <cellStyle name="Normal 49 2 4" xfId="8306" xr:uid="{7AF53658-D079-47BB-B970-F7E06124B18F}"/>
    <cellStyle name="Normal 49 2 4 2" xfId="10375" xr:uid="{E9EA8E32-2226-4BBE-A13C-9D4DFFAD45AE}"/>
    <cellStyle name="Normal 49 2 4 2 2" xfId="14581" xr:uid="{189E87A2-2306-4C1E-B3D8-A4FFA63B5FA6}"/>
    <cellStyle name="Normal 49 2 4 3" xfId="12552" xr:uid="{E5DAAEE9-4CC1-46E9-A094-A5F032B41E15}"/>
    <cellStyle name="Normal 49 2 5" xfId="8979" xr:uid="{69937424-71E1-4EC8-AE80-5EF4320F4054}"/>
    <cellStyle name="Normal 49 2 5 2" xfId="11048" xr:uid="{4162E1CD-84F1-4D7C-99CD-EE1DD420A4F4}"/>
    <cellStyle name="Normal 49 2 5 2 2" xfId="15254" xr:uid="{130C0445-D400-49AC-8E99-4E6CFF2E3F13}"/>
    <cellStyle name="Normal 49 2 5 3" xfId="13225" xr:uid="{53D6D164-97DD-47A1-9C81-01D0DB349807}"/>
    <cellStyle name="Normal 49 2 6" xfId="9347" xr:uid="{75335446-285C-4DD0-8B90-6830DA7B53D1}"/>
    <cellStyle name="Normal 49 2 6 2" xfId="11381" xr:uid="{BF825AE6-6794-4E20-A94D-AD7ED2D4F801}"/>
    <cellStyle name="Normal 49 2 6 2 2" xfId="15587" xr:uid="{F4D85009-35F5-4986-A455-B4C41D8AEC4A}"/>
    <cellStyle name="Normal 49 2 6 3" xfId="13558" xr:uid="{5D16E340-C737-4A8F-9202-E82F738F85ED}"/>
    <cellStyle name="Normal 49 2 7" xfId="9705" xr:uid="{AE246D63-37CA-434B-A065-663E23D1D593}"/>
    <cellStyle name="Normal 49 2 7 2" xfId="13911" xr:uid="{D404D275-C430-470D-AC89-9D3F9EACF56B}"/>
    <cellStyle name="Normal 49 2 8" xfId="11882" xr:uid="{65480935-51F0-41C1-88DE-85B34210FF86}"/>
    <cellStyle name="Normal 49 3" xfId="7721" xr:uid="{9677E3C8-D489-49EF-8F70-9F94106FFEA2}"/>
    <cellStyle name="Normal 49 3 2" xfId="8092" xr:uid="{F6F97E3D-1F01-4802-8AF6-D2825D81DFC2}"/>
    <cellStyle name="Normal 49 3 2 2" xfId="8762" xr:uid="{5C44D4ED-DF26-4848-8488-5EAD1AE14DBA}"/>
    <cellStyle name="Normal 49 3 2 2 2" xfId="10831" xr:uid="{70512E87-6798-49A3-9913-0A4DA583C214}"/>
    <cellStyle name="Normal 49 3 2 2 2 2" xfId="15037" xr:uid="{7F729D0B-C6A0-41C4-9E08-7458EAF361D5}"/>
    <cellStyle name="Normal 49 3 2 2 3" xfId="13008" xr:uid="{80C1F93C-1311-49A7-AA07-CF83C15F74CC}"/>
    <cellStyle name="Normal 49 3 2 3" xfId="10161" xr:uid="{0203A190-2502-4F24-B0FE-5D8C2D4F8261}"/>
    <cellStyle name="Normal 49 3 2 3 2" xfId="14367" xr:uid="{7FB03697-5175-4B11-8C50-46D29D398097}"/>
    <cellStyle name="Normal 49 3 2 4" xfId="12338" xr:uid="{9BCE19D4-5383-48B9-977C-E550B96B4812}"/>
    <cellStyle name="Normal 49 3 3" xfId="8428" xr:uid="{D0611DEC-291B-432B-AE3D-CDA71E103CDE}"/>
    <cellStyle name="Normal 49 3 3 2" xfId="10497" xr:uid="{FFFA5530-4F82-48AA-BDE8-70483B9BB764}"/>
    <cellStyle name="Normal 49 3 3 2 2" xfId="14703" xr:uid="{E07A6596-9309-4B0E-98AD-DDF929E70120}"/>
    <cellStyle name="Normal 49 3 3 3" xfId="12674" xr:uid="{83AFBC40-EE29-4A9F-9382-543D616D1A57}"/>
    <cellStyle name="Normal 49 3 4" xfId="9101" xr:uid="{570DEC00-328F-4ED9-85D5-1E19FB90CAE8}"/>
    <cellStyle name="Normal 49 3 4 2" xfId="11170" xr:uid="{7447FC84-0D30-4C31-8ABF-1631C9B4DA67}"/>
    <cellStyle name="Normal 49 3 4 2 2" xfId="15376" xr:uid="{BAFEF596-36D5-418E-81A1-590070E73447}"/>
    <cellStyle name="Normal 49 3 4 3" xfId="13347" xr:uid="{1374B52C-AA16-4802-9E12-FBCB2206B27D}"/>
    <cellStyle name="Normal 49 3 5" xfId="9469" xr:uid="{514B2652-B185-4989-BE51-0AF49534C337}"/>
    <cellStyle name="Normal 49 3 5 2" xfId="11503" xr:uid="{A095A249-6F87-4176-BD44-3D483A71B9E5}"/>
    <cellStyle name="Normal 49 3 5 2 2" xfId="15709" xr:uid="{1BA500E6-817B-48BB-A130-58A12DE09F21}"/>
    <cellStyle name="Normal 49 3 5 3" xfId="13680" xr:uid="{D12F945E-51B3-4C9E-8EFF-6C617A7DB819}"/>
    <cellStyle name="Normal 49 3 6" xfId="9827" xr:uid="{B4EFDBEE-7AE3-4FB5-A5EF-2D47F095DCB1}"/>
    <cellStyle name="Normal 49 3 6 2" xfId="14033" xr:uid="{1003453C-224A-4B8C-8A7E-EB65C874855C}"/>
    <cellStyle name="Normal 49 3 7" xfId="12004" xr:uid="{050BDC3D-5F6C-497F-907E-EC7FFEDFD157}"/>
    <cellStyle name="Normal 49 4" xfId="7929" xr:uid="{BD6C6201-D835-41A7-8489-6EA239A9185D}"/>
    <cellStyle name="Normal 49 4 2" xfId="8599" xr:uid="{1A833003-0F19-499E-B08D-A65BAD8A2B7E}"/>
    <cellStyle name="Normal 49 4 2 2" xfId="10668" xr:uid="{08E1764A-4E6B-4244-8AAF-78D04C433F19}"/>
    <cellStyle name="Normal 49 4 2 2 2" xfId="14874" xr:uid="{DB467876-7F86-4FE0-ACBD-629B4693A2A2}"/>
    <cellStyle name="Normal 49 4 2 3" xfId="12845" xr:uid="{03CA5023-D4A6-4D87-828B-474E37C03F21}"/>
    <cellStyle name="Normal 49 4 3" xfId="9998" xr:uid="{D7FF662D-DDB7-4D87-BC94-00B6C12CA6CC}"/>
    <cellStyle name="Normal 49 4 3 2" xfId="14204" xr:uid="{2BE565EE-D02A-47FD-AAEE-D5699B1F72D6}"/>
    <cellStyle name="Normal 49 4 4" xfId="12175" xr:uid="{61795F8A-5070-4C04-B1A9-17E9EAC9170C}"/>
    <cellStyle name="Normal 49 5" xfId="8265" xr:uid="{63997789-7790-4589-A6BB-EBB00729E80F}"/>
    <cellStyle name="Normal 49 5 2" xfId="10334" xr:uid="{54E3EBCA-23B0-432E-ACB1-99367B237008}"/>
    <cellStyle name="Normal 49 5 2 2" xfId="14540" xr:uid="{0579C484-B955-48C7-827A-AC11C0E3A642}"/>
    <cellStyle name="Normal 49 5 3" xfId="12511" xr:uid="{51047DB6-CE60-4A88-AF46-953D0B178FEA}"/>
    <cellStyle name="Normal 49 6" xfId="8938" xr:uid="{78CB4597-0483-46F1-913A-B8A990FA3072}"/>
    <cellStyle name="Normal 49 6 2" xfId="11007" xr:uid="{897FD3AB-150F-4F49-840E-5F2A6824716E}"/>
    <cellStyle name="Normal 49 6 2 2" xfId="15213" xr:uid="{130CFE95-8A09-4D2A-8399-8DC591E33DE2}"/>
    <cellStyle name="Normal 49 6 3" xfId="13184" xr:uid="{ED25439B-D257-41F1-821D-BFBADE132CE4}"/>
    <cellStyle name="Normal 49 7" xfId="9305" xr:uid="{AAE67EF5-8A8C-431D-8EF2-288C42BC1EAE}"/>
    <cellStyle name="Normal 49 7 2" xfId="11340" xr:uid="{5CCCAFD2-BBE8-47C9-9C01-32FA1CE23F9E}"/>
    <cellStyle name="Normal 49 7 2 2" xfId="15546" xr:uid="{BB6BCC42-ED3D-458E-ACB2-0AE91F5DF381}"/>
    <cellStyle name="Normal 49 7 3" xfId="13517" xr:uid="{5650C630-0AD9-48A6-AE99-9ACABC440851}"/>
    <cellStyle name="Normal 49 8" xfId="9664" xr:uid="{C899290F-6941-4E2B-AE64-5EA3D6C1A998}"/>
    <cellStyle name="Normal 49 8 2" xfId="13870" xr:uid="{D37C5518-D169-4CBE-8813-73298128B650}"/>
    <cellStyle name="Normal 49 9" xfId="11840" xr:uid="{53098018-0E9C-47D4-9BCA-A5798E798331}"/>
    <cellStyle name="Normal 5" xfId="5058" xr:uid="{ED095A39-3455-4772-AF89-6BF9ED1BE74B}"/>
    <cellStyle name="Normal 5 10" xfId="9641" xr:uid="{2D8C77AB-07B4-44D8-9956-E6644381A7F7}"/>
    <cellStyle name="Normal 5 10 2" xfId="13848" xr:uid="{B65ACCE9-DA92-4BBB-B74B-69F7352892EC}"/>
    <cellStyle name="Normal 5 11" xfId="11665" xr:uid="{DBCB7A21-6698-429D-A4CF-5B75945DCD0F}"/>
    <cellStyle name="Normal 5 11 2" xfId="15871" xr:uid="{A1ADF401-9FA2-4A04-9019-F323EEEA9347}"/>
    <cellStyle name="Normal 5 12" xfId="11691" xr:uid="{A7532422-AA4B-4243-B9FD-0522FC65A879}"/>
    <cellStyle name="Normal 5 12 2" xfId="15895" xr:uid="{AA215198-E2CF-496F-BCB3-CD8B3D9632DE}"/>
    <cellStyle name="Normal 5 13" xfId="11723" xr:uid="{0295C934-F7DF-425C-8DF1-D7EEA6DA21BE}"/>
    <cellStyle name="Normal 5 13 2" xfId="15927" xr:uid="{61B95918-23F2-4BBE-B35E-9FCC9D690963}"/>
    <cellStyle name="Normal 5 14" xfId="11785" xr:uid="{AE54C8EF-8D98-49D2-B09B-67CC69516F36}"/>
    <cellStyle name="Normal 5 14 2" xfId="15986" xr:uid="{FD3259ED-0CCB-4A7A-AFC0-5AD20A8FC3BB}"/>
    <cellStyle name="Normal 5 2" xfId="5059" xr:uid="{57E5D536-41A6-4CFA-B79D-C6FCA168C877}"/>
    <cellStyle name="Normal 5 2 2" xfId="7690" xr:uid="{D8ECEBAF-1014-4B51-B735-9629D8FB81D8}"/>
    <cellStyle name="Normal 5 2 2 2" xfId="11753" xr:uid="{2C37DD6A-D340-4D53-BCEF-4B645DDD8CC6}"/>
    <cellStyle name="Normal 5 2 2 2 2" xfId="15954" xr:uid="{2B57E4A5-448F-4B27-ADBA-FE13BBB243D2}"/>
    <cellStyle name="Normal 5 2 3" xfId="7662" xr:uid="{5A3BDE29-74EB-4389-BA79-3D309B639D5D}"/>
    <cellStyle name="Normal 5 2 3 2" xfId="7851" xr:uid="{BF4BE02B-05AC-4270-B400-3A7D51A94A81}"/>
    <cellStyle name="Normal 5 2 3 2 2" xfId="8221" xr:uid="{F080A302-05B8-466A-9336-4D85005A3D1A}"/>
    <cellStyle name="Normal 5 2 3 2 2 2" xfId="8891" xr:uid="{38329763-12F8-44B8-BBFE-85E738ABA9DB}"/>
    <cellStyle name="Normal 5 2 3 2 2 2 2" xfId="10960" xr:uid="{44C2B5FF-577A-4858-B7F8-D00514944B32}"/>
    <cellStyle name="Normal 5 2 3 2 2 2 2 2" xfId="15166" xr:uid="{2B0E8E55-B5AB-48F6-82A6-CCBF8B3A05BC}"/>
    <cellStyle name="Normal 5 2 3 2 2 2 3" xfId="13137" xr:uid="{19E24DBA-DD55-4A5A-A458-C00B8E83BB33}"/>
    <cellStyle name="Normal 5 2 3 2 2 3" xfId="10290" xr:uid="{DC23D4A8-54C0-49B1-95CE-C0AE1FAE88A1}"/>
    <cellStyle name="Normal 5 2 3 2 2 3 2" xfId="14496" xr:uid="{DB8B3F2C-1D28-4CCD-BC0B-6C1D287EC8C3}"/>
    <cellStyle name="Normal 5 2 3 2 2 4" xfId="12467" xr:uid="{8C8DFFE5-9034-4741-A153-E35D197AD579}"/>
    <cellStyle name="Normal 5 2 3 2 3" xfId="8557" xr:uid="{2300D2FC-EED4-4428-97F2-03B35930DEDF}"/>
    <cellStyle name="Normal 5 2 3 2 3 2" xfId="10626" xr:uid="{5F54E7D9-7EFA-4E45-9068-83AD4D1213F7}"/>
    <cellStyle name="Normal 5 2 3 2 3 2 2" xfId="14832" xr:uid="{4B5EB130-6D22-4482-8578-C9FA6AA08A21}"/>
    <cellStyle name="Normal 5 2 3 2 3 3" xfId="12803" xr:uid="{CA06E6C3-6547-4991-9518-D295F17A6DD2}"/>
    <cellStyle name="Normal 5 2 3 2 4" xfId="9230" xr:uid="{47A6F10A-5D38-42F0-A048-EDBF1300E1BD}"/>
    <cellStyle name="Normal 5 2 3 2 4 2" xfId="11299" xr:uid="{5A2D7B9B-E3DE-4CAC-A386-7620C0B1E89B}"/>
    <cellStyle name="Normal 5 2 3 2 4 2 2" xfId="15505" xr:uid="{BFA7CC55-22D1-40DF-B07B-B4724B03B7E8}"/>
    <cellStyle name="Normal 5 2 3 2 4 3" xfId="13476" xr:uid="{3B606FA8-FF85-45A4-8DF5-85CE03C88C01}"/>
    <cellStyle name="Normal 5 2 3 2 5" xfId="9598" xr:uid="{91965AC2-3757-49DA-8F97-366B4483B744}"/>
    <cellStyle name="Normal 5 2 3 2 5 2" xfId="11632" xr:uid="{6E4C835A-7058-4E3D-B52F-311EF4E9B81B}"/>
    <cellStyle name="Normal 5 2 3 2 5 2 2" xfId="15838" xr:uid="{E458C71C-A4A2-4BBD-809D-26C87E07CBD8}"/>
    <cellStyle name="Normal 5 2 3 2 5 3" xfId="13809" xr:uid="{B8BCA4F4-2E1E-407B-A696-D61B5D295B67}"/>
    <cellStyle name="Normal 5 2 3 2 6" xfId="9956" xr:uid="{4A3A30A2-3850-41A6-9344-8531579FBCE6}"/>
    <cellStyle name="Normal 5 2 3 2 6 2" xfId="14162" xr:uid="{80DFE1BC-FDED-42C2-9304-A50162161595}"/>
    <cellStyle name="Normal 5 2 3 2 7" xfId="12133" xr:uid="{12FA8341-181A-4E15-858D-5DDFDFB67A74}"/>
    <cellStyle name="Normal 5 2 3 3" xfId="8058" xr:uid="{45AF216D-8C0B-4C75-8E83-0A923F6F4894}"/>
    <cellStyle name="Normal 5 2 3 3 2" xfId="8728" xr:uid="{AEC22325-D239-45AE-869C-9C4C30A0D29D}"/>
    <cellStyle name="Normal 5 2 3 3 2 2" xfId="10797" xr:uid="{26882C90-28BA-45B5-A225-6F4BE8BB7727}"/>
    <cellStyle name="Normal 5 2 3 3 2 2 2" xfId="15003" xr:uid="{2DD1CA03-D8C6-4E4B-AD6D-15DCACC3DE72}"/>
    <cellStyle name="Normal 5 2 3 3 2 3" xfId="12974" xr:uid="{422F83FE-CF89-4EEE-9594-FE4DF61E55E8}"/>
    <cellStyle name="Normal 5 2 3 3 3" xfId="10127" xr:uid="{7DFF389E-B8E3-4F7D-A917-80EEEA87CCC6}"/>
    <cellStyle name="Normal 5 2 3 3 3 2" xfId="14333" xr:uid="{9984C0A5-8DE2-45A0-9D8A-7FEC3BBC09F8}"/>
    <cellStyle name="Normal 5 2 3 3 4" xfId="12304" xr:uid="{95E3D92E-1169-4BB1-8DB3-DC5199056BFD}"/>
    <cellStyle name="Normal 5 2 3 4" xfId="8394" xr:uid="{724D5635-7AB0-47B6-AA95-CAF30B28297B}"/>
    <cellStyle name="Normal 5 2 3 4 2" xfId="10463" xr:uid="{A6FB35FB-519C-4D2B-9A66-9AACDE33FCFA}"/>
    <cellStyle name="Normal 5 2 3 4 2 2" xfId="14669" xr:uid="{C43416AF-E6C8-4864-A9D4-38A320A654D0}"/>
    <cellStyle name="Normal 5 2 3 4 3" xfId="12640" xr:uid="{4CFF3A39-DD05-482B-A9F1-6BF43D0BD0CB}"/>
    <cellStyle name="Normal 5 2 3 5" xfId="9067" xr:uid="{0200E550-8E54-45CA-B73B-9032473DC5A8}"/>
    <cellStyle name="Normal 5 2 3 5 2" xfId="11136" xr:uid="{0DCFEB0E-CBAA-4DE4-AF68-5298F99E6C6F}"/>
    <cellStyle name="Normal 5 2 3 5 2 2" xfId="15342" xr:uid="{4AECAE44-7785-4FE1-8F15-30FEA9A032DD}"/>
    <cellStyle name="Normal 5 2 3 5 3" xfId="13313" xr:uid="{BC987E09-8969-4723-A615-12C8FF0AEF5F}"/>
    <cellStyle name="Normal 5 2 3 6" xfId="9435" xr:uid="{230211F0-3039-4664-9205-46EEB9E3F307}"/>
    <cellStyle name="Normal 5 2 3 6 2" xfId="11469" xr:uid="{EF71A23F-906A-4B6C-A45A-092183B7174D}"/>
    <cellStyle name="Normal 5 2 3 6 2 2" xfId="15675" xr:uid="{3C44C22A-6C71-453C-B449-7872716873D8}"/>
    <cellStyle name="Normal 5 2 3 6 3" xfId="13646" xr:uid="{2B07E08D-1CAA-43E3-884F-9E6DDB29C981}"/>
    <cellStyle name="Normal 5 2 3 7" xfId="9793" xr:uid="{6D332D7E-F4D8-4BA0-9C73-22BD58AA8E36}"/>
    <cellStyle name="Normal 5 2 3 7 2" xfId="13999" xr:uid="{EC1D4860-38AE-458E-84DC-645E04AEC663}"/>
    <cellStyle name="Normal 5 2 3 8" xfId="11970" xr:uid="{D66DF504-DF1F-4973-A132-25D0FCC11AC7}"/>
    <cellStyle name="Normal 5 2 4" xfId="11668" xr:uid="{0970AAB7-9285-4508-A036-11A31B84E6AF}"/>
    <cellStyle name="Normal 5 2 4 2" xfId="15874" xr:uid="{151D0C3B-09D9-4388-A3C0-B936A706F087}"/>
    <cellStyle name="Normal 5 2 5" xfId="11698" xr:uid="{7D66B9A5-C39F-4ED8-9187-CD139C0D4BA0}"/>
    <cellStyle name="Normal 5 2 5 2" xfId="15902" xr:uid="{B2595B76-8EE4-4365-B20E-0333A72E66DE}"/>
    <cellStyle name="Normal 5 2 6" xfId="11727" xr:uid="{3446A2C9-6624-4C13-AA44-79E698B5C909}"/>
    <cellStyle name="Normal 5 2 6 2" xfId="15931" xr:uid="{F841EC6C-7712-4097-954B-68FAEB7E1A4B}"/>
    <cellStyle name="Normal 5 2 7" xfId="11749" xr:uid="{E7E8D916-6A97-4161-8C26-60B166A2A6B7}"/>
    <cellStyle name="Normal 5 2 7 2" xfId="15950" xr:uid="{7E00229D-4BE3-423A-9EA5-6AE16A7F812B}"/>
    <cellStyle name="Normal 5 2 8" xfId="11788" xr:uid="{070E37C3-22AE-4B1F-A901-A1B57A37CD79}"/>
    <cellStyle name="Normal 5 2 8 2" xfId="15989" xr:uid="{3B4A1188-F87A-4976-96CA-4ACDC23533CD}"/>
    <cellStyle name="Normal 5 2 9" xfId="11794" xr:uid="{521C7DA1-B497-46F7-B661-175B663809D1}"/>
    <cellStyle name="Normal 5 3" xfId="5060" xr:uid="{BFCC5667-DB86-432C-A62B-961F3421EC76}"/>
    <cellStyle name="Normal 5 3 2" xfId="7694" xr:uid="{27101551-753D-4DA7-9A7F-2ECBBFC2722F}"/>
    <cellStyle name="Normal 5 3 2 2" xfId="7860" xr:uid="{7CE5C1F4-DC51-4926-B992-EAE28EA1B4D1}"/>
    <cellStyle name="Normal 5 3 2 2 2" xfId="8230" xr:uid="{D2A5FFE5-AA2E-41D4-BBD5-97CCBE80A3E0}"/>
    <cellStyle name="Normal 5 3 2 2 2 2" xfId="8900" xr:uid="{2E9D6D30-AF5D-4374-AA08-36C7C770F9EA}"/>
    <cellStyle name="Normal 5 3 2 2 2 2 2" xfId="10969" xr:uid="{67DA9801-742A-4F6F-9880-4C31112892FE}"/>
    <cellStyle name="Normal 5 3 2 2 2 2 2 2" xfId="15175" xr:uid="{73FBBF4D-3CD5-40ED-B5D5-21CD97F0F147}"/>
    <cellStyle name="Normal 5 3 2 2 2 2 3" xfId="13146" xr:uid="{37484B9C-48CD-4114-8775-68A634C9345C}"/>
    <cellStyle name="Normal 5 3 2 2 2 3" xfId="10299" xr:uid="{3D80693C-E0CA-4318-90C2-2E2F828C239C}"/>
    <cellStyle name="Normal 5 3 2 2 2 3 2" xfId="14505" xr:uid="{1F1E411B-EC86-4E4B-86B6-CAAB8CA76D95}"/>
    <cellStyle name="Normal 5 3 2 2 2 4" xfId="12476" xr:uid="{526A7F7A-CE36-494F-B534-C60F5C06198D}"/>
    <cellStyle name="Normal 5 3 2 2 3" xfId="8566" xr:uid="{C0ADCE81-C488-4900-A64C-65B0C8CE0FD4}"/>
    <cellStyle name="Normal 5 3 2 2 3 2" xfId="10635" xr:uid="{3B3FC776-1C51-41D0-99FF-B1AA1F0323A2}"/>
    <cellStyle name="Normal 5 3 2 2 3 2 2" xfId="14841" xr:uid="{5DD627E3-4A25-436D-91D7-5BE0ADC9340E}"/>
    <cellStyle name="Normal 5 3 2 2 3 3" xfId="12812" xr:uid="{8CC522BC-FE8C-4DFE-A4EA-ABDE80E74499}"/>
    <cellStyle name="Normal 5 3 2 2 4" xfId="9239" xr:uid="{2182433F-1074-48EE-B784-70CA520D0D8E}"/>
    <cellStyle name="Normal 5 3 2 2 4 2" xfId="11308" xr:uid="{D67F96DD-D0A7-4F64-B74E-F2164CE00715}"/>
    <cellStyle name="Normal 5 3 2 2 4 2 2" xfId="15514" xr:uid="{ABB255C7-14CD-414A-A3FE-B7D208E104F7}"/>
    <cellStyle name="Normal 5 3 2 2 4 3" xfId="13485" xr:uid="{F75C8BBB-87F5-4E65-811F-B021065C57FC}"/>
    <cellStyle name="Normal 5 3 2 2 5" xfId="9607" xr:uid="{0635DCAC-D0B1-408E-A200-804832864C3D}"/>
    <cellStyle name="Normal 5 3 2 2 5 2" xfId="11641" xr:uid="{62B9AA67-28DC-46F1-9844-F3CD88368622}"/>
    <cellStyle name="Normal 5 3 2 2 5 2 2" xfId="15847" xr:uid="{296CFDD3-B0B2-4C91-B3A5-32925664EA28}"/>
    <cellStyle name="Normal 5 3 2 2 5 3" xfId="13818" xr:uid="{4C579C8A-6105-482B-9ED0-EF3925C00AB3}"/>
    <cellStyle name="Normal 5 3 2 2 6" xfId="9965" xr:uid="{8BC279AE-AED7-4B9E-B26A-CE09A893617A}"/>
    <cellStyle name="Normal 5 3 2 2 6 2" xfId="14171" xr:uid="{A00A0B48-9205-4C51-AB26-DEECD082CD98}"/>
    <cellStyle name="Normal 5 3 2 2 7" xfId="12142" xr:uid="{82850D39-C14E-4842-ACE6-6152A1875E2A}"/>
    <cellStyle name="Normal 5 3 2 3" xfId="8067" xr:uid="{2EBCC1EC-9509-4A1C-837B-DAAECB9B8B69}"/>
    <cellStyle name="Normal 5 3 2 3 2" xfId="8737" xr:uid="{DA82AC6A-D556-466B-8296-E01210290A6E}"/>
    <cellStyle name="Normal 5 3 2 3 2 2" xfId="10806" xr:uid="{7264A41D-C6DA-4502-B89C-3F1AD8C4260D}"/>
    <cellStyle name="Normal 5 3 2 3 2 2 2" xfId="15012" xr:uid="{D99AAC5A-A35D-4FE3-9194-AF4DBDB9B27E}"/>
    <cellStyle name="Normal 5 3 2 3 2 3" xfId="12983" xr:uid="{4A3C6E26-913E-4D2B-B040-1713034AE196}"/>
    <cellStyle name="Normal 5 3 2 3 3" xfId="10136" xr:uid="{12F58F3C-903F-45A0-B11A-673AB537DE36}"/>
    <cellStyle name="Normal 5 3 2 3 3 2" xfId="14342" xr:uid="{54524B1F-D46D-4C54-83EB-D38C48262A1A}"/>
    <cellStyle name="Normal 5 3 2 3 4" xfId="12313" xr:uid="{2EE574D0-5032-4B3F-9982-AF5382575A3C}"/>
    <cellStyle name="Normal 5 3 2 4" xfId="8403" xr:uid="{1011F513-DA16-4021-9E1B-855105A8C502}"/>
    <cellStyle name="Normal 5 3 2 4 2" xfId="10472" xr:uid="{AC04188F-B103-498A-999B-0D1F656D8ABD}"/>
    <cellStyle name="Normal 5 3 2 4 2 2" xfId="14678" xr:uid="{3A14CFAF-2205-4802-B6D4-BF7910B88844}"/>
    <cellStyle name="Normal 5 3 2 4 3" xfId="12649" xr:uid="{1934A833-710C-4D79-A28C-07A2B4EBB20C}"/>
    <cellStyle name="Normal 5 3 2 5" xfId="9076" xr:uid="{3CA0DE56-37A7-4C45-9B50-038D85B894D6}"/>
    <cellStyle name="Normal 5 3 2 5 2" xfId="11145" xr:uid="{7BAD10CF-421D-45A5-98C1-D41C6A384AF7}"/>
    <cellStyle name="Normal 5 3 2 5 2 2" xfId="15351" xr:uid="{6B1E92E4-8BA1-4E96-B321-25815C7934E5}"/>
    <cellStyle name="Normal 5 3 2 5 3" xfId="13322" xr:uid="{20B6EE11-CBBB-436D-B2C4-259C081A606F}"/>
    <cellStyle name="Normal 5 3 2 6" xfId="9444" xr:uid="{FDBFBB22-6A26-4B9C-86A7-E6E7170B40B2}"/>
    <cellStyle name="Normal 5 3 2 6 2" xfId="11478" xr:uid="{715610C7-BCB5-4D07-A0D1-87825BA19282}"/>
    <cellStyle name="Normal 5 3 2 6 2 2" xfId="15684" xr:uid="{9BE1B632-5ACF-4C51-87D3-0AE11B0B866D}"/>
    <cellStyle name="Normal 5 3 2 6 3" xfId="13655" xr:uid="{BCB284F1-E1BC-470B-B27C-36314045CE25}"/>
    <cellStyle name="Normal 5 3 2 7" xfId="9802" xr:uid="{B645CD3A-23D1-43DD-8791-73E7E6C97D13}"/>
    <cellStyle name="Normal 5 3 2 7 2" xfId="14008" xr:uid="{334D6FCF-CBD0-499B-980A-249215BB8B13}"/>
    <cellStyle name="Normal 5 3 2 8" xfId="11979" xr:uid="{1E484AC5-70C8-41CB-80DC-9173A47B1E2D}"/>
    <cellStyle name="Normal 5 3 3" xfId="11678" xr:uid="{AD1C945C-BE61-48FA-89CC-054EDCEB8F6C}"/>
    <cellStyle name="Normal 5 3 3 2" xfId="15883" xr:uid="{9A0FD0C0-B8AD-49FE-A732-4E5968221680}"/>
    <cellStyle name="Normal 5 3 4" xfId="11695" xr:uid="{55326349-C9F0-45C2-90F4-931672F5DE3D}"/>
    <cellStyle name="Normal 5 3 4 2" xfId="15899" xr:uid="{D1626D1C-B788-4E5B-ADAD-9CA97D5F9A00}"/>
    <cellStyle name="Normal 5 3 5" xfId="11714" xr:uid="{447C301A-6834-47E9-AC22-2F0F3E02A235}"/>
    <cellStyle name="Normal 5 3 5 2" xfId="15918" xr:uid="{9BEC7444-DF3F-4020-9181-992AB7E6FF9D}"/>
    <cellStyle name="Normal 5 3 6" xfId="11739" xr:uid="{ED2941B1-8B43-461B-839C-1657233D46CB}"/>
    <cellStyle name="Normal 5 3 6 2" xfId="15941" xr:uid="{03897D06-B82B-46F4-BCED-8A56B85AE188}"/>
    <cellStyle name="Normal 5 3 7" xfId="11765" xr:uid="{E268E13B-FEAD-4506-8210-E85150B73249}"/>
    <cellStyle name="Normal 5 3 7 2" xfId="15966" xr:uid="{43DFB172-C54E-4187-A0BA-073A08BC3B41}"/>
    <cellStyle name="Normal 5 3 8" xfId="11781" xr:uid="{63C38A8D-2C37-4587-BCC3-BB93384E1E48}"/>
    <cellStyle name="Normal 5 3 8 2" xfId="15982" xr:uid="{18C078F7-386B-4B81-A80F-1E7C125D4BE8}"/>
    <cellStyle name="Normal 5 4" xfId="5061" xr:uid="{07823182-0A3E-4E5F-83CD-EB7E2DF51C85}"/>
    <cellStyle name="Normal 5 4 2" xfId="7687" xr:uid="{4EA8EE8C-217D-4C20-9C28-AD098137A0DA}"/>
    <cellStyle name="Normal 5 4 3" xfId="11682" xr:uid="{DE2E4A39-4D60-4809-BF8B-CE4F18009C23}"/>
    <cellStyle name="Normal 5 4 3 2" xfId="15887" xr:uid="{BA9BDCC0-A7AF-4FC5-B5DB-2DC40625CA74}"/>
    <cellStyle name="Normal 5 4 4" xfId="11718" xr:uid="{A5D881E9-367D-4960-ACAA-E623818648C9}"/>
    <cellStyle name="Normal 5 4 4 2" xfId="15922" xr:uid="{1430C876-F87A-4121-BC30-B4900B872B18}"/>
    <cellStyle name="Normal 5 4 5" xfId="11744" xr:uid="{199D6C15-FFDC-4378-935E-9D4C7FBFF298}"/>
    <cellStyle name="Normal 5 4 5 2" xfId="15945" xr:uid="{3B923118-8460-4E05-9017-C52214169D19}"/>
    <cellStyle name="Normal 5 4 6" xfId="11769" xr:uid="{F7F2DFF2-17AE-4B0A-9439-B3BAB2F5EE33}"/>
    <cellStyle name="Normal 5 4 6 2" xfId="15970" xr:uid="{29B6DD0A-5F3F-43F7-939E-76FD39FA1378}"/>
    <cellStyle name="Normal 5 5" xfId="5062" xr:uid="{AE3F3F8A-11E5-4311-818F-83B843585F8E}"/>
    <cellStyle name="Normal 5 6" xfId="5063" xr:uid="{2D52302C-00FA-4218-BCF8-69BD860928D4}"/>
    <cellStyle name="Normal 5 7" xfId="7646" xr:uid="{CCFA7C4A-B512-4BAB-9D9D-9E86F6602864}"/>
    <cellStyle name="Normal 5 8" xfId="7651" xr:uid="{642E18DB-D302-4F83-8D14-5DA9F004A0A8}"/>
    <cellStyle name="Normal 5 8 2" xfId="7840" xr:uid="{E60220D1-8BFF-44ED-8EB7-453CCD073D4E}"/>
    <cellStyle name="Normal 5 8 2 2" xfId="8210" xr:uid="{4868E72C-78CE-4A5D-BE1E-B67D832B9637}"/>
    <cellStyle name="Normal 5 8 2 2 2" xfId="8880" xr:uid="{F448676F-DA2C-484F-8645-31CB8A6F38EB}"/>
    <cellStyle name="Normal 5 8 2 2 2 2" xfId="10949" xr:uid="{856B03DA-87A5-4BB0-B41C-E5DBC3D1509C}"/>
    <cellStyle name="Normal 5 8 2 2 2 2 2" xfId="15155" xr:uid="{6AE5EB38-3898-46E5-A925-BBC0C14211D9}"/>
    <cellStyle name="Normal 5 8 2 2 2 3" xfId="13126" xr:uid="{C63879BA-2489-49FC-99BA-088A86DA85BD}"/>
    <cellStyle name="Normal 5 8 2 2 3" xfId="10279" xr:uid="{914D9029-9BE1-4BA5-9499-F599EAA36997}"/>
    <cellStyle name="Normal 5 8 2 2 3 2" xfId="14485" xr:uid="{5C7342F5-708C-4484-A2E6-D8EF46A16025}"/>
    <cellStyle name="Normal 5 8 2 2 4" xfId="12456" xr:uid="{36C8BAAF-A896-4C90-9179-72F5A3F24081}"/>
    <cellStyle name="Normal 5 8 2 3" xfId="8546" xr:uid="{8D0B87D7-AC68-4F80-B93E-478E6C41E19D}"/>
    <cellStyle name="Normal 5 8 2 3 2" xfId="10615" xr:uid="{3A2DFD36-9574-4E27-9839-0703A31C41AB}"/>
    <cellStyle name="Normal 5 8 2 3 2 2" xfId="14821" xr:uid="{18C57FE1-2EF4-49DB-9EE8-8652906B12B3}"/>
    <cellStyle name="Normal 5 8 2 3 3" xfId="12792" xr:uid="{7FE8AB7B-53E3-4954-A5AA-345B29311564}"/>
    <cellStyle name="Normal 5 8 2 4" xfId="9219" xr:uid="{99AB4830-28E8-434E-BBF6-1513F76A278A}"/>
    <cellStyle name="Normal 5 8 2 4 2" xfId="11288" xr:uid="{0815C818-5ACC-4F2B-82D6-457A1DC432F8}"/>
    <cellStyle name="Normal 5 8 2 4 2 2" xfId="15494" xr:uid="{75EBD5A5-8FAB-4EF5-92BD-1F0E6BDB6F18}"/>
    <cellStyle name="Normal 5 8 2 4 3" xfId="13465" xr:uid="{57DF8FB7-7929-4AE9-8A06-F0E40040E31E}"/>
    <cellStyle name="Normal 5 8 2 5" xfId="9587" xr:uid="{F966B931-F252-4C26-9625-0667ADCB6DD6}"/>
    <cellStyle name="Normal 5 8 2 5 2" xfId="11621" xr:uid="{D2D55D1C-1FDF-4268-BF44-A69A9F510807}"/>
    <cellStyle name="Normal 5 8 2 5 2 2" xfId="15827" xr:uid="{44C11B2B-5870-4A61-8891-46C31CE06726}"/>
    <cellStyle name="Normal 5 8 2 5 3" xfId="13798" xr:uid="{7EF1DD55-1774-4858-81C6-54EF5015B763}"/>
    <cellStyle name="Normal 5 8 2 6" xfId="9945" xr:uid="{D9FC20E6-0367-47D6-96EB-61C26D23EAD5}"/>
    <cellStyle name="Normal 5 8 2 6 2" xfId="14151" xr:uid="{C7FA75DD-49A0-4AA9-827E-CCF39EC0552A}"/>
    <cellStyle name="Normal 5 8 2 7" xfId="12122" xr:uid="{1962BF08-446A-4D74-BDE1-7C7C1CA40F76}"/>
    <cellStyle name="Normal 5 8 3" xfId="8047" xr:uid="{3CAB192A-EA35-4DD9-B47C-BF18EC6DF9D4}"/>
    <cellStyle name="Normal 5 8 3 2" xfId="8717" xr:uid="{0670F7BA-DC6F-44ED-BC49-80401620E342}"/>
    <cellStyle name="Normal 5 8 3 2 2" xfId="10786" xr:uid="{4C12E395-7449-47AA-BBF3-F21BEA9754D5}"/>
    <cellStyle name="Normal 5 8 3 2 2 2" xfId="14992" xr:uid="{1BDA8714-701D-484D-BAA5-3194AA6B4259}"/>
    <cellStyle name="Normal 5 8 3 2 3" xfId="12963" xr:uid="{39275492-77C9-4286-A0C8-22CE5D3B0F6F}"/>
    <cellStyle name="Normal 5 8 3 3" xfId="10116" xr:uid="{9F87C3A5-6137-4EB6-9D4A-5E3E6E2BDE01}"/>
    <cellStyle name="Normal 5 8 3 3 2" xfId="14322" xr:uid="{C16F9AAF-C7F4-442F-B0AF-112B2B17BFCF}"/>
    <cellStyle name="Normal 5 8 3 4" xfId="12293" xr:uid="{8D0AFD51-70E2-427F-96F1-30886B6698D5}"/>
    <cellStyle name="Normal 5 8 4" xfId="8383" xr:uid="{887D9FE4-1D9F-47E1-967D-C24B5E26668D}"/>
    <cellStyle name="Normal 5 8 4 2" xfId="10452" xr:uid="{AA7DB0B0-0B15-4631-93DC-CCDE7D60196D}"/>
    <cellStyle name="Normal 5 8 4 2 2" xfId="14658" xr:uid="{5C94DFC9-6FD5-4B0D-921A-ADFFBE7ACE70}"/>
    <cellStyle name="Normal 5 8 4 3" xfId="12629" xr:uid="{D5E57344-6C16-4DAB-90FC-BDFC8DF3B271}"/>
    <cellStyle name="Normal 5 8 5" xfId="9056" xr:uid="{928DBE5A-DFFE-4A22-A10F-BD8B3D947486}"/>
    <cellStyle name="Normal 5 8 5 2" xfId="11125" xr:uid="{A5A7FC54-0092-47F8-B283-B8347A621CE6}"/>
    <cellStyle name="Normal 5 8 5 2 2" xfId="15331" xr:uid="{2957CDD1-E2E1-4039-AC23-EE850F3122F4}"/>
    <cellStyle name="Normal 5 8 5 3" xfId="13302" xr:uid="{08FB90F1-D41C-4058-B50C-BEB365366DF9}"/>
    <cellStyle name="Normal 5 8 6" xfId="9424" xr:uid="{8E97D630-7EF4-4FC3-9FF8-22BED4E49C70}"/>
    <cellStyle name="Normal 5 8 6 2" xfId="11458" xr:uid="{D5DD0FE1-DD86-4DBF-8759-BA48C80C7ABA}"/>
    <cellStyle name="Normal 5 8 6 2 2" xfId="15664" xr:uid="{41DB2FE2-C58F-456E-94E6-FB6281A355CC}"/>
    <cellStyle name="Normal 5 8 6 3" xfId="13635" xr:uid="{166C88CE-F1EC-419C-B6DB-791FAB16AE6F}"/>
    <cellStyle name="Normal 5 8 7" xfId="9782" xr:uid="{46E713F4-7BBA-42F6-AD37-D7E2B00EE209}"/>
    <cellStyle name="Normal 5 8 7 2" xfId="13988" xr:uid="{93736906-4A16-4AEB-AC2B-73C03097970E}"/>
    <cellStyle name="Normal 5 8 8" xfId="11959" xr:uid="{45E59B28-5422-4911-9831-0A9BBF080098}"/>
    <cellStyle name="Normal 5 9" xfId="7660" xr:uid="{F09AB2AD-4562-462B-9E04-48945A176FF5}"/>
    <cellStyle name="Normal 5 9 2" xfId="7849" xr:uid="{C88CE490-FD0D-4FD7-9B0E-9FA6485DA1E5}"/>
    <cellStyle name="Normal 5 9 2 2" xfId="8219" xr:uid="{866B4CEA-A7C4-426C-AE60-C4FD70CD69A9}"/>
    <cellStyle name="Normal 5 9 2 2 2" xfId="8889" xr:uid="{9CB080CD-8D42-4B43-809D-2CC1C0DD2220}"/>
    <cellStyle name="Normal 5 9 2 2 2 2" xfId="10958" xr:uid="{FB765A71-34BA-424D-8371-8B302AB47CC5}"/>
    <cellStyle name="Normal 5 9 2 2 2 2 2" xfId="15164" xr:uid="{18947EC6-989E-4A36-A870-7F4CE454203D}"/>
    <cellStyle name="Normal 5 9 2 2 2 3" xfId="13135" xr:uid="{D694C8C0-DAC6-4E68-9336-A6F55569248B}"/>
    <cellStyle name="Normal 5 9 2 2 3" xfId="10288" xr:uid="{C0B425A3-B770-48E6-8A22-E13D6BF91C55}"/>
    <cellStyle name="Normal 5 9 2 2 3 2" xfId="14494" xr:uid="{D86B56A2-BF25-4997-B768-F1F9A62526A1}"/>
    <cellStyle name="Normal 5 9 2 2 4" xfId="12465" xr:uid="{7BCB4898-6E6C-46ED-A22B-78C8FD2CFC02}"/>
    <cellStyle name="Normal 5 9 2 3" xfId="8555" xr:uid="{9E824F7F-FACF-4ABF-BA55-AE4A346E950B}"/>
    <cellStyle name="Normal 5 9 2 3 2" xfId="10624" xr:uid="{FCABD015-4FA0-4AB2-93D1-B3D321C9BCF6}"/>
    <cellStyle name="Normal 5 9 2 3 2 2" xfId="14830" xr:uid="{A5440D13-85AA-4154-B772-8FBDE46563C2}"/>
    <cellStyle name="Normal 5 9 2 3 3" xfId="12801" xr:uid="{C0746242-52FB-48AE-BC42-350F7D5D0C53}"/>
    <cellStyle name="Normal 5 9 2 4" xfId="9228" xr:uid="{F377BE91-AB3D-4717-83BD-76055E22B968}"/>
    <cellStyle name="Normal 5 9 2 4 2" xfId="11297" xr:uid="{F85A8A62-B30D-4269-A419-2ED264D25711}"/>
    <cellStyle name="Normal 5 9 2 4 2 2" xfId="15503" xr:uid="{8E2AF7B9-37C9-4A45-B402-E0C43B6EA92B}"/>
    <cellStyle name="Normal 5 9 2 4 3" xfId="13474" xr:uid="{16EDF34C-A409-4C1C-A43A-F1DCB647DA44}"/>
    <cellStyle name="Normal 5 9 2 5" xfId="9596" xr:uid="{FFD3F1A5-6DB9-401B-8B2A-3E99FF26360A}"/>
    <cellStyle name="Normal 5 9 2 5 2" xfId="11630" xr:uid="{7792A8CF-DB3F-4A31-99FE-3630E6C82079}"/>
    <cellStyle name="Normal 5 9 2 5 2 2" xfId="15836" xr:uid="{BA164338-B860-4156-81BD-E8E9612B60AE}"/>
    <cellStyle name="Normal 5 9 2 5 3" xfId="13807" xr:uid="{F8E843A7-26F0-4F1F-8055-378146FBE7AF}"/>
    <cellStyle name="Normal 5 9 2 6" xfId="9954" xr:uid="{00FF785F-7BBA-4822-9F43-7C92323B1506}"/>
    <cellStyle name="Normal 5 9 2 6 2" xfId="14160" xr:uid="{C5B1DCC0-9571-43E5-A830-E06F9FCF851D}"/>
    <cellStyle name="Normal 5 9 2 7" xfId="12131" xr:uid="{AFC11AF6-A75C-44BB-B997-45ABE766FDF5}"/>
    <cellStyle name="Normal 5 9 3" xfId="8056" xr:uid="{301D4FD9-5CC7-4E44-B516-C58839EE4ADB}"/>
    <cellStyle name="Normal 5 9 3 2" xfId="8726" xr:uid="{D36FE277-85E7-483A-9BEC-F460D3B46979}"/>
    <cellStyle name="Normal 5 9 3 2 2" xfId="10795" xr:uid="{02164E67-B611-425F-A57D-F4CA92CD521E}"/>
    <cellStyle name="Normal 5 9 3 2 2 2" xfId="15001" xr:uid="{AA1E6541-8151-4EE8-AB6B-D525BBA1D8DA}"/>
    <cellStyle name="Normal 5 9 3 2 3" xfId="12972" xr:uid="{D3F65F8E-28D0-4101-A963-B6301F9F22DE}"/>
    <cellStyle name="Normal 5 9 3 3" xfId="10125" xr:uid="{898501F2-28A4-43D1-9B03-C352973B0730}"/>
    <cellStyle name="Normal 5 9 3 3 2" xfId="14331" xr:uid="{D35C5F5F-236B-4940-AAA8-FC3ED3C573D0}"/>
    <cellStyle name="Normal 5 9 3 4" xfId="12302" xr:uid="{53E2C03D-BB1E-4B3A-A759-FBA0EA17F92B}"/>
    <cellStyle name="Normal 5 9 4" xfId="8392" xr:uid="{0ACA6159-17FA-4672-B088-768C390FAA6A}"/>
    <cellStyle name="Normal 5 9 4 2" xfId="10461" xr:uid="{01C43D79-B873-42A4-94CB-635FA431984E}"/>
    <cellStyle name="Normal 5 9 4 2 2" xfId="14667" xr:uid="{D008A7C4-7C8B-41CB-B235-915095991985}"/>
    <cellStyle name="Normal 5 9 4 3" xfId="12638" xr:uid="{9B1C5907-BE47-41AB-9A3B-6AD12CEAF7F5}"/>
    <cellStyle name="Normal 5 9 5" xfId="9065" xr:uid="{E21B6920-4A4D-4A8B-8D51-B348DA377EF4}"/>
    <cellStyle name="Normal 5 9 5 2" xfId="11134" xr:uid="{CF71A388-F00F-424E-879E-DCA65B56D270}"/>
    <cellStyle name="Normal 5 9 5 2 2" xfId="15340" xr:uid="{DE10543C-8588-4181-8900-EEA7183A9C7E}"/>
    <cellStyle name="Normal 5 9 5 3" xfId="13311" xr:uid="{D32ED8C0-7F1F-41F2-97F6-578717F094D1}"/>
    <cellStyle name="Normal 5 9 6" xfId="9433" xr:uid="{4E7669CD-E281-4976-8E1C-F3318C583501}"/>
    <cellStyle name="Normal 5 9 6 2" xfId="11467" xr:uid="{A52C765C-4641-4E97-9E3F-F35E066C9188}"/>
    <cellStyle name="Normal 5 9 6 2 2" xfId="15673" xr:uid="{6B6B09B3-98C1-4233-9AF6-5EDAFD195403}"/>
    <cellStyle name="Normal 5 9 6 3" xfId="13644" xr:uid="{C9FB2EB0-EE74-401C-9057-89FE838ABC7B}"/>
    <cellStyle name="Normal 5 9 7" xfId="9791" xr:uid="{8DB4E8DD-4EE2-4287-BFC8-15EDE54E77E9}"/>
    <cellStyle name="Normal 5 9 7 2" xfId="13997" xr:uid="{C7423EF7-A32F-4478-9C18-EC5BA4BBC181}"/>
    <cellStyle name="Normal 5 9 8" xfId="11968" xr:uid="{58F7319D-48E1-4A27-8155-F162D754B5CF}"/>
    <cellStyle name="Normal 50" xfId="7520" xr:uid="{F4E3D387-D985-474F-9768-A767C7CE1EBC}"/>
    <cellStyle name="Normal 50 2" xfId="7563" xr:uid="{71B4509D-201C-4F32-8A6C-54D997816B50}"/>
    <cellStyle name="Normal 50 2 2" xfId="7763" xr:uid="{C6155EB2-C4C8-4DA1-92CD-AAB309F11A0F}"/>
    <cellStyle name="Normal 50 2 2 2" xfId="8134" xr:uid="{439AF64A-4B70-45D2-AE4D-4902849FB9A9}"/>
    <cellStyle name="Normal 50 2 2 2 2" xfId="8804" xr:uid="{E5711B23-7D34-4945-9D4A-7BF846B38C47}"/>
    <cellStyle name="Normal 50 2 2 2 2 2" xfId="10873" xr:uid="{C3B37A9F-B9BB-4407-B668-84D6147F41D1}"/>
    <cellStyle name="Normal 50 2 2 2 2 2 2" xfId="15079" xr:uid="{C1C530C7-9ACA-4A92-8D46-F57C3D1B6350}"/>
    <cellStyle name="Normal 50 2 2 2 2 3" xfId="13050" xr:uid="{C74E3BB4-889F-41A9-9C64-BAD6DA2D72CD}"/>
    <cellStyle name="Normal 50 2 2 2 3" xfId="10203" xr:uid="{D97F809B-57C2-4D0B-8F5C-1C8287386CB3}"/>
    <cellStyle name="Normal 50 2 2 2 3 2" xfId="14409" xr:uid="{CA7727AE-21D5-4DC3-9246-D31F87B83276}"/>
    <cellStyle name="Normal 50 2 2 2 4" xfId="12380" xr:uid="{EB74E33F-15AA-424D-849F-BF08A1FFCB27}"/>
    <cellStyle name="Normal 50 2 2 3" xfId="8470" xr:uid="{6723BC83-69CE-4522-B467-DC68A1403330}"/>
    <cellStyle name="Normal 50 2 2 3 2" xfId="10539" xr:uid="{553A8FAB-F41A-4881-BAB1-A8048D668D20}"/>
    <cellStyle name="Normal 50 2 2 3 2 2" xfId="14745" xr:uid="{C1C89D1E-2741-4043-A3C1-10CC06BA9ABC}"/>
    <cellStyle name="Normal 50 2 2 3 3" xfId="12716" xr:uid="{27480E9A-675D-4537-9362-BE9588B50FE9}"/>
    <cellStyle name="Normal 50 2 2 4" xfId="9143" xr:uid="{BD098885-0325-4AAE-9B84-B1B5B67BD60F}"/>
    <cellStyle name="Normal 50 2 2 4 2" xfId="11212" xr:uid="{3B727156-18E0-4892-B411-1A6182745987}"/>
    <cellStyle name="Normal 50 2 2 4 2 2" xfId="15418" xr:uid="{02C35F81-6FDA-4C34-9C30-C05782084B75}"/>
    <cellStyle name="Normal 50 2 2 4 3" xfId="13389" xr:uid="{9ADD4F72-2CCD-4EEB-BFE1-FB7F6BBC4A36}"/>
    <cellStyle name="Normal 50 2 2 5" xfId="9511" xr:uid="{B32EADE0-32C3-42B8-B108-EE30B4F07ADC}"/>
    <cellStyle name="Normal 50 2 2 5 2" xfId="11545" xr:uid="{AC776215-D89D-48FD-BB5F-97F5CD981F96}"/>
    <cellStyle name="Normal 50 2 2 5 2 2" xfId="15751" xr:uid="{9E0FF6B9-6A6A-4383-960E-7D70EF604D81}"/>
    <cellStyle name="Normal 50 2 2 5 3" xfId="13722" xr:uid="{17D39009-C012-4268-BBF9-CC08365682AC}"/>
    <cellStyle name="Normal 50 2 2 6" xfId="9869" xr:uid="{EDA7D894-388F-4E9A-859F-85E949D9F6E3}"/>
    <cellStyle name="Normal 50 2 2 6 2" xfId="14075" xr:uid="{F50D5323-EC56-48CB-9CF3-055387646213}"/>
    <cellStyle name="Normal 50 2 2 7" xfId="12046" xr:uid="{8EC4C215-F761-4CA5-9B99-0F3474AED0A8}"/>
    <cellStyle name="Normal 50 2 3" xfId="7971" xr:uid="{767BB0C3-F480-441A-9419-3171F681E267}"/>
    <cellStyle name="Normal 50 2 3 2" xfId="8641" xr:uid="{AEEA2694-9019-4330-B1CB-99515C450CA9}"/>
    <cellStyle name="Normal 50 2 3 2 2" xfId="10710" xr:uid="{83398BEE-EBE8-4E46-BD91-7EAEF85A9ADC}"/>
    <cellStyle name="Normal 50 2 3 2 2 2" xfId="14916" xr:uid="{9BC479F4-EA7C-4A7D-A1EF-A1FFE913D8D8}"/>
    <cellStyle name="Normal 50 2 3 2 3" xfId="12887" xr:uid="{26C20614-77DF-4BE6-A416-A5BE8628E76B}"/>
    <cellStyle name="Normal 50 2 3 3" xfId="10040" xr:uid="{32AFF3E4-8ABD-4AB0-8444-B60926157FF4}"/>
    <cellStyle name="Normal 50 2 3 3 2" xfId="14246" xr:uid="{67D4F4B9-B778-480E-8C25-279189641761}"/>
    <cellStyle name="Normal 50 2 3 4" xfId="12217" xr:uid="{D7B56B2F-59DB-46C8-8C71-C95AFDDA5F31}"/>
    <cellStyle name="Normal 50 2 4" xfId="8307" xr:uid="{50BF000D-AB5B-4170-BA3E-5E8C29C868FE}"/>
    <cellStyle name="Normal 50 2 4 2" xfId="10376" xr:uid="{80B874DF-7F5C-48AA-B2D6-559EE08FE47E}"/>
    <cellStyle name="Normal 50 2 4 2 2" xfId="14582" xr:uid="{F9CA26BC-FD7E-4B1B-9BC0-83355751D95F}"/>
    <cellStyle name="Normal 50 2 4 3" xfId="12553" xr:uid="{C40D6C7B-82DC-4F19-88B9-22DD96CD3E4B}"/>
    <cellStyle name="Normal 50 2 5" xfId="8980" xr:uid="{022298A8-B703-45AE-A5D2-7B9C442A09A5}"/>
    <cellStyle name="Normal 50 2 5 2" xfId="11049" xr:uid="{EFBF2762-46A4-4962-B9AC-E9FE02240D14}"/>
    <cellStyle name="Normal 50 2 5 2 2" xfId="15255" xr:uid="{8777FE8F-2871-412F-A560-AC6F8859E824}"/>
    <cellStyle name="Normal 50 2 5 3" xfId="13226" xr:uid="{2F1117F5-6EFE-43E3-9152-C9E69AA2474A}"/>
    <cellStyle name="Normal 50 2 6" xfId="9348" xr:uid="{2E949945-6DDC-44DF-8265-7BC2CFCF1D45}"/>
    <cellStyle name="Normal 50 2 6 2" xfId="11382" xr:uid="{EE62204A-CBB0-4BC0-93D3-78F443CBF3D0}"/>
    <cellStyle name="Normal 50 2 6 2 2" xfId="15588" xr:uid="{CB9278D9-EB54-4897-AFAA-4544E2B8B6CF}"/>
    <cellStyle name="Normal 50 2 6 3" xfId="13559" xr:uid="{481BE923-05CC-4633-976F-1ED8DF5F9AA0}"/>
    <cellStyle name="Normal 50 2 7" xfId="9706" xr:uid="{98B6A86A-67C6-4F3D-8C9D-48545FE9AF77}"/>
    <cellStyle name="Normal 50 2 7 2" xfId="13912" xr:uid="{763D88E6-BE18-46E2-87BE-EEB86114E73D}"/>
    <cellStyle name="Normal 50 2 8" xfId="11883" xr:uid="{4D5FA0DD-6C75-446E-9590-60D857BCA91D}"/>
    <cellStyle name="Normal 50 3" xfId="7722" xr:uid="{AC282F16-B952-4CDF-99A6-E936768377CE}"/>
    <cellStyle name="Normal 50 3 2" xfId="8093" xr:uid="{0EDAFFCD-2F48-45C4-A0E6-AB806F0BB82B}"/>
    <cellStyle name="Normal 50 3 2 2" xfId="8763" xr:uid="{E0E4F392-4CA4-48E2-B8FB-63C68839164D}"/>
    <cellStyle name="Normal 50 3 2 2 2" xfId="10832" xr:uid="{57812AF1-D70D-42A6-833D-BF983C3D59FA}"/>
    <cellStyle name="Normal 50 3 2 2 2 2" xfId="15038" xr:uid="{0E26D7A4-1D25-48DD-B6CC-E0EE0ECE9CCE}"/>
    <cellStyle name="Normal 50 3 2 2 3" xfId="13009" xr:uid="{98D85B71-CB02-43F3-848B-E0112B8CB3EA}"/>
    <cellStyle name="Normal 50 3 2 3" xfId="10162" xr:uid="{9B082215-4599-4249-B6DC-30EA513FC511}"/>
    <cellStyle name="Normal 50 3 2 3 2" xfId="14368" xr:uid="{EC1A9C43-5D45-41AD-B664-E437B86C3C18}"/>
    <cellStyle name="Normal 50 3 2 4" xfId="12339" xr:uid="{AA7A3839-9409-4269-91FB-085C0CFC78F3}"/>
    <cellStyle name="Normal 50 3 3" xfId="8429" xr:uid="{6A0C4F2A-AA90-4687-B3A2-36257F3FEFA4}"/>
    <cellStyle name="Normal 50 3 3 2" xfId="10498" xr:uid="{CE0A9FBA-61A8-4C44-89C8-3804AF8FAE78}"/>
    <cellStyle name="Normal 50 3 3 2 2" xfId="14704" xr:uid="{40DE162C-9F0D-4068-9F42-C4670ADDA2F2}"/>
    <cellStyle name="Normal 50 3 3 3" xfId="12675" xr:uid="{6D08793E-60E1-4A65-AFD4-3F278C9BCBF0}"/>
    <cellStyle name="Normal 50 3 4" xfId="9102" xr:uid="{8D6F03F0-9DC9-40C3-9F6E-0EA1C906228E}"/>
    <cellStyle name="Normal 50 3 4 2" xfId="11171" xr:uid="{D2FDAECB-0D9D-4223-93D7-4BC4147BA3A6}"/>
    <cellStyle name="Normal 50 3 4 2 2" xfId="15377" xr:uid="{144F8DAF-8886-4C05-BEA5-32C65DDA4030}"/>
    <cellStyle name="Normal 50 3 4 3" xfId="13348" xr:uid="{0A642CE6-C738-4EA3-A779-3202A8B37A90}"/>
    <cellStyle name="Normal 50 3 5" xfId="9470" xr:uid="{A2E1B40E-DE8E-4F52-A12E-201A3748D854}"/>
    <cellStyle name="Normal 50 3 5 2" xfId="11504" xr:uid="{7676DB6E-C015-4B26-8146-290DE36861DC}"/>
    <cellStyle name="Normal 50 3 5 2 2" xfId="15710" xr:uid="{84D77453-D135-451D-9A25-DB7212936908}"/>
    <cellStyle name="Normal 50 3 5 3" xfId="13681" xr:uid="{048BA254-8E7D-4900-94CA-C6DAE48F1340}"/>
    <cellStyle name="Normal 50 3 6" xfId="9828" xr:uid="{951797B2-4B28-44F5-964B-FB58069B4E4C}"/>
    <cellStyle name="Normal 50 3 6 2" xfId="14034" xr:uid="{94F679BC-A65C-42FB-8982-CC9BD18EEE50}"/>
    <cellStyle name="Normal 50 3 7" xfId="12005" xr:uid="{A8200894-00E4-4BDE-B2AD-168443BDE1D6}"/>
    <cellStyle name="Normal 50 4" xfId="7930" xr:uid="{FD92A3F2-6EF6-49EC-8360-95137ACAC801}"/>
    <cellStyle name="Normal 50 4 2" xfId="8600" xr:uid="{08790068-1A61-476F-9B27-E1C4929AABA2}"/>
    <cellStyle name="Normal 50 4 2 2" xfId="10669" xr:uid="{AE70B957-EB01-4D5E-868B-3B0928678A2D}"/>
    <cellStyle name="Normal 50 4 2 2 2" xfId="14875" xr:uid="{95EC8991-F8B3-4683-AF0D-BFF3A3B70925}"/>
    <cellStyle name="Normal 50 4 2 3" xfId="12846" xr:uid="{FCBFBA72-3C7C-4893-8952-D8A1B4503FDA}"/>
    <cellStyle name="Normal 50 4 3" xfId="9999" xr:uid="{B2AB6F44-2A25-4D79-94DD-AF005A9D1E74}"/>
    <cellStyle name="Normal 50 4 3 2" xfId="14205" xr:uid="{1795BF88-60F2-45D3-A0E3-E1557523C4D0}"/>
    <cellStyle name="Normal 50 4 4" xfId="12176" xr:uid="{AE39C6FE-10F2-4113-8753-82583298CAEE}"/>
    <cellStyle name="Normal 50 5" xfId="8266" xr:uid="{8A141AFA-B35E-4EB7-90EA-1B79615AAC8D}"/>
    <cellStyle name="Normal 50 5 2" xfId="10335" xr:uid="{F5DA5691-91E9-4DA6-B5D2-013BECA610E9}"/>
    <cellStyle name="Normal 50 5 2 2" xfId="14541" xr:uid="{B0DFD985-ACEE-4EF4-8528-D31BC2F06311}"/>
    <cellStyle name="Normal 50 5 3" xfId="12512" xr:uid="{C83A4695-B664-485D-A606-F7D9B42C18D0}"/>
    <cellStyle name="Normal 50 6" xfId="8939" xr:uid="{EEEB80E6-B734-4533-9D42-5B2DEDCEAF26}"/>
    <cellStyle name="Normal 50 6 2" xfId="11008" xr:uid="{09C161EF-8EF1-4E0D-BDE3-0BDAE3AC692A}"/>
    <cellStyle name="Normal 50 6 2 2" xfId="15214" xr:uid="{03A6A879-738D-4FF8-B20F-0ABF3B9685AC}"/>
    <cellStyle name="Normal 50 6 3" xfId="13185" xr:uid="{C237136D-8206-441C-ADE7-77F6D7AA4A0F}"/>
    <cellStyle name="Normal 50 7" xfId="9306" xr:uid="{B330488F-6879-4ADC-ACCC-BE7DC504010C}"/>
    <cellStyle name="Normal 50 7 2" xfId="11341" xr:uid="{0816F741-6746-444B-995C-2C49540DE3F4}"/>
    <cellStyle name="Normal 50 7 2 2" xfId="15547" xr:uid="{1802F676-5694-43AC-B9B8-7E49969941AE}"/>
    <cellStyle name="Normal 50 7 3" xfId="13518" xr:uid="{1C397AC7-4EB3-42E0-91D2-CEF1873A9AEC}"/>
    <cellStyle name="Normal 50 8" xfId="9665" xr:uid="{ED7B678B-F1C1-415E-87DA-64C8DFAC7A9B}"/>
    <cellStyle name="Normal 50 8 2" xfId="13871" xr:uid="{37EEC530-DD1D-43AD-8F98-6F56286A7EDD}"/>
    <cellStyle name="Normal 50 9" xfId="11841" xr:uid="{2A249602-86E4-4DDD-9D8B-118CF69D5447}"/>
    <cellStyle name="Normal 51" xfId="7521" xr:uid="{864D8AA0-3FEE-407D-B5C5-D04A1D30D9E4}"/>
    <cellStyle name="Normal 51 2" xfId="7564" xr:uid="{9D222344-F664-4AA6-B7BC-662450C69615}"/>
    <cellStyle name="Normal 51 2 2" xfId="7764" xr:uid="{F99ED73E-E543-446F-8AEA-6A0F405C9C72}"/>
    <cellStyle name="Normal 51 2 2 2" xfId="8135" xr:uid="{57F9B44F-2BD8-48B6-BD2A-CD5C64D38D58}"/>
    <cellStyle name="Normal 51 2 2 2 2" xfId="8805" xr:uid="{6740D2D0-8888-40F0-8662-AA154B2CC1F1}"/>
    <cellStyle name="Normal 51 2 2 2 2 2" xfId="10874" xr:uid="{92A3AF67-F562-422F-A611-1F09D56AAB2F}"/>
    <cellStyle name="Normal 51 2 2 2 2 2 2" xfId="15080" xr:uid="{4C2C46CB-CC24-4915-BD7A-3B8EB3A39168}"/>
    <cellStyle name="Normal 51 2 2 2 2 3" xfId="13051" xr:uid="{5A84DF73-736D-4039-8665-ACA89C673362}"/>
    <cellStyle name="Normal 51 2 2 2 3" xfId="10204" xr:uid="{30772AF9-D0BF-405F-9A9E-1EF9877F1903}"/>
    <cellStyle name="Normal 51 2 2 2 3 2" xfId="14410" xr:uid="{65824FC5-0688-4F8B-92C9-806DB2E2BBAB}"/>
    <cellStyle name="Normal 51 2 2 2 4" xfId="12381" xr:uid="{D986879E-24CD-4890-98B0-88F9B6439151}"/>
    <cellStyle name="Normal 51 2 2 3" xfId="8471" xr:uid="{4A2E4898-D648-40E6-8CA7-6B4BFCE7483C}"/>
    <cellStyle name="Normal 51 2 2 3 2" xfId="10540" xr:uid="{0729D85F-D0EA-47F4-8133-65DA00C29E4F}"/>
    <cellStyle name="Normal 51 2 2 3 2 2" xfId="14746" xr:uid="{A19EC251-371A-419B-943B-36F732A5C2F2}"/>
    <cellStyle name="Normal 51 2 2 3 3" xfId="12717" xr:uid="{E7C5ECCB-ED87-4C03-ADFC-BB97ED1FDF2C}"/>
    <cellStyle name="Normal 51 2 2 4" xfId="9144" xr:uid="{263A4AB0-7D0F-426D-A548-51B90D3E0F21}"/>
    <cellStyle name="Normal 51 2 2 4 2" xfId="11213" xr:uid="{50E04462-A891-4A16-AE08-F87AB07208C1}"/>
    <cellStyle name="Normal 51 2 2 4 2 2" xfId="15419" xr:uid="{C602E3CD-7EE5-4011-92B1-D646DC7696A4}"/>
    <cellStyle name="Normal 51 2 2 4 3" xfId="13390" xr:uid="{390D6408-C887-4F11-B619-C5A592880F3E}"/>
    <cellStyle name="Normal 51 2 2 5" xfId="9512" xr:uid="{F59BC088-A203-4E20-8DEB-51CD2362F95B}"/>
    <cellStyle name="Normal 51 2 2 5 2" xfId="11546" xr:uid="{1D5990C9-77FB-4B84-93EF-2781D136358B}"/>
    <cellStyle name="Normal 51 2 2 5 2 2" xfId="15752" xr:uid="{674D447C-2370-4584-8A61-C76E4269BB23}"/>
    <cellStyle name="Normal 51 2 2 5 3" xfId="13723" xr:uid="{B827F5B9-EEBF-4E31-9C32-F8490F1346CB}"/>
    <cellStyle name="Normal 51 2 2 6" xfId="9870" xr:uid="{4545FC27-5E98-4897-AC44-5B607527803C}"/>
    <cellStyle name="Normal 51 2 2 6 2" xfId="14076" xr:uid="{57C49307-EEFA-4985-AA77-68C8E93FD77E}"/>
    <cellStyle name="Normal 51 2 2 7" xfId="12047" xr:uid="{35F0AAB9-589C-4CA3-9526-990FF324EFDC}"/>
    <cellStyle name="Normal 51 2 3" xfId="7972" xr:uid="{472F6C71-0D42-4B2A-97C0-E29902ECC982}"/>
    <cellStyle name="Normal 51 2 3 2" xfId="8642" xr:uid="{48F86B57-75F3-4E42-8653-7D419235B392}"/>
    <cellStyle name="Normal 51 2 3 2 2" xfId="10711" xr:uid="{43CE95C9-3E4A-416D-B806-B21FC4F62991}"/>
    <cellStyle name="Normal 51 2 3 2 2 2" xfId="14917" xr:uid="{9B4030BA-28D8-4374-988C-9098E4F7EC10}"/>
    <cellStyle name="Normal 51 2 3 2 3" xfId="12888" xr:uid="{2F31289E-A6CA-4247-916A-D9A88C6239F6}"/>
    <cellStyle name="Normal 51 2 3 3" xfId="10041" xr:uid="{1CCC2C96-A412-477C-8FD3-1FAF95E2D5CA}"/>
    <cellStyle name="Normal 51 2 3 3 2" xfId="14247" xr:uid="{2C8EA0F6-1BE3-4210-974D-F5A25F1F33B6}"/>
    <cellStyle name="Normal 51 2 3 4" xfId="12218" xr:uid="{669CBC91-1EA3-45E3-8A9C-9083ABE42CB0}"/>
    <cellStyle name="Normal 51 2 4" xfId="8308" xr:uid="{44724146-4A44-4E03-98FC-39DE7635DDEE}"/>
    <cellStyle name="Normal 51 2 4 2" xfId="10377" xr:uid="{2881949E-E96E-4332-B3AC-B7D58EFB6AE5}"/>
    <cellStyle name="Normal 51 2 4 2 2" xfId="14583" xr:uid="{84DDBFB8-96CE-4CD7-A74C-D212C6BC2AE2}"/>
    <cellStyle name="Normal 51 2 4 3" xfId="12554" xr:uid="{BDA3E9AB-CC70-469E-BE5C-E74946DC7044}"/>
    <cellStyle name="Normal 51 2 5" xfId="8981" xr:uid="{7C5AE2CA-2B2A-4931-9EA5-B43F4073C040}"/>
    <cellStyle name="Normal 51 2 5 2" xfId="11050" xr:uid="{ABEC5CDD-135A-46D2-9AE5-66A186AD044A}"/>
    <cellStyle name="Normal 51 2 5 2 2" xfId="15256" xr:uid="{433C1025-82EF-453E-830B-8ED22A5B8AE9}"/>
    <cellStyle name="Normal 51 2 5 3" xfId="13227" xr:uid="{1D45FD81-6F8A-46B1-A17B-184F3F5E6DBE}"/>
    <cellStyle name="Normal 51 2 6" xfId="9349" xr:uid="{DC08B610-CD28-41BE-AAD2-47E198087B4C}"/>
    <cellStyle name="Normal 51 2 6 2" xfId="11383" xr:uid="{1C9E4AC1-DCC4-446B-8E8D-5379E2D4BA81}"/>
    <cellStyle name="Normal 51 2 6 2 2" xfId="15589" xr:uid="{89BD3BCA-FEBD-4816-9F6C-EEC97EB002DF}"/>
    <cellStyle name="Normal 51 2 6 3" xfId="13560" xr:uid="{2F3E4CF8-9306-4680-99F6-CA3F7538D9EA}"/>
    <cellStyle name="Normal 51 2 7" xfId="9707" xr:uid="{3C7157C6-CB12-44E2-BB99-FF63EA25D856}"/>
    <cellStyle name="Normal 51 2 7 2" xfId="13913" xr:uid="{E018F707-B400-499C-AE64-CD553D74DBF2}"/>
    <cellStyle name="Normal 51 2 8" xfId="11884" xr:uid="{00495010-B6D6-405A-B8CD-5E1B908124AA}"/>
    <cellStyle name="Normal 51 3" xfId="7723" xr:uid="{112B1712-9058-4293-9E95-E1185598ECE7}"/>
    <cellStyle name="Normal 51 3 2" xfId="8094" xr:uid="{356F6A9B-F2A5-4D11-9886-6273D1CC2A9F}"/>
    <cellStyle name="Normal 51 3 2 2" xfId="8764" xr:uid="{DF8DE0A5-B210-47F1-92D7-E30903477254}"/>
    <cellStyle name="Normal 51 3 2 2 2" xfId="10833" xr:uid="{61182011-E05F-4F26-B6F0-7F036E7D5608}"/>
    <cellStyle name="Normal 51 3 2 2 2 2" xfId="15039" xr:uid="{BAE54C65-722C-4034-8851-65DF196E0342}"/>
    <cellStyle name="Normal 51 3 2 2 3" xfId="13010" xr:uid="{D708E624-1B6B-47E2-8E2C-E32073396310}"/>
    <cellStyle name="Normal 51 3 2 3" xfId="10163" xr:uid="{1C3117D3-8FE7-4152-9DE6-2858D3626EB7}"/>
    <cellStyle name="Normal 51 3 2 3 2" xfId="14369" xr:uid="{F0C1D291-7AE2-4BE3-A9F0-A78EAC79D0C6}"/>
    <cellStyle name="Normal 51 3 2 4" xfId="12340" xr:uid="{032F0E38-70C4-404C-B0C9-4F16294691CD}"/>
    <cellStyle name="Normal 51 3 3" xfId="8430" xr:uid="{F1E86618-953A-42B9-9302-768F6F814041}"/>
    <cellStyle name="Normal 51 3 3 2" xfId="10499" xr:uid="{99B8AB8D-CC71-4575-B336-E76D5B17CFA7}"/>
    <cellStyle name="Normal 51 3 3 2 2" xfId="14705" xr:uid="{C5AC0C66-DE35-4032-8F99-209D5B98C8CF}"/>
    <cellStyle name="Normal 51 3 3 3" xfId="12676" xr:uid="{C9E08384-DC62-4FF2-BF13-968C41A29AF9}"/>
    <cellStyle name="Normal 51 3 4" xfId="9103" xr:uid="{F58B86CD-C254-4C05-89A7-C8848CAEE0E5}"/>
    <cellStyle name="Normal 51 3 4 2" xfId="11172" xr:uid="{C1F61C55-9B6A-41CE-858D-0980AEA4687F}"/>
    <cellStyle name="Normal 51 3 4 2 2" xfId="15378" xr:uid="{78A19C09-BDCF-4B33-B917-32BBDE59EA08}"/>
    <cellStyle name="Normal 51 3 4 3" xfId="13349" xr:uid="{2D2E3D7F-5F45-44B2-B1FC-2766AD2207F2}"/>
    <cellStyle name="Normal 51 3 5" xfId="9471" xr:uid="{D9FF96A3-7500-4297-A3B5-C7F62F02FB7B}"/>
    <cellStyle name="Normal 51 3 5 2" xfId="11505" xr:uid="{2AE618DC-04C7-4F1E-BFCA-1D6CBFC7BAB0}"/>
    <cellStyle name="Normal 51 3 5 2 2" xfId="15711" xr:uid="{E4226492-1036-4F7A-A0FB-3A3AB5A80A5E}"/>
    <cellStyle name="Normal 51 3 5 3" xfId="13682" xr:uid="{A4272849-E1C5-4338-AE87-20CC0CADFE8B}"/>
    <cellStyle name="Normal 51 3 6" xfId="9829" xr:uid="{98CF3804-A11D-498C-9D7E-1EA644D61A91}"/>
    <cellStyle name="Normal 51 3 6 2" xfId="14035" xr:uid="{FAEAC7CF-BB3C-4ADB-A88F-4065250AE027}"/>
    <cellStyle name="Normal 51 3 7" xfId="12006" xr:uid="{AB80B589-9993-405B-AC5D-47524F056768}"/>
    <cellStyle name="Normal 51 4" xfId="7931" xr:uid="{DB2AEEF4-032E-4F91-B8E9-3094E2079B6A}"/>
    <cellStyle name="Normal 51 4 2" xfId="8601" xr:uid="{431B88FA-9BFC-4F8C-8B3C-6C794481698F}"/>
    <cellStyle name="Normal 51 4 2 2" xfId="10670" xr:uid="{6925C3FC-E093-4DF5-AE2E-CC897039F883}"/>
    <cellStyle name="Normal 51 4 2 2 2" xfId="14876" xr:uid="{110CD99E-E360-4B74-806D-2B17D1F9DBF1}"/>
    <cellStyle name="Normal 51 4 2 3" xfId="12847" xr:uid="{DB28EFF9-C6CD-4CDF-8137-AD49401A96D2}"/>
    <cellStyle name="Normal 51 4 3" xfId="10000" xr:uid="{CE62EDAA-290B-4544-B168-180D758076A0}"/>
    <cellStyle name="Normal 51 4 3 2" xfId="14206" xr:uid="{C0DC457B-7ED5-4226-A18C-6A85516CA77D}"/>
    <cellStyle name="Normal 51 4 4" xfId="12177" xr:uid="{1127AFB1-2DFA-4050-95C5-804E03DA2E85}"/>
    <cellStyle name="Normal 51 5" xfId="8267" xr:uid="{4669CC1D-C9A0-47D4-8101-EBCEEABB3F9C}"/>
    <cellStyle name="Normal 51 5 2" xfId="10336" xr:uid="{AE837C07-A61A-46E2-8EA9-0C8C1AE9D09B}"/>
    <cellStyle name="Normal 51 5 2 2" xfId="14542" xr:uid="{B44AC31A-C08E-40B4-A2A0-BAE65B2D190A}"/>
    <cellStyle name="Normal 51 5 3" xfId="12513" xr:uid="{F7CC6C58-BB2B-4829-BA56-20FE4CD7FC4B}"/>
    <cellStyle name="Normal 51 6" xfId="8940" xr:uid="{13BD513A-1975-46F6-AEB1-7496FB5259A4}"/>
    <cellStyle name="Normal 51 6 2" xfId="11009" xr:uid="{C52A75CB-10A9-461D-AAC9-8751C4C721F4}"/>
    <cellStyle name="Normal 51 6 2 2" xfId="15215" xr:uid="{C34DB2E8-DED5-444D-99E1-D461EF21D48C}"/>
    <cellStyle name="Normal 51 6 3" xfId="13186" xr:uid="{5C8E0AB9-5023-46B6-920F-8FF2FF5DF71D}"/>
    <cellStyle name="Normal 51 7" xfId="9307" xr:uid="{7726F3A4-41E3-47C2-A1CE-0E8D1C2C7BBF}"/>
    <cellStyle name="Normal 51 7 2" xfId="11342" xr:uid="{95BB3E3B-D4BD-4E9C-A6F1-ED689F4C3F12}"/>
    <cellStyle name="Normal 51 7 2 2" xfId="15548" xr:uid="{2B68083D-4C73-492D-896E-B3071154DDCA}"/>
    <cellStyle name="Normal 51 7 3" xfId="13519" xr:uid="{CFBA3FCE-9B3D-4427-A063-9775D97B38E1}"/>
    <cellStyle name="Normal 51 8" xfId="9666" xr:uid="{AAA3063D-7FA2-4C2D-A091-499DFD4B8867}"/>
    <cellStyle name="Normal 51 8 2" xfId="13872" xr:uid="{7AB1FBE8-5709-4E4C-8F48-66FBAEA70310}"/>
    <cellStyle name="Normal 51 9" xfId="11842" xr:uid="{144F917E-BC16-427E-ADD2-8E8E1EF98626}"/>
    <cellStyle name="Normal 52" xfId="7522" xr:uid="{FF4C1AAE-DCD5-4B51-A3A6-CE8BE4E89CA6}"/>
    <cellStyle name="Normal 52 2" xfId="7565" xr:uid="{CF865482-DCE7-4B6B-9F08-9D36F128ED3A}"/>
    <cellStyle name="Normal 52 2 2" xfId="7765" xr:uid="{26F1105A-B25F-4BF6-8F38-AABD7534942E}"/>
    <cellStyle name="Normal 52 2 2 2" xfId="8136" xr:uid="{C7B02B68-1A79-4A4B-8C79-82B35B167092}"/>
    <cellStyle name="Normal 52 2 2 2 2" xfId="8806" xr:uid="{090E4219-1F86-415A-99D7-C8CE1BCAE711}"/>
    <cellStyle name="Normal 52 2 2 2 2 2" xfId="10875" xr:uid="{E2A165AB-52A8-4A4C-A525-FBA48CECDB31}"/>
    <cellStyle name="Normal 52 2 2 2 2 2 2" xfId="15081" xr:uid="{27D38DA6-894B-4CF9-A844-E70A05EB3DCC}"/>
    <cellStyle name="Normal 52 2 2 2 2 3" xfId="13052" xr:uid="{271CBA0A-7138-4194-A853-12D05C2570F6}"/>
    <cellStyle name="Normal 52 2 2 2 3" xfId="10205" xr:uid="{2F35C0F7-885F-4154-84FB-BA971A6866FB}"/>
    <cellStyle name="Normal 52 2 2 2 3 2" xfId="14411" xr:uid="{7314F82C-2C44-4061-A3DC-13CFEFBD0AB1}"/>
    <cellStyle name="Normal 52 2 2 2 4" xfId="12382" xr:uid="{A81240E3-6B4F-4689-B2BF-E5D774589056}"/>
    <cellStyle name="Normal 52 2 2 3" xfId="8472" xr:uid="{71B15584-123F-40AC-81E6-19CDFDF86102}"/>
    <cellStyle name="Normal 52 2 2 3 2" xfId="10541" xr:uid="{58AC340E-8443-4C09-A5BD-F18D5B5B44AE}"/>
    <cellStyle name="Normal 52 2 2 3 2 2" xfId="14747" xr:uid="{1182396A-C946-45E1-94CF-52FAFA4291E6}"/>
    <cellStyle name="Normal 52 2 2 3 3" xfId="12718" xr:uid="{8067D438-02C5-48B7-8B89-75D58CC9DA3C}"/>
    <cellStyle name="Normal 52 2 2 4" xfId="9145" xr:uid="{F45E32D4-7B14-44D4-8157-5B93AF1CB2FC}"/>
    <cellStyle name="Normal 52 2 2 4 2" xfId="11214" xr:uid="{284021F9-B9C6-4DC2-BFC5-4DD153CA802A}"/>
    <cellStyle name="Normal 52 2 2 4 2 2" xfId="15420" xr:uid="{80DAD3E2-5CC2-45A9-928B-22D77AA30A51}"/>
    <cellStyle name="Normal 52 2 2 4 3" xfId="13391" xr:uid="{DC7FD288-9887-4FA5-B42D-A1F68659C91A}"/>
    <cellStyle name="Normal 52 2 2 5" xfId="9513" xr:uid="{A0ED4F3A-5FD6-40EA-B7B2-8D54EC9A6405}"/>
    <cellStyle name="Normal 52 2 2 5 2" xfId="11547" xr:uid="{45D97C33-EDB4-4CA1-BBE6-EA15540F332D}"/>
    <cellStyle name="Normal 52 2 2 5 2 2" xfId="15753" xr:uid="{D6B5EA2C-6082-45A0-8FD6-5EEECF2176B1}"/>
    <cellStyle name="Normal 52 2 2 5 3" xfId="13724" xr:uid="{24D7682C-CFAF-4581-B3A0-866E4F33969B}"/>
    <cellStyle name="Normal 52 2 2 6" xfId="9871" xr:uid="{A906C63C-508F-43B4-90EF-7C666E354EF0}"/>
    <cellStyle name="Normal 52 2 2 6 2" xfId="14077" xr:uid="{31FBD81E-B971-4094-884B-AE64222CB147}"/>
    <cellStyle name="Normal 52 2 2 7" xfId="12048" xr:uid="{FF0DC709-4E91-4B0D-A5E7-1E9E2AA30B32}"/>
    <cellStyle name="Normal 52 2 3" xfId="7973" xr:uid="{6DBC6F12-0FA1-4828-8F97-24C2E4DC8250}"/>
    <cellStyle name="Normal 52 2 3 2" xfId="8643" xr:uid="{9457BCA0-C0B4-4D25-9FF7-DFB920054EA8}"/>
    <cellStyle name="Normal 52 2 3 2 2" xfId="10712" xr:uid="{C1D0660B-FC8F-43EC-8CCA-65D49C5AE5B7}"/>
    <cellStyle name="Normal 52 2 3 2 2 2" xfId="14918" xr:uid="{5B3792D0-97A5-44E3-9DCC-D84967344E01}"/>
    <cellStyle name="Normal 52 2 3 2 3" xfId="12889" xr:uid="{C03FC287-9ECF-43B9-BA5E-EBFCF18E9567}"/>
    <cellStyle name="Normal 52 2 3 3" xfId="10042" xr:uid="{F0C869FE-E8B2-481F-BDE1-24AE2E58DCA5}"/>
    <cellStyle name="Normal 52 2 3 3 2" xfId="14248" xr:uid="{1DEFF3DE-1A7C-4E7D-90F6-7E7EDF3FF1E9}"/>
    <cellStyle name="Normal 52 2 3 4" xfId="12219" xr:uid="{41E35978-FC3A-4E8B-B35F-74D9DAE1BE5E}"/>
    <cellStyle name="Normal 52 2 4" xfId="8309" xr:uid="{14EE62D6-9807-4581-A981-A0F6CC886ABE}"/>
    <cellStyle name="Normal 52 2 4 2" xfId="10378" xr:uid="{ABC7DA3F-7CA2-48A4-8DFA-6FDF8C0EE6F0}"/>
    <cellStyle name="Normal 52 2 4 2 2" xfId="14584" xr:uid="{47399203-6FEC-4E14-8413-62CBFFA68409}"/>
    <cellStyle name="Normal 52 2 4 3" xfId="12555" xr:uid="{50C84B1A-4067-4F22-994A-B2F493463864}"/>
    <cellStyle name="Normal 52 2 5" xfId="8982" xr:uid="{94A2FF31-8777-4BFE-8EB2-328D2F956244}"/>
    <cellStyle name="Normal 52 2 5 2" xfId="11051" xr:uid="{782FDD4F-C772-4162-9409-5B60E47A8B43}"/>
    <cellStyle name="Normal 52 2 5 2 2" xfId="15257" xr:uid="{55E1EA06-552A-4570-A620-7D4B75627EDE}"/>
    <cellStyle name="Normal 52 2 5 3" xfId="13228" xr:uid="{4D5420FD-8E25-4630-89D4-2113EF52DA62}"/>
    <cellStyle name="Normal 52 2 6" xfId="9350" xr:uid="{39C64BAD-BCEE-44BD-9E0F-2D85E040AD02}"/>
    <cellStyle name="Normal 52 2 6 2" xfId="11384" xr:uid="{EB5608DD-8874-48EC-B912-CF1FB7E331FC}"/>
    <cellStyle name="Normal 52 2 6 2 2" xfId="15590" xr:uid="{1BD3BB32-183A-4A4E-A941-8549B2634648}"/>
    <cellStyle name="Normal 52 2 6 3" xfId="13561" xr:uid="{D273708A-E9D2-404B-89EE-C2F79C895E2C}"/>
    <cellStyle name="Normal 52 2 7" xfId="9708" xr:uid="{4850AEBF-53A8-4F6B-9237-887BC015D2B9}"/>
    <cellStyle name="Normal 52 2 7 2" xfId="13914" xr:uid="{2887AA3F-2FBE-4A48-A060-A96F49F06403}"/>
    <cellStyle name="Normal 52 2 8" xfId="11885" xr:uid="{8E999BDE-5404-49B4-93CB-5C47F724FE17}"/>
    <cellStyle name="Normal 52 3" xfId="7724" xr:uid="{461BCC35-F6AC-4DC9-8E35-9E8021B9399A}"/>
    <cellStyle name="Normal 52 3 2" xfId="8095" xr:uid="{DAFD3EF4-F041-4F5D-9F17-1CE55BBA43CC}"/>
    <cellStyle name="Normal 52 3 2 2" xfId="8765" xr:uid="{E0112EB9-D479-4DFE-BC5C-7E957E3CEF6C}"/>
    <cellStyle name="Normal 52 3 2 2 2" xfId="10834" xr:uid="{E94DE733-4407-4541-8F97-D8A6E3E8F197}"/>
    <cellStyle name="Normal 52 3 2 2 2 2" xfId="15040" xr:uid="{F741F721-BF65-477B-B938-CDCE6B9A2424}"/>
    <cellStyle name="Normal 52 3 2 2 3" xfId="13011" xr:uid="{E170E7A0-54E3-4500-A2A0-68C8A547E758}"/>
    <cellStyle name="Normal 52 3 2 3" xfId="10164" xr:uid="{10C47FA4-7C62-41DE-BC55-24E867162C0A}"/>
    <cellStyle name="Normal 52 3 2 3 2" xfId="14370" xr:uid="{6372F42F-D11F-42A5-9404-F416F6D59377}"/>
    <cellStyle name="Normal 52 3 2 4" xfId="12341" xr:uid="{54429FA3-8C7D-4245-8585-AE5AA9B83145}"/>
    <cellStyle name="Normal 52 3 3" xfId="8431" xr:uid="{5E664D65-06A6-4F53-BA10-C66F25833103}"/>
    <cellStyle name="Normal 52 3 3 2" xfId="10500" xr:uid="{77D97F68-69B3-400A-8C80-46967BF24BEC}"/>
    <cellStyle name="Normal 52 3 3 2 2" xfId="14706" xr:uid="{C7B95D7F-9ED7-4849-9F46-BE45255E61CA}"/>
    <cellStyle name="Normal 52 3 3 3" xfId="12677" xr:uid="{715C9A50-BBE7-4806-980E-A01CB5BE815C}"/>
    <cellStyle name="Normal 52 3 4" xfId="9104" xr:uid="{3BCD06E9-B37D-41E8-877F-A1860BB7790C}"/>
    <cellStyle name="Normal 52 3 4 2" xfId="11173" xr:uid="{554C0988-1218-445C-A2B4-ACFB17695DE3}"/>
    <cellStyle name="Normal 52 3 4 2 2" xfId="15379" xr:uid="{486E27A1-416A-42FC-9FCE-D4C28772BE8E}"/>
    <cellStyle name="Normal 52 3 4 3" xfId="13350" xr:uid="{4D6A7864-F6E7-4DD6-9805-FE48B40DB872}"/>
    <cellStyle name="Normal 52 3 5" xfId="9472" xr:uid="{8509BD51-19B9-4B73-BC13-C10A5E109864}"/>
    <cellStyle name="Normal 52 3 5 2" xfId="11506" xr:uid="{1B7ACE7C-4399-4FB9-8F31-036EF75567A0}"/>
    <cellStyle name="Normal 52 3 5 2 2" xfId="15712" xr:uid="{F00AA942-9DDF-4421-AF09-64CA640E8927}"/>
    <cellStyle name="Normal 52 3 5 3" xfId="13683" xr:uid="{CF219D82-321D-4C6D-805F-4EC6180944D0}"/>
    <cellStyle name="Normal 52 3 6" xfId="9830" xr:uid="{BE0C65F4-E277-4A97-AAC2-A58AF602080A}"/>
    <cellStyle name="Normal 52 3 6 2" xfId="14036" xr:uid="{5C2CF015-7117-45D9-9E0F-BEC1636C7B81}"/>
    <cellStyle name="Normal 52 3 7" xfId="12007" xr:uid="{B4E319C0-3B25-41B8-8159-0260824C0D03}"/>
    <cellStyle name="Normal 52 4" xfId="7932" xr:uid="{04BC25F3-0F4D-4E97-A9F9-364510195EC2}"/>
    <cellStyle name="Normal 52 4 2" xfId="8602" xr:uid="{A95DDAF5-1AB7-4A80-AF48-FE62A826BEE7}"/>
    <cellStyle name="Normal 52 4 2 2" xfId="10671" xr:uid="{57A671D3-8587-49A2-9B6B-0BA163408FCF}"/>
    <cellStyle name="Normal 52 4 2 2 2" xfId="14877" xr:uid="{F6A5C744-B2C1-4CD7-BD9B-14A7F367D748}"/>
    <cellStyle name="Normal 52 4 2 3" xfId="12848" xr:uid="{0082DDF4-74D0-4C58-9BDA-503439CA3D6D}"/>
    <cellStyle name="Normal 52 4 3" xfId="10001" xr:uid="{79B2AFF1-8F10-4476-B9CB-F8AD4B3FCFB7}"/>
    <cellStyle name="Normal 52 4 3 2" xfId="14207" xr:uid="{576449D2-4B4C-4F25-9E04-E31F89DA89BF}"/>
    <cellStyle name="Normal 52 4 4" xfId="12178" xr:uid="{1C0D9068-D230-4425-881B-EB0C9D47588C}"/>
    <cellStyle name="Normal 52 5" xfId="8268" xr:uid="{528BD73D-30FE-479D-9264-731C78101483}"/>
    <cellStyle name="Normal 52 5 2" xfId="10337" xr:uid="{CB1BDE82-75E6-41B5-B829-7DCFD9AF4C81}"/>
    <cellStyle name="Normal 52 5 2 2" xfId="14543" xr:uid="{90BBD8E5-926D-4325-822A-AB86D1276AC3}"/>
    <cellStyle name="Normal 52 5 3" xfId="12514" xr:uid="{73CF5BAD-1625-4BAD-B3CA-30DDDA7519E5}"/>
    <cellStyle name="Normal 52 6" xfId="8941" xr:uid="{E44BE80A-6795-4BB6-813F-11CCBD6E1C40}"/>
    <cellStyle name="Normal 52 6 2" xfId="11010" xr:uid="{90C10485-04B0-4B90-9CED-D635CE16D7B1}"/>
    <cellStyle name="Normal 52 6 2 2" xfId="15216" xr:uid="{DFF90A1A-DC0E-4EF6-BDA1-77309BE91431}"/>
    <cellStyle name="Normal 52 6 3" xfId="13187" xr:uid="{7100B415-2EAB-4C3B-B9A3-63D08EBCA2CF}"/>
    <cellStyle name="Normal 52 7" xfId="9308" xr:uid="{05200234-2E62-4F21-BBBB-C83B5B2DB6A9}"/>
    <cellStyle name="Normal 52 7 2" xfId="11343" xr:uid="{A640EFF9-3A01-4847-A370-8D28AE3D77AE}"/>
    <cellStyle name="Normal 52 7 2 2" xfId="15549" xr:uid="{D47C09E5-9423-4698-9876-5103084C6C54}"/>
    <cellStyle name="Normal 52 7 3" xfId="13520" xr:uid="{32E0CE19-61A0-4330-892D-A44261325597}"/>
    <cellStyle name="Normal 52 8" xfId="9667" xr:uid="{DDF2C81F-CD20-48AD-88D4-2B39D4291420}"/>
    <cellStyle name="Normal 52 8 2" xfId="13873" xr:uid="{F211AF2E-7922-49FB-9A46-5AC7A918669C}"/>
    <cellStyle name="Normal 52 9" xfId="11843" xr:uid="{95A3726A-053E-4B5F-AC3B-840E04256FD0}"/>
    <cellStyle name="Normal 53" xfId="7523" xr:uid="{281D5343-E3B5-4A94-A75D-31918E6DA9D9}"/>
    <cellStyle name="Normal 53 2" xfId="7566" xr:uid="{37617781-28F5-4AEB-A4B0-C9ED58826E3A}"/>
    <cellStyle name="Normal 53 2 2" xfId="7766" xr:uid="{631C027E-6118-4984-A0BB-E5C067B45FF0}"/>
    <cellStyle name="Normal 53 2 2 2" xfId="8137" xr:uid="{5C410A18-82AC-49C2-B4F3-1565D31B3E1F}"/>
    <cellStyle name="Normal 53 2 2 2 2" xfId="8807" xr:uid="{81329212-7CC7-4389-A2DE-0BFF1E55B83E}"/>
    <cellStyle name="Normal 53 2 2 2 2 2" xfId="10876" xr:uid="{5AE0B4C6-7E50-43C5-9C24-5E9B6F98AA87}"/>
    <cellStyle name="Normal 53 2 2 2 2 2 2" xfId="15082" xr:uid="{2124BFEB-20B7-48BC-904A-2AFA2AE6F576}"/>
    <cellStyle name="Normal 53 2 2 2 2 3" xfId="13053" xr:uid="{6DB47E6D-A7CA-4CD1-A775-90AB5D11DE1F}"/>
    <cellStyle name="Normal 53 2 2 2 3" xfId="10206" xr:uid="{AD7E0876-F240-41A6-BA1A-F5965621C9CB}"/>
    <cellStyle name="Normal 53 2 2 2 3 2" xfId="14412" xr:uid="{9BE73D37-5D4B-4CF9-8C69-C113A23CB96B}"/>
    <cellStyle name="Normal 53 2 2 2 4" xfId="12383" xr:uid="{FDAFB42C-9E9C-4C79-BEA5-44391A75FE0B}"/>
    <cellStyle name="Normal 53 2 2 3" xfId="8473" xr:uid="{5A754C74-FDC8-4253-B2A9-1DA6F2607AE0}"/>
    <cellStyle name="Normal 53 2 2 3 2" xfId="10542" xr:uid="{B0CD9F79-2BBA-4570-B9F9-05B6E6829DEF}"/>
    <cellStyle name="Normal 53 2 2 3 2 2" xfId="14748" xr:uid="{F5513DC2-3A81-444F-B466-6393186D9E18}"/>
    <cellStyle name="Normal 53 2 2 3 3" xfId="12719" xr:uid="{1B715E17-AD36-4D02-A96E-85C6E52D0B0B}"/>
    <cellStyle name="Normal 53 2 2 4" xfId="9146" xr:uid="{0353DFA6-7A5E-45D2-8384-13D54DADD7F5}"/>
    <cellStyle name="Normal 53 2 2 4 2" xfId="11215" xr:uid="{7488971F-E396-4BE3-BFD1-4387EC6EC5E1}"/>
    <cellStyle name="Normal 53 2 2 4 2 2" xfId="15421" xr:uid="{3C6A9008-3055-4AFD-BF49-49DB806853BC}"/>
    <cellStyle name="Normal 53 2 2 4 3" xfId="13392" xr:uid="{5AC6C765-9520-4DD0-B88C-5889E0B71F1B}"/>
    <cellStyle name="Normal 53 2 2 5" xfId="9514" xr:uid="{CEA2A626-9DA0-4E16-B8B8-F52581917A5B}"/>
    <cellStyle name="Normal 53 2 2 5 2" xfId="11548" xr:uid="{AF994C51-6F2F-4B51-BD0F-3D0A892CE2D1}"/>
    <cellStyle name="Normal 53 2 2 5 2 2" xfId="15754" xr:uid="{CDFACE91-AD97-4A46-99C1-08BC9A46C527}"/>
    <cellStyle name="Normal 53 2 2 5 3" xfId="13725" xr:uid="{B587276F-B970-4103-84EC-F746259E28EE}"/>
    <cellStyle name="Normal 53 2 2 6" xfId="9872" xr:uid="{219251B3-92F9-405F-BBD0-8E20AA8B11DE}"/>
    <cellStyle name="Normal 53 2 2 6 2" xfId="14078" xr:uid="{BD51FEB8-4154-4C16-8290-8475A7F17647}"/>
    <cellStyle name="Normal 53 2 2 7" xfId="12049" xr:uid="{1144D8E7-6145-4886-8A8E-D26485C2C2D7}"/>
    <cellStyle name="Normal 53 2 3" xfId="7974" xr:uid="{F95970F1-B98C-430F-9398-3656946E8014}"/>
    <cellStyle name="Normal 53 2 3 2" xfId="8644" xr:uid="{EE6803D1-E800-4CD0-850D-DE5A17B484D9}"/>
    <cellStyle name="Normal 53 2 3 2 2" xfId="10713" xr:uid="{634A1766-F1AB-4192-BC2F-454077F44521}"/>
    <cellStyle name="Normal 53 2 3 2 2 2" xfId="14919" xr:uid="{0EFC6ED3-8578-48DF-AD7D-415BC4055A4F}"/>
    <cellStyle name="Normal 53 2 3 2 3" xfId="12890" xr:uid="{6739C197-E6C9-422F-A909-6B2B3237EA06}"/>
    <cellStyle name="Normal 53 2 3 3" xfId="10043" xr:uid="{A7F9FA34-9DA7-4C53-9AAC-E99F08A5DB69}"/>
    <cellStyle name="Normal 53 2 3 3 2" xfId="14249" xr:uid="{ACC56FAB-D212-4AC3-854E-5694DC08032C}"/>
    <cellStyle name="Normal 53 2 3 4" xfId="12220" xr:uid="{2623FBBC-68C5-40FD-A5A2-1001A6891866}"/>
    <cellStyle name="Normal 53 2 4" xfId="8310" xr:uid="{61BD5CB9-A86B-4075-9E6E-1A75D605D8BF}"/>
    <cellStyle name="Normal 53 2 4 2" xfId="10379" xr:uid="{ECBEE0A5-A12D-41EF-9863-F58DC8A03981}"/>
    <cellStyle name="Normal 53 2 4 2 2" xfId="14585" xr:uid="{5A436171-5414-4AC4-B428-C0620C10BEB5}"/>
    <cellStyle name="Normal 53 2 4 3" xfId="12556" xr:uid="{EB6F4E95-FB53-4B6D-85AA-50BFC3ABECB2}"/>
    <cellStyle name="Normal 53 2 5" xfId="8983" xr:uid="{1941D33B-D949-4C93-AAC3-F89B6C229317}"/>
    <cellStyle name="Normal 53 2 5 2" xfId="11052" xr:uid="{EDF99DC4-40B6-40AC-8FEA-9CAB166CC77F}"/>
    <cellStyle name="Normal 53 2 5 2 2" xfId="15258" xr:uid="{A5CD00EB-95C3-48FA-B14E-D6DBAC010E11}"/>
    <cellStyle name="Normal 53 2 5 3" xfId="13229" xr:uid="{1F257AA1-07A1-41C3-B069-8070A92C0B21}"/>
    <cellStyle name="Normal 53 2 6" xfId="9351" xr:uid="{A68270B8-BD9D-4A91-A714-0F4ED5A4B1E9}"/>
    <cellStyle name="Normal 53 2 6 2" xfId="11385" xr:uid="{2A2B7E54-5FF7-4C29-9371-229AD6A23559}"/>
    <cellStyle name="Normal 53 2 6 2 2" xfId="15591" xr:uid="{9A2557F8-6148-4518-AFE0-F4E93A4870FF}"/>
    <cellStyle name="Normal 53 2 6 3" xfId="13562" xr:uid="{2060977E-9FA3-400E-BAC0-A7B7054BF056}"/>
    <cellStyle name="Normal 53 2 7" xfId="9709" xr:uid="{4509657B-327D-4A67-B9A7-543DF94E7D5D}"/>
    <cellStyle name="Normal 53 2 7 2" xfId="13915" xr:uid="{02D50EAE-30CD-4A02-8324-CEE88A8C90CB}"/>
    <cellStyle name="Normal 53 2 8" xfId="11886" xr:uid="{C344BD49-96F1-4E88-988A-A92397DE1A56}"/>
    <cellStyle name="Normal 53 3" xfId="7725" xr:uid="{34F2CBEA-3089-43D4-A4AE-6149E3C14D0B}"/>
    <cellStyle name="Normal 53 3 2" xfId="8096" xr:uid="{35CB7BD3-F309-4ECA-AF79-3208223C7D23}"/>
    <cellStyle name="Normal 53 3 2 2" xfId="8766" xr:uid="{BA38E250-90E5-42E2-B12E-3B739DF3C4EC}"/>
    <cellStyle name="Normal 53 3 2 2 2" xfId="10835" xr:uid="{09FDA8C3-2C56-4747-9B2F-AF48252294C1}"/>
    <cellStyle name="Normal 53 3 2 2 2 2" xfId="15041" xr:uid="{368A11E4-3A32-41C6-AE46-64C53BEAF0E9}"/>
    <cellStyle name="Normal 53 3 2 2 3" xfId="13012" xr:uid="{FE6ED4AA-5D79-4EFE-B9D6-24E1FC84AA92}"/>
    <cellStyle name="Normal 53 3 2 3" xfId="10165" xr:uid="{EE241B28-49B1-427C-AAB9-E1EB040C1478}"/>
    <cellStyle name="Normal 53 3 2 3 2" xfId="14371" xr:uid="{C92DD978-276B-415C-BA80-E05C3185F40C}"/>
    <cellStyle name="Normal 53 3 2 4" xfId="12342" xr:uid="{8387D10B-786C-4DC6-96F5-F7EDA8B2219D}"/>
    <cellStyle name="Normal 53 3 3" xfId="8432" xr:uid="{060F04D3-46B7-47B5-A3BC-75D62F6EC736}"/>
    <cellStyle name="Normal 53 3 3 2" xfId="10501" xr:uid="{F039810F-363E-449A-8D83-C786EF163291}"/>
    <cellStyle name="Normal 53 3 3 2 2" xfId="14707" xr:uid="{5D65C917-312F-4A31-8255-FB3D7D68B4C7}"/>
    <cellStyle name="Normal 53 3 3 3" xfId="12678" xr:uid="{E4CE1879-C29C-4600-8210-344A5BBE4961}"/>
    <cellStyle name="Normal 53 3 4" xfId="9105" xr:uid="{5592B986-C9A3-4EFE-984D-00D6550CE0C6}"/>
    <cellStyle name="Normal 53 3 4 2" xfId="11174" xr:uid="{70A9BB14-16C8-4042-9F77-99CD15383B49}"/>
    <cellStyle name="Normal 53 3 4 2 2" xfId="15380" xr:uid="{72E832A7-0E35-4206-813A-A85200462215}"/>
    <cellStyle name="Normal 53 3 4 3" xfId="13351" xr:uid="{A7EF22E2-CA7C-4F28-B025-BDD9A181E440}"/>
    <cellStyle name="Normal 53 3 5" xfId="9473" xr:uid="{948481A5-71D8-4BF9-B6E2-A4C8F2817AF8}"/>
    <cellStyle name="Normal 53 3 5 2" xfId="11507" xr:uid="{E686F779-B4E9-413D-91AE-0522E216CF3A}"/>
    <cellStyle name="Normal 53 3 5 2 2" xfId="15713" xr:uid="{5CAFCC04-36C8-43B0-A7EC-9A0897A5250B}"/>
    <cellStyle name="Normal 53 3 5 3" xfId="13684" xr:uid="{E2083038-0F91-4B64-8499-BC3E2CF272DA}"/>
    <cellStyle name="Normal 53 3 6" xfId="9831" xr:uid="{C6164ECE-03D5-45CF-9B88-D6C23FFBF000}"/>
    <cellStyle name="Normal 53 3 6 2" xfId="14037" xr:uid="{73F48A46-7C7B-472B-B89F-1DB255A3C858}"/>
    <cellStyle name="Normal 53 3 7" xfId="12008" xr:uid="{F6789BEF-5474-48B4-9C82-E62EF3A130E9}"/>
    <cellStyle name="Normal 53 4" xfId="7933" xr:uid="{B0723CF0-44E1-46EF-9D67-27DC84EDB145}"/>
    <cellStyle name="Normal 53 4 2" xfId="8603" xr:uid="{AEAB9FA6-7B2D-43B1-98FF-66BA235F5FA9}"/>
    <cellStyle name="Normal 53 4 2 2" xfId="10672" xr:uid="{9BD3D40C-B693-415B-8171-1D27A0802FD4}"/>
    <cellStyle name="Normal 53 4 2 2 2" xfId="14878" xr:uid="{BA1F2CB7-D97E-4677-A938-EBABCC1DD21F}"/>
    <cellStyle name="Normal 53 4 2 3" xfId="12849" xr:uid="{2539A350-2800-4F36-9A8E-CAF3B8BD14FD}"/>
    <cellStyle name="Normal 53 4 3" xfId="10002" xr:uid="{C781E4E7-6143-42F5-9CCC-B3096C2948C5}"/>
    <cellStyle name="Normal 53 4 3 2" xfId="14208" xr:uid="{D1323CE3-232C-41C5-9D81-CBD6E82981E7}"/>
    <cellStyle name="Normal 53 4 4" xfId="12179" xr:uid="{CB190029-EF2E-4930-9766-7C919D4F83A4}"/>
    <cellStyle name="Normal 53 5" xfId="8269" xr:uid="{AD11AC67-B841-47EF-A297-8A85FBF759D4}"/>
    <cellStyle name="Normal 53 5 2" xfId="10338" xr:uid="{4C9513A2-2991-40E8-967D-BF8A77B96339}"/>
    <cellStyle name="Normal 53 5 2 2" xfId="14544" xr:uid="{5DFDCAFA-DC5E-49E2-A725-6A458D4DB4CB}"/>
    <cellStyle name="Normal 53 5 3" xfId="12515" xr:uid="{09A5333D-E386-48A9-8A4B-8F7B59035F5F}"/>
    <cellStyle name="Normal 53 6" xfId="8942" xr:uid="{465B4314-B3D4-4C9C-B7AE-5194BAD47C50}"/>
    <cellStyle name="Normal 53 6 2" xfId="11011" xr:uid="{DF1F2AA7-FCC9-4C56-9952-5536A36FB9E2}"/>
    <cellStyle name="Normal 53 6 2 2" xfId="15217" xr:uid="{240CE436-216E-4E95-9E05-A852E630DDAB}"/>
    <cellStyle name="Normal 53 6 3" xfId="13188" xr:uid="{6693C2E4-166D-4711-8011-E03BE3BB52E2}"/>
    <cellStyle name="Normal 53 7" xfId="9309" xr:uid="{92C3F07A-26C9-4463-B064-4E8054EDD25E}"/>
    <cellStyle name="Normal 53 7 2" xfId="11344" xr:uid="{9A05F77E-0531-4B5E-B4AF-EF78B81E125D}"/>
    <cellStyle name="Normal 53 7 2 2" xfId="15550" xr:uid="{F9C09A6A-4093-4776-A6C7-A591A0AE3711}"/>
    <cellStyle name="Normal 53 7 3" xfId="13521" xr:uid="{E4E46BB7-22EF-4950-9B66-263A390E4D3B}"/>
    <cellStyle name="Normal 53 8" xfId="9668" xr:uid="{8A176068-128B-4438-A176-7E3C285C8161}"/>
    <cellStyle name="Normal 53 8 2" xfId="13874" xr:uid="{7E078F99-27EB-4416-B5CD-57B28FC64E77}"/>
    <cellStyle name="Normal 53 9" xfId="11844" xr:uid="{594054F5-F82F-4381-807B-62C338D8979C}"/>
    <cellStyle name="Normal 54" xfId="7524" xr:uid="{2EA82456-35BD-451E-9ADA-587797C392AD}"/>
    <cellStyle name="Normal 54 2" xfId="7567" xr:uid="{519A933E-572B-4B1F-AB07-F6099879B35E}"/>
    <cellStyle name="Normal 54 2 2" xfId="7767" xr:uid="{932EFE00-A840-4AA9-B60F-8EDD339B288F}"/>
    <cellStyle name="Normal 54 2 2 2" xfId="8138" xr:uid="{7483FD85-CF16-408C-AB7B-83A42A3BE370}"/>
    <cellStyle name="Normal 54 2 2 2 2" xfId="8808" xr:uid="{0344CC72-9EB3-4DB5-ACD9-55AB530442AC}"/>
    <cellStyle name="Normal 54 2 2 2 2 2" xfId="10877" xr:uid="{69DDBD92-58FA-4417-BF31-1BD6E8914968}"/>
    <cellStyle name="Normal 54 2 2 2 2 2 2" xfId="15083" xr:uid="{78BA17A4-84A4-4238-8600-BC1A61ECC0FF}"/>
    <cellStyle name="Normal 54 2 2 2 2 3" xfId="13054" xr:uid="{E5F098CA-FD7F-4A71-B8D2-2059D989F31F}"/>
    <cellStyle name="Normal 54 2 2 2 3" xfId="10207" xr:uid="{7EFEDA25-04F9-4A3E-A454-CDDE3E624DD5}"/>
    <cellStyle name="Normal 54 2 2 2 3 2" xfId="14413" xr:uid="{A3678FA0-B011-40D8-8E57-5EC43660899C}"/>
    <cellStyle name="Normal 54 2 2 2 4" xfId="12384" xr:uid="{7DF8060F-EB79-4E77-ADE5-BB5C7917F372}"/>
    <cellStyle name="Normal 54 2 2 3" xfId="8474" xr:uid="{28CC030F-E0AC-41CE-A226-B08CDA07A36E}"/>
    <cellStyle name="Normal 54 2 2 3 2" xfId="10543" xr:uid="{22880818-ADE9-4A19-88C6-9A809F284DC3}"/>
    <cellStyle name="Normal 54 2 2 3 2 2" xfId="14749" xr:uid="{1D6E2085-783B-434E-BC48-4E201AEFBB4E}"/>
    <cellStyle name="Normal 54 2 2 3 3" xfId="12720" xr:uid="{AABFBD53-6435-4BE7-8AA4-310C0DF6BE63}"/>
    <cellStyle name="Normal 54 2 2 4" xfId="9147" xr:uid="{8992B6FE-C47E-4397-ADB9-E6C25072353B}"/>
    <cellStyle name="Normal 54 2 2 4 2" xfId="11216" xr:uid="{B02DE1D2-A9BF-46BB-AE4A-104950BAE6FC}"/>
    <cellStyle name="Normal 54 2 2 4 2 2" xfId="15422" xr:uid="{568BBB9D-FB31-49BF-A83C-3D49602C87C3}"/>
    <cellStyle name="Normal 54 2 2 4 3" xfId="13393" xr:uid="{07B75C7B-4016-4AEB-A4F0-E8FDE5900FDB}"/>
    <cellStyle name="Normal 54 2 2 5" xfId="9515" xr:uid="{5718DA27-E2EB-49B9-BAFD-BB922741F35D}"/>
    <cellStyle name="Normal 54 2 2 5 2" xfId="11549" xr:uid="{DDF59D45-D55A-47A4-A3C4-196FF1C0B015}"/>
    <cellStyle name="Normal 54 2 2 5 2 2" xfId="15755" xr:uid="{20561C7F-C879-41F9-A470-1C4755DF59F5}"/>
    <cellStyle name="Normal 54 2 2 5 3" xfId="13726" xr:uid="{175652DD-BC5E-44ED-888C-9954355C2BDD}"/>
    <cellStyle name="Normal 54 2 2 6" xfId="9873" xr:uid="{1653E4CE-01BF-4C9C-8E27-3CA5045C3943}"/>
    <cellStyle name="Normal 54 2 2 6 2" xfId="14079" xr:uid="{45512CB9-586E-4B3A-B30F-190FE2B69CFC}"/>
    <cellStyle name="Normal 54 2 2 7" xfId="12050" xr:uid="{BE7DE769-5E28-4B41-A668-C029CF2D57F3}"/>
    <cellStyle name="Normal 54 2 3" xfId="7975" xr:uid="{8AD915FD-C3EE-4CA8-83BC-1442B36EA41B}"/>
    <cellStyle name="Normal 54 2 3 2" xfId="8645" xr:uid="{24E2A5C4-7F5F-4763-9608-440AEBF9CA2C}"/>
    <cellStyle name="Normal 54 2 3 2 2" xfId="10714" xr:uid="{344AB7AA-890E-4FC4-ADB9-604070F98753}"/>
    <cellStyle name="Normal 54 2 3 2 2 2" xfId="14920" xr:uid="{DDD01637-72DE-45DE-B759-68130FBB9403}"/>
    <cellStyle name="Normal 54 2 3 2 3" xfId="12891" xr:uid="{B38636F0-C8F3-41AF-8BEC-E64B3176D1BE}"/>
    <cellStyle name="Normal 54 2 3 3" xfId="10044" xr:uid="{DF5AF869-A21C-45AD-AD3A-B8E629C35E5F}"/>
    <cellStyle name="Normal 54 2 3 3 2" xfId="14250" xr:uid="{4905D002-46DF-4A67-A40D-64D5A3690D3D}"/>
    <cellStyle name="Normal 54 2 3 4" xfId="12221" xr:uid="{B6B05208-15B7-4D3F-8416-E3E87C46A8DD}"/>
    <cellStyle name="Normal 54 2 4" xfId="8311" xr:uid="{ECDCFBB0-47B7-4704-94AA-69E079217791}"/>
    <cellStyle name="Normal 54 2 4 2" xfId="10380" xr:uid="{D77DCBB2-FDFB-433C-A54A-78AE0707F223}"/>
    <cellStyle name="Normal 54 2 4 2 2" xfId="14586" xr:uid="{85F524AA-6C5D-40E7-9A6B-BE0140481A04}"/>
    <cellStyle name="Normal 54 2 4 3" xfId="12557" xr:uid="{9D9826E9-5113-4EDF-ACE3-949B8FB2E330}"/>
    <cellStyle name="Normal 54 2 5" xfId="8984" xr:uid="{4C16F250-3535-45BA-9936-927767AB6FD6}"/>
    <cellStyle name="Normal 54 2 5 2" xfId="11053" xr:uid="{48A8CB64-1066-48DA-BDD6-DCD2A8AFBA39}"/>
    <cellStyle name="Normal 54 2 5 2 2" xfId="15259" xr:uid="{86DC796E-2100-4ECD-8336-48CE201D4B77}"/>
    <cellStyle name="Normal 54 2 5 3" xfId="13230" xr:uid="{676CF0A3-3BA7-47AE-A373-BB45275D0160}"/>
    <cellStyle name="Normal 54 2 6" xfId="9352" xr:uid="{A8B844BE-108F-41A4-A77A-AF7CAAE571BD}"/>
    <cellStyle name="Normal 54 2 6 2" xfId="11386" xr:uid="{1A004B06-8395-4D4E-B60F-C82843D14D1F}"/>
    <cellStyle name="Normal 54 2 6 2 2" xfId="15592" xr:uid="{90120224-2E00-4058-B92C-117821DC3310}"/>
    <cellStyle name="Normal 54 2 6 3" xfId="13563" xr:uid="{86D3B8D5-4BD2-4F70-8BA0-ADA621DE73E4}"/>
    <cellStyle name="Normal 54 2 7" xfId="9710" xr:uid="{3D82A74B-7521-4B55-8455-A04648968287}"/>
    <cellStyle name="Normal 54 2 7 2" xfId="13916" xr:uid="{3CA0DCB1-8DCC-4657-9E51-12CBDAEA130C}"/>
    <cellStyle name="Normal 54 2 8" xfId="11887" xr:uid="{8423D411-9F90-443D-9380-350E34B6E08A}"/>
    <cellStyle name="Normal 54 3" xfId="7726" xr:uid="{A52AD686-DC9A-4824-B6E4-AFD82EA726E3}"/>
    <cellStyle name="Normal 54 3 2" xfId="8097" xr:uid="{6EE668D6-B3B6-49F2-9722-2E283DED7347}"/>
    <cellStyle name="Normal 54 3 2 2" xfId="8767" xr:uid="{1F72077C-45AA-4874-A6AD-1429CDC50DF4}"/>
    <cellStyle name="Normal 54 3 2 2 2" xfId="10836" xr:uid="{0A577ACA-E4BE-4D80-B364-FE8B9741B136}"/>
    <cellStyle name="Normal 54 3 2 2 2 2" xfId="15042" xr:uid="{CAADACFA-D0F1-4A5F-A9E8-65E2E64356A4}"/>
    <cellStyle name="Normal 54 3 2 2 3" xfId="13013" xr:uid="{36763D27-DEE4-4103-946B-84B5C7706663}"/>
    <cellStyle name="Normal 54 3 2 3" xfId="10166" xr:uid="{EF0325C7-7902-4076-AACF-FAA2F64BF5DE}"/>
    <cellStyle name="Normal 54 3 2 3 2" xfId="14372" xr:uid="{746857E2-948E-40E3-A1A8-B7DAB428972A}"/>
    <cellStyle name="Normal 54 3 2 4" xfId="12343" xr:uid="{19707A96-5EC0-45A1-A2C3-132A763C8539}"/>
    <cellStyle name="Normal 54 3 3" xfId="8433" xr:uid="{3654FB0D-B044-413D-BA0E-C76B035AA65C}"/>
    <cellStyle name="Normal 54 3 3 2" xfId="10502" xr:uid="{8BF80182-6487-459E-96C4-7D0302B238AB}"/>
    <cellStyle name="Normal 54 3 3 2 2" xfId="14708" xr:uid="{617C4F98-2C16-4A5E-8CA4-E53E940F49D2}"/>
    <cellStyle name="Normal 54 3 3 3" xfId="12679" xr:uid="{B0253242-B7CF-43A5-BBAD-80EBC61F3AF8}"/>
    <cellStyle name="Normal 54 3 4" xfId="9106" xr:uid="{A616CB55-4F86-48DE-9832-BB77431CD124}"/>
    <cellStyle name="Normal 54 3 4 2" xfId="11175" xr:uid="{B43FDA37-4CFD-483E-8497-9B4BBF635217}"/>
    <cellStyle name="Normal 54 3 4 2 2" xfId="15381" xr:uid="{B4677E26-B074-47B6-90D1-8052997122A1}"/>
    <cellStyle name="Normal 54 3 4 3" xfId="13352" xr:uid="{56A37DD5-E7CF-49D2-BCD4-6F7B2B198000}"/>
    <cellStyle name="Normal 54 3 5" xfId="9474" xr:uid="{69B0DD4B-194D-4B97-B155-35EFD32A0471}"/>
    <cellStyle name="Normal 54 3 5 2" xfId="11508" xr:uid="{5A90216C-FF5C-4E8C-8767-7E6FA4ECD180}"/>
    <cellStyle name="Normal 54 3 5 2 2" xfId="15714" xr:uid="{77707CF9-A6FC-430A-8841-B283011F5885}"/>
    <cellStyle name="Normal 54 3 5 3" xfId="13685" xr:uid="{627B590F-8C69-4D7D-AD14-68873BAC26DC}"/>
    <cellStyle name="Normal 54 3 6" xfId="9832" xr:uid="{FFBB3C8C-A6C0-4468-916E-9966131B4054}"/>
    <cellStyle name="Normal 54 3 6 2" xfId="14038" xr:uid="{EE5A5682-BBFE-4F0C-A953-A7ABE83B0F12}"/>
    <cellStyle name="Normal 54 3 7" xfId="12009" xr:uid="{2DEEDADC-D227-4D31-825F-4DAD3EB0FF00}"/>
    <cellStyle name="Normal 54 4" xfId="7934" xr:uid="{DD50C318-0433-4689-8CEC-69FD73596A37}"/>
    <cellStyle name="Normal 54 4 2" xfId="8604" xr:uid="{EC854FC9-7E01-494A-99E9-3B05E9F89437}"/>
    <cellStyle name="Normal 54 4 2 2" xfId="10673" xr:uid="{48FEDFFB-9ED9-4847-AEAF-F05A622670CE}"/>
    <cellStyle name="Normal 54 4 2 2 2" xfId="14879" xr:uid="{D64905BE-B414-40E1-AFD6-6C0819EA4431}"/>
    <cellStyle name="Normal 54 4 2 3" xfId="12850" xr:uid="{BB266E33-F8E8-47F3-842A-98515CAEE363}"/>
    <cellStyle name="Normal 54 4 3" xfId="10003" xr:uid="{B31CFD62-0479-4EE2-A207-50ACD2350A1F}"/>
    <cellStyle name="Normal 54 4 3 2" xfId="14209" xr:uid="{9A45EAF8-C94D-43A5-804B-C260D661120F}"/>
    <cellStyle name="Normal 54 4 4" xfId="12180" xr:uid="{4C120508-BDE3-4A3D-B056-E8B10B0ABD84}"/>
    <cellStyle name="Normal 54 5" xfId="8270" xr:uid="{4322E159-4E0A-4C60-B53B-94F517472610}"/>
    <cellStyle name="Normal 54 5 2" xfId="10339" xr:uid="{B3010E8C-B3FA-4C80-957B-81ADCD14E26F}"/>
    <cellStyle name="Normal 54 5 2 2" xfId="14545" xr:uid="{DD2E0557-753A-4EE5-8A6E-FE0588146BEF}"/>
    <cellStyle name="Normal 54 5 3" xfId="12516" xr:uid="{AD41E474-46CC-4EA9-A688-85C4789D4A32}"/>
    <cellStyle name="Normal 54 6" xfId="8943" xr:uid="{C1F1CF1A-2CDD-4E6E-8AF4-5A0CAE7F57BC}"/>
    <cellStyle name="Normal 54 6 2" xfId="11012" xr:uid="{CEDD0F4D-4CEC-48B6-B60E-0E4A4060BE00}"/>
    <cellStyle name="Normal 54 6 2 2" xfId="15218" xr:uid="{ECDAFFCA-0CDA-430F-9FCE-987AB81A30DA}"/>
    <cellStyle name="Normal 54 6 3" xfId="13189" xr:uid="{3497EC19-F4C5-484B-9BD1-452E23A9D388}"/>
    <cellStyle name="Normal 54 7" xfId="9310" xr:uid="{D18D05B9-C1FF-4C25-9FEC-C6445CC1AE18}"/>
    <cellStyle name="Normal 54 7 2" xfId="11345" xr:uid="{66A8AB20-6E0F-4E6F-AC51-6D9E793B75E2}"/>
    <cellStyle name="Normal 54 7 2 2" xfId="15551" xr:uid="{C88D36C9-E558-4CEA-8E9D-173CE7619E08}"/>
    <cellStyle name="Normal 54 7 3" xfId="13522" xr:uid="{96081ADA-8404-4AAA-9B12-BF67D80FAE95}"/>
    <cellStyle name="Normal 54 8" xfId="9669" xr:uid="{B1111C03-9DC7-47EA-B0A3-05077B7070BB}"/>
    <cellStyle name="Normal 54 8 2" xfId="13875" xr:uid="{A4CCE915-983F-4B4B-BB56-1038E1272BE6}"/>
    <cellStyle name="Normal 54 9" xfId="11845" xr:uid="{B54B157B-E9A7-4B6C-AEF0-2096687B0839}"/>
    <cellStyle name="Normal 55" xfId="7525" xr:uid="{FC5485EC-C0FB-40CF-A8F1-4B313D1B0519}"/>
    <cellStyle name="Normal 55 2" xfId="7568" xr:uid="{803911CF-6225-453F-ACFA-C46D14F56EED}"/>
    <cellStyle name="Normal 55 2 2" xfId="7768" xr:uid="{68C47798-88B1-4CC9-B741-41E022CD3032}"/>
    <cellStyle name="Normal 55 2 2 2" xfId="8139" xr:uid="{72FB3D1B-24D5-47EF-976A-ECFA7CD93947}"/>
    <cellStyle name="Normal 55 2 2 2 2" xfId="8809" xr:uid="{4C2CA460-90AF-4EF8-AF0D-FBA12BA7B857}"/>
    <cellStyle name="Normal 55 2 2 2 2 2" xfId="10878" xr:uid="{2CFB2CF8-317C-4DF8-877A-303EBED84AC8}"/>
    <cellStyle name="Normal 55 2 2 2 2 2 2" xfId="15084" xr:uid="{8F00A532-506D-4864-A4E9-85B06A12D019}"/>
    <cellStyle name="Normal 55 2 2 2 2 3" xfId="13055" xr:uid="{A16E3563-67AF-430A-A0D6-01E96F527FE9}"/>
    <cellStyle name="Normal 55 2 2 2 3" xfId="10208" xr:uid="{E9F0EA1D-52E1-4FDF-B2AC-1FF93071DDB8}"/>
    <cellStyle name="Normal 55 2 2 2 3 2" xfId="14414" xr:uid="{056D350B-107B-41BD-B8B9-5E62978B42B6}"/>
    <cellStyle name="Normal 55 2 2 2 4" xfId="12385" xr:uid="{D953CA03-E0E5-4205-9C8D-79E76E0CB8AF}"/>
    <cellStyle name="Normal 55 2 2 3" xfId="8475" xr:uid="{531E5840-2DCE-46A7-8D8E-CDEA0EED02A7}"/>
    <cellStyle name="Normal 55 2 2 3 2" xfId="10544" xr:uid="{636B6188-8664-4F76-BC60-27063AA58D5D}"/>
    <cellStyle name="Normal 55 2 2 3 2 2" xfId="14750" xr:uid="{C2DC4434-A565-4A48-8C5B-DAD332176A3D}"/>
    <cellStyle name="Normal 55 2 2 3 3" xfId="12721" xr:uid="{1C832D76-499E-4052-8870-5515B8B3E99F}"/>
    <cellStyle name="Normal 55 2 2 4" xfId="9148" xr:uid="{F94E7173-BD11-4387-B9F1-93C73B471C9E}"/>
    <cellStyle name="Normal 55 2 2 4 2" xfId="11217" xr:uid="{CB2A98EC-D4C5-4E2F-A6E7-3EBE8EF7EFBA}"/>
    <cellStyle name="Normal 55 2 2 4 2 2" xfId="15423" xr:uid="{21440A13-31A7-494F-AFBE-2CD8FF1B6362}"/>
    <cellStyle name="Normal 55 2 2 4 3" xfId="13394" xr:uid="{87279A88-E030-4989-9EE2-A4383A84C8FB}"/>
    <cellStyle name="Normal 55 2 2 5" xfId="9516" xr:uid="{938D7F84-6702-489F-80FF-5437F04DB926}"/>
    <cellStyle name="Normal 55 2 2 5 2" xfId="11550" xr:uid="{45F8E223-73D5-40B6-932E-C47150AA7DBF}"/>
    <cellStyle name="Normal 55 2 2 5 2 2" xfId="15756" xr:uid="{EF880A71-13C5-463C-8722-4B77FF55B1DF}"/>
    <cellStyle name="Normal 55 2 2 5 3" xfId="13727" xr:uid="{4759ED9D-6769-4BD6-9AB0-6151561FE1BF}"/>
    <cellStyle name="Normal 55 2 2 6" xfId="9874" xr:uid="{9F223592-0AAD-4866-B695-E726DE9CDE6C}"/>
    <cellStyle name="Normal 55 2 2 6 2" xfId="14080" xr:uid="{F1A9FD49-54F8-475A-89B7-DE92AB63C7B5}"/>
    <cellStyle name="Normal 55 2 2 7" xfId="12051" xr:uid="{320DD41D-B57F-487A-AC59-66BCB385BF79}"/>
    <cellStyle name="Normal 55 2 3" xfId="7976" xr:uid="{A04EE278-DC12-4D63-8D57-760BD18DAC26}"/>
    <cellStyle name="Normal 55 2 3 2" xfId="8646" xr:uid="{D049B487-04DD-4DB0-BB5B-0A035D66EA49}"/>
    <cellStyle name="Normal 55 2 3 2 2" xfId="10715" xr:uid="{46CF4844-43CC-47D8-9F33-D3F8DF0E60AD}"/>
    <cellStyle name="Normal 55 2 3 2 2 2" xfId="14921" xr:uid="{B049AD7F-7C29-4A39-BE72-D9642945CBA1}"/>
    <cellStyle name="Normal 55 2 3 2 3" xfId="12892" xr:uid="{78BA777B-C318-47C3-9DDE-2B97B17C0E25}"/>
    <cellStyle name="Normal 55 2 3 3" xfId="10045" xr:uid="{BEA61F09-1320-4A71-9F51-700AF355374C}"/>
    <cellStyle name="Normal 55 2 3 3 2" xfId="14251" xr:uid="{24C66881-3068-4F5E-8984-C83C8BAA6055}"/>
    <cellStyle name="Normal 55 2 3 4" xfId="12222" xr:uid="{48CCA4C0-8228-46A4-8EAA-EE2857F171D0}"/>
    <cellStyle name="Normal 55 2 4" xfId="8312" xr:uid="{F74C8022-76F3-4036-B7D0-A0F311FF3FF8}"/>
    <cellStyle name="Normal 55 2 4 2" xfId="10381" xr:uid="{DC0F55C4-98AF-433D-9A23-E9EFC6270DD7}"/>
    <cellStyle name="Normal 55 2 4 2 2" xfId="14587" xr:uid="{60FF30D0-EA65-4132-9208-F7D271FF2AB7}"/>
    <cellStyle name="Normal 55 2 4 3" xfId="12558" xr:uid="{7B9DF392-3BE8-4D5B-88CD-29560E69FFE4}"/>
    <cellStyle name="Normal 55 2 5" xfId="8985" xr:uid="{B7BDD532-67A8-4865-96C7-27DCC4AC5EB7}"/>
    <cellStyle name="Normal 55 2 5 2" xfId="11054" xr:uid="{074F5A00-2816-46FE-952E-7898F55A44CC}"/>
    <cellStyle name="Normal 55 2 5 2 2" xfId="15260" xr:uid="{744C65C2-A041-4F38-B9D0-383688B31BF4}"/>
    <cellStyle name="Normal 55 2 5 3" xfId="13231" xr:uid="{CD5B3AF0-765F-4EA2-AF09-EAF6563E698C}"/>
    <cellStyle name="Normal 55 2 6" xfId="9353" xr:uid="{3460DA8B-02D2-4903-BFA3-56A07A5C7A93}"/>
    <cellStyle name="Normal 55 2 6 2" xfId="11387" xr:uid="{9C2FD875-127A-403D-9EAF-3CE6F5361AE1}"/>
    <cellStyle name="Normal 55 2 6 2 2" xfId="15593" xr:uid="{8763B11F-583F-4E09-91FA-AB079DC18DE0}"/>
    <cellStyle name="Normal 55 2 6 3" xfId="13564" xr:uid="{C9C001B8-B349-4F03-A587-D16AB0EE07F0}"/>
    <cellStyle name="Normal 55 2 7" xfId="9711" xr:uid="{9970B2F0-CA5F-46E6-94AE-C30CDF1E04C5}"/>
    <cellStyle name="Normal 55 2 7 2" xfId="13917" xr:uid="{0469368F-CC40-472C-B880-CD5EB4E09559}"/>
    <cellStyle name="Normal 55 2 8" xfId="11888" xr:uid="{7C56B9C1-724F-4AE9-986B-5DF70A8CFF23}"/>
    <cellStyle name="Normal 55 3" xfId="7727" xr:uid="{DB1C4F8D-A453-47D2-BC52-B9018719D478}"/>
    <cellStyle name="Normal 55 3 2" xfId="8098" xr:uid="{8AEC4420-82E1-4AF7-951F-89673C61E382}"/>
    <cellStyle name="Normal 55 3 2 2" xfId="8768" xr:uid="{2F873A7D-1185-4829-8D5A-415BED833ABC}"/>
    <cellStyle name="Normal 55 3 2 2 2" xfId="10837" xr:uid="{0573C170-5B5F-4C12-9A82-25B0F570E945}"/>
    <cellStyle name="Normal 55 3 2 2 2 2" xfId="15043" xr:uid="{2D55E67F-02E3-4A0E-B080-B49D87BDA16E}"/>
    <cellStyle name="Normal 55 3 2 2 3" xfId="13014" xr:uid="{5B955995-BE19-4961-B59D-A6BD5CBF725C}"/>
    <cellStyle name="Normal 55 3 2 3" xfId="10167" xr:uid="{A1D02A25-B773-4EEF-B345-493C64BD666F}"/>
    <cellStyle name="Normal 55 3 2 3 2" xfId="14373" xr:uid="{DACF95B8-5791-4526-8FB6-83006D53DE6D}"/>
    <cellStyle name="Normal 55 3 2 4" xfId="12344" xr:uid="{907DF05A-441B-4ADB-B532-BAFBF200A3CF}"/>
    <cellStyle name="Normal 55 3 3" xfId="8434" xr:uid="{FAC3D348-19C9-45CC-B982-25D060F51AF0}"/>
    <cellStyle name="Normal 55 3 3 2" xfId="10503" xr:uid="{B45330A4-790A-452F-BD67-55C7B2C0B75A}"/>
    <cellStyle name="Normal 55 3 3 2 2" xfId="14709" xr:uid="{C0081BF0-E578-4B65-B521-7A549A2B5DB3}"/>
    <cellStyle name="Normal 55 3 3 3" xfId="12680" xr:uid="{4253019D-0B00-4A1A-B553-154F908EED23}"/>
    <cellStyle name="Normal 55 3 4" xfId="9107" xr:uid="{7B471FA3-3162-4D55-A19C-B141E3FAE0DC}"/>
    <cellStyle name="Normal 55 3 4 2" xfId="11176" xr:uid="{D1E858BA-9C47-4C57-A52D-595766B04690}"/>
    <cellStyle name="Normal 55 3 4 2 2" xfId="15382" xr:uid="{309F8722-57AD-404C-BDD0-7F0B3788AA94}"/>
    <cellStyle name="Normal 55 3 4 3" xfId="13353" xr:uid="{F8B409A9-7E4D-4AAD-93A1-3BEAE0F80FB3}"/>
    <cellStyle name="Normal 55 3 5" xfId="9475" xr:uid="{56AD01B6-201C-4984-BAFA-C09DA9478093}"/>
    <cellStyle name="Normal 55 3 5 2" xfId="11509" xr:uid="{D05F803E-D3A5-4C5A-AC01-B44D1D84096C}"/>
    <cellStyle name="Normal 55 3 5 2 2" xfId="15715" xr:uid="{30E3575E-1357-4110-9BE9-DD61AA8E9A5F}"/>
    <cellStyle name="Normal 55 3 5 3" xfId="13686" xr:uid="{2817F6D2-1A38-40C7-A6FB-866795A6773E}"/>
    <cellStyle name="Normal 55 3 6" xfId="9833" xr:uid="{9AAE4568-BA45-48CA-AAA3-B244A9EA89BE}"/>
    <cellStyle name="Normal 55 3 6 2" xfId="14039" xr:uid="{424DFE1B-66D1-47B6-953B-802AF4980865}"/>
    <cellStyle name="Normal 55 3 7" xfId="12010" xr:uid="{E7A33ADA-C0CD-4396-8FC9-B61D4240880B}"/>
    <cellStyle name="Normal 55 4" xfId="7935" xr:uid="{82F698AE-CBCC-4AB0-9BB8-2B4E68522AC2}"/>
    <cellStyle name="Normal 55 4 2" xfId="8605" xr:uid="{5D46BF2A-D0BF-4273-A79F-46CA6D972996}"/>
    <cellStyle name="Normal 55 4 2 2" xfId="10674" xr:uid="{68275943-9DBA-4D17-A749-C4074CEEF98A}"/>
    <cellStyle name="Normal 55 4 2 2 2" xfId="14880" xr:uid="{FEDCC3E6-3FE3-4482-B5AA-48462B411B2F}"/>
    <cellStyle name="Normal 55 4 2 3" xfId="12851" xr:uid="{124033F4-966B-4262-A13F-5B36FA868392}"/>
    <cellStyle name="Normal 55 4 3" xfId="10004" xr:uid="{FEE9CB6C-800D-496B-8BF6-6E2E48D9549F}"/>
    <cellStyle name="Normal 55 4 3 2" xfId="14210" xr:uid="{361E37DF-35D9-424E-B40B-388C32DCB2A9}"/>
    <cellStyle name="Normal 55 4 4" xfId="12181" xr:uid="{FEF38B3E-3F6B-404C-AA7A-C05593246494}"/>
    <cellStyle name="Normal 55 5" xfId="8271" xr:uid="{BD3F50CC-43C6-47AF-A181-567A32EA42B1}"/>
    <cellStyle name="Normal 55 5 2" xfId="10340" xr:uid="{1EED9421-F67E-4792-A2B6-88469CFE1390}"/>
    <cellStyle name="Normal 55 5 2 2" xfId="14546" xr:uid="{16A4539D-7CCB-42EA-847F-86126D0D3A2F}"/>
    <cellStyle name="Normal 55 5 3" xfId="12517" xr:uid="{7F44DEF2-141A-436A-916C-85D4851B50CC}"/>
    <cellStyle name="Normal 55 6" xfId="8944" xr:uid="{ACCE95EF-6D39-4DAE-AFEC-C0BA585D9FC0}"/>
    <cellStyle name="Normal 55 6 2" xfId="11013" xr:uid="{6EE1F8DB-0115-40C0-8F51-3F866222B161}"/>
    <cellStyle name="Normal 55 6 2 2" xfId="15219" xr:uid="{749A906F-F470-487D-BC7A-AF4966B81B94}"/>
    <cellStyle name="Normal 55 6 3" xfId="13190" xr:uid="{AA1851D3-3EF4-496D-99AD-BC340B8F72E5}"/>
    <cellStyle name="Normal 55 7" xfId="9311" xr:uid="{DF8B0F6C-337E-4B33-8D0F-480A1623F401}"/>
    <cellStyle name="Normal 55 7 2" xfId="11346" xr:uid="{95EFED8D-34B2-4AD4-B325-C0E0CFFBB55F}"/>
    <cellStyle name="Normal 55 7 2 2" xfId="15552" xr:uid="{E3D3198C-C2D9-46FE-8B4A-3EAE459C390C}"/>
    <cellStyle name="Normal 55 7 3" xfId="13523" xr:uid="{EB760A8F-42C6-4A8B-BD89-91D769DEB387}"/>
    <cellStyle name="Normal 55 8" xfId="9670" xr:uid="{43342FD6-AF52-4BE0-951E-D6BDF38515CB}"/>
    <cellStyle name="Normal 55 8 2" xfId="13876" xr:uid="{9C4311D2-FCD0-42BE-B870-8A4EBEFB2E7C}"/>
    <cellStyle name="Normal 55 9" xfId="11846" xr:uid="{9963B881-3D15-4D3C-95EA-89349CE34059}"/>
    <cellStyle name="Normal 56" xfId="7526" xr:uid="{55E4DFA5-BED0-482D-8E5F-4BC98DEE3E09}"/>
    <cellStyle name="Normal 56 2" xfId="7569" xr:uid="{BDB93CA7-8618-477F-88C0-DFFD9EFA3D3D}"/>
    <cellStyle name="Normal 56 2 2" xfId="7769" xr:uid="{9211A65E-5857-4529-B1F6-9DC3E94C2D20}"/>
    <cellStyle name="Normal 56 2 2 2" xfId="8140" xr:uid="{43D36DDB-6DE8-4515-BB81-EE290178C58B}"/>
    <cellStyle name="Normal 56 2 2 2 2" xfId="8810" xr:uid="{56B9CCF9-D7D6-445F-B6D6-9D55F038CCBC}"/>
    <cellStyle name="Normal 56 2 2 2 2 2" xfId="10879" xr:uid="{34ACBCE1-D284-4872-9A9B-15F0ECF7D085}"/>
    <cellStyle name="Normal 56 2 2 2 2 2 2" xfId="15085" xr:uid="{032352AC-293B-4A6C-AAD4-5F354F4515AF}"/>
    <cellStyle name="Normal 56 2 2 2 2 3" xfId="13056" xr:uid="{DCA074A7-074B-4897-9EA9-F05E5E4A8AD3}"/>
    <cellStyle name="Normal 56 2 2 2 3" xfId="10209" xr:uid="{67202076-7EDF-4FBC-B7D4-33D8E5588D37}"/>
    <cellStyle name="Normal 56 2 2 2 3 2" xfId="14415" xr:uid="{E932AFAA-34EC-459A-A557-9BA7AE13EF2E}"/>
    <cellStyle name="Normal 56 2 2 2 4" xfId="12386" xr:uid="{4CC38427-19A7-4501-9FF1-F29B45282EF2}"/>
    <cellStyle name="Normal 56 2 2 3" xfId="8476" xr:uid="{360EED0D-3A11-43EF-B08E-FE49D98BDF02}"/>
    <cellStyle name="Normal 56 2 2 3 2" xfId="10545" xr:uid="{3D687E20-11C9-4B3C-932C-C8F1113EA049}"/>
    <cellStyle name="Normal 56 2 2 3 2 2" xfId="14751" xr:uid="{EF62F481-6E65-412B-A3DA-1BEF80D3B6EF}"/>
    <cellStyle name="Normal 56 2 2 3 3" xfId="12722" xr:uid="{4CD4E0CC-0F58-45AF-BE51-D189B5862EAE}"/>
    <cellStyle name="Normal 56 2 2 4" xfId="9149" xr:uid="{1A0B47CF-4A5B-4292-B6A7-B68CF850C194}"/>
    <cellStyle name="Normal 56 2 2 4 2" xfId="11218" xr:uid="{172CF6DA-D791-44E4-B0D1-94FF64E8E8F2}"/>
    <cellStyle name="Normal 56 2 2 4 2 2" xfId="15424" xr:uid="{08483CA9-9D01-4064-8DC2-793816F00E58}"/>
    <cellStyle name="Normal 56 2 2 4 3" xfId="13395" xr:uid="{959D60CB-9C53-4BA4-B33C-FBFF75E2A93A}"/>
    <cellStyle name="Normal 56 2 2 5" xfId="9517" xr:uid="{E957FF5A-97C5-4D17-BD5C-BFB435848218}"/>
    <cellStyle name="Normal 56 2 2 5 2" xfId="11551" xr:uid="{DC3DFDB3-7BC2-4159-846A-C29A271C22F6}"/>
    <cellStyle name="Normal 56 2 2 5 2 2" xfId="15757" xr:uid="{203DF2EA-E3C1-4328-BDF1-F8E611FB3F86}"/>
    <cellStyle name="Normal 56 2 2 5 3" xfId="13728" xr:uid="{D002C9D4-0D24-4916-8839-5B1FCC12FD2B}"/>
    <cellStyle name="Normal 56 2 2 6" xfId="9875" xr:uid="{6B90C0E4-1DCC-485C-B2E1-659073A042ED}"/>
    <cellStyle name="Normal 56 2 2 6 2" xfId="14081" xr:uid="{FF9E9169-753D-4B78-8861-9F713700A6E0}"/>
    <cellStyle name="Normal 56 2 2 7" xfId="12052" xr:uid="{E13C46D3-8DE0-4582-BEBF-5C4A5007B19F}"/>
    <cellStyle name="Normal 56 2 3" xfId="7977" xr:uid="{B6F7E51E-7EE2-4068-8F03-B30272F5CC4D}"/>
    <cellStyle name="Normal 56 2 3 2" xfId="8647" xr:uid="{7CDCBA08-A96C-4CFE-8C75-F50372B27505}"/>
    <cellStyle name="Normal 56 2 3 2 2" xfId="10716" xr:uid="{8E3F3AD4-C94B-4714-8D6C-EC5CD286E4BB}"/>
    <cellStyle name="Normal 56 2 3 2 2 2" xfId="14922" xr:uid="{B6F492DA-31CC-4D62-BE17-62ADE31A382D}"/>
    <cellStyle name="Normal 56 2 3 2 3" xfId="12893" xr:uid="{BAE0D6F0-238F-43D1-A880-C7E1B105A0CE}"/>
    <cellStyle name="Normal 56 2 3 3" xfId="10046" xr:uid="{5AF32109-8DC5-4909-A102-507EA44D3D4D}"/>
    <cellStyle name="Normal 56 2 3 3 2" xfId="14252" xr:uid="{BEC0EDE6-E710-4480-A354-0EC611F7B465}"/>
    <cellStyle name="Normal 56 2 3 4" xfId="12223" xr:uid="{42319121-9212-425B-A93A-D2E42067CCB0}"/>
    <cellStyle name="Normal 56 2 4" xfId="8313" xr:uid="{BE9588D9-9F90-4897-91D2-CEBC9A98F198}"/>
    <cellStyle name="Normal 56 2 4 2" xfId="10382" xr:uid="{AB869107-FEA0-499F-9CF4-BAB2698BE540}"/>
    <cellStyle name="Normal 56 2 4 2 2" xfId="14588" xr:uid="{9665F8FA-2E8C-4ED2-A697-8A8D8D53DC95}"/>
    <cellStyle name="Normal 56 2 4 3" xfId="12559" xr:uid="{DD7C9789-105E-4BA4-99B6-620142FF397B}"/>
    <cellStyle name="Normal 56 2 5" xfId="8986" xr:uid="{7F6DBE9B-980B-467C-B824-AB9F5CF8FF16}"/>
    <cellStyle name="Normal 56 2 5 2" xfId="11055" xr:uid="{A29191CE-7B2F-4415-8FB9-016B421725B5}"/>
    <cellStyle name="Normal 56 2 5 2 2" xfId="15261" xr:uid="{4500675E-AE2B-4726-9169-F545D94852B6}"/>
    <cellStyle name="Normal 56 2 5 3" xfId="13232" xr:uid="{03959ABD-223E-49D9-BC24-27C063271CF0}"/>
    <cellStyle name="Normal 56 2 6" xfId="9354" xr:uid="{612FEE22-DECD-4624-8961-F01DEA17A0F7}"/>
    <cellStyle name="Normal 56 2 6 2" xfId="11388" xr:uid="{A4AC36D1-D9F9-44FF-8521-76D2C885DBDF}"/>
    <cellStyle name="Normal 56 2 6 2 2" xfId="15594" xr:uid="{0C8FE6D2-D8F6-4730-9339-08D16E65AD06}"/>
    <cellStyle name="Normal 56 2 6 3" xfId="13565" xr:uid="{90BB2951-D73D-4B12-A577-C6FF9A8B4C19}"/>
    <cellStyle name="Normal 56 2 7" xfId="9712" xr:uid="{F905E330-6D90-4CFD-8E14-99E38B413FBB}"/>
    <cellStyle name="Normal 56 2 7 2" xfId="13918" xr:uid="{4FD52B01-1C58-4A67-9574-EE90150BC6FA}"/>
    <cellStyle name="Normal 56 2 8" xfId="11889" xr:uid="{362B41F7-1C26-4583-9746-9B47F1B202D4}"/>
    <cellStyle name="Normal 56 3" xfId="7728" xr:uid="{BD4CFDD2-8184-46F4-ACBF-A4A81468C1E6}"/>
    <cellStyle name="Normal 56 3 2" xfId="8099" xr:uid="{4D32B739-B613-45F6-8655-E7CD3FEB3B1B}"/>
    <cellStyle name="Normal 56 3 2 2" xfId="8769" xr:uid="{ED45C7EF-02F0-4764-A5A6-22E3F2D28080}"/>
    <cellStyle name="Normal 56 3 2 2 2" xfId="10838" xr:uid="{0C9826D8-4C68-41DA-B91D-564FA778AB39}"/>
    <cellStyle name="Normal 56 3 2 2 2 2" xfId="15044" xr:uid="{A3C5D7D3-F8CD-4CFE-869D-6CF80052DFAD}"/>
    <cellStyle name="Normal 56 3 2 2 3" xfId="13015" xr:uid="{39CC98C6-B600-4C3A-A7C0-DB71F9025920}"/>
    <cellStyle name="Normal 56 3 2 3" xfId="10168" xr:uid="{6B67817E-52DA-47BE-A8D1-9D3110B4277E}"/>
    <cellStyle name="Normal 56 3 2 3 2" xfId="14374" xr:uid="{A3DAD0B0-F2D0-4AEE-976E-690E4233CC3E}"/>
    <cellStyle name="Normal 56 3 2 4" xfId="12345" xr:uid="{71F298BE-8453-4405-B209-340BD42F4844}"/>
    <cellStyle name="Normal 56 3 3" xfId="8435" xr:uid="{DBDB6329-A810-417F-91F3-53EA617969A5}"/>
    <cellStyle name="Normal 56 3 3 2" xfId="10504" xr:uid="{26B71657-8886-4863-AA08-7873E7EFAF58}"/>
    <cellStyle name="Normal 56 3 3 2 2" xfId="14710" xr:uid="{E7E47A29-CC68-4038-A769-01BBD797DB92}"/>
    <cellStyle name="Normal 56 3 3 3" xfId="12681" xr:uid="{42E238CA-03FB-48C1-AAA2-9B4C6CDF463B}"/>
    <cellStyle name="Normal 56 3 4" xfId="9108" xr:uid="{F7E5A6DE-EC0D-40D3-A99C-2F016AD46A87}"/>
    <cellStyle name="Normal 56 3 4 2" xfId="11177" xr:uid="{85B67464-C274-4549-9A27-DC379DFE04BA}"/>
    <cellStyle name="Normal 56 3 4 2 2" xfId="15383" xr:uid="{7DF65F82-C3BD-4232-9D69-1034F8A4DD0C}"/>
    <cellStyle name="Normal 56 3 4 3" xfId="13354" xr:uid="{990093DB-1A10-4119-8386-B05B84C8354D}"/>
    <cellStyle name="Normal 56 3 5" xfId="9476" xr:uid="{4A8B69F6-37E4-4B43-8B87-52E89AFA7D92}"/>
    <cellStyle name="Normal 56 3 5 2" xfId="11510" xr:uid="{07E6BC43-9828-4CEE-912A-B78736660F56}"/>
    <cellStyle name="Normal 56 3 5 2 2" xfId="15716" xr:uid="{1CC85159-8F7E-4322-8B1F-91222546AA1D}"/>
    <cellStyle name="Normal 56 3 5 3" xfId="13687" xr:uid="{EDB5F393-6086-4C96-A41D-218FD8DE5495}"/>
    <cellStyle name="Normal 56 3 6" xfId="9834" xr:uid="{737C91F6-6F4A-4DD2-A94F-1B2D8926BB9E}"/>
    <cellStyle name="Normal 56 3 6 2" xfId="14040" xr:uid="{915DC706-8221-4B02-96A0-CBD5C9F29CF0}"/>
    <cellStyle name="Normal 56 3 7" xfId="12011" xr:uid="{3A3687FE-4576-4397-B3ED-23EA1588A199}"/>
    <cellStyle name="Normal 56 4" xfId="7936" xr:uid="{34EA6E71-6186-4526-845A-1F2B42854109}"/>
    <cellStyle name="Normal 56 4 2" xfId="8606" xr:uid="{7947119A-ABE4-4724-8452-8143B1422D6A}"/>
    <cellStyle name="Normal 56 4 2 2" xfId="10675" xr:uid="{D78BF457-19D3-4C52-9015-6A61B1554AB5}"/>
    <cellStyle name="Normal 56 4 2 2 2" xfId="14881" xr:uid="{146105EA-86DD-45AF-84DE-59EBD394A9A1}"/>
    <cellStyle name="Normal 56 4 2 3" xfId="12852" xr:uid="{0C92A946-245B-461A-AFF2-F23BB1E72C2A}"/>
    <cellStyle name="Normal 56 4 3" xfId="10005" xr:uid="{64ED56E9-2EE0-4596-A23B-A8CD38F331FB}"/>
    <cellStyle name="Normal 56 4 3 2" xfId="14211" xr:uid="{B11CFFA7-64DF-4E2D-B0E4-2AFBD95DBEEE}"/>
    <cellStyle name="Normal 56 4 4" xfId="12182" xr:uid="{82629426-0506-484B-808C-5BAF270DC349}"/>
    <cellStyle name="Normal 56 5" xfId="8272" xr:uid="{53CBACC6-055F-4543-A9FC-23F670554BD7}"/>
    <cellStyle name="Normal 56 5 2" xfId="10341" xr:uid="{28D5BEAA-E9CE-4024-89D6-D80F64AD28EB}"/>
    <cellStyle name="Normal 56 5 2 2" xfId="14547" xr:uid="{79F87D75-7C14-4067-9D33-A10947D33129}"/>
    <cellStyle name="Normal 56 5 3" xfId="12518" xr:uid="{DA913206-0D2F-4738-A1E5-F2B2A66BEAF1}"/>
    <cellStyle name="Normal 56 6" xfId="8945" xr:uid="{71956E59-DEF5-4CE6-8C84-7CB4E40F5DC0}"/>
    <cellStyle name="Normal 56 6 2" xfId="11014" xr:uid="{27EB9C8C-EFC0-4CC3-B91A-651199ACDFE8}"/>
    <cellStyle name="Normal 56 6 2 2" xfId="15220" xr:uid="{E199B657-023B-43BF-853C-438F1ED9DBCF}"/>
    <cellStyle name="Normal 56 6 3" xfId="13191" xr:uid="{E0D34283-2C83-40A1-A099-D68DBF7961AC}"/>
    <cellStyle name="Normal 56 7" xfId="9312" xr:uid="{52A1BBCC-FC69-40A3-90BB-838364310C72}"/>
    <cellStyle name="Normal 56 7 2" xfId="11347" xr:uid="{44483197-BCFB-44BB-A1DA-7E50D45E9F83}"/>
    <cellStyle name="Normal 56 7 2 2" xfId="15553" xr:uid="{6D69803B-EBF8-480F-ADAF-5EE18C26F858}"/>
    <cellStyle name="Normal 56 7 3" xfId="13524" xr:uid="{7CCA8B50-6F17-4075-A28C-A549FE9635A0}"/>
    <cellStyle name="Normal 56 8" xfId="9671" xr:uid="{B1F18CA8-5D87-4BD0-A52C-C1B33EFA76A7}"/>
    <cellStyle name="Normal 56 8 2" xfId="13877" xr:uid="{94B7ED0D-8FF2-4BA5-A3A7-FFED9E90C414}"/>
    <cellStyle name="Normal 56 9" xfId="11847" xr:uid="{332D67B1-910D-4DAF-8B35-885FE262667A}"/>
    <cellStyle name="Normal 57" xfId="7527" xr:uid="{4F66D125-911A-4DDE-BA88-60120E9E0705}"/>
    <cellStyle name="Normal 57 2" xfId="7570" xr:uid="{62FE2C41-5581-4ADC-8CE2-336FC256C0FB}"/>
    <cellStyle name="Normal 57 2 2" xfId="7770" xr:uid="{611B1AD7-F267-4516-A9DF-FF055BA2F35D}"/>
    <cellStyle name="Normal 57 2 2 2" xfId="8141" xr:uid="{2FC104F9-77E9-4FE1-B448-0BDF0B369B0E}"/>
    <cellStyle name="Normal 57 2 2 2 2" xfId="8811" xr:uid="{E9C0790C-C436-4CBA-AD1F-FA12C9C90931}"/>
    <cellStyle name="Normal 57 2 2 2 2 2" xfId="10880" xr:uid="{6DF773E5-F684-464D-BF9E-F713CA212D05}"/>
    <cellStyle name="Normal 57 2 2 2 2 2 2" xfId="15086" xr:uid="{B72AEB96-A3EE-4E1B-8F54-E7304C7CE4C0}"/>
    <cellStyle name="Normal 57 2 2 2 2 3" xfId="13057" xr:uid="{AB78F97C-2F60-44BD-8D6B-D886CF5E98E2}"/>
    <cellStyle name="Normal 57 2 2 2 3" xfId="10210" xr:uid="{CC6AD45B-09E3-43B5-B55F-0FA4CBF610DF}"/>
    <cellStyle name="Normal 57 2 2 2 3 2" xfId="14416" xr:uid="{AA80CDE7-F021-4994-A1F9-BF8C30443C28}"/>
    <cellStyle name="Normal 57 2 2 2 4" xfId="12387" xr:uid="{82E4E045-73C3-40BD-85FB-66F5149D18E0}"/>
    <cellStyle name="Normal 57 2 2 3" xfId="8477" xr:uid="{1D29761D-0307-43AC-ADD6-8029949EE907}"/>
    <cellStyle name="Normal 57 2 2 3 2" xfId="10546" xr:uid="{F96D5FCD-9D58-452C-A127-204D0C85DE87}"/>
    <cellStyle name="Normal 57 2 2 3 2 2" xfId="14752" xr:uid="{3B8FC959-8650-4365-BB16-BB1176A820A8}"/>
    <cellStyle name="Normal 57 2 2 3 3" xfId="12723" xr:uid="{6C263F39-82DF-4483-98C1-09DDC619C7A8}"/>
    <cellStyle name="Normal 57 2 2 4" xfId="9150" xr:uid="{974A355C-AA6D-48BE-868E-01CAA1363167}"/>
    <cellStyle name="Normal 57 2 2 4 2" xfId="11219" xr:uid="{11454FDF-0E99-4884-B4A9-F48BE466DB2E}"/>
    <cellStyle name="Normal 57 2 2 4 2 2" xfId="15425" xr:uid="{DCBDD454-33E7-49AD-B59B-76F411C40B10}"/>
    <cellStyle name="Normal 57 2 2 4 3" xfId="13396" xr:uid="{6B4CEA37-079E-4D5E-8DFD-294133A4FDDB}"/>
    <cellStyle name="Normal 57 2 2 5" xfId="9518" xr:uid="{5A9C4BCA-C1C4-4A4D-B695-73EEB237C338}"/>
    <cellStyle name="Normal 57 2 2 5 2" xfId="11552" xr:uid="{28704BED-3B74-41B7-80AB-093210784787}"/>
    <cellStyle name="Normal 57 2 2 5 2 2" xfId="15758" xr:uid="{4991AC29-F69E-4B17-8B50-066418815A58}"/>
    <cellStyle name="Normal 57 2 2 5 3" xfId="13729" xr:uid="{4554528B-ACEA-449D-9993-9D23E8C8F0A0}"/>
    <cellStyle name="Normal 57 2 2 6" xfId="9876" xr:uid="{A76083A3-A09C-4F24-B4AE-E35637A0A28F}"/>
    <cellStyle name="Normal 57 2 2 6 2" xfId="14082" xr:uid="{04872BA5-E9E0-403F-AB8D-B830BA646F1A}"/>
    <cellStyle name="Normal 57 2 2 7" xfId="12053" xr:uid="{FA287DE7-C3BA-4241-89E0-8FD51269FE86}"/>
    <cellStyle name="Normal 57 2 3" xfId="7978" xr:uid="{F3FB18F5-8964-4392-8EEC-9B3857B2AA0C}"/>
    <cellStyle name="Normal 57 2 3 2" xfId="8648" xr:uid="{A31DD428-819D-4D75-A154-A9593AC5BDF1}"/>
    <cellStyle name="Normal 57 2 3 2 2" xfId="10717" xr:uid="{A7915B9C-85DA-401F-BFDA-96E9F1440B03}"/>
    <cellStyle name="Normal 57 2 3 2 2 2" xfId="14923" xr:uid="{77A1C349-896D-4E52-BC48-176DE9997AC3}"/>
    <cellStyle name="Normal 57 2 3 2 3" xfId="12894" xr:uid="{95E4AC4A-4FEE-4370-AD62-31B6A7FCE342}"/>
    <cellStyle name="Normal 57 2 3 3" xfId="10047" xr:uid="{A9937E40-B792-4405-8DD3-400A64FCA762}"/>
    <cellStyle name="Normal 57 2 3 3 2" xfId="14253" xr:uid="{CDBDC9E5-B872-44DF-956E-CA4BD8ACCA17}"/>
    <cellStyle name="Normal 57 2 3 4" xfId="12224" xr:uid="{3C5B3C30-9DFE-4735-B0EF-1E3D56A8C9E7}"/>
    <cellStyle name="Normal 57 2 4" xfId="8314" xr:uid="{0E0E3331-AADC-4C68-A94E-31C6CC0830A8}"/>
    <cellStyle name="Normal 57 2 4 2" xfId="10383" xr:uid="{8FD5BCE2-8136-43F5-9E6B-F1555287B85B}"/>
    <cellStyle name="Normal 57 2 4 2 2" xfId="14589" xr:uid="{46BB39BC-2F2C-41A7-A05D-473A0BF4AD3B}"/>
    <cellStyle name="Normal 57 2 4 3" xfId="12560" xr:uid="{A343AFBA-11C1-480B-97FE-C23AF55CEC18}"/>
    <cellStyle name="Normal 57 2 5" xfId="8987" xr:uid="{1B75C64F-C011-444A-B690-917D39D08D12}"/>
    <cellStyle name="Normal 57 2 5 2" xfId="11056" xr:uid="{E0FB8E53-E217-4214-B3C9-21780032CE36}"/>
    <cellStyle name="Normal 57 2 5 2 2" xfId="15262" xr:uid="{D87A6016-4C00-47D3-865C-B6FE90D66457}"/>
    <cellStyle name="Normal 57 2 5 3" xfId="13233" xr:uid="{9E251363-57A4-447E-B710-D9141D739721}"/>
    <cellStyle name="Normal 57 2 6" xfId="9355" xr:uid="{17CD6EDB-3F1A-4AD6-BDAA-5015F24D3780}"/>
    <cellStyle name="Normal 57 2 6 2" xfId="11389" xr:uid="{288B190F-BA30-4CBB-A7AF-A6554DF2136D}"/>
    <cellStyle name="Normal 57 2 6 2 2" xfId="15595" xr:uid="{08D22E37-ED42-4554-9B6B-8F0E3B66483D}"/>
    <cellStyle name="Normal 57 2 6 3" xfId="13566" xr:uid="{520404B2-F86C-48DF-B24E-BBF2A2BDF8F1}"/>
    <cellStyle name="Normal 57 2 7" xfId="9713" xr:uid="{B709BD13-8E47-4DBD-AB43-96A5EC318A19}"/>
    <cellStyle name="Normal 57 2 7 2" xfId="13919" xr:uid="{0929EBA0-C6EE-454E-A490-EBD77F65EE9C}"/>
    <cellStyle name="Normal 57 2 8" xfId="11890" xr:uid="{0D75E9BB-9A68-4862-9AFE-B7B1DE941421}"/>
    <cellStyle name="Normal 57 3" xfId="7729" xr:uid="{9ED37609-E986-46D3-9774-3246C128FA4B}"/>
    <cellStyle name="Normal 57 3 2" xfId="8100" xr:uid="{CF849B14-857D-42DD-9987-41702F03B43B}"/>
    <cellStyle name="Normal 57 3 2 2" xfId="8770" xr:uid="{6BEB3614-52CE-43B2-9B9C-2DFC71C7D9BA}"/>
    <cellStyle name="Normal 57 3 2 2 2" xfId="10839" xr:uid="{56BC01AF-018E-4D80-847D-CFC5ABA85566}"/>
    <cellStyle name="Normal 57 3 2 2 2 2" xfId="15045" xr:uid="{0DA56BA8-D46A-4154-9E55-62BE54056A78}"/>
    <cellStyle name="Normal 57 3 2 2 3" xfId="13016" xr:uid="{181D8B17-B55C-4BE5-B16B-30FAA614EEB8}"/>
    <cellStyle name="Normal 57 3 2 3" xfId="10169" xr:uid="{8F2D4482-86F1-455C-877A-B74299E2C566}"/>
    <cellStyle name="Normal 57 3 2 3 2" xfId="14375" xr:uid="{525D0C6A-3AA3-483E-83BF-20EFAEE824D2}"/>
    <cellStyle name="Normal 57 3 2 4" xfId="12346" xr:uid="{EB0A0523-8D61-4183-9F9E-EC978F8600AA}"/>
    <cellStyle name="Normal 57 3 3" xfId="8436" xr:uid="{4A157B1A-FF14-4734-90D7-8A61E34C3572}"/>
    <cellStyle name="Normal 57 3 3 2" xfId="10505" xr:uid="{7BF235AB-1A21-4386-AA70-303A4C8D7CE1}"/>
    <cellStyle name="Normal 57 3 3 2 2" xfId="14711" xr:uid="{B21E6DCE-7D77-4BE4-A803-78F1964E5406}"/>
    <cellStyle name="Normal 57 3 3 3" xfId="12682" xr:uid="{0C9AB6A9-AC67-45EC-B423-2983573D08E6}"/>
    <cellStyle name="Normal 57 3 4" xfId="9109" xr:uid="{5B205B2F-D5BE-4F95-9A8E-4EE8FD0C4E97}"/>
    <cellStyle name="Normal 57 3 4 2" xfId="11178" xr:uid="{5F337E05-B99C-4E59-BA40-8184B98F985F}"/>
    <cellStyle name="Normal 57 3 4 2 2" xfId="15384" xr:uid="{929CC4DA-C0EF-488E-9268-5CA93AAAA66C}"/>
    <cellStyle name="Normal 57 3 4 3" xfId="13355" xr:uid="{DD6ADF2A-D0A3-4204-BA9D-57A3DEF65E0A}"/>
    <cellStyle name="Normal 57 3 5" xfId="9477" xr:uid="{27CD648F-F413-4FE3-B70D-A0EDEA2C93E6}"/>
    <cellStyle name="Normal 57 3 5 2" xfId="11511" xr:uid="{E7790482-828D-4311-A50D-F9D8D4BA958C}"/>
    <cellStyle name="Normal 57 3 5 2 2" xfId="15717" xr:uid="{5A4D6565-F31A-495B-8FC4-764285AFC429}"/>
    <cellStyle name="Normal 57 3 5 3" xfId="13688" xr:uid="{4F322866-FBE3-4637-AC69-ADDB7B335EB3}"/>
    <cellStyle name="Normal 57 3 6" xfId="9835" xr:uid="{BE493397-A9D4-48B7-894E-9F682BA2E9F1}"/>
    <cellStyle name="Normal 57 3 6 2" xfId="14041" xr:uid="{8BCB70DF-D327-4489-89BF-71958FA75028}"/>
    <cellStyle name="Normal 57 3 7" xfId="12012" xr:uid="{87AFBF4D-17F7-4CE2-A98D-9717C3FA87FA}"/>
    <cellStyle name="Normal 57 4" xfId="7937" xr:uid="{412F43A5-559E-4AF3-82A3-07DDE8D4F54E}"/>
    <cellStyle name="Normal 57 4 2" xfId="8607" xr:uid="{24B9B800-4998-4348-BD48-255C87FF0065}"/>
    <cellStyle name="Normal 57 4 2 2" xfId="10676" xr:uid="{B2C6E095-1034-461F-9EE8-F0DD75A7BD3C}"/>
    <cellStyle name="Normal 57 4 2 2 2" xfId="14882" xr:uid="{C3FED147-B3A1-4CF2-9FEB-BB0A1AEC8B55}"/>
    <cellStyle name="Normal 57 4 2 3" xfId="12853" xr:uid="{A1F38A3E-A798-4410-B283-962C534270A7}"/>
    <cellStyle name="Normal 57 4 3" xfId="10006" xr:uid="{D6689794-10C3-49E9-AD88-5E1094CC504C}"/>
    <cellStyle name="Normal 57 4 3 2" xfId="14212" xr:uid="{025B4D06-A57B-422B-833D-11B2BF420743}"/>
    <cellStyle name="Normal 57 4 4" xfId="12183" xr:uid="{DE6A5883-709D-4472-AAEC-F307F1534687}"/>
    <cellStyle name="Normal 57 5" xfId="8273" xr:uid="{2B4B5936-BDC5-4960-A9D4-0265341371A5}"/>
    <cellStyle name="Normal 57 5 2" xfId="10342" xr:uid="{9DF2C02A-601C-46EC-8C0C-0B86DF94A384}"/>
    <cellStyle name="Normal 57 5 2 2" xfId="14548" xr:uid="{9494446E-CD86-44E7-8ACF-FED59427EA92}"/>
    <cellStyle name="Normal 57 5 3" xfId="12519" xr:uid="{B5B631D8-2043-4DA2-AC59-FD6A5E237B55}"/>
    <cellStyle name="Normal 57 6" xfId="8946" xr:uid="{3B1D65D3-6F1A-4183-A675-81224C74B329}"/>
    <cellStyle name="Normal 57 6 2" xfId="11015" xr:uid="{91E8C352-7A8C-489F-86A6-5A8C2956C719}"/>
    <cellStyle name="Normal 57 6 2 2" xfId="15221" xr:uid="{D3BBD1D5-4DAD-457B-999D-1A86E5AA3C5B}"/>
    <cellStyle name="Normal 57 6 3" xfId="13192" xr:uid="{946A5E47-10AF-45E7-8A1E-619CD1846A8D}"/>
    <cellStyle name="Normal 57 7" xfId="9313" xr:uid="{09F7689A-D86B-4BCF-9578-C063E230EE92}"/>
    <cellStyle name="Normal 57 7 2" xfId="11348" xr:uid="{461382C5-CF26-4C32-8F8F-D9003C63FAE3}"/>
    <cellStyle name="Normal 57 7 2 2" xfId="15554" xr:uid="{DE75E414-8EE9-40C8-B4C1-6E556A7D44BC}"/>
    <cellStyle name="Normal 57 7 3" xfId="13525" xr:uid="{29ACA38E-7E19-464A-9929-AC29B69B411C}"/>
    <cellStyle name="Normal 57 8" xfId="9672" xr:uid="{E099F52A-DB45-4BF3-95F4-830C3226505A}"/>
    <cellStyle name="Normal 57 8 2" xfId="13878" xr:uid="{F7FC073D-8031-44AC-89D0-EBB44BE629DC}"/>
    <cellStyle name="Normal 57 9" xfId="11848" xr:uid="{BDCB6183-594F-4849-A16B-ABC3DE1F7DB5}"/>
    <cellStyle name="Normal 58" xfId="7528" xr:uid="{D94C5C68-F178-4CF6-A74C-CF542F78639C}"/>
    <cellStyle name="Normal 58 2" xfId="7571" xr:uid="{497A4621-F0C0-41CD-8E44-7030B84C0D10}"/>
    <cellStyle name="Normal 58 2 2" xfId="7771" xr:uid="{5BE01323-3B75-4175-977C-3FEF2B6A78C4}"/>
    <cellStyle name="Normal 58 2 2 2" xfId="8142" xr:uid="{9EFEBA67-6574-46A8-BBD2-11E9CD9771F4}"/>
    <cellStyle name="Normal 58 2 2 2 2" xfId="8812" xr:uid="{BD25D5A9-DEBB-4841-9B71-32AD0D8DCA52}"/>
    <cellStyle name="Normal 58 2 2 2 2 2" xfId="10881" xr:uid="{675271AE-CFE5-4A1E-A368-9CDC839F55D5}"/>
    <cellStyle name="Normal 58 2 2 2 2 2 2" xfId="15087" xr:uid="{DBEFD4BA-BF57-4264-9242-1BC0646E45B2}"/>
    <cellStyle name="Normal 58 2 2 2 2 3" xfId="13058" xr:uid="{7089B412-D10C-40A7-ACB9-9D1BDB1F638B}"/>
    <cellStyle name="Normal 58 2 2 2 3" xfId="10211" xr:uid="{C920AA8C-029C-4EF5-9F4E-233CA98811F1}"/>
    <cellStyle name="Normal 58 2 2 2 3 2" xfId="14417" xr:uid="{5CDDBA58-7902-4ADB-A32B-AE24DF1A4D55}"/>
    <cellStyle name="Normal 58 2 2 2 4" xfId="12388" xr:uid="{6858C6B1-9CAF-417C-9CD1-2BB357ABC47F}"/>
    <cellStyle name="Normal 58 2 2 3" xfId="8478" xr:uid="{C2E1E17E-DF25-4BD0-8B93-2371181ED5AA}"/>
    <cellStyle name="Normal 58 2 2 3 2" xfId="10547" xr:uid="{A1B330D1-DF51-4D77-8ACB-22C56C067631}"/>
    <cellStyle name="Normal 58 2 2 3 2 2" xfId="14753" xr:uid="{642A8BC5-A151-4E48-919A-816FB5BE4F53}"/>
    <cellStyle name="Normal 58 2 2 3 3" xfId="12724" xr:uid="{0CEF0308-DD38-4BDF-B95D-BFA706AE4B7B}"/>
    <cellStyle name="Normal 58 2 2 4" xfId="9151" xr:uid="{2A85F94A-E655-40B2-8188-669A5D2C6411}"/>
    <cellStyle name="Normal 58 2 2 4 2" xfId="11220" xr:uid="{BA5D0391-A852-45C4-8A22-5BE2A646C599}"/>
    <cellStyle name="Normal 58 2 2 4 2 2" xfId="15426" xr:uid="{8F47FDF3-1BB2-438C-A90B-2CB9509A3D5F}"/>
    <cellStyle name="Normal 58 2 2 4 3" xfId="13397" xr:uid="{D043C29F-3820-4520-AA50-DF272BAB4ADA}"/>
    <cellStyle name="Normal 58 2 2 5" xfId="9519" xr:uid="{977DDEE9-308A-4248-8EB3-7A2DBE8F08E4}"/>
    <cellStyle name="Normal 58 2 2 5 2" xfId="11553" xr:uid="{E5F67346-7530-490F-9F13-21DC098CF700}"/>
    <cellStyle name="Normal 58 2 2 5 2 2" xfId="15759" xr:uid="{476CBAAA-7A62-4A9A-BBE5-DF9A7BBDE7D4}"/>
    <cellStyle name="Normal 58 2 2 5 3" xfId="13730" xr:uid="{21530C91-9035-449F-8C68-287F60948D38}"/>
    <cellStyle name="Normal 58 2 2 6" xfId="9877" xr:uid="{7E53FB83-9A16-47DE-86D1-A3B660E1FD1F}"/>
    <cellStyle name="Normal 58 2 2 6 2" xfId="14083" xr:uid="{FCA43123-FEE0-4857-83F3-327C0A17E7C9}"/>
    <cellStyle name="Normal 58 2 2 7" xfId="12054" xr:uid="{7FDF74A9-1C03-488D-A84B-BE15CF32947B}"/>
    <cellStyle name="Normal 58 2 3" xfId="7979" xr:uid="{C1D7A8B2-913D-4BAF-BBFF-9C43F887FB06}"/>
    <cellStyle name="Normal 58 2 3 2" xfId="8649" xr:uid="{6AD70A18-2908-4A7F-8C41-22F5B739222F}"/>
    <cellStyle name="Normal 58 2 3 2 2" xfId="10718" xr:uid="{D3B820AC-236B-486B-B8F2-4AD9F86F9777}"/>
    <cellStyle name="Normal 58 2 3 2 2 2" xfId="14924" xr:uid="{31C3C4AC-EC94-419B-A790-2496C8DA3BCB}"/>
    <cellStyle name="Normal 58 2 3 2 3" xfId="12895" xr:uid="{7AB93ABD-1D3A-4881-BD59-134D3490218A}"/>
    <cellStyle name="Normal 58 2 3 3" xfId="10048" xr:uid="{5B30FA8A-73DC-448C-ADF4-D5DB997B8536}"/>
    <cellStyle name="Normal 58 2 3 3 2" xfId="14254" xr:uid="{E6F32048-E114-4743-95ED-FB9A4EE36773}"/>
    <cellStyle name="Normal 58 2 3 4" xfId="12225" xr:uid="{6C87DAAA-734C-43BF-A503-A309F8C5EC3D}"/>
    <cellStyle name="Normal 58 2 4" xfId="8315" xr:uid="{03B9BDF9-A3A5-45EC-9606-4BD5F9E928AC}"/>
    <cellStyle name="Normal 58 2 4 2" xfId="10384" xr:uid="{CC6123EF-7048-4247-AB7A-4783C17858BF}"/>
    <cellStyle name="Normal 58 2 4 2 2" xfId="14590" xr:uid="{5CDB167F-E698-494C-9373-69F3956D5A40}"/>
    <cellStyle name="Normal 58 2 4 3" xfId="12561" xr:uid="{2AF281E2-A88E-4927-B477-9091B985F08A}"/>
    <cellStyle name="Normal 58 2 5" xfId="8988" xr:uid="{900E0FBD-50C7-40A0-ADCD-E7AE07D0FA5B}"/>
    <cellStyle name="Normal 58 2 5 2" xfId="11057" xr:uid="{62C188AB-418B-4F26-8E4F-B058D6F6B977}"/>
    <cellStyle name="Normal 58 2 5 2 2" xfId="15263" xr:uid="{FA4A4748-40EB-48AF-91CF-1667942B5977}"/>
    <cellStyle name="Normal 58 2 5 3" xfId="13234" xr:uid="{7447130C-3749-45B5-9520-5D2BA1E9A8EC}"/>
    <cellStyle name="Normal 58 2 6" xfId="9356" xr:uid="{36984D9F-FBFA-4C8A-BE97-E129932070CC}"/>
    <cellStyle name="Normal 58 2 6 2" xfId="11390" xr:uid="{96EF4DD3-3AEF-4E9E-A494-6C85A4A734B3}"/>
    <cellStyle name="Normal 58 2 6 2 2" xfId="15596" xr:uid="{7B05E197-5B60-4DC8-B8EB-CE1434549B17}"/>
    <cellStyle name="Normal 58 2 6 3" xfId="13567" xr:uid="{0367AEE7-8459-4230-9F60-DCC0731A6908}"/>
    <cellStyle name="Normal 58 2 7" xfId="9714" xr:uid="{31484972-8235-40DD-A74A-D5995F556BBF}"/>
    <cellStyle name="Normal 58 2 7 2" xfId="13920" xr:uid="{AFCF10FF-280E-4BC5-96A0-F6B965047C64}"/>
    <cellStyle name="Normal 58 2 8" xfId="11891" xr:uid="{5D5663F9-B7AE-4115-9E46-7741CBDB3710}"/>
    <cellStyle name="Normal 58 3" xfId="7730" xr:uid="{521FEB06-D5C5-4521-BD51-D83A11CBD7EE}"/>
    <cellStyle name="Normal 58 3 2" xfId="8101" xr:uid="{88EB9407-4936-48CF-8734-9D895AF89564}"/>
    <cellStyle name="Normal 58 3 2 2" xfId="8771" xr:uid="{E4B55AAF-3B65-40AA-8948-61A4BBE81C50}"/>
    <cellStyle name="Normal 58 3 2 2 2" xfId="10840" xr:uid="{7B94B25C-241B-47AF-BD8D-1238501D78E2}"/>
    <cellStyle name="Normal 58 3 2 2 2 2" xfId="15046" xr:uid="{8BF9D20E-F655-4B3B-9608-052FD7D93AC9}"/>
    <cellStyle name="Normal 58 3 2 2 3" xfId="13017" xr:uid="{4FE1086D-67C9-4F0B-B643-12829E0A41BA}"/>
    <cellStyle name="Normal 58 3 2 3" xfId="10170" xr:uid="{273938C8-B5B4-4626-B826-7796C5FD1B79}"/>
    <cellStyle name="Normal 58 3 2 3 2" xfId="14376" xr:uid="{2EC5D000-59D1-4832-9B68-A45499ED141C}"/>
    <cellStyle name="Normal 58 3 2 4" xfId="12347" xr:uid="{F85CC92E-3AFA-47D1-9F0B-5319D581AADE}"/>
    <cellStyle name="Normal 58 3 3" xfId="8437" xr:uid="{B8BE18DF-C53A-4A35-8118-ECF0ABD08E12}"/>
    <cellStyle name="Normal 58 3 3 2" xfId="10506" xr:uid="{7B7EC60F-B453-43EB-9DE4-168FA8E8B42B}"/>
    <cellStyle name="Normal 58 3 3 2 2" xfId="14712" xr:uid="{3F9F744C-869F-4EE4-A65F-61D351A45806}"/>
    <cellStyle name="Normal 58 3 3 3" xfId="12683" xr:uid="{39CB6EC5-763A-4A36-89CA-A7C79E4582B3}"/>
    <cellStyle name="Normal 58 3 4" xfId="9110" xr:uid="{4535AF62-9F6D-4AB9-9966-0C90913BFE22}"/>
    <cellStyle name="Normal 58 3 4 2" xfId="11179" xr:uid="{4A1636A0-7FAD-4793-91C5-11DC3702D308}"/>
    <cellStyle name="Normal 58 3 4 2 2" xfId="15385" xr:uid="{A3ECB273-D1A9-473B-BC88-061408B9F1F7}"/>
    <cellStyle name="Normal 58 3 4 3" xfId="13356" xr:uid="{4E38CFB6-4C6C-405D-945C-C2EF4AC895E0}"/>
    <cellStyle name="Normal 58 3 5" xfId="9478" xr:uid="{C7CDCFB9-48C6-4156-A27B-4BE1AA17C3AE}"/>
    <cellStyle name="Normal 58 3 5 2" xfId="11512" xr:uid="{93C62824-1CF8-459C-BAD9-E5CCD688F7C6}"/>
    <cellStyle name="Normal 58 3 5 2 2" xfId="15718" xr:uid="{BC50858B-DE4E-4767-B930-088192CD9DE7}"/>
    <cellStyle name="Normal 58 3 5 3" xfId="13689" xr:uid="{84E8E05B-4F64-4185-A338-A3A5AD830036}"/>
    <cellStyle name="Normal 58 3 6" xfId="9836" xr:uid="{17B65EAC-8DB0-4D2D-AE77-6C07DC188979}"/>
    <cellStyle name="Normal 58 3 6 2" xfId="14042" xr:uid="{8E93B849-7C20-4044-A289-DEBA4CD8CC08}"/>
    <cellStyle name="Normal 58 3 7" xfId="12013" xr:uid="{F470C12F-491D-45DF-8C28-4AE944475EF3}"/>
    <cellStyle name="Normal 58 4" xfId="7938" xr:uid="{083F04B2-1B63-4FFD-A4B0-B8B5C61CC048}"/>
    <cellStyle name="Normal 58 4 2" xfId="8608" xr:uid="{C2C10E54-0503-474B-AD3E-500523EF7FAF}"/>
    <cellStyle name="Normal 58 4 2 2" xfId="10677" xr:uid="{B363AD70-C18E-4447-9055-D7738EFAED37}"/>
    <cellStyle name="Normal 58 4 2 2 2" xfId="14883" xr:uid="{2FAE8CA9-938F-4A2A-BABF-5B2CC5840EE8}"/>
    <cellStyle name="Normal 58 4 2 3" xfId="12854" xr:uid="{75449970-0CA1-43A1-86F7-6C47A19E5769}"/>
    <cellStyle name="Normal 58 4 3" xfId="10007" xr:uid="{710D1B34-A4FA-4898-8447-AE195C595CB3}"/>
    <cellStyle name="Normal 58 4 3 2" xfId="14213" xr:uid="{9DB361BE-51CD-40E4-9836-6C9AB4B593B8}"/>
    <cellStyle name="Normal 58 4 4" xfId="12184" xr:uid="{08A6828E-0B22-4BB8-8D51-9DC2BF39B8D4}"/>
    <cellStyle name="Normal 58 5" xfId="8274" xr:uid="{95DD0777-D1E9-4748-B6D2-A52A01A9CCD5}"/>
    <cellStyle name="Normal 58 5 2" xfId="10343" xr:uid="{318C8684-BC75-47A9-97F2-1CF9462B9B3F}"/>
    <cellStyle name="Normal 58 5 2 2" xfId="14549" xr:uid="{3CD90A99-1CCD-4EE6-B3CC-E769489F0D2C}"/>
    <cellStyle name="Normal 58 5 3" xfId="12520" xr:uid="{417709C2-4C45-405C-A2E1-5A249B328102}"/>
    <cellStyle name="Normal 58 6" xfId="8947" xr:uid="{8739603E-804C-4672-AFB2-E1A2CCB54DD7}"/>
    <cellStyle name="Normal 58 6 2" xfId="11016" xr:uid="{4A2D23F6-C679-452D-B7E5-EEEC175DCB80}"/>
    <cellStyle name="Normal 58 6 2 2" xfId="15222" xr:uid="{F74CDCC0-6120-4317-8727-9C9B06BBDD22}"/>
    <cellStyle name="Normal 58 6 3" xfId="13193" xr:uid="{46331A5F-8C2B-479C-9BE4-D10C82A4391E}"/>
    <cellStyle name="Normal 58 7" xfId="9314" xr:uid="{B58CEC3A-4B76-4AE4-AB7D-D68DA91757DE}"/>
    <cellStyle name="Normal 58 7 2" xfId="11349" xr:uid="{059F933D-7F1D-4FE6-88CD-182B5E0BB0EE}"/>
    <cellStyle name="Normal 58 7 2 2" xfId="15555" xr:uid="{BB9C7184-531F-42C2-8C45-54BA135EE409}"/>
    <cellStyle name="Normal 58 7 3" xfId="13526" xr:uid="{5307978A-652C-4601-A9F6-C659FBB39DB9}"/>
    <cellStyle name="Normal 58 8" xfId="9673" xr:uid="{36A1F6DE-4073-4AF7-B9B7-32335B85EE36}"/>
    <cellStyle name="Normal 58 8 2" xfId="13879" xr:uid="{CF50B673-B5DA-4F28-9046-A690ABE69C38}"/>
    <cellStyle name="Normal 58 9" xfId="11849" xr:uid="{B3480599-498F-48C8-94F2-8AA2D800E0F2}"/>
    <cellStyle name="Normal 59" xfId="7529" xr:uid="{94A4F13B-E7D3-444B-B1D9-F1250F110AE5}"/>
    <cellStyle name="Normal 59 2" xfId="7572" xr:uid="{D21904E4-46D1-4591-84BD-D5CB6C17F3BF}"/>
    <cellStyle name="Normal 59 2 2" xfId="7772" xr:uid="{B1245E5A-DAE1-49B9-8F8F-EEFFCC41A14D}"/>
    <cellStyle name="Normal 59 2 2 2" xfId="8143" xr:uid="{D99FD4DD-3230-4456-843D-2D857DCE536C}"/>
    <cellStyle name="Normal 59 2 2 2 2" xfId="8813" xr:uid="{50BDE8C9-3B51-48F1-93B6-66A2BDE9A3A9}"/>
    <cellStyle name="Normal 59 2 2 2 2 2" xfId="10882" xr:uid="{0A5592DA-31D2-4CDE-9311-A6DA8928539D}"/>
    <cellStyle name="Normal 59 2 2 2 2 2 2" xfId="15088" xr:uid="{17443577-25C5-418F-93DB-CF80021230E2}"/>
    <cellStyle name="Normal 59 2 2 2 2 3" xfId="13059" xr:uid="{FB22F56C-5171-425A-9A75-A4BF7408F612}"/>
    <cellStyle name="Normal 59 2 2 2 3" xfId="10212" xr:uid="{DC7E62B5-5089-404D-BD59-2CFE010872F8}"/>
    <cellStyle name="Normal 59 2 2 2 3 2" xfId="14418" xr:uid="{32880928-0CBA-4ABC-91CE-90D448EF35B9}"/>
    <cellStyle name="Normal 59 2 2 2 4" xfId="12389" xr:uid="{3DAC172C-AF33-48F8-8886-E4370B416759}"/>
    <cellStyle name="Normal 59 2 2 3" xfId="8479" xr:uid="{8449E40F-52C0-4D9B-8D46-C3D4E138B80E}"/>
    <cellStyle name="Normal 59 2 2 3 2" xfId="10548" xr:uid="{3609D1E6-BDB7-4183-889F-DC78380FD3A5}"/>
    <cellStyle name="Normal 59 2 2 3 2 2" xfId="14754" xr:uid="{A739D7BA-882D-4BA1-86C1-1EDDBDB54F12}"/>
    <cellStyle name="Normal 59 2 2 3 3" xfId="12725" xr:uid="{3A5F290D-19B0-4030-BAAB-32280E632269}"/>
    <cellStyle name="Normal 59 2 2 4" xfId="9152" xr:uid="{6E8E63FA-10A8-4621-AE82-D18A6AE7DF6A}"/>
    <cellStyle name="Normal 59 2 2 4 2" xfId="11221" xr:uid="{4340137C-EAC5-4861-A0CE-F1CBAEB3A2DD}"/>
    <cellStyle name="Normal 59 2 2 4 2 2" xfId="15427" xr:uid="{86A1E954-C977-4B8E-B179-F27AE956460A}"/>
    <cellStyle name="Normal 59 2 2 4 3" xfId="13398" xr:uid="{9B02F8B3-5074-42A6-9225-A38059E95184}"/>
    <cellStyle name="Normal 59 2 2 5" xfId="9520" xr:uid="{C12A6D3B-BD34-4B58-9841-952792A529AF}"/>
    <cellStyle name="Normal 59 2 2 5 2" xfId="11554" xr:uid="{55DA5549-EA6B-4E13-9EA9-CB23060AD391}"/>
    <cellStyle name="Normal 59 2 2 5 2 2" xfId="15760" xr:uid="{C6842CEC-113E-4859-BF45-0E4556F311BB}"/>
    <cellStyle name="Normal 59 2 2 5 3" xfId="13731" xr:uid="{0EB6E9A3-C50C-4151-AAF6-0DA458818EEA}"/>
    <cellStyle name="Normal 59 2 2 6" xfId="9878" xr:uid="{462B2B5C-797E-44CC-BDB3-149C4CFFFE52}"/>
    <cellStyle name="Normal 59 2 2 6 2" xfId="14084" xr:uid="{428D8903-7EEE-4546-85B0-35B05F4558D7}"/>
    <cellStyle name="Normal 59 2 2 7" xfId="12055" xr:uid="{B7264E99-CCD8-4EAC-A16E-489F7A7177DF}"/>
    <cellStyle name="Normal 59 2 3" xfId="7980" xr:uid="{9E710869-F67F-462A-9E88-16043D34F7E6}"/>
    <cellStyle name="Normal 59 2 3 2" xfId="8650" xr:uid="{402BE34B-A61C-4193-9409-407ECED4A522}"/>
    <cellStyle name="Normal 59 2 3 2 2" xfId="10719" xr:uid="{7F52E23A-54A8-4620-AA5B-A81EB964A755}"/>
    <cellStyle name="Normal 59 2 3 2 2 2" xfId="14925" xr:uid="{662E6188-48ED-49D2-9D05-4140C67F313B}"/>
    <cellStyle name="Normal 59 2 3 2 3" xfId="12896" xr:uid="{B0F91F00-C0F0-4229-A2DA-76D4BD0CAE68}"/>
    <cellStyle name="Normal 59 2 3 3" xfId="10049" xr:uid="{8541C2AD-3EE8-4DD4-AF46-02DE1B91D5F2}"/>
    <cellStyle name="Normal 59 2 3 3 2" xfId="14255" xr:uid="{8BA65674-3BCF-41A6-9764-F938E1231E6F}"/>
    <cellStyle name="Normal 59 2 3 4" xfId="12226" xr:uid="{23066E7C-7F45-4200-9473-4D5EA17005BB}"/>
    <cellStyle name="Normal 59 2 4" xfId="8316" xr:uid="{76E64977-124E-4D1B-A17C-DE6B79670E17}"/>
    <cellStyle name="Normal 59 2 4 2" xfId="10385" xr:uid="{F9726135-3255-4649-BE8C-BB0AB0D2686C}"/>
    <cellStyle name="Normal 59 2 4 2 2" xfId="14591" xr:uid="{F9900975-23FE-48E4-B917-9D81B7563C77}"/>
    <cellStyle name="Normal 59 2 4 3" xfId="12562" xr:uid="{94B210C2-31B1-4E98-8CB9-A6C75DB22656}"/>
    <cellStyle name="Normal 59 2 5" xfId="8989" xr:uid="{59B06B99-41CC-44C4-8640-87389E3422FD}"/>
    <cellStyle name="Normal 59 2 5 2" xfId="11058" xr:uid="{F5456445-F46D-4970-877D-8E90FA5521CB}"/>
    <cellStyle name="Normal 59 2 5 2 2" xfId="15264" xr:uid="{B786B292-9B83-4D2D-AEFC-41C028A6B162}"/>
    <cellStyle name="Normal 59 2 5 3" xfId="13235" xr:uid="{D1BF8181-606F-4FF3-9B7A-DCB522F12683}"/>
    <cellStyle name="Normal 59 2 6" xfId="9357" xr:uid="{6C02C0E3-1F14-4902-932D-C9EFA218BA0B}"/>
    <cellStyle name="Normal 59 2 6 2" xfId="11391" xr:uid="{988C60D6-9DED-4DAF-AAD3-22AEE537B5B6}"/>
    <cellStyle name="Normal 59 2 6 2 2" xfId="15597" xr:uid="{F776374A-2DFA-4CB8-A467-53D50B46A129}"/>
    <cellStyle name="Normal 59 2 6 3" xfId="13568" xr:uid="{83A27332-2BBD-414E-8076-F6C86311EF55}"/>
    <cellStyle name="Normal 59 2 7" xfId="9715" xr:uid="{6A44CAE9-3E38-4E2A-93DD-580B4FFBCFEB}"/>
    <cellStyle name="Normal 59 2 7 2" xfId="13921" xr:uid="{75911A3B-1072-4425-98D0-1555E5E44AA0}"/>
    <cellStyle name="Normal 59 2 8" xfId="11892" xr:uid="{F6CB87A2-9498-45CD-B31D-873BC85903C5}"/>
    <cellStyle name="Normal 59 3" xfId="7731" xr:uid="{BB776FF0-6647-4141-B5E5-539F3F559291}"/>
    <cellStyle name="Normal 59 3 2" xfId="8102" xr:uid="{E192D6A1-97AC-4090-AB01-C39A6C589AF8}"/>
    <cellStyle name="Normal 59 3 2 2" xfId="8772" xr:uid="{6391858D-3875-4798-A1A0-645B95DDBF73}"/>
    <cellStyle name="Normal 59 3 2 2 2" xfId="10841" xr:uid="{63803F42-6DA3-448A-8E7D-83B7D38B93C6}"/>
    <cellStyle name="Normal 59 3 2 2 2 2" xfId="15047" xr:uid="{4CC1C4E8-3CF6-4A63-8437-B48AC0C9D0BB}"/>
    <cellStyle name="Normal 59 3 2 2 3" xfId="13018" xr:uid="{BF59D37B-9719-4E21-92A4-328C5E41DBD2}"/>
    <cellStyle name="Normal 59 3 2 3" xfId="10171" xr:uid="{0F5D0EBF-1866-4DE9-A297-AAA27418A319}"/>
    <cellStyle name="Normal 59 3 2 3 2" xfId="14377" xr:uid="{FF871866-D8BE-4A4E-A6BC-8AE80D1FFFE8}"/>
    <cellStyle name="Normal 59 3 2 4" xfId="12348" xr:uid="{41D1DB34-D4C6-4FD9-A81A-3373A531303B}"/>
    <cellStyle name="Normal 59 3 3" xfId="8438" xr:uid="{9C830479-89BE-4425-905B-A18E25CFA6E6}"/>
    <cellStyle name="Normal 59 3 3 2" xfId="10507" xr:uid="{93A97D44-C08A-46E6-94D9-A476CDDD61D2}"/>
    <cellStyle name="Normal 59 3 3 2 2" xfId="14713" xr:uid="{8BF8545B-A278-4210-A4C9-2D6E8E490376}"/>
    <cellStyle name="Normal 59 3 3 3" xfId="12684" xr:uid="{D4131D39-5B95-4575-99C1-4D43FE444B95}"/>
    <cellStyle name="Normal 59 3 4" xfId="9111" xr:uid="{DD811D38-6F3F-4AB2-8241-6D0DBF234FDB}"/>
    <cellStyle name="Normal 59 3 4 2" xfId="11180" xr:uid="{1EC2BA4D-04C8-42CE-8239-5F2FE4389035}"/>
    <cellStyle name="Normal 59 3 4 2 2" xfId="15386" xr:uid="{FA937FF8-7E18-4E14-946A-3AEB60DB4616}"/>
    <cellStyle name="Normal 59 3 4 3" xfId="13357" xr:uid="{F3B1C87F-D4FC-4BB3-AFBA-7B4210490213}"/>
    <cellStyle name="Normal 59 3 5" xfId="9479" xr:uid="{6D7822FC-A27D-4D86-AB11-E8C62C6521BF}"/>
    <cellStyle name="Normal 59 3 5 2" xfId="11513" xr:uid="{E6D09220-8C11-4F05-B9CF-381E3B571C79}"/>
    <cellStyle name="Normal 59 3 5 2 2" xfId="15719" xr:uid="{13719212-77F0-4FDF-9192-E3BD05CAD3DD}"/>
    <cellStyle name="Normal 59 3 5 3" xfId="13690" xr:uid="{08ED4882-5E15-40A4-B87B-70FDECD3E1E4}"/>
    <cellStyle name="Normal 59 3 6" xfId="9837" xr:uid="{0EC27B7F-A9FD-4BB1-86E1-813D24E9B778}"/>
    <cellStyle name="Normal 59 3 6 2" xfId="14043" xr:uid="{2ED503F6-6FE1-4C1A-A4C9-5F7B0FE9E6FD}"/>
    <cellStyle name="Normal 59 3 7" xfId="12014" xr:uid="{D5B9F5A9-9159-44BB-8EF2-C91D4D3BD3B8}"/>
    <cellStyle name="Normal 59 4" xfId="7939" xr:uid="{CE9288CA-C4FB-4EDE-8BA6-1C173202B3E6}"/>
    <cellStyle name="Normal 59 4 2" xfId="8609" xr:uid="{15469490-2F36-460D-A8A3-80C838378F72}"/>
    <cellStyle name="Normal 59 4 2 2" xfId="10678" xr:uid="{6E851BCC-813B-4060-A6A6-C18965A53332}"/>
    <cellStyle name="Normal 59 4 2 2 2" xfId="14884" xr:uid="{5E57F41B-C9A5-4172-BEA3-0EF7A90E8014}"/>
    <cellStyle name="Normal 59 4 2 3" xfId="12855" xr:uid="{FB89FF73-F65A-4F7A-878F-639F00FC3574}"/>
    <cellStyle name="Normal 59 4 3" xfId="10008" xr:uid="{34AF3789-C5C2-4E07-A0D1-D272093383BD}"/>
    <cellStyle name="Normal 59 4 3 2" xfId="14214" xr:uid="{B1030D66-7D3D-4879-B4C7-58D85DB0F09A}"/>
    <cellStyle name="Normal 59 4 4" xfId="12185" xr:uid="{65479153-F9B7-4EFC-9456-5868CE543C52}"/>
    <cellStyle name="Normal 59 5" xfId="8275" xr:uid="{98343AA6-5B0A-4B13-B238-9EDF06883357}"/>
    <cellStyle name="Normal 59 5 2" xfId="10344" xr:uid="{5BA419B1-2552-40AC-AB92-29D7A7DEE314}"/>
    <cellStyle name="Normal 59 5 2 2" xfId="14550" xr:uid="{1D762739-4BA9-4B30-AB3E-79AE0D848532}"/>
    <cellStyle name="Normal 59 5 3" xfId="12521" xr:uid="{45CE653C-818F-4AE5-B45B-4FE07B8A5FDE}"/>
    <cellStyle name="Normal 59 6" xfId="8948" xr:uid="{6FA6BD41-DD08-4E80-8F4F-0C54D33C0EA0}"/>
    <cellStyle name="Normal 59 6 2" xfId="11017" xr:uid="{132D0963-0F52-4B59-9AF5-317097BB487E}"/>
    <cellStyle name="Normal 59 6 2 2" xfId="15223" xr:uid="{30CF7CDC-8F25-4840-ACED-E7C5CC96CD69}"/>
    <cellStyle name="Normal 59 6 3" xfId="13194" xr:uid="{F059B8D9-79A9-4CF6-9861-C74B002E1D57}"/>
    <cellStyle name="Normal 59 7" xfId="9315" xr:uid="{E6CC5375-6B3A-4E13-B9D6-8BDBE1F7D279}"/>
    <cellStyle name="Normal 59 7 2" xfId="11350" xr:uid="{A621B1C1-0454-4986-8E92-AC571563BCAB}"/>
    <cellStyle name="Normal 59 7 2 2" xfId="15556" xr:uid="{E194CEF5-E2F3-4112-9D2A-1C10A4B0677C}"/>
    <cellStyle name="Normal 59 7 3" xfId="13527" xr:uid="{5978110F-9613-4EB8-9256-E633837A282F}"/>
    <cellStyle name="Normal 59 8" xfId="9674" xr:uid="{43E2B1D9-F1CD-413F-A4B5-E73E00643DB9}"/>
    <cellStyle name="Normal 59 8 2" xfId="13880" xr:uid="{820FB927-543C-41FA-AEEC-27BC01CBF2B1}"/>
    <cellStyle name="Normal 59 9" xfId="11850" xr:uid="{F1398F47-568F-4810-94E3-BB9F6B6E8D06}"/>
    <cellStyle name="Normal 6" xfId="5064" xr:uid="{2F6D3A00-60EC-4D84-80E3-366ECB344A35}"/>
    <cellStyle name="Normal 6 10" xfId="5065" xr:uid="{E2071D33-94A5-4EF2-AFB1-AECD4C464D52}"/>
    <cellStyle name="Normal 6 10 2" xfId="5066" xr:uid="{FD126EA3-A378-4A63-99E0-66A6111CFBFC}"/>
    <cellStyle name="Normal 6 10 2 2" xfId="5067" xr:uid="{A9A6A035-2E43-4118-A399-34E3009499A4}"/>
    <cellStyle name="Normal 6 10 3" xfId="5068" xr:uid="{396D21FD-50F8-4B70-BD9F-C920063F23AB}"/>
    <cellStyle name="Normal 6 11" xfId="5069" xr:uid="{75EB750C-CE7A-4354-BBB0-534BDC90EDA7}"/>
    <cellStyle name="Normal 6 11 2" xfId="5070" xr:uid="{DD3D8FB6-8420-4486-BC39-CB6A439AFDE4}"/>
    <cellStyle name="Normal 6 11 2 2" xfId="5071" xr:uid="{2463396D-3255-4046-B2CB-EE81EE471789}"/>
    <cellStyle name="Normal 6 11 3" xfId="5072" xr:uid="{AA9BACAE-1CA1-428D-A674-C782148F6096}"/>
    <cellStyle name="Normal 6 12" xfId="5073" xr:uid="{562FEEDC-76A6-48B9-8CB2-F86F0D21492F}"/>
    <cellStyle name="Normal 6 12 2" xfId="5074" xr:uid="{9D7F3A13-66A9-4049-A463-1A59D6D59DDB}"/>
    <cellStyle name="Normal 6 12 2 2" xfId="5075" xr:uid="{F59364C0-7D5A-4A27-9F2C-AC480BC05421}"/>
    <cellStyle name="Normal 6 12 3" xfId="5076" xr:uid="{C641A29E-AAD7-4174-9575-F70A4000881B}"/>
    <cellStyle name="Normal 6 13" xfId="5077" xr:uid="{3B011CE3-2FE2-4066-AE38-B70C926CCEAB}"/>
    <cellStyle name="Normal 6 13 2" xfId="5078" xr:uid="{ECA36FDC-4C4D-4E7B-B8D6-3E0116AC479D}"/>
    <cellStyle name="Normal 6 14" xfId="5079" xr:uid="{27FCF5D1-7075-40F6-A335-23C3C6ACF3EE}"/>
    <cellStyle name="Normal 6 15" xfId="7664" xr:uid="{BC1DD338-7E23-4D00-A334-7B925D5E2567}"/>
    <cellStyle name="Normal 6 16" xfId="9642" xr:uid="{3D27EAC1-C171-4290-A6A6-DF59CDB829C6}"/>
    <cellStyle name="Normal 6 16 2" xfId="13849" xr:uid="{70CDDA85-8D52-47CE-83D7-7C2E32D66083}"/>
    <cellStyle name="Normal 6 17" xfId="11666" xr:uid="{3E6A5E69-8D28-4F2A-9F6D-00879E066F85}"/>
    <cellStyle name="Normal 6 17 2" xfId="15872" xr:uid="{55FAFF46-291E-4926-A271-116E0627BCB7}"/>
    <cellStyle name="Normal 6 18" xfId="11692" xr:uid="{86935659-5DF6-4828-9557-83DD097F4513}"/>
    <cellStyle name="Normal 6 18 2" xfId="15896" xr:uid="{D714C799-AF81-4CA3-88FE-8A43A1473069}"/>
    <cellStyle name="Normal 6 19" xfId="11703" xr:uid="{07C03E1D-801B-4176-95D3-21CE36DA6FD5}"/>
    <cellStyle name="Normal 6 19 2" xfId="15907" xr:uid="{B45C33C5-97D3-4089-AE48-BE98252137DB}"/>
    <cellStyle name="Normal 6 2" xfId="5080" xr:uid="{BA7660D5-A393-4998-AD97-0BB776C86E01}"/>
    <cellStyle name="Normal 6 2 10" xfId="5081" xr:uid="{7D3B82EC-BC95-420A-A3F0-B9FFA39EADD0}"/>
    <cellStyle name="Normal 6 2 10 2" xfId="5082" xr:uid="{FD178730-216B-4C3A-A16C-8D7E6F910F88}"/>
    <cellStyle name="Normal 6 2 10 2 2" xfId="5083" xr:uid="{50F6E586-0968-4ED4-854A-B10157A41D50}"/>
    <cellStyle name="Normal 6 2 10 3" xfId="5084" xr:uid="{69D6A1F4-4B71-4C9B-8657-BFFF39674A25}"/>
    <cellStyle name="Normal 6 2 11" xfId="5085" xr:uid="{3AA1B27E-49D0-4D8E-8E53-A9EA404F10B0}"/>
    <cellStyle name="Normal 6 2 11 2" xfId="5086" xr:uid="{935FF27C-0BFA-4B95-B7ED-0E4F5AD1EF34}"/>
    <cellStyle name="Normal 6 2 11 2 2" xfId="5087" xr:uid="{00E23DD5-4046-4CAC-BBC7-1766E962160A}"/>
    <cellStyle name="Normal 6 2 11 3" xfId="5088" xr:uid="{35450310-4B77-4DD9-AF2A-0225E2718411}"/>
    <cellStyle name="Normal 6 2 12" xfId="5089" xr:uid="{C585F97B-D2AC-4578-8BEC-3AEA096E9568}"/>
    <cellStyle name="Normal 6 2 12 2" xfId="5090" xr:uid="{14B1F3AD-3275-4386-A70F-12DB4D384683}"/>
    <cellStyle name="Normal 6 2 13" xfId="5091" xr:uid="{0F4C3158-6617-482F-9D32-D5C97AFC66E0}"/>
    <cellStyle name="Normal 6 2 14" xfId="11683" xr:uid="{E7E1A4FA-CA7C-4643-848E-3C49EE97DC35}"/>
    <cellStyle name="Normal 6 2 14 2" xfId="15888" xr:uid="{91842A02-31AA-48F6-85BB-D7D2965048EB}"/>
    <cellStyle name="Normal 6 2 15" xfId="11700" xr:uid="{A8DA7858-0464-4C61-9631-0789E37F2F41}"/>
    <cellStyle name="Normal 6 2 15 2" xfId="15904" xr:uid="{34303DE5-35F9-42BE-95C5-47666B051B1A}"/>
    <cellStyle name="Normal 6 2 16" xfId="11719" xr:uid="{38A2244D-B7FD-48AD-97F9-2726B25296A0}"/>
    <cellStyle name="Normal 6 2 16 2" xfId="15923" xr:uid="{042F84EF-E8F9-4C4D-A408-41D780A2782F}"/>
    <cellStyle name="Normal 6 2 17" xfId="11745" xr:uid="{96596F3E-7874-4A5B-B030-87D2BB5ECCC2}"/>
    <cellStyle name="Normal 6 2 17 2" xfId="15946" xr:uid="{F5B3E37D-CE08-4208-AA0E-76B64CBFFDB1}"/>
    <cellStyle name="Normal 6 2 18" xfId="11770" xr:uid="{BFE373FC-E3DC-4820-ADD9-8BE46F7E862D}"/>
    <cellStyle name="Normal 6 2 18 2" xfId="15971" xr:uid="{FBD1C69C-DAFF-4232-BBD3-DA3D7D1A31F0}"/>
    <cellStyle name="Normal 6 2 2" xfId="5092" xr:uid="{4B070682-BC9B-497D-B4D3-C58BD934FC31}"/>
    <cellStyle name="Normal 6 2 2 10" xfId="5093" xr:uid="{F7F30221-A9CB-473B-B950-F7795BE9F2BC}"/>
    <cellStyle name="Normal 6 2 2 10 2" xfId="5094" xr:uid="{3FEF02B9-0FC8-40C6-86FC-3BD167DA0551}"/>
    <cellStyle name="Normal 6 2 2 11" xfId="5095" xr:uid="{56AE7DF7-C06C-4222-8702-A6766A060F3C}"/>
    <cellStyle name="Normal 6 2 2 2" xfId="5096" xr:uid="{2BD60037-CEB2-4B7D-8DB3-1C15F2B1E48B}"/>
    <cellStyle name="Normal 6 2 2 2 2" xfId="5097" xr:uid="{1F2E477A-17E4-44B2-AE2C-936BF44ABCD6}"/>
    <cellStyle name="Normal 6 2 2 2 2 2" xfId="5098" xr:uid="{20FAFD2D-BDCA-4296-BFCF-1E568F4D3606}"/>
    <cellStyle name="Normal 6 2 2 2 2 2 2" xfId="5099" xr:uid="{288AB8B3-3ACC-40E5-85B3-225EBA800D91}"/>
    <cellStyle name="Normal 6 2 2 2 2 2 2 2" xfId="5100" xr:uid="{814B0FAA-9ECD-47BA-B7F1-72755ABDA99A}"/>
    <cellStyle name="Normal 6 2 2 2 2 2 2 2 2" xfId="5101" xr:uid="{81F44784-0933-46DF-A7E5-97CBAA677664}"/>
    <cellStyle name="Normal 6 2 2 2 2 2 2 3" xfId="5102" xr:uid="{3353E490-0C42-4EFA-B6A6-199119FF91C5}"/>
    <cellStyle name="Normal 6 2 2 2 2 2 3" xfId="5103" xr:uid="{78780988-A895-4504-A663-23A90EBF0731}"/>
    <cellStyle name="Normal 6 2 2 2 2 2 3 2" xfId="5104" xr:uid="{38024976-0275-4139-9EE7-3AC995288027}"/>
    <cellStyle name="Normal 6 2 2 2 2 2 3 2 2" xfId="5105" xr:uid="{AAEA309E-9787-42A9-91EE-410E6348E166}"/>
    <cellStyle name="Normal 6 2 2 2 2 2 3 3" xfId="5106" xr:uid="{97F5D962-17BE-4C64-837A-302EA7C2F48E}"/>
    <cellStyle name="Normal 6 2 2 2 2 2 4" xfId="5107" xr:uid="{669B4E85-0956-4BDA-9080-139CB3A7D4C7}"/>
    <cellStyle name="Normal 6 2 2 2 2 2 4 2" xfId="5108" xr:uid="{FF1DD03A-84D4-47B3-9143-B23D769E3608}"/>
    <cellStyle name="Normal 6 2 2 2 2 2 4 2 2" xfId="5109" xr:uid="{FB07274E-5C2D-4907-8330-1998DB398026}"/>
    <cellStyle name="Normal 6 2 2 2 2 2 4 3" xfId="5110" xr:uid="{CD2505FC-A10B-49FF-B047-66C20794E60C}"/>
    <cellStyle name="Normal 6 2 2 2 2 2 5" xfId="5111" xr:uid="{55DE8EDD-6037-47DE-8E05-208FAF1FF4E0}"/>
    <cellStyle name="Normal 6 2 2 2 2 2 5 2" xfId="5112" xr:uid="{6C5AD20D-3139-493A-A347-511E5051E6C8}"/>
    <cellStyle name="Normal 6 2 2 2 2 2 6" xfId="5113" xr:uid="{053E7519-30F1-4B21-A3C7-5671CC0B6C6F}"/>
    <cellStyle name="Normal 6 2 2 2 2 3" xfId="5114" xr:uid="{240B20B2-63C3-4309-B430-37A92E76F695}"/>
    <cellStyle name="Normal 6 2 2 2 2 3 2" xfId="5115" xr:uid="{99B6859D-ACB2-4773-8B81-D2E95B465BA6}"/>
    <cellStyle name="Normal 6 2 2 2 2 3 2 2" xfId="5116" xr:uid="{CA7ED680-EE13-4334-9E1D-FFE10DE0DD62}"/>
    <cellStyle name="Normal 6 2 2 2 2 3 3" xfId="5117" xr:uid="{CE4825A6-C233-45C3-B6E3-0500FAE091DF}"/>
    <cellStyle name="Normal 6 2 2 2 2 4" xfId="5118" xr:uid="{748D8B2F-53BB-448C-A53A-F8C8CEB52E80}"/>
    <cellStyle name="Normal 6 2 2 2 2 4 2" xfId="5119" xr:uid="{9E874EA4-535A-4CE0-B638-2E357E583125}"/>
    <cellStyle name="Normal 6 2 2 2 2 4 2 2" xfId="5120" xr:uid="{44E9843C-0159-4F8E-86B2-606909667408}"/>
    <cellStyle name="Normal 6 2 2 2 2 4 3" xfId="5121" xr:uid="{58EED446-B26D-4F4F-8514-ED6A6A1DEA3A}"/>
    <cellStyle name="Normal 6 2 2 2 2 5" xfId="5122" xr:uid="{51BC0490-9C77-4AB9-B0B8-2F6654FF0763}"/>
    <cellStyle name="Normal 6 2 2 2 2 5 2" xfId="5123" xr:uid="{1127FC6A-020D-4BEE-982B-22CAD7247D2B}"/>
    <cellStyle name="Normal 6 2 2 2 2 5 2 2" xfId="5124" xr:uid="{2AFFE702-811F-43AD-AFC4-843BFB41D2E3}"/>
    <cellStyle name="Normal 6 2 2 2 2 5 3" xfId="5125" xr:uid="{74A3D506-E1C8-46B3-B8FB-1CA0A3303071}"/>
    <cellStyle name="Normal 6 2 2 2 2 6" xfId="5126" xr:uid="{2D41711E-C60E-4535-9C07-1C8F69170549}"/>
    <cellStyle name="Normal 6 2 2 2 2 6 2" xfId="5127" xr:uid="{BDB56A3B-6D56-40E1-B74B-55EFCEE1404F}"/>
    <cellStyle name="Normal 6 2 2 2 2 7" xfId="5128" xr:uid="{13875619-CA9A-4DEB-A51E-7E9075D8DD4B}"/>
    <cellStyle name="Normal 6 2 2 2 3" xfId="5129" xr:uid="{E2ECAF2E-0C82-4F05-A12E-AC8C1BFFE2C3}"/>
    <cellStyle name="Normal 6 2 2 2 3 2" xfId="5130" xr:uid="{F5078286-5E70-4AAB-8127-B17162BEC809}"/>
    <cellStyle name="Normal 6 2 2 2 3 2 2" xfId="5131" xr:uid="{2030CD41-03AD-4E01-8E19-8FB32478E59C}"/>
    <cellStyle name="Normal 6 2 2 2 3 2 2 2" xfId="5132" xr:uid="{7E93E322-DC58-434E-8338-B9DBFEAF290F}"/>
    <cellStyle name="Normal 6 2 2 2 3 2 3" xfId="5133" xr:uid="{A0FD00BC-0D9D-4A38-BCCA-653D0AA9ECFA}"/>
    <cellStyle name="Normal 6 2 2 2 3 3" xfId="5134" xr:uid="{86CB5132-CF08-441E-81EB-35F502E926AF}"/>
    <cellStyle name="Normal 6 2 2 2 3 3 2" xfId="5135" xr:uid="{EAA20F88-4EA9-4C30-A9C3-3139B83D0E45}"/>
    <cellStyle name="Normal 6 2 2 2 3 3 2 2" xfId="5136" xr:uid="{C722E724-7C0D-4B12-BFB3-7082B1BA34E2}"/>
    <cellStyle name="Normal 6 2 2 2 3 3 3" xfId="5137" xr:uid="{829D08B3-EF4D-439B-90D8-6F6195BDE3EA}"/>
    <cellStyle name="Normal 6 2 2 2 3 4" xfId="5138" xr:uid="{EC1D8D90-424B-458C-8F0B-6A29CD124FCD}"/>
    <cellStyle name="Normal 6 2 2 2 3 4 2" xfId="5139" xr:uid="{735B5B92-B2F4-430B-9968-8A6E3DEF3834}"/>
    <cellStyle name="Normal 6 2 2 2 3 4 2 2" xfId="5140" xr:uid="{9290BD6D-FE7D-4B58-80F7-D1A7DF41333A}"/>
    <cellStyle name="Normal 6 2 2 2 3 4 3" xfId="5141" xr:uid="{A4739635-ED3B-4C6D-967C-D7A832ADF8E9}"/>
    <cellStyle name="Normal 6 2 2 2 3 5" xfId="5142" xr:uid="{C90E6D09-39C1-4855-AF2C-7049086315C4}"/>
    <cellStyle name="Normal 6 2 2 2 3 5 2" xfId="5143" xr:uid="{34E012CD-1C6F-4ADB-81B5-8E121A13C5E9}"/>
    <cellStyle name="Normal 6 2 2 2 3 6" xfId="5144" xr:uid="{ECD0087A-FFC3-4858-BE2F-952D312AA5CF}"/>
    <cellStyle name="Normal 6 2 2 2 4" xfId="5145" xr:uid="{712A9F94-D47E-4FAC-A7C1-BCACDC9AE139}"/>
    <cellStyle name="Normal 6 2 2 2 4 2" xfId="5146" xr:uid="{C90F3E1C-CED5-49E0-AF18-C82E6C8CB02B}"/>
    <cellStyle name="Normal 6 2 2 2 4 2 2" xfId="5147" xr:uid="{1DE5B4C5-E336-429F-B41D-413FFCA57C27}"/>
    <cellStyle name="Normal 6 2 2 2 4 3" xfId="5148" xr:uid="{A5CEAD40-FC6A-4AEC-BA07-EEBEF000768D}"/>
    <cellStyle name="Normal 6 2 2 2 5" xfId="5149" xr:uid="{F7A67A2D-C5DC-469F-881A-61CE56222969}"/>
    <cellStyle name="Normal 6 2 2 2 5 2" xfId="5150" xr:uid="{2538111E-75FC-4B30-A3E1-2B42B03F45F8}"/>
    <cellStyle name="Normal 6 2 2 2 5 2 2" xfId="5151" xr:uid="{0C9AD2B1-3C48-4D91-8569-92BA09F66713}"/>
    <cellStyle name="Normal 6 2 2 2 5 3" xfId="5152" xr:uid="{4C732299-025B-4215-B119-C9B302FEB08A}"/>
    <cellStyle name="Normal 6 2 2 2 6" xfId="5153" xr:uid="{81BFFE21-D614-42A5-A100-099BF5259F17}"/>
    <cellStyle name="Normal 6 2 2 2 6 2" xfId="5154" xr:uid="{A103B9E6-3357-4E3F-AE9B-9D25ED0E6FF0}"/>
    <cellStyle name="Normal 6 2 2 2 6 2 2" xfId="5155" xr:uid="{C9ADEFBF-6633-413E-B484-7BE2C87017A9}"/>
    <cellStyle name="Normal 6 2 2 2 6 3" xfId="5156" xr:uid="{B34D627C-FA7D-44C7-9CD3-F629DBFF5549}"/>
    <cellStyle name="Normal 6 2 2 2 7" xfId="5157" xr:uid="{3319FB98-121A-433C-BE6A-14D91E4D1537}"/>
    <cellStyle name="Normal 6 2 2 2 7 2" xfId="5158" xr:uid="{08BBEF9B-E2B9-4841-B9CC-B304F51079A6}"/>
    <cellStyle name="Normal 6 2 2 2 8" xfId="5159" xr:uid="{71F3DB23-9B33-407A-9CC9-E5E592971F61}"/>
    <cellStyle name="Normal 6 2 2 3" xfId="5160" xr:uid="{AF54EA1C-B513-427D-A065-A5B9325D8598}"/>
    <cellStyle name="Normal 6 2 2 3 2" xfId="5161" xr:uid="{FF49D1B5-783E-466E-9333-722DA316113A}"/>
    <cellStyle name="Normal 6 2 2 3 2 2" xfId="5162" xr:uid="{386DF965-F451-4CCF-9993-64DF7A8F3D3F}"/>
    <cellStyle name="Normal 6 2 2 3 2 2 2" xfId="5163" xr:uid="{BF89919B-C52F-475D-8C6E-88232450E027}"/>
    <cellStyle name="Normal 6 2 2 3 2 2 2 2" xfId="5164" xr:uid="{4CD4757F-6774-4675-93CA-795727C14555}"/>
    <cellStyle name="Normal 6 2 2 3 2 2 2 2 2" xfId="5165" xr:uid="{9A2ED977-65AA-4F72-BCF4-A15FFFB44BB3}"/>
    <cellStyle name="Normal 6 2 2 3 2 2 2 3" xfId="5166" xr:uid="{40CD2FFE-CF51-4AAD-9CDC-81B847231DC1}"/>
    <cellStyle name="Normal 6 2 2 3 2 2 3" xfId="5167" xr:uid="{BE433BE7-209B-48E7-B724-ACD10DCE8474}"/>
    <cellStyle name="Normal 6 2 2 3 2 2 3 2" xfId="5168" xr:uid="{E97E956B-F786-4639-92BE-5E7F0CB33374}"/>
    <cellStyle name="Normal 6 2 2 3 2 2 3 2 2" xfId="5169" xr:uid="{981CCF2E-23B3-4B7D-A06E-8B1D65A8EA6B}"/>
    <cellStyle name="Normal 6 2 2 3 2 2 3 3" xfId="5170" xr:uid="{98A95B2F-AFCF-44CE-8FF4-67BA7B5253AB}"/>
    <cellStyle name="Normal 6 2 2 3 2 2 4" xfId="5171" xr:uid="{7C684C06-4A64-4015-B8B6-78F4ECC00DB9}"/>
    <cellStyle name="Normal 6 2 2 3 2 2 4 2" xfId="5172" xr:uid="{070B45F9-4CB8-4D5F-A4E5-D352A1FBCB5B}"/>
    <cellStyle name="Normal 6 2 2 3 2 2 4 2 2" xfId="5173" xr:uid="{1856B9B5-FED3-4B83-9D10-5DA23F2E2E65}"/>
    <cellStyle name="Normal 6 2 2 3 2 2 4 3" xfId="5174" xr:uid="{72508AD9-E60E-405A-B8F0-46B1224DC010}"/>
    <cellStyle name="Normal 6 2 2 3 2 2 5" xfId="5175" xr:uid="{D22D9C6A-E4B4-48F7-9458-319E74118FE6}"/>
    <cellStyle name="Normal 6 2 2 3 2 2 5 2" xfId="5176" xr:uid="{0BE321CB-0BA2-438A-A0AC-67D09A2B42D0}"/>
    <cellStyle name="Normal 6 2 2 3 2 2 6" xfId="5177" xr:uid="{75FA44BC-26A0-4E98-AF42-BA00E6E63AF7}"/>
    <cellStyle name="Normal 6 2 2 3 2 3" xfId="5178" xr:uid="{1AE3785C-63DD-44D2-85B1-FC9603A8EED6}"/>
    <cellStyle name="Normal 6 2 2 3 2 3 2" xfId="5179" xr:uid="{73CB6295-401C-4344-B4C5-2D9625AD0945}"/>
    <cellStyle name="Normal 6 2 2 3 2 3 2 2" xfId="5180" xr:uid="{B2EAE2D4-442F-401F-83ED-ACB9EA1F4ED3}"/>
    <cellStyle name="Normal 6 2 2 3 2 3 3" xfId="5181" xr:uid="{720B97B3-26B6-4700-9B53-2720DB9EDF29}"/>
    <cellStyle name="Normal 6 2 2 3 2 4" xfId="5182" xr:uid="{121A46FE-2628-4391-B747-BFB163465B67}"/>
    <cellStyle name="Normal 6 2 2 3 2 4 2" xfId="5183" xr:uid="{667674F3-7815-40CA-9114-051464A46581}"/>
    <cellStyle name="Normal 6 2 2 3 2 4 2 2" xfId="5184" xr:uid="{DCFA648F-B5FD-4F14-B4CF-5F13ED605ACD}"/>
    <cellStyle name="Normal 6 2 2 3 2 4 3" xfId="5185" xr:uid="{ABB3FE85-E4B1-4B8D-AFA8-0DA199E4B947}"/>
    <cellStyle name="Normal 6 2 2 3 2 5" xfId="5186" xr:uid="{628FDDC2-6DA0-4862-954C-09238BFE9D4D}"/>
    <cellStyle name="Normal 6 2 2 3 2 5 2" xfId="5187" xr:uid="{B43C7684-08F5-4102-9318-4A60FEC304F5}"/>
    <cellStyle name="Normal 6 2 2 3 2 5 2 2" xfId="5188" xr:uid="{47F5A1FC-2750-4D63-879D-1A94E67076BC}"/>
    <cellStyle name="Normal 6 2 2 3 2 5 3" xfId="5189" xr:uid="{6F8DBC31-CE84-4904-8C1C-EB96722D5DF6}"/>
    <cellStyle name="Normal 6 2 2 3 2 6" xfId="5190" xr:uid="{79BB286A-69D1-4378-A44C-C448EA7E02BC}"/>
    <cellStyle name="Normal 6 2 2 3 2 6 2" xfId="5191" xr:uid="{F890C9F8-BA6C-43AA-8C3A-11883F796E90}"/>
    <cellStyle name="Normal 6 2 2 3 2 7" xfId="5192" xr:uid="{A770A48F-4A66-4700-A831-0AB8EB95EBF3}"/>
    <cellStyle name="Normal 6 2 2 3 3" xfId="5193" xr:uid="{1B61298E-11EF-4A7C-9306-1EC9BF4C7C84}"/>
    <cellStyle name="Normal 6 2 2 3 3 2" xfId="5194" xr:uid="{483D262F-BEA8-4897-8BE8-2B9B4D661702}"/>
    <cellStyle name="Normal 6 2 2 3 3 2 2" xfId="5195" xr:uid="{C62DD1E7-4EAF-4522-A8BE-73BC86222A68}"/>
    <cellStyle name="Normal 6 2 2 3 3 2 2 2" xfId="5196" xr:uid="{E9204A12-FD6D-460B-9F56-92B62F7F30FA}"/>
    <cellStyle name="Normal 6 2 2 3 3 2 3" xfId="5197" xr:uid="{C81C2C57-57E7-4964-A8BC-2280E8CEAB48}"/>
    <cellStyle name="Normal 6 2 2 3 3 3" xfId="5198" xr:uid="{06BADD9D-D58C-4ADE-8615-FED530F8FC65}"/>
    <cellStyle name="Normal 6 2 2 3 3 3 2" xfId="5199" xr:uid="{13DA3848-2381-4F63-B26E-A45A4ED45D0A}"/>
    <cellStyle name="Normal 6 2 2 3 3 3 2 2" xfId="5200" xr:uid="{025DF713-59F7-46D8-91FD-092723DC31A6}"/>
    <cellStyle name="Normal 6 2 2 3 3 3 3" xfId="5201" xr:uid="{21D5BF6D-E0CB-4618-B99A-466AA3C8B254}"/>
    <cellStyle name="Normal 6 2 2 3 3 4" xfId="5202" xr:uid="{ED80ACB2-58A9-4E53-B915-BF08F392BA4D}"/>
    <cellStyle name="Normal 6 2 2 3 3 4 2" xfId="5203" xr:uid="{8FACDA24-494E-422E-A7A8-272554D2E64E}"/>
    <cellStyle name="Normal 6 2 2 3 3 4 2 2" xfId="5204" xr:uid="{54A541C1-B9FD-4EBE-AFE7-ED0ACE44A85D}"/>
    <cellStyle name="Normal 6 2 2 3 3 4 3" xfId="5205" xr:uid="{3CCAC8C5-88AC-449A-B9F1-8EC9375A53A0}"/>
    <cellStyle name="Normal 6 2 2 3 3 5" xfId="5206" xr:uid="{2F03307C-888F-4630-9119-EA7D2E2E39B9}"/>
    <cellStyle name="Normal 6 2 2 3 3 5 2" xfId="5207" xr:uid="{B6EDB3BF-0848-466F-9D12-5A188D4AD346}"/>
    <cellStyle name="Normal 6 2 2 3 3 6" xfId="5208" xr:uid="{2CFEB4D5-B570-4C39-BA2E-A46B30635B85}"/>
    <cellStyle name="Normal 6 2 2 3 4" xfId="5209" xr:uid="{65315BD9-381A-4F7D-B71C-2C5139BF2C33}"/>
    <cellStyle name="Normal 6 2 2 3 4 2" xfId="5210" xr:uid="{5E86C2D7-C174-4908-A06F-43D3A97FD313}"/>
    <cellStyle name="Normal 6 2 2 3 4 2 2" xfId="5211" xr:uid="{B02551CC-5B59-4A23-BE31-F8CB8F29817D}"/>
    <cellStyle name="Normal 6 2 2 3 4 3" xfId="5212" xr:uid="{C9736338-C72F-4AAD-A17E-CBB1A2D38468}"/>
    <cellStyle name="Normal 6 2 2 3 5" xfId="5213" xr:uid="{6BE1044F-33DD-4D8B-B198-4B91036AB9ED}"/>
    <cellStyle name="Normal 6 2 2 3 5 2" xfId="5214" xr:uid="{3BBE79D9-8671-4655-A67A-88FF86936322}"/>
    <cellStyle name="Normal 6 2 2 3 5 2 2" xfId="5215" xr:uid="{0B15ECDC-CC16-4600-A9AA-711186F2E12F}"/>
    <cellStyle name="Normal 6 2 2 3 5 3" xfId="5216" xr:uid="{F32DFFF7-4AE1-4DEB-BD85-8EEACFBDBB87}"/>
    <cellStyle name="Normal 6 2 2 3 6" xfId="5217" xr:uid="{8AA4D332-E582-4820-88D5-4FCC42A2DC9E}"/>
    <cellStyle name="Normal 6 2 2 3 6 2" xfId="5218" xr:uid="{638A1C05-3ED6-4153-A11D-7AC31B806D27}"/>
    <cellStyle name="Normal 6 2 2 3 6 2 2" xfId="5219" xr:uid="{A6CB5A48-AFF3-4619-B851-1BA0A56776CD}"/>
    <cellStyle name="Normal 6 2 2 3 6 3" xfId="5220" xr:uid="{EAFD2727-84D8-4702-9256-6048D2D3B6D7}"/>
    <cellStyle name="Normal 6 2 2 3 7" xfId="5221" xr:uid="{F25DFDC9-DD86-42C3-A999-85CAF4BBB473}"/>
    <cellStyle name="Normal 6 2 2 3 7 2" xfId="5222" xr:uid="{3693D791-7CB9-44DF-B4E1-82892682E38C}"/>
    <cellStyle name="Normal 6 2 2 3 8" xfId="5223" xr:uid="{11DCC6AF-0088-4359-B86C-7FE79B8C8832}"/>
    <cellStyle name="Normal 6 2 2 4" xfId="5224" xr:uid="{A4223C37-84D6-4DE3-9A7E-67583E84194C}"/>
    <cellStyle name="Normal 6 2 2 4 2" xfId="5225" xr:uid="{97B6539E-EF44-47CA-BF6D-73AF27D0F26B}"/>
    <cellStyle name="Normal 6 2 2 4 2 2" xfId="5226" xr:uid="{31DF6B2C-BB30-468B-B994-C90F1CB69DBD}"/>
    <cellStyle name="Normal 6 2 2 4 2 2 2" xfId="5227" xr:uid="{144468BE-F116-42FD-BE02-2A5459DCA38C}"/>
    <cellStyle name="Normal 6 2 2 4 2 2 2 2" xfId="5228" xr:uid="{FF976311-7174-4A8C-AD7D-7B5A54B79690}"/>
    <cellStyle name="Normal 6 2 2 4 2 2 3" xfId="5229" xr:uid="{EC890DEC-D8CD-4973-B3B0-05674F2700B7}"/>
    <cellStyle name="Normal 6 2 2 4 2 3" xfId="5230" xr:uid="{36F7AF3C-A975-4638-A7A4-80128AAD94D3}"/>
    <cellStyle name="Normal 6 2 2 4 2 3 2" xfId="5231" xr:uid="{1757E88C-6CB6-429A-8432-DD8715D09A06}"/>
    <cellStyle name="Normal 6 2 2 4 2 3 2 2" xfId="5232" xr:uid="{FF9CDB3D-B470-401A-92EB-8DF44D42FC57}"/>
    <cellStyle name="Normal 6 2 2 4 2 3 3" xfId="5233" xr:uid="{214E1FFD-1DFC-4FFA-A88D-3BE1345448A9}"/>
    <cellStyle name="Normal 6 2 2 4 2 4" xfId="5234" xr:uid="{AD436D5D-D42F-4020-81A6-5A97180DFFF2}"/>
    <cellStyle name="Normal 6 2 2 4 2 4 2" xfId="5235" xr:uid="{A2E6597D-3801-4CE5-A570-568D6CCD87F4}"/>
    <cellStyle name="Normal 6 2 2 4 2 4 2 2" xfId="5236" xr:uid="{602A1969-88AE-4950-8FF8-F7DB0590C5BD}"/>
    <cellStyle name="Normal 6 2 2 4 2 4 3" xfId="5237" xr:uid="{C608C4E6-5C14-4F52-B484-26383FCA13B5}"/>
    <cellStyle name="Normal 6 2 2 4 2 5" xfId="5238" xr:uid="{1C33D825-6C3F-4D96-B2E9-0DF6E434578E}"/>
    <cellStyle name="Normal 6 2 2 4 2 5 2" xfId="5239" xr:uid="{6A9C729E-A468-445E-A40B-A66FD696996D}"/>
    <cellStyle name="Normal 6 2 2 4 2 6" xfId="5240" xr:uid="{CAD3ABCC-28AD-4627-8B34-8D6ECC05A50F}"/>
    <cellStyle name="Normal 6 2 2 4 3" xfId="5241" xr:uid="{4B4EDF62-5282-416D-808A-27AD5107D24F}"/>
    <cellStyle name="Normal 6 2 2 4 3 2" xfId="5242" xr:uid="{8028129A-0A53-4F74-89E2-8207BDD40F1D}"/>
    <cellStyle name="Normal 6 2 2 4 3 2 2" xfId="5243" xr:uid="{832CAE26-584B-4B90-B6BC-CEB44BA0B43A}"/>
    <cellStyle name="Normal 6 2 2 4 3 3" xfId="5244" xr:uid="{55757D7A-DF12-440C-AB73-273C003E37D0}"/>
    <cellStyle name="Normal 6 2 2 4 4" xfId="5245" xr:uid="{446F0C6E-115D-4F11-B196-B74AA26B7E6D}"/>
    <cellStyle name="Normal 6 2 2 4 4 2" xfId="5246" xr:uid="{D76AD54F-37AB-4A7F-B3FD-2E16D2954212}"/>
    <cellStyle name="Normal 6 2 2 4 4 2 2" xfId="5247" xr:uid="{1EB5553F-E10B-442E-820E-0A40632C4F54}"/>
    <cellStyle name="Normal 6 2 2 4 4 3" xfId="5248" xr:uid="{CA618FC7-F875-4EB2-BEDF-8A6997BED1C5}"/>
    <cellStyle name="Normal 6 2 2 4 5" xfId="5249" xr:uid="{4D4F4BB7-28D4-4B91-B1E4-7179B3BE317E}"/>
    <cellStyle name="Normal 6 2 2 4 5 2" xfId="5250" xr:uid="{438BC3C3-0BBC-4FCC-A762-84D0BA096DB1}"/>
    <cellStyle name="Normal 6 2 2 4 5 2 2" xfId="5251" xr:uid="{990A516C-0545-4204-B4DB-1CAD665E4864}"/>
    <cellStyle name="Normal 6 2 2 4 5 3" xfId="5252" xr:uid="{88AFA439-8C01-4E21-B5DA-6218743781DB}"/>
    <cellStyle name="Normal 6 2 2 4 6" xfId="5253" xr:uid="{5F6AD5A6-DD8A-4FC8-B452-80CDB22E058E}"/>
    <cellStyle name="Normal 6 2 2 4 6 2" xfId="5254" xr:uid="{F8075EF2-69B1-42E0-85E6-18C510C44869}"/>
    <cellStyle name="Normal 6 2 2 4 7" xfId="5255" xr:uid="{A40359FC-D5E5-488E-8837-730A5803572D}"/>
    <cellStyle name="Normal 6 2 2 5" xfId="5256" xr:uid="{4496D125-1624-4D8E-A03D-897A9CE018AB}"/>
    <cellStyle name="Normal 6 2 2 5 2" xfId="5257" xr:uid="{A18AC2D2-C98E-4C42-8C31-98C064AA375E}"/>
    <cellStyle name="Normal 6 2 2 5 2 2" xfId="5258" xr:uid="{CF6CC1F0-B9FC-4A22-B826-2FBC446F5E58}"/>
    <cellStyle name="Normal 6 2 2 5 2 2 2" xfId="5259" xr:uid="{F7D52E5F-A0A7-4A2C-A140-2A09FA7F7D6D}"/>
    <cellStyle name="Normal 6 2 2 5 2 3" xfId="5260" xr:uid="{481ABC75-99CC-47EC-BBAF-22860B79C99A}"/>
    <cellStyle name="Normal 6 2 2 5 3" xfId="5261" xr:uid="{EB5E0CFD-B3BA-4932-A10D-453488ED89B3}"/>
    <cellStyle name="Normal 6 2 2 5 3 2" xfId="5262" xr:uid="{CBCC0E18-1EAC-4562-B6EB-7CD243C17A58}"/>
    <cellStyle name="Normal 6 2 2 5 3 2 2" xfId="5263" xr:uid="{21D22DEE-E83B-472A-BB65-7371F0186F39}"/>
    <cellStyle name="Normal 6 2 2 5 3 3" xfId="5264" xr:uid="{19317A6B-EF43-4082-9DBE-7DBE5A00879F}"/>
    <cellStyle name="Normal 6 2 2 5 4" xfId="5265" xr:uid="{A36F2EEC-85F3-484F-82E1-721B3C386B8B}"/>
    <cellStyle name="Normal 6 2 2 5 4 2" xfId="5266" xr:uid="{50B1329C-16C6-45DC-86D8-8C397953CE68}"/>
    <cellStyle name="Normal 6 2 2 5 4 2 2" xfId="5267" xr:uid="{3008D481-931F-4E04-818F-EFBFA59159D0}"/>
    <cellStyle name="Normal 6 2 2 5 4 3" xfId="5268" xr:uid="{B8E43F05-638B-47E2-BDC8-CC9C3EF90D12}"/>
    <cellStyle name="Normal 6 2 2 5 5" xfId="5269" xr:uid="{8F459022-E18A-413A-9DFF-3D675D8914B7}"/>
    <cellStyle name="Normal 6 2 2 5 5 2" xfId="5270" xr:uid="{BB8DE22C-2004-427A-BD43-8399036716B8}"/>
    <cellStyle name="Normal 6 2 2 5 6" xfId="5271" xr:uid="{9ACE2D0B-321E-43DB-B042-0ECC858B584E}"/>
    <cellStyle name="Normal 6 2 2 6" xfId="5272" xr:uid="{F82E332D-9733-4E48-8D9B-0558320496DA}"/>
    <cellStyle name="Normal 6 2 2 6 2" xfId="5273" xr:uid="{2461064E-7BD2-402C-9F71-C38F322A3791}"/>
    <cellStyle name="Normal 6 2 2 6 2 2" xfId="5274" xr:uid="{D37DD580-D820-45E9-AC45-21BA72AA2660}"/>
    <cellStyle name="Normal 6 2 2 6 3" xfId="5275" xr:uid="{F9D431E3-CDB9-49FD-92EB-FA17909ED3AE}"/>
    <cellStyle name="Normal 6 2 2 7" xfId="5276" xr:uid="{96FFBCD3-0EA6-41B8-BD8B-656B84B11C70}"/>
    <cellStyle name="Normal 6 2 2 7 2" xfId="5277" xr:uid="{0D4D51D1-9E96-4C25-A11E-7D9789505947}"/>
    <cellStyle name="Normal 6 2 2 7 2 2" xfId="5278" xr:uid="{A81D7A2C-8D88-4EA8-B02E-A6CCBE2D3B3E}"/>
    <cellStyle name="Normal 6 2 2 7 3" xfId="5279" xr:uid="{125AAB41-5062-4AAA-8648-5704BA9632FA}"/>
    <cellStyle name="Normal 6 2 2 8" xfId="5280" xr:uid="{3050EABA-92BA-402D-9C6E-3DDCECBF821A}"/>
    <cellStyle name="Normal 6 2 2 8 2" xfId="5281" xr:uid="{A17B6E8E-E26C-42DF-93EC-1926F4B4A609}"/>
    <cellStyle name="Normal 6 2 2 8 2 2" xfId="5282" xr:uid="{4ACD8540-3F97-4ABA-B207-57A292BB0DDB}"/>
    <cellStyle name="Normal 6 2 2 8 3" xfId="5283" xr:uid="{D6D1C3AE-41E1-4AC6-890A-59C539B921CF}"/>
    <cellStyle name="Normal 6 2 2 9" xfId="5284" xr:uid="{7C80B858-D457-49EF-97AD-8ADFB43EA555}"/>
    <cellStyle name="Normal 6 2 2 9 2" xfId="5285" xr:uid="{083CDC32-8BFA-49A5-BCC8-155C1E98A25E}"/>
    <cellStyle name="Normal 6 2 2 9 2 2" xfId="5286" xr:uid="{97EC986B-80C3-4928-B72F-352DD8DF48EC}"/>
    <cellStyle name="Normal 6 2 2 9 3" xfId="5287" xr:uid="{B161CAFF-540F-4256-BF50-425F98713307}"/>
    <cellStyle name="Normal 6 2 3" xfId="5288" xr:uid="{DBEC1EC5-07B7-4F75-B2DA-2D44C431B9FE}"/>
    <cellStyle name="Normal 6 2 3 2" xfId="5289" xr:uid="{2051F019-CF4F-42E0-84ED-7E8118977E6F}"/>
    <cellStyle name="Normal 6 2 3 2 2" xfId="5290" xr:uid="{C2134B6F-C78B-4447-9115-122582C3165B}"/>
    <cellStyle name="Normal 6 2 3 2 2 2" xfId="5291" xr:uid="{0915A278-E355-4AE9-B8F5-FD5435C943A9}"/>
    <cellStyle name="Normal 6 2 3 2 2 2 2" xfId="5292" xr:uid="{D6F6D8E3-2D13-444D-A949-2A3648DEC57D}"/>
    <cellStyle name="Normal 6 2 3 2 2 2 2 2" xfId="5293" xr:uid="{4B6C2841-1078-4458-9EE8-A4126307D2A5}"/>
    <cellStyle name="Normal 6 2 3 2 2 2 3" xfId="5294" xr:uid="{06BE22BB-33CB-412B-9D24-8BB079F13830}"/>
    <cellStyle name="Normal 6 2 3 2 2 3" xfId="5295" xr:uid="{8595518F-CE6E-4189-8ACF-5D458E434C0B}"/>
    <cellStyle name="Normal 6 2 3 2 2 3 2" xfId="5296" xr:uid="{6144C501-020A-450C-82A9-944A19522431}"/>
    <cellStyle name="Normal 6 2 3 2 2 3 2 2" xfId="5297" xr:uid="{BFB26205-4F2B-48B7-A25D-A1A1CC3A9620}"/>
    <cellStyle name="Normal 6 2 3 2 2 3 3" xfId="5298" xr:uid="{7473D13A-13E9-4274-BE7D-FD2C0707E753}"/>
    <cellStyle name="Normal 6 2 3 2 2 4" xfId="5299" xr:uid="{08FDBC16-C93A-4D93-86AF-18277A23D65A}"/>
    <cellStyle name="Normal 6 2 3 2 2 4 2" xfId="5300" xr:uid="{A2A5D6ED-60D9-49AD-8ACA-3683111B488E}"/>
    <cellStyle name="Normal 6 2 3 2 2 4 2 2" xfId="5301" xr:uid="{671ACC8D-DBF4-4B2C-BE24-50C3CB0A73C1}"/>
    <cellStyle name="Normal 6 2 3 2 2 4 3" xfId="5302" xr:uid="{4CD40058-FD30-4FA5-BA5A-97891C0D860B}"/>
    <cellStyle name="Normal 6 2 3 2 2 5" xfId="5303" xr:uid="{86791323-8A9A-4BFC-87C1-974CD7B52430}"/>
    <cellStyle name="Normal 6 2 3 2 2 5 2" xfId="5304" xr:uid="{A3346124-5471-402E-9D1B-F52CDF4F4C93}"/>
    <cellStyle name="Normal 6 2 3 2 2 6" xfId="5305" xr:uid="{C6D21A0B-6BF4-4425-9763-518B1C794827}"/>
    <cellStyle name="Normal 6 2 3 2 3" xfId="5306" xr:uid="{EB46C90C-648F-4085-BA4B-26B5E1FB3337}"/>
    <cellStyle name="Normal 6 2 3 2 3 2" xfId="5307" xr:uid="{CB952435-2AFC-465D-9C37-AC3D0B26C9FB}"/>
    <cellStyle name="Normal 6 2 3 2 3 2 2" xfId="5308" xr:uid="{471ECA23-DE0E-4FE9-A888-DA5A05706FF6}"/>
    <cellStyle name="Normal 6 2 3 2 3 3" xfId="5309" xr:uid="{A15CD899-7407-4E8F-85E1-24B6FFF9862D}"/>
    <cellStyle name="Normal 6 2 3 2 4" xfId="5310" xr:uid="{59C1FD0D-D7FE-4322-A032-81472D980248}"/>
    <cellStyle name="Normal 6 2 3 2 4 2" xfId="5311" xr:uid="{9B06D76F-8E1F-4EA3-BF97-963780B5B305}"/>
    <cellStyle name="Normal 6 2 3 2 4 2 2" xfId="5312" xr:uid="{7F7D9A8E-1DC5-4122-8111-87EFB3A04F3A}"/>
    <cellStyle name="Normal 6 2 3 2 4 3" xfId="5313" xr:uid="{270EA5B4-CC19-4EE0-AD0D-D5DFC39457E8}"/>
    <cellStyle name="Normal 6 2 3 2 5" xfId="5314" xr:uid="{57936650-C809-4EBF-9D97-511BACF07FF8}"/>
    <cellStyle name="Normal 6 2 3 2 5 2" xfId="5315" xr:uid="{FF13929B-DBF9-4BF7-9930-75FFC8FD9CCF}"/>
    <cellStyle name="Normal 6 2 3 2 5 2 2" xfId="5316" xr:uid="{AFDF0F1D-8942-4C06-A969-0506D10F0B91}"/>
    <cellStyle name="Normal 6 2 3 2 5 3" xfId="5317" xr:uid="{1340BF22-E33D-4341-8DBB-5C32682A9855}"/>
    <cellStyle name="Normal 6 2 3 2 6" xfId="5318" xr:uid="{E850F80D-E222-4486-8419-6439FC03F117}"/>
    <cellStyle name="Normal 6 2 3 2 6 2" xfId="5319" xr:uid="{7F123F5C-5015-40A8-84DA-51C46AB5AD34}"/>
    <cellStyle name="Normal 6 2 3 2 7" xfId="5320" xr:uid="{591401C1-1980-425C-A6EA-8F50CCC9C475}"/>
    <cellStyle name="Normal 6 2 3 3" xfId="5321" xr:uid="{35229D2B-2C86-408D-BAF3-E8701A5ED6D9}"/>
    <cellStyle name="Normal 6 2 3 3 2" xfId="5322" xr:uid="{765AEC5B-5D5E-4067-BB3E-60BC679876F3}"/>
    <cellStyle name="Normal 6 2 3 3 2 2" xfId="5323" xr:uid="{B747D0F7-604C-4B91-970C-E723A2C8D3E0}"/>
    <cellStyle name="Normal 6 2 3 3 2 2 2" xfId="5324" xr:uid="{33EE16CC-40BE-4EFD-8CE5-76F85E2D0854}"/>
    <cellStyle name="Normal 6 2 3 3 2 3" xfId="5325" xr:uid="{6B3B7539-7D57-4A43-89BC-7DB7CFF40509}"/>
    <cellStyle name="Normal 6 2 3 3 3" xfId="5326" xr:uid="{7A5A35E5-8F2E-400D-88F6-A3A0515FE022}"/>
    <cellStyle name="Normal 6 2 3 3 3 2" xfId="5327" xr:uid="{5EE0D666-A60B-45DD-BABE-C433F93106D4}"/>
    <cellStyle name="Normal 6 2 3 3 3 2 2" xfId="5328" xr:uid="{F866C14C-B4B1-4F5F-B173-4F3E52E5460D}"/>
    <cellStyle name="Normal 6 2 3 3 3 3" xfId="5329" xr:uid="{802C5355-622E-4BD4-AAC4-97969F6F480F}"/>
    <cellStyle name="Normal 6 2 3 3 4" xfId="5330" xr:uid="{DA8C5313-E415-4C9D-B918-472B6F35FCB4}"/>
    <cellStyle name="Normal 6 2 3 3 4 2" xfId="5331" xr:uid="{83BBEEF6-EEB9-47E8-AA33-6CE97F629A81}"/>
    <cellStyle name="Normal 6 2 3 3 4 2 2" xfId="5332" xr:uid="{63597B2D-F669-4C36-8077-AD147246687B}"/>
    <cellStyle name="Normal 6 2 3 3 4 3" xfId="5333" xr:uid="{32C53B4F-C542-4C03-9DEA-447FEFA386A8}"/>
    <cellStyle name="Normal 6 2 3 3 5" xfId="5334" xr:uid="{FC44D4E3-09DD-4DB0-B4C1-AACC5241DD6F}"/>
    <cellStyle name="Normal 6 2 3 3 5 2" xfId="5335" xr:uid="{4D25A998-5452-49B5-80B3-E7FD5F591707}"/>
    <cellStyle name="Normal 6 2 3 3 6" xfId="5336" xr:uid="{6431D57D-0082-496C-B6DB-B742FB46B885}"/>
    <cellStyle name="Normal 6 2 3 4" xfId="5337" xr:uid="{05F93A93-98C7-414D-8285-A2565DBB2816}"/>
    <cellStyle name="Normal 6 2 3 4 2" xfId="5338" xr:uid="{D5983C71-73EA-4A72-89A8-8F405E6EBDEB}"/>
    <cellStyle name="Normal 6 2 3 4 2 2" xfId="5339" xr:uid="{7C883D3C-86CB-4CD7-92F4-C0E617CCE2FB}"/>
    <cellStyle name="Normal 6 2 3 4 3" xfId="5340" xr:uid="{08B0F545-E3BB-4745-A692-C6F784C7B4F8}"/>
    <cellStyle name="Normal 6 2 3 5" xfId="5341" xr:uid="{21F1CF5B-8BED-4AF4-BEE9-AD05B0D3CBB7}"/>
    <cellStyle name="Normal 6 2 3 5 2" xfId="5342" xr:uid="{86F0F77F-7AB2-4D55-8F90-E5386811D957}"/>
    <cellStyle name="Normal 6 2 3 5 2 2" xfId="5343" xr:uid="{0193BE89-F18F-414F-AEA0-E913A670B75E}"/>
    <cellStyle name="Normal 6 2 3 5 3" xfId="5344" xr:uid="{36004CF9-94A1-4712-BB06-02568535ACC3}"/>
    <cellStyle name="Normal 6 2 3 6" xfId="5345" xr:uid="{4C30607D-0F0C-4ECF-B126-96115CA25B77}"/>
    <cellStyle name="Normal 6 2 3 6 2" xfId="5346" xr:uid="{7BD4ECB8-1AF0-42A9-99A8-F2F69698FD39}"/>
    <cellStyle name="Normal 6 2 3 6 2 2" xfId="5347" xr:uid="{C85D5F4D-AF41-4A0D-AD81-F9D3D9E69ED0}"/>
    <cellStyle name="Normal 6 2 3 6 3" xfId="5348" xr:uid="{6A49929E-DB6B-4ACF-99C6-322F46CBE7BE}"/>
    <cellStyle name="Normal 6 2 3 7" xfId="5349" xr:uid="{B6A1318D-2E8D-43D8-8CDC-F1E46A20869F}"/>
    <cellStyle name="Normal 6 2 3 7 2" xfId="5350" xr:uid="{5B450C1E-3464-43D1-8A74-43CEA0C35D6B}"/>
    <cellStyle name="Normal 6 2 3 8" xfId="5351" xr:uid="{CFD5B0AB-DE96-4BAE-A464-3E523D6C215C}"/>
    <cellStyle name="Normal 6 2 4" xfId="5352" xr:uid="{312F5973-B59F-45E9-9898-4B5F42192005}"/>
    <cellStyle name="Normal 6 2 4 2" xfId="5353" xr:uid="{04F028CA-5965-4DD2-A39C-6EA911D936B0}"/>
    <cellStyle name="Normal 6 2 4 2 2" xfId="5354" xr:uid="{D0918CFD-6AC0-4205-B9B7-347EBF7B7CD9}"/>
    <cellStyle name="Normal 6 2 4 2 2 2" xfId="5355" xr:uid="{2F4E8E43-8BC8-4BEF-9B2E-621EABF14EBE}"/>
    <cellStyle name="Normal 6 2 4 2 2 2 2" xfId="5356" xr:uid="{5B179120-C030-4063-92B7-AC08EB43B020}"/>
    <cellStyle name="Normal 6 2 4 2 2 2 2 2" xfId="5357" xr:uid="{DB7ACA9A-C565-4835-B729-B1A6736F7AEE}"/>
    <cellStyle name="Normal 6 2 4 2 2 2 3" xfId="5358" xr:uid="{BD01046C-D5F5-40D8-8514-A4D25C77FA20}"/>
    <cellStyle name="Normal 6 2 4 2 2 3" xfId="5359" xr:uid="{5406DEF7-C2E2-43E5-A909-134371D180B7}"/>
    <cellStyle name="Normal 6 2 4 2 2 3 2" xfId="5360" xr:uid="{99C62B00-DECD-446A-A31E-D6619EEB36CC}"/>
    <cellStyle name="Normal 6 2 4 2 2 3 2 2" xfId="5361" xr:uid="{502D1D3E-6D13-4E97-9C08-4A652C68B565}"/>
    <cellStyle name="Normal 6 2 4 2 2 3 3" xfId="5362" xr:uid="{2C7EC348-CD89-4242-B7B9-F38F9B9123E5}"/>
    <cellStyle name="Normal 6 2 4 2 2 4" xfId="5363" xr:uid="{8156DB7C-DCF3-48D8-9D0B-B9129E7E7DE2}"/>
    <cellStyle name="Normal 6 2 4 2 2 4 2" xfId="5364" xr:uid="{8B69E2F1-0854-4DF4-BF19-62BA8CE1DC09}"/>
    <cellStyle name="Normal 6 2 4 2 2 4 2 2" xfId="5365" xr:uid="{9A07A09C-63E1-4D8A-BB4F-66AE82F0E941}"/>
    <cellStyle name="Normal 6 2 4 2 2 4 3" xfId="5366" xr:uid="{8338EA92-5A8D-4E2F-92D1-1A24AA1D83ED}"/>
    <cellStyle name="Normal 6 2 4 2 2 5" xfId="5367" xr:uid="{310DF031-DEE5-49CE-AA98-1FE705A7F04E}"/>
    <cellStyle name="Normal 6 2 4 2 2 5 2" xfId="5368" xr:uid="{37AA7510-3B4A-4776-99DF-8E01541AC0C9}"/>
    <cellStyle name="Normal 6 2 4 2 2 6" xfId="5369" xr:uid="{97DC3D9B-DBA1-4B69-9454-B23D6BE3D82F}"/>
    <cellStyle name="Normal 6 2 4 2 3" xfId="5370" xr:uid="{7AC753B9-9575-409A-915F-978DB5BABBB3}"/>
    <cellStyle name="Normal 6 2 4 2 3 2" xfId="5371" xr:uid="{AF37AFE3-EBAE-466F-A7A9-92F5E751605E}"/>
    <cellStyle name="Normal 6 2 4 2 3 2 2" xfId="5372" xr:uid="{A7182D5F-B73B-45FC-B804-4FA6D29D7B4C}"/>
    <cellStyle name="Normal 6 2 4 2 3 3" xfId="5373" xr:uid="{25B78E66-0BA4-4989-A6F8-601A8B61DE6C}"/>
    <cellStyle name="Normal 6 2 4 2 4" xfId="5374" xr:uid="{B5464C30-318E-4570-95B1-7D6CE8FDAB6A}"/>
    <cellStyle name="Normal 6 2 4 2 4 2" xfId="5375" xr:uid="{B7A607D5-937E-448D-B80E-CCE6401DA15D}"/>
    <cellStyle name="Normal 6 2 4 2 4 2 2" xfId="5376" xr:uid="{9342B164-68BD-4557-B558-C5FFD7515BE1}"/>
    <cellStyle name="Normal 6 2 4 2 4 3" xfId="5377" xr:uid="{B08C1E6B-9EBD-4207-9664-3B3E2C82C1A4}"/>
    <cellStyle name="Normal 6 2 4 2 5" xfId="5378" xr:uid="{050C6350-2BFC-4AF3-9170-44C88391D771}"/>
    <cellStyle name="Normal 6 2 4 2 5 2" xfId="5379" xr:uid="{109826ED-98AC-4CB2-921D-048EC9AD89EB}"/>
    <cellStyle name="Normal 6 2 4 2 5 2 2" xfId="5380" xr:uid="{AD575086-D1B7-4E23-862C-305DA1DE1B9F}"/>
    <cellStyle name="Normal 6 2 4 2 5 3" xfId="5381" xr:uid="{1AD72534-57B8-4DDD-8924-127C871DF728}"/>
    <cellStyle name="Normal 6 2 4 2 6" xfId="5382" xr:uid="{DDD561B4-5C95-464C-BF8D-09C0E36D00AA}"/>
    <cellStyle name="Normal 6 2 4 2 6 2" xfId="5383" xr:uid="{62974BE5-1EB3-48EC-85DE-DB93F76D6C20}"/>
    <cellStyle name="Normal 6 2 4 2 7" xfId="5384" xr:uid="{322DF749-9DA5-49FB-A65A-9AD260FE77DD}"/>
    <cellStyle name="Normal 6 2 4 3" xfId="5385" xr:uid="{46F06118-E807-4ACF-AFB9-E490D81F8C0E}"/>
    <cellStyle name="Normal 6 2 4 3 2" xfId="5386" xr:uid="{03D3090F-A7E6-4AD4-B386-C6BE659A90F8}"/>
    <cellStyle name="Normal 6 2 4 3 2 2" xfId="5387" xr:uid="{54200995-0703-4DD6-9FAA-7EDE9DF6E864}"/>
    <cellStyle name="Normal 6 2 4 3 2 2 2" xfId="5388" xr:uid="{5EC80FDF-5C87-4464-B21C-85B818E82C73}"/>
    <cellStyle name="Normal 6 2 4 3 2 3" xfId="5389" xr:uid="{E8A19087-4910-4812-9CCC-A4F48E234C71}"/>
    <cellStyle name="Normal 6 2 4 3 3" xfId="5390" xr:uid="{F3EF223B-4117-4DA2-BEBE-A7615190D5F0}"/>
    <cellStyle name="Normal 6 2 4 3 3 2" xfId="5391" xr:uid="{BC35AC6D-9850-4B2D-AB40-9C48E5553AA9}"/>
    <cellStyle name="Normal 6 2 4 3 3 2 2" xfId="5392" xr:uid="{63FA2A5A-5B87-4DA9-9DE9-B4FBF3FC3104}"/>
    <cellStyle name="Normal 6 2 4 3 3 3" xfId="5393" xr:uid="{094F80BE-C1F8-4171-AEA8-5A4C0102D9CB}"/>
    <cellStyle name="Normal 6 2 4 3 4" xfId="5394" xr:uid="{92B651FE-3124-454B-8B75-5E4AA3E2EC43}"/>
    <cellStyle name="Normal 6 2 4 3 4 2" xfId="5395" xr:uid="{CA09C256-3D95-4632-A139-FB7A66A73CC0}"/>
    <cellStyle name="Normal 6 2 4 3 4 2 2" xfId="5396" xr:uid="{7130BD1D-FE9F-4950-938B-CD171EF3E57F}"/>
    <cellStyle name="Normal 6 2 4 3 4 3" xfId="5397" xr:uid="{50B03A1F-0946-4E89-95A4-1AC6A8AD44D0}"/>
    <cellStyle name="Normal 6 2 4 3 5" xfId="5398" xr:uid="{ABEE266A-B7EE-4D88-ABE2-A62166AC94AC}"/>
    <cellStyle name="Normal 6 2 4 3 5 2" xfId="5399" xr:uid="{CFFF0C8C-48D4-4DDA-BF4E-D321BFA1EB7D}"/>
    <cellStyle name="Normal 6 2 4 3 6" xfId="5400" xr:uid="{362465F0-2E99-4BAF-A2A2-91A181A9BE21}"/>
    <cellStyle name="Normal 6 2 4 4" xfId="5401" xr:uid="{3959E771-0312-4BBA-B395-A887D69057B4}"/>
    <cellStyle name="Normal 6 2 4 4 2" xfId="5402" xr:uid="{FD3CD592-8E4A-4BE6-AC7B-A7FD3E5CC65C}"/>
    <cellStyle name="Normal 6 2 4 4 2 2" xfId="5403" xr:uid="{FC9D5E22-1E48-46D4-B65E-D0F93751D8CA}"/>
    <cellStyle name="Normal 6 2 4 4 3" xfId="5404" xr:uid="{B52569F2-9173-41F3-A1B3-7AA0B3BA3A0D}"/>
    <cellStyle name="Normal 6 2 4 5" xfId="5405" xr:uid="{DF317C32-3C43-42BB-BB02-C05EF45E7E2C}"/>
    <cellStyle name="Normal 6 2 4 5 2" xfId="5406" xr:uid="{95B92963-F3CF-4758-A4B7-CBCAD920420C}"/>
    <cellStyle name="Normal 6 2 4 5 2 2" xfId="5407" xr:uid="{72B18F46-3DDE-4D2D-8770-7BF4DFC28C6D}"/>
    <cellStyle name="Normal 6 2 4 5 3" xfId="5408" xr:uid="{DA1D84DC-2195-4964-A3E3-7FEAC96B1C2A}"/>
    <cellStyle name="Normal 6 2 4 6" xfId="5409" xr:uid="{5A01DDD8-38C7-4BE1-8A22-EFB198843DD7}"/>
    <cellStyle name="Normal 6 2 4 6 2" xfId="5410" xr:uid="{D76C9681-E9D0-4938-AC47-EAC093584E23}"/>
    <cellStyle name="Normal 6 2 4 6 2 2" xfId="5411" xr:uid="{3E4D24FE-B9DF-41D8-83FD-7DBB046B4BEB}"/>
    <cellStyle name="Normal 6 2 4 6 3" xfId="5412" xr:uid="{B354AF4D-9D46-4E32-95BE-3C17F0428219}"/>
    <cellStyle name="Normal 6 2 4 7" xfId="5413" xr:uid="{00F88501-A550-432B-A8CF-4952462EC552}"/>
    <cellStyle name="Normal 6 2 4 7 2" xfId="5414" xr:uid="{C916CB1B-129E-419D-8FA9-333A98A32F81}"/>
    <cellStyle name="Normal 6 2 4 8" xfId="5415" xr:uid="{255CD639-5035-42A0-85A1-0868A491801B}"/>
    <cellStyle name="Normal 6 2 5" xfId="5416" xr:uid="{E8BA909E-C120-4F13-8F6B-B9580CABF088}"/>
    <cellStyle name="Normal 6 2 5 2" xfId="5417" xr:uid="{E703C256-1A6F-49C2-A539-55CBB34813A2}"/>
    <cellStyle name="Normal 6 2 5 2 2" xfId="5418" xr:uid="{5E986E5C-4D0A-4837-A9EE-9EDACBDEB6B8}"/>
    <cellStyle name="Normal 6 2 5 2 2 2" xfId="5419" xr:uid="{EAF65E01-B84D-4618-A7A2-420745E66D15}"/>
    <cellStyle name="Normal 6 2 5 2 2 2 2" xfId="5420" xr:uid="{1F332C3E-0071-4EBD-ADB0-99261FFED274}"/>
    <cellStyle name="Normal 6 2 5 2 2 3" xfId="5421" xr:uid="{FC926551-40B8-461E-89DC-88D89D7C56D8}"/>
    <cellStyle name="Normal 6 2 5 2 3" xfId="5422" xr:uid="{17D46B49-3F73-4036-9595-E5E0E538BD9E}"/>
    <cellStyle name="Normal 6 2 5 2 3 2" xfId="5423" xr:uid="{FC329AAE-CA3C-44AA-94D2-DA04A449BA5D}"/>
    <cellStyle name="Normal 6 2 5 2 3 2 2" xfId="5424" xr:uid="{B6679948-7E88-48B7-BFA0-60515F2B4CE1}"/>
    <cellStyle name="Normal 6 2 5 2 3 3" xfId="5425" xr:uid="{61EAC80C-D17D-497F-A57E-D7CF235BA55D}"/>
    <cellStyle name="Normal 6 2 5 2 4" xfId="5426" xr:uid="{44AE25FC-BDC6-4681-89A8-F689675E631F}"/>
    <cellStyle name="Normal 6 2 5 2 4 2" xfId="5427" xr:uid="{A5C2C2CA-EE23-4BFE-887D-63A09D641B39}"/>
    <cellStyle name="Normal 6 2 5 2 4 2 2" xfId="5428" xr:uid="{C105B64E-BEF7-4211-9229-D44626F13B2B}"/>
    <cellStyle name="Normal 6 2 5 2 4 3" xfId="5429" xr:uid="{97AF47B2-2668-4A13-A19B-4B0D8BBEA89A}"/>
    <cellStyle name="Normal 6 2 5 2 5" xfId="5430" xr:uid="{FDB5AE1B-D1BD-4902-8ED9-C57839FDB13D}"/>
    <cellStyle name="Normal 6 2 5 2 5 2" xfId="5431" xr:uid="{6FA417CF-905E-48F2-83C3-C468BE2CE30B}"/>
    <cellStyle name="Normal 6 2 5 2 6" xfId="5432" xr:uid="{2CD76805-C370-4862-B7B8-70FD26712A11}"/>
    <cellStyle name="Normal 6 2 5 3" xfId="5433" xr:uid="{4E1B1EA3-BB69-4374-B4D8-6BDE15D37A9C}"/>
    <cellStyle name="Normal 6 2 5 3 2" xfId="5434" xr:uid="{6B9747BD-0A34-4771-A7F8-0AD85FDE1AD6}"/>
    <cellStyle name="Normal 6 2 5 3 2 2" xfId="5435" xr:uid="{6EF464DC-60E9-4E19-8A14-74E00383A0BC}"/>
    <cellStyle name="Normal 6 2 5 3 3" xfId="5436" xr:uid="{F5AC3E9B-BBD2-4559-AC8F-AD624F162826}"/>
    <cellStyle name="Normal 6 2 5 4" xfId="5437" xr:uid="{5015805B-2B08-4769-A3A4-C684D447B8CA}"/>
    <cellStyle name="Normal 6 2 5 4 2" xfId="5438" xr:uid="{9F38F4A7-A7E9-40E6-B806-2F53A3D0A100}"/>
    <cellStyle name="Normal 6 2 5 4 2 2" xfId="5439" xr:uid="{F2A3DA19-08AD-4DC1-B44C-330EDB7357B1}"/>
    <cellStyle name="Normal 6 2 5 4 3" xfId="5440" xr:uid="{27B467E0-C58F-4DEF-90F6-7902FB9AAA67}"/>
    <cellStyle name="Normal 6 2 5 5" xfId="5441" xr:uid="{EE79D962-FC6F-4BF2-896B-D2C5A17BE4C9}"/>
    <cellStyle name="Normal 6 2 5 5 2" xfId="5442" xr:uid="{3D730BE2-6E88-4B4C-AAA3-6E62279D5E3F}"/>
    <cellStyle name="Normal 6 2 5 5 2 2" xfId="5443" xr:uid="{190880D0-26D5-4285-8B46-4F8F6CB61518}"/>
    <cellStyle name="Normal 6 2 5 5 3" xfId="5444" xr:uid="{9D645F49-0241-4EB4-8076-4C057884C5FD}"/>
    <cellStyle name="Normal 6 2 5 6" xfId="5445" xr:uid="{9055DBFC-FAB0-46E9-9131-250E6AB1F7D6}"/>
    <cellStyle name="Normal 6 2 5 6 2" xfId="5446" xr:uid="{30DA7E5A-4ABB-401F-8892-60D9EEABDC1A}"/>
    <cellStyle name="Normal 6 2 5 7" xfId="5447" xr:uid="{FD927E73-E7AC-41BD-9032-218F7CD31140}"/>
    <cellStyle name="Normal 6 2 6" xfId="5448" xr:uid="{46AABA45-77A4-4889-B099-B11E232123C4}"/>
    <cellStyle name="Normal 6 2 6 2" xfId="5449" xr:uid="{A68D0DDF-8727-4E93-9D5E-04A9EDD397E2}"/>
    <cellStyle name="Normal 6 2 6 2 2" xfId="5450" xr:uid="{93E49853-76B1-4DDF-B371-8CE74501AD83}"/>
    <cellStyle name="Normal 6 2 6 2 2 2" xfId="5451" xr:uid="{08C50AE0-D2CE-4D4F-9EF3-1925B8566F10}"/>
    <cellStyle name="Normal 6 2 6 2 3" xfId="5452" xr:uid="{5EB14669-F67A-46AF-8A59-59B83E860D7D}"/>
    <cellStyle name="Normal 6 2 6 3" xfId="5453" xr:uid="{76AF9C6E-4141-4D23-959C-F2BF5334B882}"/>
    <cellStyle name="Normal 6 2 6 3 2" xfId="5454" xr:uid="{8682E306-534E-477F-81B7-6B45D1764ADD}"/>
    <cellStyle name="Normal 6 2 6 3 2 2" xfId="5455" xr:uid="{5FF67A2E-79A3-4DEC-926A-84BC66B45D3B}"/>
    <cellStyle name="Normal 6 2 6 3 3" xfId="5456" xr:uid="{FBAB25C6-744E-4A2B-BDB6-CA73E9FC0E00}"/>
    <cellStyle name="Normal 6 2 6 4" xfId="5457" xr:uid="{6832908D-6A2C-4231-8B8C-7A21320714F5}"/>
    <cellStyle name="Normal 6 2 6 4 2" xfId="5458" xr:uid="{571835D1-D284-4AE5-A549-8E8477D23243}"/>
    <cellStyle name="Normal 6 2 6 4 2 2" xfId="5459" xr:uid="{B6ED38E5-1770-4FF4-83DC-4D358ED4AD31}"/>
    <cellStyle name="Normal 6 2 6 4 3" xfId="5460" xr:uid="{40DA361E-E527-43EA-A0E6-6E365A728DB5}"/>
    <cellStyle name="Normal 6 2 6 5" xfId="5461" xr:uid="{FB85C29B-06A5-4D58-9C32-BD565DA40AF3}"/>
    <cellStyle name="Normal 6 2 6 5 2" xfId="5462" xr:uid="{A1427D2D-DB72-46E6-9DFC-E2A56FF26840}"/>
    <cellStyle name="Normal 6 2 6 6" xfId="5463" xr:uid="{E6E91ECD-B8CE-43B5-93C6-86FF9B422DA4}"/>
    <cellStyle name="Normal 6 2 7" xfId="5464" xr:uid="{2D96311E-8D39-464A-9D54-BE50EF9DE0F2}"/>
    <cellStyle name="Normal 6 2 7 2" xfId="5465" xr:uid="{DB6A6BB9-1FA4-40DA-B7CD-28ABDCACBA1F}"/>
    <cellStyle name="Normal 6 2 7 2 2" xfId="5466" xr:uid="{5A097763-D253-41F9-9E23-D5DD57B9D18D}"/>
    <cellStyle name="Normal 6 2 7 3" xfId="5467" xr:uid="{60B9902F-70CE-45E8-B91B-4D5B6680478A}"/>
    <cellStyle name="Normal 6 2 8" xfId="5468" xr:uid="{F028D9B1-FBC0-4453-9CA2-E6971CE9A38D}"/>
    <cellStyle name="Normal 6 2 8 2" xfId="5469" xr:uid="{4839A364-445D-48FC-96CA-F529F701CCD0}"/>
    <cellStyle name="Normal 6 2 8 2 2" xfId="5470" xr:uid="{8C03FE43-E4EA-4045-A24E-DBE65463F3AF}"/>
    <cellStyle name="Normal 6 2 8 3" xfId="5471" xr:uid="{6D7DCDBA-665C-47B2-91E9-1D3060F11AB4}"/>
    <cellStyle name="Normal 6 2 9" xfId="5472" xr:uid="{30D164D8-D909-4107-A8D4-8EE54CB2D2F2}"/>
    <cellStyle name="Normal 6 2 9 2" xfId="5473" xr:uid="{F61667E0-0F40-418A-A40C-7B3A324315DF}"/>
    <cellStyle name="Normal 6 2 9 2 2" xfId="5474" xr:uid="{9D5CC4F3-B602-4F70-9289-19F9B51211B1}"/>
    <cellStyle name="Normal 6 2 9 3" xfId="5475" xr:uid="{44F9FC8E-9D26-4F91-8075-4A6CE30A28AF}"/>
    <cellStyle name="Normal 6 20" xfId="11798" xr:uid="{7C66B097-B8AA-4FE9-A205-7D64D8FDE0AB}"/>
    <cellStyle name="Normal 6 20 2" xfId="15994" xr:uid="{13694165-CFD0-4CD5-8138-C3B1478CF50B}"/>
    <cellStyle name="Normal 6 21" xfId="15998" xr:uid="{7A1880B5-BC82-4436-9678-A64C9EC3CF85}"/>
    <cellStyle name="Normal 6 3" xfId="5476" xr:uid="{6E29689B-0EB6-40E4-AA5A-996D287560E2}"/>
    <cellStyle name="Normal 6 3 10" xfId="5477" xr:uid="{A3337FDC-A3F1-45F4-A2DE-8D190BDD6390}"/>
    <cellStyle name="Normal 6 3 10 2" xfId="5478" xr:uid="{4E8B15FC-D176-4F69-B31D-4B73BF3CE52C}"/>
    <cellStyle name="Normal 6 3 11" xfId="5479" xr:uid="{0DCAA4B3-0ACE-41F2-875A-9C29DBC25C95}"/>
    <cellStyle name="Normal 6 3 2" xfId="5480" xr:uid="{D04FF3AC-9E83-499F-817D-D13934A460C2}"/>
    <cellStyle name="Normal 6 3 2 2" xfId="5481" xr:uid="{739EB9E7-F7D1-4969-AC97-44278E1B9F74}"/>
    <cellStyle name="Normal 6 3 2 2 2" xfId="5482" xr:uid="{98B411F7-C870-44A2-A878-C3D29FF07295}"/>
    <cellStyle name="Normal 6 3 2 2 2 2" xfId="5483" xr:uid="{6E2BB251-9D86-4367-91C9-4EF495303676}"/>
    <cellStyle name="Normal 6 3 2 2 2 2 2" xfId="5484" xr:uid="{8342A79F-4398-44C4-8076-E492867FB1D3}"/>
    <cellStyle name="Normal 6 3 2 2 2 2 2 2" xfId="5485" xr:uid="{05E5F9E0-FF14-4501-B972-9D8F27CE2FF0}"/>
    <cellStyle name="Normal 6 3 2 2 2 2 3" xfId="5486" xr:uid="{EE4B578E-B77A-4320-A835-74E7DEF29349}"/>
    <cellStyle name="Normal 6 3 2 2 2 3" xfId="5487" xr:uid="{BCA65F56-1F00-4F53-B372-550A00D32BAB}"/>
    <cellStyle name="Normal 6 3 2 2 2 3 2" xfId="5488" xr:uid="{850F659A-98ED-4511-B3EF-8363660DF84B}"/>
    <cellStyle name="Normal 6 3 2 2 2 3 2 2" xfId="5489" xr:uid="{FA3BFFF9-A82F-4E2A-9009-C558212E8B4A}"/>
    <cellStyle name="Normal 6 3 2 2 2 3 3" xfId="5490" xr:uid="{3705B544-DA12-4143-BC60-70478FE209B3}"/>
    <cellStyle name="Normal 6 3 2 2 2 4" xfId="5491" xr:uid="{4857D60C-AD1E-4454-A397-7CD5DC26DA68}"/>
    <cellStyle name="Normal 6 3 2 2 2 4 2" xfId="5492" xr:uid="{3B702ABF-70E3-4B70-B88D-92E7BD61871C}"/>
    <cellStyle name="Normal 6 3 2 2 2 4 2 2" xfId="5493" xr:uid="{BDC898DE-3954-499A-B01D-4D7B72FEFEAB}"/>
    <cellStyle name="Normal 6 3 2 2 2 4 3" xfId="5494" xr:uid="{F241563A-E9B4-4B58-92CB-318B8545D53B}"/>
    <cellStyle name="Normal 6 3 2 2 2 5" xfId="5495" xr:uid="{A2D2686A-7399-47C2-804E-A7B9B487FD2C}"/>
    <cellStyle name="Normal 6 3 2 2 2 5 2" xfId="5496" xr:uid="{734FD9B4-FDF3-42F6-AF9A-A5316BAE192E}"/>
    <cellStyle name="Normal 6 3 2 2 2 6" xfId="5497" xr:uid="{0A44F240-59D9-4870-83B7-52B7827D4875}"/>
    <cellStyle name="Normal 6 3 2 2 3" xfId="5498" xr:uid="{6EC7BD45-8C2A-49FE-9222-3C9A297B2F73}"/>
    <cellStyle name="Normal 6 3 2 2 3 2" xfId="5499" xr:uid="{E4C7E41E-4DFF-4868-8AEC-31A6052E1DAE}"/>
    <cellStyle name="Normal 6 3 2 2 3 2 2" xfId="5500" xr:uid="{440172BE-99FB-4A9A-9CBC-0FFA4DFDA2D4}"/>
    <cellStyle name="Normal 6 3 2 2 3 3" xfId="5501" xr:uid="{7F0D6DFC-79E6-4079-9A14-9DF1CE703BD5}"/>
    <cellStyle name="Normal 6 3 2 2 4" xfId="5502" xr:uid="{A3C3FFFD-9F2C-48FB-A7CB-482CB8E37AE1}"/>
    <cellStyle name="Normal 6 3 2 2 4 2" xfId="5503" xr:uid="{63B29DB6-0664-41B8-95DC-91D002081710}"/>
    <cellStyle name="Normal 6 3 2 2 4 2 2" xfId="5504" xr:uid="{C3342C26-C4B7-4DC2-9CE2-B6EACC9E57B1}"/>
    <cellStyle name="Normal 6 3 2 2 4 3" xfId="5505" xr:uid="{27E9294E-C44F-452B-A243-BD8D2A38840B}"/>
    <cellStyle name="Normal 6 3 2 2 5" xfId="5506" xr:uid="{2F73DD52-7FBE-4360-8EF6-AE0C083E9344}"/>
    <cellStyle name="Normal 6 3 2 2 5 2" xfId="5507" xr:uid="{0D830A4B-B88F-4D37-9F64-D287D8EDE6BD}"/>
    <cellStyle name="Normal 6 3 2 2 5 2 2" xfId="5508" xr:uid="{B7FB0E03-10BB-4691-9222-5FB8C1FCE638}"/>
    <cellStyle name="Normal 6 3 2 2 5 3" xfId="5509" xr:uid="{58ECF06D-826F-43FE-B45F-C39B90A6F010}"/>
    <cellStyle name="Normal 6 3 2 2 6" xfId="5510" xr:uid="{2D1E8D1A-8672-4CCA-8A77-1C9FFDAE893D}"/>
    <cellStyle name="Normal 6 3 2 2 6 2" xfId="5511" xr:uid="{89310E0B-44BA-4AB4-A4E9-4C5DD578AE28}"/>
    <cellStyle name="Normal 6 3 2 2 7" xfId="5512" xr:uid="{89052EEF-6EC3-4184-80F2-C9E4429588A7}"/>
    <cellStyle name="Normal 6 3 2 3" xfId="5513" xr:uid="{F7F3BBA4-45CB-4E95-B616-CDA998762E20}"/>
    <cellStyle name="Normal 6 3 2 3 2" xfId="5514" xr:uid="{1AE0BE6B-D718-4CE5-ACA8-ACD93E82193C}"/>
    <cellStyle name="Normal 6 3 2 3 2 2" xfId="5515" xr:uid="{19FDA7BD-9401-4423-BC42-699AAF0D5108}"/>
    <cellStyle name="Normal 6 3 2 3 2 2 2" xfId="5516" xr:uid="{CB320929-3068-49AC-A3E1-598D22D88C19}"/>
    <cellStyle name="Normal 6 3 2 3 2 3" xfId="5517" xr:uid="{D21C7462-D051-4B1C-B7D4-2DE48450D183}"/>
    <cellStyle name="Normal 6 3 2 3 3" xfId="5518" xr:uid="{2C700E66-A6EE-4EAF-9FF9-475DB174A25E}"/>
    <cellStyle name="Normal 6 3 2 3 3 2" xfId="5519" xr:uid="{CA34BC70-0BC7-4655-805F-61BA6FE29A4B}"/>
    <cellStyle name="Normal 6 3 2 3 3 2 2" xfId="5520" xr:uid="{EA5F2FCA-39B6-4042-9B38-649BEC015B0F}"/>
    <cellStyle name="Normal 6 3 2 3 3 3" xfId="5521" xr:uid="{E0FC35F3-E1F0-4AB7-9CE2-CA2EABA4AE65}"/>
    <cellStyle name="Normal 6 3 2 3 4" xfId="5522" xr:uid="{33274CE2-26F2-4316-8AE5-C16E860AA6A4}"/>
    <cellStyle name="Normal 6 3 2 3 4 2" xfId="5523" xr:uid="{0FFA5F60-E26A-452B-991F-18FA31C95FAD}"/>
    <cellStyle name="Normal 6 3 2 3 4 2 2" xfId="5524" xr:uid="{7C81A888-6F23-4308-BCD6-CB7FEBDEDA51}"/>
    <cellStyle name="Normal 6 3 2 3 4 3" xfId="5525" xr:uid="{6060E71F-68D0-4EAD-8741-77B9C9A3ACD6}"/>
    <cellStyle name="Normal 6 3 2 3 5" xfId="5526" xr:uid="{36E3E7D4-11C9-4B16-9ED7-F12618123224}"/>
    <cellStyle name="Normal 6 3 2 3 5 2" xfId="5527" xr:uid="{BC12418D-B10E-4533-B0D3-F73FD3C65914}"/>
    <cellStyle name="Normal 6 3 2 3 6" xfId="5528" xr:uid="{C5E03ED8-B6DE-4699-91AB-C2631982E669}"/>
    <cellStyle name="Normal 6 3 2 4" xfId="5529" xr:uid="{058EBBD2-31DB-4FC5-8C52-4BD75937EAB9}"/>
    <cellStyle name="Normal 6 3 2 4 2" xfId="5530" xr:uid="{A09E257C-5E2B-450D-A40B-49F0882343C8}"/>
    <cellStyle name="Normal 6 3 2 4 2 2" xfId="5531" xr:uid="{4D400C69-733D-45D3-AFDB-213550BD9D0C}"/>
    <cellStyle name="Normal 6 3 2 4 3" xfId="5532" xr:uid="{87522A89-FC5D-4FB8-9D08-09689530F5EA}"/>
    <cellStyle name="Normal 6 3 2 5" xfId="5533" xr:uid="{6BC9F96F-2557-41E4-901A-E97B29A492F2}"/>
    <cellStyle name="Normal 6 3 2 5 2" xfId="5534" xr:uid="{ADB7DFFC-D392-4AAF-B652-3966CFE5DC79}"/>
    <cellStyle name="Normal 6 3 2 5 2 2" xfId="5535" xr:uid="{2956C336-0073-436C-AAF3-0D89E6781BC7}"/>
    <cellStyle name="Normal 6 3 2 5 3" xfId="5536" xr:uid="{E7F022B6-6FA9-4A1F-9BA4-9072E2B78940}"/>
    <cellStyle name="Normal 6 3 2 6" xfId="5537" xr:uid="{CCFC1219-3031-4C1F-A752-F59D03E801B6}"/>
    <cellStyle name="Normal 6 3 2 6 2" xfId="5538" xr:uid="{26010D71-BFF9-4822-BB80-55A526A3B92E}"/>
    <cellStyle name="Normal 6 3 2 6 2 2" xfId="5539" xr:uid="{B6605B80-1040-4881-9A83-8D24437AB595}"/>
    <cellStyle name="Normal 6 3 2 6 3" xfId="5540" xr:uid="{AD216A19-8672-4834-9B4A-A9C5DC3C49F5}"/>
    <cellStyle name="Normal 6 3 2 7" xfId="5541" xr:uid="{2F4347C7-3DB4-4B71-AA60-2E1C404EEECC}"/>
    <cellStyle name="Normal 6 3 2 7 2" xfId="5542" xr:uid="{5E6FADD2-23D0-4985-A011-FCC7591B5B79}"/>
    <cellStyle name="Normal 6 3 2 8" xfId="5543" xr:uid="{1AE5F9B3-85FB-436E-B5D3-90BAFE31CD8E}"/>
    <cellStyle name="Normal 6 3 3" xfId="5544" xr:uid="{2F03C44E-B435-495E-A9D1-6ACE3D557EAE}"/>
    <cellStyle name="Normal 6 3 3 2" xfId="5545" xr:uid="{D3D40BE0-0F44-4D22-852F-54C553AB9663}"/>
    <cellStyle name="Normal 6 3 3 2 2" xfId="5546" xr:uid="{5EAC1DAF-B482-424E-984E-75C7B0A22EC9}"/>
    <cellStyle name="Normal 6 3 3 2 2 2" xfId="5547" xr:uid="{49BFD746-1533-4E1F-9989-6AA64D7D20AF}"/>
    <cellStyle name="Normal 6 3 3 2 2 2 2" xfId="5548" xr:uid="{2FBB9026-1335-45F4-BFFA-82A7D36D27F3}"/>
    <cellStyle name="Normal 6 3 3 2 2 2 2 2" xfId="5549" xr:uid="{EB6B5C3B-8091-4AAD-B4AD-00A8A8D7B556}"/>
    <cellStyle name="Normal 6 3 3 2 2 2 3" xfId="5550" xr:uid="{C25DE860-D6CD-458F-A7A0-D6E08B339114}"/>
    <cellStyle name="Normal 6 3 3 2 2 3" xfId="5551" xr:uid="{57DF210A-2F2B-42BA-82C6-9F22EC9158FA}"/>
    <cellStyle name="Normal 6 3 3 2 2 3 2" xfId="5552" xr:uid="{E842BC2F-6CBF-4364-8C11-7C7EA60674FC}"/>
    <cellStyle name="Normal 6 3 3 2 2 3 2 2" xfId="5553" xr:uid="{54D08944-5164-435D-BB15-7C6ABE65328F}"/>
    <cellStyle name="Normal 6 3 3 2 2 3 3" xfId="5554" xr:uid="{DFDF385D-EBB9-4F73-B1AA-DC3063F82F86}"/>
    <cellStyle name="Normal 6 3 3 2 2 4" xfId="5555" xr:uid="{894DBD6C-0182-4724-ABD2-C98776FC0735}"/>
    <cellStyle name="Normal 6 3 3 2 2 4 2" xfId="5556" xr:uid="{6D565961-3886-44C2-AC8A-9B5D7A5A48D0}"/>
    <cellStyle name="Normal 6 3 3 2 2 4 2 2" xfId="5557" xr:uid="{9FD9A5F4-B1E3-4448-AF15-939A50C1FD50}"/>
    <cellStyle name="Normal 6 3 3 2 2 4 3" xfId="5558" xr:uid="{F0039B2E-A4F3-4BFC-9C2C-314B833969D4}"/>
    <cellStyle name="Normal 6 3 3 2 2 5" xfId="5559" xr:uid="{C98536B3-0304-40DD-BFD0-CB5DB4DDC301}"/>
    <cellStyle name="Normal 6 3 3 2 2 5 2" xfId="5560" xr:uid="{D154CBDD-5E2C-41C7-A6A2-E03C5FC36B2D}"/>
    <cellStyle name="Normal 6 3 3 2 2 6" xfId="5561" xr:uid="{279B33EF-940E-43B3-AD39-18FB43F96E03}"/>
    <cellStyle name="Normal 6 3 3 2 3" xfId="5562" xr:uid="{F8764A8A-29FB-43AD-8FE3-4978B887AFDA}"/>
    <cellStyle name="Normal 6 3 3 2 3 2" xfId="5563" xr:uid="{748CDBB5-61AC-4DB1-BCCE-3C69E029FAAF}"/>
    <cellStyle name="Normal 6 3 3 2 3 2 2" xfId="5564" xr:uid="{0820ABE5-9552-4BD0-B67C-747D6069A617}"/>
    <cellStyle name="Normal 6 3 3 2 3 3" xfId="5565" xr:uid="{4C6C3AAA-3EEF-4235-AD39-32C7E414AC2E}"/>
    <cellStyle name="Normal 6 3 3 2 4" xfId="5566" xr:uid="{6317F4F2-8FF5-495F-AB6B-829876F900E7}"/>
    <cellStyle name="Normal 6 3 3 2 4 2" xfId="5567" xr:uid="{DAF57C7E-E4EE-43B9-A46D-A497F5DC0A6E}"/>
    <cellStyle name="Normal 6 3 3 2 4 2 2" xfId="5568" xr:uid="{A29AB63B-F296-4DB1-8975-226F4A36D9F5}"/>
    <cellStyle name="Normal 6 3 3 2 4 3" xfId="5569" xr:uid="{8B512C13-336D-4AB2-8F89-CA6C8564E5F6}"/>
    <cellStyle name="Normal 6 3 3 2 5" xfId="5570" xr:uid="{67573824-EFCD-43A5-9E61-57BEACA1EAFB}"/>
    <cellStyle name="Normal 6 3 3 2 5 2" xfId="5571" xr:uid="{C88A3AD1-7F3E-4179-B74B-405229FBD931}"/>
    <cellStyle name="Normal 6 3 3 2 5 2 2" xfId="5572" xr:uid="{D92C0410-D0CD-4CB6-819C-78CDA43851F3}"/>
    <cellStyle name="Normal 6 3 3 2 5 3" xfId="5573" xr:uid="{019D3F4E-25EB-43C3-B428-8F63EDBBF7AC}"/>
    <cellStyle name="Normal 6 3 3 2 6" xfId="5574" xr:uid="{DCEECD7A-4C86-41E9-857C-F2FE4FCE6B6E}"/>
    <cellStyle name="Normal 6 3 3 2 6 2" xfId="5575" xr:uid="{B89DF234-7963-45DB-91E9-C505ED176927}"/>
    <cellStyle name="Normal 6 3 3 2 7" xfId="5576" xr:uid="{6A94DBE8-3EFE-4CBE-BCE0-34D60ED5DA30}"/>
    <cellStyle name="Normal 6 3 3 3" xfId="5577" xr:uid="{D737BE86-A08F-48C3-8C23-891858BFD6D5}"/>
    <cellStyle name="Normal 6 3 3 3 2" xfId="5578" xr:uid="{B7DE6604-27B8-4927-A6F3-28D24C21C99A}"/>
    <cellStyle name="Normal 6 3 3 3 2 2" xfId="5579" xr:uid="{8741432B-C007-4834-A602-8BCE2978D6B8}"/>
    <cellStyle name="Normal 6 3 3 3 2 2 2" xfId="5580" xr:uid="{535DDF1E-2BAC-48C5-965B-CF4A2F702D82}"/>
    <cellStyle name="Normal 6 3 3 3 2 3" xfId="5581" xr:uid="{3F322C19-0924-4194-968F-94155CFAD42F}"/>
    <cellStyle name="Normal 6 3 3 3 3" xfId="5582" xr:uid="{0AA0827D-1EAE-4344-ACDA-8EA08544FFBF}"/>
    <cellStyle name="Normal 6 3 3 3 3 2" xfId="5583" xr:uid="{32A57655-A84C-4D10-B2FC-900BC211C387}"/>
    <cellStyle name="Normal 6 3 3 3 3 2 2" xfId="5584" xr:uid="{A21C6A0F-91C0-4B9F-8513-30F634FC13D3}"/>
    <cellStyle name="Normal 6 3 3 3 3 3" xfId="5585" xr:uid="{EF97CC77-D474-416B-9BA0-E156E5328BA8}"/>
    <cellStyle name="Normal 6 3 3 3 4" xfId="5586" xr:uid="{C4C8A459-467E-4863-B038-7F13A6DF4D96}"/>
    <cellStyle name="Normal 6 3 3 3 4 2" xfId="5587" xr:uid="{0E2D1677-36B9-4802-B2DF-0F93407A8665}"/>
    <cellStyle name="Normal 6 3 3 3 4 2 2" xfId="5588" xr:uid="{767A4E81-152C-4A64-8A26-38F19703C994}"/>
    <cellStyle name="Normal 6 3 3 3 4 3" xfId="5589" xr:uid="{D8B950B2-AB74-4F6B-B2B1-2EA79B641991}"/>
    <cellStyle name="Normal 6 3 3 3 5" xfId="5590" xr:uid="{8E8779C9-6F7B-47E7-A2D7-3F825A8D9148}"/>
    <cellStyle name="Normal 6 3 3 3 5 2" xfId="5591" xr:uid="{E79C6565-3742-4FC9-9CD5-7AEC23EB18DD}"/>
    <cellStyle name="Normal 6 3 3 3 6" xfId="5592" xr:uid="{924FDC2E-3CF4-402F-B3FB-7B3CC957A339}"/>
    <cellStyle name="Normal 6 3 3 4" xfId="5593" xr:uid="{F62A84FC-15D0-407E-9C37-F22A3D74A90E}"/>
    <cellStyle name="Normal 6 3 3 4 2" xfId="5594" xr:uid="{562143E7-D9B2-4ADE-9708-4686737E5753}"/>
    <cellStyle name="Normal 6 3 3 4 2 2" xfId="5595" xr:uid="{0604D5E9-A0D2-4EC5-81A3-899AE3967D48}"/>
    <cellStyle name="Normal 6 3 3 4 3" xfId="5596" xr:uid="{B87176FE-4D2D-484C-A307-69A32E0C9C85}"/>
    <cellStyle name="Normal 6 3 3 5" xfId="5597" xr:uid="{380E6C1A-505C-4AA8-9CCA-5DE361609C51}"/>
    <cellStyle name="Normal 6 3 3 5 2" xfId="5598" xr:uid="{9DEC3254-B16A-467F-AADE-A868BDFCFBD3}"/>
    <cellStyle name="Normal 6 3 3 5 2 2" xfId="5599" xr:uid="{47EC7052-29E0-44F8-A043-DA950E651308}"/>
    <cellStyle name="Normal 6 3 3 5 3" xfId="5600" xr:uid="{F3437C12-64AF-491F-8B92-766DBBD9A822}"/>
    <cellStyle name="Normal 6 3 3 6" xfId="5601" xr:uid="{F29CDCCF-AB51-413F-9CE8-1EE15B567C17}"/>
    <cellStyle name="Normal 6 3 3 6 2" xfId="5602" xr:uid="{C815EA76-4B35-4378-9BC9-DCC9C4FF5D1C}"/>
    <cellStyle name="Normal 6 3 3 6 2 2" xfId="5603" xr:uid="{09221E4D-7091-4CF3-A17B-FA517F62E1E3}"/>
    <cellStyle name="Normal 6 3 3 6 3" xfId="5604" xr:uid="{88B4AD9D-9FCC-4200-B93F-ECAEA6AFC97B}"/>
    <cellStyle name="Normal 6 3 3 7" xfId="5605" xr:uid="{5FE5F495-ED05-4C82-AF93-9A11673603A8}"/>
    <cellStyle name="Normal 6 3 3 7 2" xfId="5606" xr:uid="{D24D0DFC-4627-440C-90B0-A468F52AF4CA}"/>
    <cellStyle name="Normal 6 3 3 8" xfId="5607" xr:uid="{62E680D8-6AB0-436D-B5D5-F27CC4CA54A7}"/>
    <cellStyle name="Normal 6 3 4" xfId="5608" xr:uid="{C6B73D34-DE33-4F51-A853-C9FCD20F58B6}"/>
    <cellStyle name="Normal 6 3 4 2" xfId="5609" xr:uid="{EB1C9340-F238-47E0-8FFC-0A772AD3F829}"/>
    <cellStyle name="Normal 6 3 4 2 2" xfId="5610" xr:uid="{4063747B-6DD9-4A31-B7B9-57FCD6C832CC}"/>
    <cellStyle name="Normal 6 3 4 2 2 2" xfId="5611" xr:uid="{2C8D2176-FD22-4BFA-960B-E1863CA71002}"/>
    <cellStyle name="Normal 6 3 4 2 2 2 2" xfId="5612" xr:uid="{F45D7C61-5615-4658-928B-586CE9367CFD}"/>
    <cellStyle name="Normal 6 3 4 2 2 3" xfId="5613" xr:uid="{F55E8591-E5A2-43E0-B360-F796FE4D5403}"/>
    <cellStyle name="Normal 6 3 4 2 3" xfId="5614" xr:uid="{655BC681-DB98-4521-B35E-71C7FB9610DB}"/>
    <cellStyle name="Normal 6 3 4 2 3 2" xfId="5615" xr:uid="{96D38A7B-BD58-465B-ADBC-47AE4FEB2715}"/>
    <cellStyle name="Normal 6 3 4 2 3 2 2" xfId="5616" xr:uid="{A8E1DED8-C855-418C-B099-84A541ECB507}"/>
    <cellStyle name="Normal 6 3 4 2 3 3" xfId="5617" xr:uid="{DCD74237-B762-4749-95CA-FFD001312E26}"/>
    <cellStyle name="Normal 6 3 4 2 4" xfId="5618" xr:uid="{8B26B7DC-B637-4475-B1F3-FA8F69513FAF}"/>
    <cellStyle name="Normal 6 3 4 2 4 2" xfId="5619" xr:uid="{BDBF7E41-BD5D-4DDC-B771-7893085CD111}"/>
    <cellStyle name="Normal 6 3 4 2 4 2 2" xfId="5620" xr:uid="{2AFFCE4B-A82C-4227-870E-3986AEB3A0CC}"/>
    <cellStyle name="Normal 6 3 4 2 4 3" xfId="5621" xr:uid="{5D9707A6-605E-428E-AA20-5314B2A48886}"/>
    <cellStyle name="Normal 6 3 4 2 5" xfId="5622" xr:uid="{CE07E951-A130-4376-8EB4-3FFE8F5320CC}"/>
    <cellStyle name="Normal 6 3 4 2 5 2" xfId="5623" xr:uid="{5E2DA356-9C73-42B4-956E-751D8A981CBD}"/>
    <cellStyle name="Normal 6 3 4 2 6" xfId="5624" xr:uid="{4E8671DA-768F-49AD-9298-A0B068B1B3CD}"/>
    <cellStyle name="Normal 6 3 4 3" xfId="5625" xr:uid="{7BA91C8A-AB98-4823-AB54-3F45B4D0A337}"/>
    <cellStyle name="Normal 6 3 4 3 2" xfId="5626" xr:uid="{D90898E3-D912-4E2F-B60E-B57D705DBBA3}"/>
    <cellStyle name="Normal 6 3 4 3 2 2" xfId="5627" xr:uid="{00A085DA-A5F4-4B34-9075-32CBA89A6A06}"/>
    <cellStyle name="Normal 6 3 4 3 3" xfId="5628" xr:uid="{5EDCD1A0-1B4D-410E-917B-09748B546B66}"/>
    <cellStyle name="Normal 6 3 4 4" xfId="5629" xr:uid="{C39A6733-1088-4F60-8595-B0FF23EE458E}"/>
    <cellStyle name="Normal 6 3 4 4 2" xfId="5630" xr:uid="{23211BEB-9CB6-4881-81BA-05B4D06B58BB}"/>
    <cellStyle name="Normal 6 3 4 4 2 2" xfId="5631" xr:uid="{BB1D23E3-7A54-449B-8DDD-3D7A8BF8F572}"/>
    <cellStyle name="Normal 6 3 4 4 3" xfId="5632" xr:uid="{D239F610-D9A3-4690-A112-D0548A0A58CB}"/>
    <cellStyle name="Normal 6 3 4 5" xfId="5633" xr:uid="{24D43ABF-68C0-4005-8188-DC3044A60F48}"/>
    <cellStyle name="Normal 6 3 4 5 2" xfId="5634" xr:uid="{F6D32674-8727-49BC-85D6-C6CC969B4170}"/>
    <cellStyle name="Normal 6 3 4 5 2 2" xfId="5635" xr:uid="{FA167041-0F30-4F29-8B08-A65924BBB103}"/>
    <cellStyle name="Normal 6 3 4 5 3" xfId="5636" xr:uid="{A3A5AC62-8D71-4744-8F79-2F6F848C6405}"/>
    <cellStyle name="Normal 6 3 4 6" xfId="5637" xr:uid="{7B724C9B-D8A4-4FF2-9BE3-B46123D3F169}"/>
    <cellStyle name="Normal 6 3 4 6 2" xfId="5638" xr:uid="{E499DE1B-AD5B-4650-9AF1-F6D35792F718}"/>
    <cellStyle name="Normal 6 3 4 7" xfId="5639" xr:uid="{72E0E019-F1D0-4A5C-9220-E7AC253BF4D6}"/>
    <cellStyle name="Normal 6 3 5" xfId="5640" xr:uid="{3A22649A-8582-4122-9C68-BC88693477E0}"/>
    <cellStyle name="Normal 6 3 5 2" xfId="5641" xr:uid="{8D240ED9-E3EC-46D2-8C65-A5C332CB1484}"/>
    <cellStyle name="Normal 6 3 5 2 2" xfId="5642" xr:uid="{A84CFEF0-A2E9-4D68-B849-67837DF86119}"/>
    <cellStyle name="Normal 6 3 5 2 2 2" xfId="5643" xr:uid="{026872C5-AAEB-42C8-82FB-8EAEAE8240C1}"/>
    <cellStyle name="Normal 6 3 5 2 3" xfId="5644" xr:uid="{82C6D1F6-3D8F-4372-AB9D-29626DD93464}"/>
    <cellStyle name="Normal 6 3 5 3" xfId="5645" xr:uid="{A4ABD40D-7F9A-4977-8B0D-A84D52EFCF25}"/>
    <cellStyle name="Normal 6 3 5 3 2" xfId="5646" xr:uid="{88E6323D-BDB4-40DC-8B6E-198FD7AA4F48}"/>
    <cellStyle name="Normal 6 3 5 3 2 2" xfId="5647" xr:uid="{27D238F8-AF32-4476-8F88-53EA78DBAA3B}"/>
    <cellStyle name="Normal 6 3 5 3 3" xfId="5648" xr:uid="{18A0A63C-230D-46DF-8B74-85AC362C4B77}"/>
    <cellStyle name="Normal 6 3 5 4" xfId="5649" xr:uid="{9E3C1AAA-094F-4877-BE3C-C8A0F767BE8F}"/>
    <cellStyle name="Normal 6 3 5 4 2" xfId="5650" xr:uid="{02EC06FD-B6E6-4513-B804-3BCF162E5CA0}"/>
    <cellStyle name="Normal 6 3 5 4 2 2" xfId="5651" xr:uid="{132FA888-6D34-4171-89BF-8F6F6332417B}"/>
    <cellStyle name="Normal 6 3 5 4 3" xfId="5652" xr:uid="{6F075AB7-4B2A-47A3-8947-EBB83976DB10}"/>
    <cellStyle name="Normal 6 3 5 5" xfId="5653" xr:uid="{4A9BD5B5-6E3E-4217-ACFA-A4E7B59BB513}"/>
    <cellStyle name="Normal 6 3 5 5 2" xfId="5654" xr:uid="{2C21F225-DC02-4B38-BA7C-0B380CFBFB5F}"/>
    <cellStyle name="Normal 6 3 5 6" xfId="5655" xr:uid="{594C48B9-2CD4-4A23-86C1-F1A8A653DDAF}"/>
    <cellStyle name="Normal 6 3 6" xfId="5656" xr:uid="{2E9C2088-199B-42E1-9836-75BFB9FCD2BE}"/>
    <cellStyle name="Normal 6 3 6 2" xfId="5657" xr:uid="{B989957C-C427-4FF2-AB2D-3C2C885DBDAF}"/>
    <cellStyle name="Normal 6 3 6 2 2" xfId="5658" xr:uid="{B612C420-8D7B-4879-B78E-442850F44FE8}"/>
    <cellStyle name="Normal 6 3 6 3" xfId="5659" xr:uid="{FD46CED3-67D5-41EB-B503-2FB07F02ECE1}"/>
    <cellStyle name="Normal 6 3 7" xfId="5660" xr:uid="{A632CC7D-B3FF-42EA-BAC6-B9F17795B418}"/>
    <cellStyle name="Normal 6 3 7 2" xfId="5661" xr:uid="{CA8022FC-0B60-4740-88C1-ED6824D810CC}"/>
    <cellStyle name="Normal 6 3 7 2 2" xfId="5662" xr:uid="{F10334C4-A86F-4D71-9510-91AF6F1E73DA}"/>
    <cellStyle name="Normal 6 3 7 3" xfId="5663" xr:uid="{9C55CA74-CDD2-43AE-BFC0-1C9DA05879F9}"/>
    <cellStyle name="Normal 6 3 8" xfId="5664" xr:uid="{0D870785-FC82-4C8F-A692-2FE96BF0E13D}"/>
    <cellStyle name="Normal 6 3 8 2" xfId="5665" xr:uid="{65A46627-BF65-41E8-A09B-3FB0B2B48661}"/>
    <cellStyle name="Normal 6 3 8 2 2" xfId="5666" xr:uid="{E1EDB7BC-935E-4B49-93E8-B66FA0E31B26}"/>
    <cellStyle name="Normal 6 3 8 3" xfId="5667" xr:uid="{6C52702C-809E-41C4-BBF8-807AEC2F9375}"/>
    <cellStyle name="Normal 6 3 9" xfId="5668" xr:uid="{AA407632-76A5-4E73-BC3B-E369D07BAA2B}"/>
    <cellStyle name="Normal 6 3 9 2" xfId="5669" xr:uid="{B6C8B07B-4F3D-43CB-B4C6-189E94170ADD}"/>
    <cellStyle name="Normal 6 3 9 2 2" xfId="5670" xr:uid="{7919BA9F-957F-48CB-9504-807705309A58}"/>
    <cellStyle name="Normal 6 3 9 3" xfId="5671" xr:uid="{9237C9FE-BD0B-41DB-A8EF-C4E1856148E4}"/>
    <cellStyle name="Normal 6 4" xfId="5672" xr:uid="{46D13B83-1C30-4F0C-9BB5-EB9C80371962}"/>
    <cellStyle name="Normal 6 4 2" xfId="5673" xr:uid="{DC467E8C-3359-45EA-AE87-F7C55227AED6}"/>
    <cellStyle name="Normal 6 4 2 2" xfId="5674" xr:uid="{6C9F861E-CB10-444B-8691-B25F7431A874}"/>
    <cellStyle name="Normal 6 4 2 2 2" xfId="5675" xr:uid="{D2A27B91-5DED-4546-9110-7D4290E7BAB8}"/>
    <cellStyle name="Normal 6 4 2 2 2 2" xfId="5676" xr:uid="{6EB007D7-21AE-4BF9-A825-EB0C46FAF2CA}"/>
    <cellStyle name="Normal 6 4 2 2 2 2 2" xfId="5677" xr:uid="{BD1449E5-0D5C-4F1F-98B3-CD4460ED4E7A}"/>
    <cellStyle name="Normal 6 4 2 2 2 3" xfId="5678" xr:uid="{B2029B2F-8802-4DB5-B9C9-00C2CB745D1A}"/>
    <cellStyle name="Normal 6 4 2 2 3" xfId="5679" xr:uid="{382862B0-C865-46BA-A3B2-447B1CF844F9}"/>
    <cellStyle name="Normal 6 4 2 2 3 2" xfId="5680" xr:uid="{C4C176C8-C88B-47E1-B131-F80EF98DB229}"/>
    <cellStyle name="Normal 6 4 2 2 3 2 2" xfId="5681" xr:uid="{03F76EEA-7CE9-49DB-9678-1B366D031A2F}"/>
    <cellStyle name="Normal 6 4 2 2 3 3" xfId="5682" xr:uid="{FB396E76-7505-487E-A682-7AD9A5282EDC}"/>
    <cellStyle name="Normal 6 4 2 2 4" xfId="5683" xr:uid="{4FB5F7E0-FE04-4A00-B4B3-27C7FACA08DA}"/>
    <cellStyle name="Normal 6 4 2 2 4 2" xfId="5684" xr:uid="{6BBE03F1-4432-4B56-9A98-1CC1F8616F6B}"/>
    <cellStyle name="Normal 6 4 2 2 4 2 2" xfId="5685" xr:uid="{7889554D-7FB3-4371-8C6E-3AF005E9A345}"/>
    <cellStyle name="Normal 6 4 2 2 4 3" xfId="5686" xr:uid="{424A25A5-2C9D-4F67-A96B-205C0077B476}"/>
    <cellStyle name="Normal 6 4 2 2 5" xfId="5687" xr:uid="{987FA6BC-77AB-44BF-8B36-324C4C3B2BDA}"/>
    <cellStyle name="Normal 6 4 2 2 5 2" xfId="5688" xr:uid="{B94C0ABE-A577-49B5-9F9E-49E4AE128ACB}"/>
    <cellStyle name="Normal 6 4 2 2 6" xfId="5689" xr:uid="{0D0FD506-842F-40D3-BD01-FCF1140BC710}"/>
    <cellStyle name="Normal 6 4 2 3" xfId="5690" xr:uid="{A49271C6-3CE9-4092-A7C5-B3D9FF15F400}"/>
    <cellStyle name="Normal 6 4 2 3 2" xfId="5691" xr:uid="{EA3065DD-FC5C-4F81-A93F-89CC7CDBF0B1}"/>
    <cellStyle name="Normal 6 4 2 3 2 2" xfId="5692" xr:uid="{16B8DCC4-F826-4965-8273-E612CA35B1F2}"/>
    <cellStyle name="Normal 6 4 2 3 3" xfId="5693" xr:uid="{6BD2AA7A-596C-4596-94E9-B3FEAC05C741}"/>
    <cellStyle name="Normal 6 4 2 4" xfId="5694" xr:uid="{76E79EB5-9282-4E66-BD0E-79068F778089}"/>
    <cellStyle name="Normal 6 4 2 4 2" xfId="5695" xr:uid="{D83E2EF9-0AB2-43E5-98CE-59B4B58FE004}"/>
    <cellStyle name="Normal 6 4 2 4 2 2" xfId="5696" xr:uid="{F9D204BA-AB5A-434F-A8FA-B764D91F88D8}"/>
    <cellStyle name="Normal 6 4 2 4 3" xfId="5697" xr:uid="{9AC2CF6F-F9B8-42A3-8FB4-F24509D7494C}"/>
    <cellStyle name="Normal 6 4 2 5" xfId="5698" xr:uid="{C7EF9ED4-EA21-43E8-AA54-F975B8E808E8}"/>
    <cellStyle name="Normal 6 4 2 5 2" xfId="5699" xr:uid="{34352D85-413D-4BE9-8825-E6BA8C1F0F81}"/>
    <cellStyle name="Normal 6 4 2 5 2 2" xfId="5700" xr:uid="{0B819A83-2888-4A0E-A49E-B9A3891FE9E0}"/>
    <cellStyle name="Normal 6 4 2 5 3" xfId="5701" xr:uid="{CA3B8003-3B63-49AF-84B1-A1F3ED83CBCE}"/>
    <cellStyle name="Normal 6 4 2 6" xfId="5702" xr:uid="{EB64655D-9D11-4773-AADD-967AB047CBEC}"/>
    <cellStyle name="Normal 6 4 2 6 2" xfId="5703" xr:uid="{D87ECA85-97A4-4512-ACCF-83682E3BEA6D}"/>
    <cellStyle name="Normal 6 4 2 7" xfId="5704" xr:uid="{6CE5D041-782A-410D-87D8-D94F2B0A1ADE}"/>
    <cellStyle name="Normal 6 4 3" xfId="5705" xr:uid="{D34B6D4F-2082-4C19-B718-233542E31BB7}"/>
    <cellStyle name="Normal 6 4 3 2" xfId="5706" xr:uid="{2FFB2311-545D-4493-B7B0-EC53C84691F9}"/>
    <cellStyle name="Normal 6 4 3 2 2" xfId="5707" xr:uid="{6441F9D8-1792-4226-82D1-C89E0786D360}"/>
    <cellStyle name="Normal 6 4 3 2 2 2" xfId="5708" xr:uid="{01CA26A5-CAC8-4ABE-93A8-70DC53C32122}"/>
    <cellStyle name="Normal 6 4 3 2 3" xfId="5709" xr:uid="{CAA94C63-A826-42A3-812A-A2CBD9598894}"/>
    <cellStyle name="Normal 6 4 3 3" xfId="5710" xr:uid="{D3C984FA-DA8F-4C86-B700-725EF5BE7B79}"/>
    <cellStyle name="Normal 6 4 3 3 2" xfId="5711" xr:uid="{EB1B95B3-9F72-45F8-80EB-481B99D4D604}"/>
    <cellStyle name="Normal 6 4 3 3 2 2" xfId="5712" xr:uid="{1A0707B6-69EA-4021-B000-06D91AC7DDDD}"/>
    <cellStyle name="Normal 6 4 3 3 3" xfId="5713" xr:uid="{BEA25DB4-DD6E-41A9-AEC6-998A661AD8A5}"/>
    <cellStyle name="Normal 6 4 3 4" xfId="5714" xr:uid="{AE7A9C96-6540-48D2-9F8D-9C47139A9340}"/>
    <cellStyle name="Normal 6 4 3 4 2" xfId="5715" xr:uid="{F916FFF1-BE59-4B16-9757-2479BC659866}"/>
    <cellStyle name="Normal 6 4 3 4 2 2" xfId="5716" xr:uid="{34AC60FF-DBA0-4955-9465-DD823ED2F299}"/>
    <cellStyle name="Normal 6 4 3 4 3" xfId="5717" xr:uid="{E5387A14-CBC7-4BCB-AF4E-CA4710E646A2}"/>
    <cellStyle name="Normal 6 4 3 5" xfId="5718" xr:uid="{57924BCE-DF62-4938-ADE3-597C7FA1E0E3}"/>
    <cellStyle name="Normal 6 4 3 5 2" xfId="5719" xr:uid="{8C5C2989-972A-490E-9AEA-DDE1E7ECABA2}"/>
    <cellStyle name="Normal 6 4 3 6" xfId="5720" xr:uid="{8B5DA8DF-8B94-4336-969D-ABBE93283DFE}"/>
    <cellStyle name="Normal 6 4 4" xfId="5721" xr:uid="{16E5444F-853E-4948-A0BD-0B4BA9564DBE}"/>
    <cellStyle name="Normal 6 4 4 2" xfId="5722" xr:uid="{BD365F50-AF26-42DE-8B03-4E88162610C3}"/>
    <cellStyle name="Normal 6 4 4 2 2" xfId="5723" xr:uid="{CE19C79A-EF49-4AD8-A933-3EF63AED09F4}"/>
    <cellStyle name="Normal 6 4 4 3" xfId="5724" xr:uid="{6C41D0A1-BA13-4E37-9D08-8F99C825660D}"/>
    <cellStyle name="Normal 6 4 5" xfId="5725" xr:uid="{077D4477-6DDD-4A8E-B565-0DD827B40510}"/>
    <cellStyle name="Normal 6 4 5 2" xfId="5726" xr:uid="{17C72F62-13FF-46BD-86A7-02EBB0F895E2}"/>
    <cellStyle name="Normal 6 4 5 2 2" xfId="5727" xr:uid="{9D9F4AAC-F67A-4A1C-81B5-FB0D9D40CB3E}"/>
    <cellStyle name="Normal 6 4 5 3" xfId="5728" xr:uid="{9AEE746F-2DA3-408A-8F63-9E62E0106319}"/>
    <cellStyle name="Normal 6 4 6" xfId="5729" xr:uid="{CC2023EC-E292-494C-B9A6-1E5F1B0E61CA}"/>
    <cellStyle name="Normal 6 4 6 2" xfId="5730" xr:uid="{E2022DBA-2FF0-468F-8DAF-5C52CC52C0E8}"/>
    <cellStyle name="Normal 6 4 6 2 2" xfId="5731" xr:uid="{D214AC7B-19E8-49D2-9B08-5D0A91DAD893}"/>
    <cellStyle name="Normal 6 4 6 3" xfId="5732" xr:uid="{B09A9B60-2DB2-4702-A152-6F956D2E9B14}"/>
    <cellStyle name="Normal 6 4 7" xfId="5733" xr:uid="{12F11A2A-5C5D-4174-AAFE-9C0CBE34E219}"/>
    <cellStyle name="Normal 6 4 7 2" xfId="5734" xr:uid="{16B4983C-3398-4B54-B297-88931BFDC8C7}"/>
    <cellStyle name="Normal 6 4 8" xfId="5735" xr:uid="{308AD644-5573-4832-812B-C30293418C2F}"/>
    <cellStyle name="Normal 6 5" xfId="5736" xr:uid="{8FB44D92-3091-48B5-AEF5-9DB841340CD0}"/>
    <cellStyle name="Normal 6 5 2" xfId="5737" xr:uid="{A7847030-3B0E-4D25-BBB0-F332908EAE78}"/>
    <cellStyle name="Normal 6 5 2 2" xfId="5738" xr:uid="{ADCBA272-5065-41DB-946D-11F24AF841A7}"/>
    <cellStyle name="Normal 6 5 2 2 2" xfId="5739" xr:uid="{4E11594D-6805-49A1-B583-0318D0B1574F}"/>
    <cellStyle name="Normal 6 5 2 2 2 2" xfId="5740" xr:uid="{B417E3B6-7816-45F8-B2D7-270418567D18}"/>
    <cellStyle name="Normal 6 5 2 2 2 2 2" xfId="5741" xr:uid="{62A10484-0B2C-4E18-818B-BBC560F6F4A8}"/>
    <cellStyle name="Normal 6 5 2 2 2 3" xfId="5742" xr:uid="{E7A57A69-7076-4474-AE4C-69DBBF72A8D3}"/>
    <cellStyle name="Normal 6 5 2 2 3" xfId="5743" xr:uid="{DC3DB961-F75E-4F9C-B4A7-A8A134181CF7}"/>
    <cellStyle name="Normal 6 5 2 2 3 2" xfId="5744" xr:uid="{F189C9D6-F9C3-428A-ACDF-53FCCF04F326}"/>
    <cellStyle name="Normal 6 5 2 2 3 2 2" xfId="5745" xr:uid="{A1F36432-A9E8-473C-8711-BA8A47C71B18}"/>
    <cellStyle name="Normal 6 5 2 2 3 3" xfId="5746" xr:uid="{EBD7318C-9D03-4D0C-B0CA-506C6705B800}"/>
    <cellStyle name="Normal 6 5 2 2 4" xfId="5747" xr:uid="{FE9212BA-E3B8-40A1-AF87-F4B17630AAD5}"/>
    <cellStyle name="Normal 6 5 2 2 4 2" xfId="5748" xr:uid="{BB42446B-D60F-435B-8CA2-9E16EAC8B802}"/>
    <cellStyle name="Normal 6 5 2 2 4 2 2" xfId="5749" xr:uid="{7CA445F5-CD8E-43F3-83D1-8A418AED11F6}"/>
    <cellStyle name="Normal 6 5 2 2 4 3" xfId="5750" xr:uid="{0C22D909-0463-4F8D-A40B-3F23AFD2AE60}"/>
    <cellStyle name="Normal 6 5 2 2 5" xfId="5751" xr:uid="{712DE23A-704D-4098-B81D-68FDC3D65643}"/>
    <cellStyle name="Normal 6 5 2 2 5 2" xfId="5752" xr:uid="{55E7320B-76B8-4BD6-9C76-1E38AEEA5B3D}"/>
    <cellStyle name="Normal 6 5 2 2 6" xfId="5753" xr:uid="{E7D03990-2F7A-4F99-BAF6-E0042ACEB023}"/>
    <cellStyle name="Normal 6 5 2 3" xfId="5754" xr:uid="{7DDC82AB-16C4-4DF3-A95E-B384570549F5}"/>
    <cellStyle name="Normal 6 5 2 3 2" xfId="5755" xr:uid="{31D0FD31-D877-40C1-B562-702A2F8252D6}"/>
    <cellStyle name="Normal 6 5 2 3 2 2" xfId="5756" xr:uid="{AFCA7FD5-217F-47B1-9EA4-26FE9B5E4551}"/>
    <cellStyle name="Normal 6 5 2 3 3" xfId="5757" xr:uid="{B8DBD271-299A-48BE-8C85-9826AD3D3829}"/>
    <cellStyle name="Normal 6 5 2 4" xfId="5758" xr:uid="{A8F9562F-1337-40C1-8E17-E010C8CF161E}"/>
    <cellStyle name="Normal 6 5 2 4 2" xfId="5759" xr:uid="{D75421AD-B38A-4873-806C-913FEAEF39A5}"/>
    <cellStyle name="Normal 6 5 2 4 2 2" xfId="5760" xr:uid="{BD62EBEB-EC2A-4D91-B86F-6E07DA697D80}"/>
    <cellStyle name="Normal 6 5 2 4 3" xfId="5761" xr:uid="{E40C8325-8C1F-4697-839D-9E11B73BEE34}"/>
    <cellStyle name="Normal 6 5 2 5" xfId="5762" xr:uid="{B4F11597-1D91-4DF0-BE5D-ED534110EEF6}"/>
    <cellStyle name="Normal 6 5 2 5 2" xfId="5763" xr:uid="{168A4FA0-D1C6-4C10-A4D7-1855D2DFBE96}"/>
    <cellStyle name="Normal 6 5 2 5 2 2" xfId="5764" xr:uid="{EC16CBA1-A882-4941-AA7D-7E9DA976E576}"/>
    <cellStyle name="Normal 6 5 2 5 3" xfId="5765" xr:uid="{0A195771-587C-426D-BA47-7A4EF32BDB40}"/>
    <cellStyle name="Normal 6 5 2 6" xfId="5766" xr:uid="{E3FD9952-F869-4AC5-9A9D-E70C46E4DA35}"/>
    <cellStyle name="Normal 6 5 2 6 2" xfId="5767" xr:uid="{F3BD80BB-BD1A-4FA5-8C2E-8F67525CC2FD}"/>
    <cellStyle name="Normal 6 5 2 7" xfId="5768" xr:uid="{7B993FAB-5642-4408-9E4A-9EBD10327CBA}"/>
    <cellStyle name="Normal 6 5 3" xfId="5769" xr:uid="{923B574F-7B67-4144-A6D0-AEA38DA2DD11}"/>
    <cellStyle name="Normal 6 5 3 2" xfId="5770" xr:uid="{317284B8-CB1D-4FA3-BA28-A2ED3999B7F3}"/>
    <cellStyle name="Normal 6 5 3 2 2" xfId="5771" xr:uid="{EB0E1553-754D-4615-ADF1-0DEA1B8C7A6B}"/>
    <cellStyle name="Normal 6 5 3 2 2 2" xfId="5772" xr:uid="{8531AB76-7F8D-44F6-AD62-BC4473931E35}"/>
    <cellStyle name="Normal 6 5 3 2 3" xfId="5773" xr:uid="{6217F5DF-3AE8-48D1-ABDE-0F3191F6CC83}"/>
    <cellStyle name="Normal 6 5 3 3" xfId="5774" xr:uid="{6034FCD6-80A7-4386-8ED6-F672D765E14A}"/>
    <cellStyle name="Normal 6 5 3 3 2" xfId="5775" xr:uid="{A9330A85-E1FB-401A-9990-AABF7C5CE3B5}"/>
    <cellStyle name="Normal 6 5 3 3 2 2" xfId="5776" xr:uid="{16DAC15A-FEA2-4725-A45D-25B00910CF2B}"/>
    <cellStyle name="Normal 6 5 3 3 3" xfId="5777" xr:uid="{079A4F7E-7C37-4894-8E7C-CA876A2979DE}"/>
    <cellStyle name="Normal 6 5 3 4" xfId="5778" xr:uid="{C3CEA6E7-3F38-4C09-B6A5-6BAAFDF01975}"/>
    <cellStyle name="Normal 6 5 3 4 2" xfId="5779" xr:uid="{9D6C90AC-6FEA-45AE-BCB7-335A14227CB7}"/>
    <cellStyle name="Normal 6 5 3 4 2 2" xfId="5780" xr:uid="{C6B9E5D7-2E92-4787-BFF3-7BDC161F67D8}"/>
    <cellStyle name="Normal 6 5 3 4 3" xfId="5781" xr:uid="{0E1D40FA-382D-45A2-9B40-F275171A51B5}"/>
    <cellStyle name="Normal 6 5 3 5" xfId="5782" xr:uid="{924C59DE-E87A-4069-8EF5-44F349C7B87E}"/>
    <cellStyle name="Normal 6 5 3 5 2" xfId="5783" xr:uid="{BE07FC59-7E24-44FF-98F5-EBA309CEF823}"/>
    <cellStyle name="Normal 6 5 3 6" xfId="5784" xr:uid="{016966AB-ECD5-43BC-B4A9-6EA8F03D54B6}"/>
    <cellStyle name="Normal 6 5 4" xfId="5785" xr:uid="{2D65D964-00F5-4B34-89FF-97431122D469}"/>
    <cellStyle name="Normal 6 5 4 2" xfId="5786" xr:uid="{B9D48143-8F83-42D5-B78C-D68D64C175FB}"/>
    <cellStyle name="Normal 6 5 4 2 2" xfId="5787" xr:uid="{DB4B42E3-74EB-41A8-A2BC-C9A4766CDE42}"/>
    <cellStyle name="Normal 6 5 4 3" xfId="5788" xr:uid="{43861C01-EE12-4C10-A4A5-CAEBB44494A5}"/>
    <cellStyle name="Normal 6 5 5" xfId="5789" xr:uid="{E2A80915-1939-4CB2-9EA8-B7479996BC42}"/>
    <cellStyle name="Normal 6 5 5 2" xfId="5790" xr:uid="{625F9365-6CB6-49AE-B1FC-4486A6FBA8F8}"/>
    <cellStyle name="Normal 6 5 5 2 2" xfId="5791" xr:uid="{A6BB6966-3D8E-4E4B-AA16-E7B0A768C6AB}"/>
    <cellStyle name="Normal 6 5 5 3" xfId="5792" xr:uid="{9ECCDD23-BC35-414E-BF59-DC897F907A32}"/>
    <cellStyle name="Normal 6 5 6" xfId="5793" xr:uid="{F96D967A-563B-499F-AED9-C9B20C3C0161}"/>
    <cellStyle name="Normal 6 5 6 2" xfId="5794" xr:uid="{07DDA09F-7E2D-491D-8484-59EB6D22DB2D}"/>
    <cellStyle name="Normal 6 5 6 2 2" xfId="5795" xr:uid="{22E7E048-E8A3-43F4-A88E-45B998E31126}"/>
    <cellStyle name="Normal 6 5 6 3" xfId="5796" xr:uid="{94CD30E9-E94E-4C16-9474-35F76947EC6B}"/>
    <cellStyle name="Normal 6 5 7" xfId="5797" xr:uid="{F76E985F-FD46-435D-9AC5-DDA26DC0D04B}"/>
    <cellStyle name="Normal 6 5 7 2" xfId="5798" xr:uid="{53277D6B-8B71-4D1A-9FA3-FC56AA1F7EE7}"/>
    <cellStyle name="Normal 6 5 8" xfId="5799" xr:uid="{4C539FA5-E59F-4D01-A9B6-9A99129144D3}"/>
    <cellStyle name="Normal 6 6" xfId="5800" xr:uid="{F4C7F3A4-9A91-4FBF-8DD1-7F7C6E3704B5}"/>
    <cellStyle name="Normal 6 6 2" xfId="5801" xr:uid="{CA86DAEC-CD26-4D05-9ED3-C4CC8A650DF5}"/>
    <cellStyle name="Normal 6 6 2 2" xfId="5802" xr:uid="{49294CF5-F889-455A-B36B-AF02315C3878}"/>
    <cellStyle name="Normal 6 6 2 2 2" xfId="5803" xr:uid="{6898786E-4738-4067-A7D9-748D27818A36}"/>
    <cellStyle name="Normal 6 6 2 2 2 2" xfId="5804" xr:uid="{4238F1A6-49A4-44EE-B442-3E4E12C5E40A}"/>
    <cellStyle name="Normal 6 6 2 2 3" xfId="5805" xr:uid="{2E28DB53-1029-4264-8668-95BDCFC388A7}"/>
    <cellStyle name="Normal 6 6 2 3" xfId="5806" xr:uid="{60E108BB-1CC2-4C5B-9ACC-787BB3F964FE}"/>
    <cellStyle name="Normal 6 6 2 3 2" xfId="5807" xr:uid="{D8C6C2EF-0266-4BD5-AABD-692E0C8A4937}"/>
    <cellStyle name="Normal 6 6 2 3 2 2" xfId="5808" xr:uid="{9B6C7E29-408A-46DE-BF0A-07630356D210}"/>
    <cellStyle name="Normal 6 6 2 3 3" xfId="5809" xr:uid="{1E5620F4-CCC2-4564-8F00-70F4027FE3D6}"/>
    <cellStyle name="Normal 6 6 2 4" xfId="5810" xr:uid="{176AD7A6-4FC1-4491-93FC-FF9C8BE4845C}"/>
    <cellStyle name="Normal 6 6 2 4 2" xfId="5811" xr:uid="{9245051F-C305-4F4E-95BC-2783AC65FD4B}"/>
    <cellStyle name="Normal 6 6 2 4 2 2" xfId="5812" xr:uid="{B2AF3779-0EB6-45B1-AB03-1C09820F531E}"/>
    <cellStyle name="Normal 6 6 2 4 3" xfId="5813" xr:uid="{EA80DBC7-5EF9-4DFF-AF5C-DBAAFDD4F826}"/>
    <cellStyle name="Normal 6 6 2 5" xfId="5814" xr:uid="{2D930FC9-DCBA-4858-A82C-97E002E2A639}"/>
    <cellStyle name="Normal 6 6 2 5 2" xfId="5815" xr:uid="{E55C6192-3C36-4087-9885-372609D92F50}"/>
    <cellStyle name="Normal 6 6 2 6" xfId="5816" xr:uid="{C8AA378B-C48E-4E31-95BE-5C00EC32BBE2}"/>
    <cellStyle name="Normal 6 6 3" xfId="5817" xr:uid="{3DD8BAF1-CA4E-4383-8CA1-98E697B603F8}"/>
    <cellStyle name="Normal 6 6 3 2" xfId="5818" xr:uid="{4F6BB3E2-2BA5-4C8F-86AD-576088B42C1E}"/>
    <cellStyle name="Normal 6 6 3 2 2" xfId="5819" xr:uid="{BB701C8F-37C1-45FD-B86B-6115C37641C6}"/>
    <cellStyle name="Normal 6 6 3 3" xfId="5820" xr:uid="{F6347C46-308C-467F-9D18-63CCEF5B21A7}"/>
    <cellStyle name="Normal 6 6 4" xfId="5821" xr:uid="{3F5CD92C-ED22-4F02-B2C7-508A7A0A0BE9}"/>
    <cellStyle name="Normal 6 6 4 2" xfId="5822" xr:uid="{EFBEFE7D-28F8-4EE9-9143-8B18E77637E6}"/>
    <cellStyle name="Normal 6 6 4 2 2" xfId="5823" xr:uid="{8931CE00-74C4-4A48-BF59-4A86F99FD70C}"/>
    <cellStyle name="Normal 6 6 4 3" xfId="5824" xr:uid="{C8B95377-13C8-415B-AA42-1B768F4BE6A3}"/>
    <cellStyle name="Normal 6 6 5" xfId="5825" xr:uid="{7FF8491D-B5D9-4DDC-A82B-96966E9458B3}"/>
    <cellStyle name="Normal 6 6 5 2" xfId="5826" xr:uid="{238DB7B4-2DC1-4AB7-ABC7-BF7D99C1D958}"/>
    <cellStyle name="Normal 6 6 5 2 2" xfId="5827" xr:uid="{FF05AE2B-3901-4BF0-9C55-61FB0461F0BC}"/>
    <cellStyle name="Normal 6 6 5 3" xfId="5828" xr:uid="{0EAAA4B4-FBEA-48DD-9C10-FB792AB8B1E3}"/>
    <cellStyle name="Normal 6 6 6" xfId="5829" xr:uid="{E81E048C-6171-4F32-94C2-E2E5CA0B6AD4}"/>
    <cellStyle name="Normal 6 6 6 2" xfId="5830" xr:uid="{9DE97532-93BB-4106-A3AF-5D81470AF9EC}"/>
    <cellStyle name="Normal 6 6 7" xfId="5831" xr:uid="{42CEFD64-E9BE-45FC-803F-45B1FE9FAB05}"/>
    <cellStyle name="Normal 6 7" xfId="5832" xr:uid="{352C8AE6-A7A9-4C6F-9A16-553FBFBA3B19}"/>
    <cellStyle name="Normal 6 7 2" xfId="5833" xr:uid="{4FDB9E8B-15E1-44A1-823B-809938F472BE}"/>
    <cellStyle name="Normal 6 7 2 2" xfId="5834" xr:uid="{50563D1D-551C-4373-BD87-9698554A6718}"/>
    <cellStyle name="Normal 6 7 2 2 2" xfId="5835" xr:uid="{C3C6B33F-3C82-4BBA-ABAE-8865A9BF5C32}"/>
    <cellStyle name="Normal 6 7 2 3" xfId="5836" xr:uid="{52639E85-2412-4A56-8CA1-6304B0453D2B}"/>
    <cellStyle name="Normal 6 7 3" xfId="5837" xr:uid="{DDA6942B-EF28-48F3-9A1E-E858F79BFDCA}"/>
    <cellStyle name="Normal 6 7 3 2" xfId="5838" xr:uid="{BF86D8E4-4138-47EC-9117-029161343CCA}"/>
    <cellStyle name="Normal 6 7 3 2 2" xfId="5839" xr:uid="{718A3B3A-DFC8-4785-B42B-8772A919802B}"/>
    <cellStyle name="Normal 6 7 3 3" xfId="5840" xr:uid="{5E39F1B7-868C-4B77-B73E-C65B88A7DF46}"/>
    <cellStyle name="Normal 6 7 4" xfId="5841" xr:uid="{3D67E079-F81C-4B0C-817F-A60E24F43173}"/>
    <cellStyle name="Normal 6 7 4 2" xfId="5842" xr:uid="{372AD30E-D816-4B49-96DC-85098EFED8F6}"/>
    <cellStyle name="Normal 6 7 4 2 2" xfId="5843" xr:uid="{ACDB1671-0A74-4647-810D-A1948B81697A}"/>
    <cellStyle name="Normal 6 7 4 3" xfId="5844" xr:uid="{54D3E7C9-E092-43E9-9F72-BAFC233D0ABA}"/>
    <cellStyle name="Normal 6 7 5" xfId="5845" xr:uid="{1C487C3E-88F2-4D58-9FCE-B8A7E41FB769}"/>
    <cellStyle name="Normal 6 7 5 2" xfId="5846" xr:uid="{81B48F2A-4AE7-4F77-9D30-30876A83410A}"/>
    <cellStyle name="Normal 6 7 6" xfId="5847" xr:uid="{A7F6C9BE-EFFD-4B0C-9447-7C07E1DCFCE1}"/>
    <cellStyle name="Normal 6 8" xfId="5848" xr:uid="{CC0D44DF-8120-4561-928E-674E1F5037DE}"/>
    <cellStyle name="Normal 6 8 2" xfId="5849" xr:uid="{AE81B2B6-07D5-4DD2-8A37-CF6251A8B8C9}"/>
    <cellStyle name="Normal 6 8 2 2" xfId="5850" xr:uid="{B2532693-AC3E-4A00-B628-58134903B970}"/>
    <cellStyle name="Normal 6 8 3" xfId="5851" xr:uid="{B7DFB393-873F-46F4-BEC7-4DA8F1BB82CA}"/>
    <cellStyle name="Normal 6 9" xfId="5852" xr:uid="{3664BEC5-CEAF-4246-BACA-E1AEF0904CA2}"/>
    <cellStyle name="Normal 6 9 2" xfId="5853" xr:uid="{4512EE61-3CEA-4A30-A524-D98A92E44A33}"/>
    <cellStyle name="Normal 6 9 2 2" xfId="5854" xr:uid="{96F9C233-E6CA-44E3-81E9-FD2203D96B0A}"/>
    <cellStyle name="Normal 6 9 3" xfId="5855" xr:uid="{75DB67D7-22B0-4262-A4C4-B7AB4F25B7CE}"/>
    <cellStyle name="Normal 60" xfId="7530" xr:uid="{835DDCA8-1D69-42C9-9E78-33AC3D7AF2D6}"/>
    <cellStyle name="Normal 60 2" xfId="7573" xr:uid="{F18D04DB-3F81-4A67-82F8-F2830410B905}"/>
    <cellStyle name="Normal 60 2 2" xfId="7773" xr:uid="{D9814649-A22D-4C9B-8DC7-EF7EEF42C85C}"/>
    <cellStyle name="Normal 60 2 2 2" xfId="8144" xr:uid="{AB94BD3C-6AE2-408B-9821-C4FE80B6FD0A}"/>
    <cellStyle name="Normal 60 2 2 2 2" xfId="8814" xr:uid="{4E2629C5-D79B-49B5-A720-C2F036BAFB6F}"/>
    <cellStyle name="Normal 60 2 2 2 2 2" xfId="10883" xr:uid="{DBD84A62-639B-4117-A8BD-3E91065FDCD0}"/>
    <cellStyle name="Normal 60 2 2 2 2 2 2" xfId="15089" xr:uid="{68B14751-9A75-46FB-8BDF-382C4474FD4C}"/>
    <cellStyle name="Normal 60 2 2 2 2 3" xfId="13060" xr:uid="{35D517A7-DEB3-4BD2-8913-8EA49229717F}"/>
    <cellStyle name="Normal 60 2 2 2 3" xfId="10213" xr:uid="{67A7EC0C-9B35-46C0-B745-81D128701439}"/>
    <cellStyle name="Normal 60 2 2 2 3 2" xfId="14419" xr:uid="{5F5238FB-6ACA-4AF6-BEE1-C3E34C0448E9}"/>
    <cellStyle name="Normal 60 2 2 2 4" xfId="12390" xr:uid="{B7B4A7FC-FA0D-4A1D-9293-4DB8333091E4}"/>
    <cellStyle name="Normal 60 2 2 3" xfId="8480" xr:uid="{32D51992-D0E2-4B54-AAAF-290BB4E4D590}"/>
    <cellStyle name="Normal 60 2 2 3 2" xfId="10549" xr:uid="{ED8A59E7-4837-40FB-B5F4-52152104D105}"/>
    <cellStyle name="Normal 60 2 2 3 2 2" xfId="14755" xr:uid="{76AB8DF9-5735-42CB-8ABC-D0A047BA548C}"/>
    <cellStyle name="Normal 60 2 2 3 3" xfId="12726" xr:uid="{13481C6E-6550-4C66-A05B-81B9AC72E67F}"/>
    <cellStyle name="Normal 60 2 2 4" xfId="9153" xr:uid="{79FFEF54-2D5B-4138-9574-3BA7FDAB9974}"/>
    <cellStyle name="Normal 60 2 2 4 2" xfId="11222" xr:uid="{76885A87-334E-410C-93C9-93C81568B07B}"/>
    <cellStyle name="Normal 60 2 2 4 2 2" xfId="15428" xr:uid="{D785D93E-CF75-4100-92B8-5B98FED2BABD}"/>
    <cellStyle name="Normal 60 2 2 4 3" xfId="13399" xr:uid="{3DC8C618-2A08-4E4B-B81D-B23BC9E279D2}"/>
    <cellStyle name="Normal 60 2 2 5" xfId="9521" xr:uid="{98F963BB-EEA8-4647-B063-270155EF9F26}"/>
    <cellStyle name="Normal 60 2 2 5 2" xfId="11555" xr:uid="{E55D3A82-FE80-416C-B350-888DF40931C2}"/>
    <cellStyle name="Normal 60 2 2 5 2 2" xfId="15761" xr:uid="{663C7FC9-E73E-4469-A278-3794C7D7E958}"/>
    <cellStyle name="Normal 60 2 2 5 3" xfId="13732" xr:uid="{04F5130F-2AF4-4566-81AF-11809A1042A9}"/>
    <cellStyle name="Normal 60 2 2 6" xfId="9879" xr:uid="{CD7FA3F4-5115-4F1C-A122-7AFF6A3AF075}"/>
    <cellStyle name="Normal 60 2 2 6 2" xfId="14085" xr:uid="{6DC299BA-0A13-4C9B-9CCE-26CC1B420E07}"/>
    <cellStyle name="Normal 60 2 2 7" xfId="12056" xr:uid="{9667E173-39B9-436B-BFAB-14CA89EF202D}"/>
    <cellStyle name="Normal 60 2 3" xfId="7981" xr:uid="{058BFC93-10F8-4DC6-8270-0B0416AA0ECA}"/>
    <cellStyle name="Normal 60 2 3 2" xfId="8651" xr:uid="{F8D5C62C-FBEC-468E-935E-36B126DCDBAE}"/>
    <cellStyle name="Normal 60 2 3 2 2" xfId="10720" xr:uid="{56EF70E6-6679-473A-9E37-0B0B0D244CF1}"/>
    <cellStyle name="Normal 60 2 3 2 2 2" xfId="14926" xr:uid="{EB70FAF1-2706-4D56-B17B-519965E33EFD}"/>
    <cellStyle name="Normal 60 2 3 2 3" xfId="12897" xr:uid="{0274A935-5CFB-4BCB-91F4-D308A83B2247}"/>
    <cellStyle name="Normal 60 2 3 3" xfId="10050" xr:uid="{EFEF3D0B-1713-445C-83C4-B6A2C8E7A94D}"/>
    <cellStyle name="Normal 60 2 3 3 2" xfId="14256" xr:uid="{DEE79A52-1406-4E96-BBEC-A225D167DDB8}"/>
    <cellStyle name="Normal 60 2 3 4" xfId="12227" xr:uid="{0EE410A8-2899-494C-9181-E3E1D9A2E011}"/>
    <cellStyle name="Normal 60 2 4" xfId="8317" xr:uid="{62DB341D-BA4E-4314-AABE-180EE36B1EA5}"/>
    <cellStyle name="Normal 60 2 4 2" xfId="10386" xr:uid="{366FAF9F-02A3-406E-B04F-AF63C35C70E2}"/>
    <cellStyle name="Normal 60 2 4 2 2" xfId="14592" xr:uid="{613CFE78-BDDF-4936-B02E-058CD7E378BA}"/>
    <cellStyle name="Normal 60 2 4 3" xfId="12563" xr:uid="{2EE1BC95-75D2-4924-9DCB-8FCE7FDA9D47}"/>
    <cellStyle name="Normal 60 2 5" xfId="8990" xr:uid="{5FBC2D05-41C0-4F38-9C2D-79C1905F4B3A}"/>
    <cellStyle name="Normal 60 2 5 2" xfId="11059" xr:uid="{D64A11BA-3328-497A-A5CC-A63FCF555C01}"/>
    <cellStyle name="Normal 60 2 5 2 2" xfId="15265" xr:uid="{2B01CEF4-AFF4-4858-BE92-286E7736F246}"/>
    <cellStyle name="Normal 60 2 5 3" xfId="13236" xr:uid="{2954B460-CF4E-42DD-8EAB-26E6950933F8}"/>
    <cellStyle name="Normal 60 2 6" xfId="9358" xr:uid="{DE82B311-C2EB-4F93-BF38-61B7377237B7}"/>
    <cellStyle name="Normal 60 2 6 2" xfId="11392" xr:uid="{0D94176B-F0CA-4DEE-B232-DDA3CC7681A4}"/>
    <cellStyle name="Normal 60 2 6 2 2" xfId="15598" xr:uid="{F3544BA9-D73E-4CE1-BCF8-83D2A5E6F56B}"/>
    <cellStyle name="Normal 60 2 6 3" xfId="13569" xr:uid="{57320265-7857-4EA5-9266-1C943DBD3F5E}"/>
    <cellStyle name="Normal 60 2 7" xfId="9716" xr:uid="{CCA9834A-FF18-4F3E-BA5F-316C16E26B03}"/>
    <cellStyle name="Normal 60 2 7 2" xfId="13922" xr:uid="{4E3C5D4B-C069-4AD8-88DB-7C528A26CEB7}"/>
    <cellStyle name="Normal 60 2 8" xfId="11893" xr:uid="{7F256628-9EE5-4772-AB4C-178E5BC2CE34}"/>
    <cellStyle name="Normal 60 3" xfId="7732" xr:uid="{85CA1088-BEF7-4FA9-8CE7-548ADF1A3F16}"/>
    <cellStyle name="Normal 60 3 2" xfId="8103" xr:uid="{0BF53780-7152-42FC-8F3E-CDD8CF36BFAE}"/>
    <cellStyle name="Normal 60 3 2 2" xfId="8773" xr:uid="{179FFD6C-41EA-4FFA-9658-25E812E7D025}"/>
    <cellStyle name="Normal 60 3 2 2 2" xfId="10842" xr:uid="{93C75571-EB76-4694-A4D2-C4FC1D6045E5}"/>
    <cellStyle name="Normal 60 3 2 2 2 2" xfId="15048" xr:uid="{664BF182-B4E0-45F2-9924-806D61D9212F}"/>
    <cellStyle name="Normal 60 3 2 2 3" xfId="13019" xr:uid="{BF76F46F-910E-4530-BB2B-AF5F3B289A6E}"/>
    <cellStyle name="Normal 60 3 2 3" xfId="10172" xr:uid="{62722295-3D5D-4B4A-A456-7D3534F1207F}"/>
    <cellStyle name="Normal 60 3 2 3 2" xfId="14378" xr:uid="{533B418E-B66B-4D9A-B224-0971D7C00D37}"/>
    <cellStyle name="Normal 60 3 2 4" xfId="12349" xr:uid="{32DF161C-9FE2-4CC3-811F-CCA533F94D62}"/>
    <cellStyle name="Normal 60 3 3" xfId="8439" xr:uid="{076BCB47-6366-471C-9292-3439FD66A817}"/>
    <cellStyle name="Normal 60 3 3 2" xfId="10508" xr:uid="{74ACD029-7585-42CF-B6CB-35411A0FBA2A}"/>
    <cellStyle name="Normal 60 3 3 2 2" xfId="14714" xr:uid="{F13BEDCD-D31C-4434-9FE9-F6AB78F2B01C}"/>
    <cellStyle name="Normal 60 3 3 3" xfId="12685" xr:uid="{86190090-F6AA-4888-B651-96C93FAE0891}"/>
    <cellStyle name="Normal 60 3 4" xfId="9112" xr:uid="{CD2C8017-7BF3-4ED1-B17C-0EA4224BCCFE}"/>
    <cellStyle name="Normal 60 3 4 2" xfId="11181" xr:uid="{5E40D1FC-B475-4A5F-AA8B-1822ED61D25E}"/>
    <cellStyle name="Normal 60 3 4 2 2" xfId="15387" xr:uid="{6251FCF5-40F0-43C9-A523-DD01A902C999}"/>
    <cellStyle name="Normal 60 3 4 3" xfId="13358" xr:uid="{4B333D3B-9037-4F0C-A52B-7808FADF3DBE}"/>
    <cellStyle name="Normal 60 3 5" xfId="9480" xr:uid="{708191A7-D323-4473-8763-EB37FE3D9673}"/>
    <cellStyle name="Normal 60 3 5 2" xfId="11514" xr:uid="{BA8B07BF-70C0-40BB-8EB6-ED25B968ED06}"/>
    <cellStyle name="Normal 60 3 5 2 2" xfId="15720" xr:uid="{D79314FC-BA2B-4DAC-B5A7-3ACC589D3380}"/>
    <cellStyle name="Normal 60 3 5 3" xfId="13691" xr:uid="{DC8D437F-844F-4466-9432-32DD7C75B183}"/>
    <cellStyle name="Normal 60 3 6" xfId="9838" xr:uid="{FC5D2054-44A3-45EA-9DBA-164F09736F6E}"/>
    <cellStyle name="Normal 60 3 6 2" xfId="14044" xr:uid="{007E01A3-872D-4971-A7E8-EB89C51246D3}"/>
    <cellStyle name="Normal 60 3 7" xfId="12015" xr:uid="{B6CC890D-AC7F-4257-A1B5-A22EA0D2C234}"/>
    <cellStyle name="Normal 60 4" xfId="7940" xr:uid="{D5939F18-57E5-4472-AF24-BBA7FCFF1850}"/>
    <cellStyle name="Normal 60 4 2" xfId="8610" xr:uid="{853BCAE9-E008-4E00-B444-8C98EA914F29}"/>
    <cellStyle name="Normal 60 4 2 2" xfId="10679" xr:uid="{F0008B7D-211B-4A83-90CF-73A44A35043E}"/>
    <cellStyle name="Normal 60 4 2 2 2" xfId="14885" xr:uid="{6A07E84A-6C8F-4259-86C0-F6257CAFF7C1}"/>
    <cellStyle name="Normal 60 4 2 3" xfId="12856" xr:uid="{4DB13B69-623D-4C4D-B7F0-C20451CABE3C}"/>
    <cellStyle name="Normal 60 4 3" xfId="10009" xr:uid="{4263156D-1AA7-4E45-BDFC-40161DEFC1A2}"/>
    <cellStyle name="Normal 60 4 3 2" xfId="14215" xr:uid="{189495E2-FF61-4937-A5FA-6D6C56ACFCE1}"/>
    <cellStyle name="Normal 60 4 4" xfId="12186" xr:uid="{147AAD9F-13F6-4BAF-8478-35AFDC079B9F}"/>
    <cellStyle name="Normal 60 5" xfId="8276" xr:uid="{78E7A3AB-C31E-4708-AE49-5DA1A9A850A0}"/>
    <cellStyle name="Normal 60 5 2" xfId="10345" xr:uid="{5CFFD8B7-FB03-4043-970E-FDEA805A83CC}"/>
    <cellStyle name="Normal 60 5 2 2" xfId="14551" xr:uid="{A9B4EBEA-DDBD-45E6-B71A-93D78878D8EB}"/>
    <cellStyle name="Normal 60 5 3" xfId="12522" xr:uid="{03F8EB47-BC48-46CD-BF4F-1AA3F7D3642E}"/>
    <cellStyle name="Normal 60 6" xfId="8949" xr:uid="{5F707AFD-B687-4F07-B027-26E1602A20AD}"/>
    <cellStyle name="Normal 60 6 2" xfId="11018" xr:uid="{77792A9C-5D7F-4059-B816-1CD900D9A7AC}"/>
    <cellStyle name="Normal 60 6 2 2" xfId="15224" xr:uid="{C25D957B-1E68-4B3C-8334-2DA6CFF41A7D}"/>
    <cellStyle name="Normal 60 6 3" xfId="13195" xr:uid="{4B317D69-AA62-42CD-8546-045C4C577930}"/>
    <cellStyle name="Normal 60 7" xfId="9316" xr:uid="{D7E49FF6-4636-40E3-9789-F442577200BA}"/>
    <cellStyle name="Normal 60 7 2" xfId="11351" xr:uid="{FE36520F-A905-420C-894F-1CC11196F5F1}"/>
    <cellStyle name="Normal 60 7 2 2" xfId="15557" xr:uid="{E12743E1-953A-494F-AE55-6AA17A9315C5}"/>
    <cellStyle name="Normal 60 7 3" xfId="13528" xr:uid="{EE3E0DEC-7FDC-4D5D-9486-1728E4550892}"/>
    <cellStyle name="Normal 60 8" xfId="9675" xr:uid="{373F4BC2-88ED-409C-9B98-218FFA356635}"/>
    <cellStyle name="Normal 60 8 2" xfId="13881" xr:uid="{2A1C4326-3DAA-493B-8EB2-A4203485D8F8}"/>
    <cellStyle name="Normal 60 9" xfId="11851" xr:uid="{956AFFB6-8191-480A-8529-39CAA885B154}"/>
    <cellStyle name="Normal 61" xfId="7531" xr:uid="{5CF6DD4F-E73D-44BF-993F-5EAA058752BC}"/>
    <cellStyle name="Normal 61 2" xfId="7574" xr:uid="{B8EE594D-F36E-48BC-9AF7-EBEFE3D4D9F5}"/>
    <cellStyle name="Normal 61 2 2" xfId="7774" xr:uid="{EF494CD4-7F0B-426E-9318-2776C5D7242B}"/>
    <cellStyle name="Normal 61 2 2 2" xfId="8145" xr:uid="{D4058D76-AC6D-4449-BFA8-9DEA9801E146}"/>
    <cellStyle name="Normal 61 2 2 2 2" xfId="8815" xr:uid="{13109347-2E85-470C-AABD-390A2ED6FE3B}"/>
    <cellStyle name="Normal 61 2 2 2 2 2" xfId="10884" xr:uid="{C790BBCC-32D6-4762-85D1-2DC0A440BB28}"/>
    <cellStyle name="Normal 61 2 2 2 2 2 2" xfId="15090" xr:uid="{EA169BD3-E271-4D7B-8A83-89A04E56F18B}"/>
    <cellStyle name="Normal 61 2 2 2 2 3" xfId="13061" xr:uid="{59029F2E-3F8F-4C43-A60D-C4AA098E3993}"/>
    <cellStyle name="Normal 61 2 2 2 3" xfId="10214" xr:uid="{ADA0367D-0FC1-41AB-9573-6D6A6F20A023}"/>
    <cellStyle name="Normal 61 2 2 2 3 2" xfId="14420" xr:uid="{5E9D3630-21F0-46EA-83F6-7A3BAB462F64}"/>
    <cellStyle name="Normal 61 2 2 2 4" xfId="12391" xr:uid="{B632BD00-D8D9-4404-BF1C-7F61B35457BE}"/>
    <cellStyle name="Normal 61 2 2 3" xfId="8481" xr:uid="{F1E0C9C2-5E7E-4DF7-B735-A19803815A5F}"/>
    <cellStyle name="Normal 61 2 2 3 2" xfId="10550" xr:uid="{11E74E18-D0D3-4FDC-A4CD-03F00B68A28B}"/>
    <cellStyle name="Normal 61 2 2 3 2 2" xfId="14756" xr:uid="{2E6E267E-2660-4239-BE6B-78AEF8205B87}"/>
    <cellStyle name="Normal 61 2 2 3 3" xfId="12727" xr:uid="{C5656483-6411-4AA3-96BF-47BFEE0F93EE}"/>
    <cellStyle name="Normal 61 2 2 4" xfId="9154" xr:uid="{11C837A9-C0B2-4C00-8BEE-9E4EC0FC6436}"/>
    <cellStyle name="Normal 61 2 2 4 2" xfId="11223" xr:uid="{C0554419-4F12-4F89-AD7B-0B92FBF31DCB}"/>
    <cellStyle name="Normal 61 2 2 4 2 2" xfId="15429" xr:uid="{0C4ED2C6-C060-4EB2-9627-3B768CD88F4F}"/>
    <cellStyle name="Normal 61 2 2 4 3" xfId="13400" xr:uid="{16806275-0D0B-407A-8216-143B54777EB8}"/>
    <cellStyle name="Normal 61 2 2 5" xfId="9522" xr:uid="{4D95E3DF-20A2-44FD-81EA-4CEE79E551D2}"/>
    <cellStyle name="Normal 61 2 2 5 2" xfId="11556" xr:uid="{B54468A0-D4A7-49CA-BC0A-BD02FD7E7C4A}"/>
    <cellStyle name="Normal 61 2 2 5 2 2" xfId="15762" xr:uid="{EC7F3174-C42A-423D-ABC5-17E8A0B13B2A}"/>
    <cellStyle name="Normal 61 2 2 5 3" xfId="13733" xr:uid="{028C3AF1-53DF-4C4D-AA3D-EC8A40E4F4B1}"/>
    <cellStyle name="Normal 61 2 2 6" xfId="9880" xr:uid="{A4E98854-5A8E-4524-810C-872286974956}"/>
    <cellStyle name="Normal 61 2 2 6 2" xfId="14086" xr:uid="{BD41DA4A-E585-422A-8B0F-D4B904729CDB}"/>
    <cellStyle name="Normal 61 2 2 7" xfId="12057" xr:uid="{9D380030-C323-4A51-BF72-1AFC8AD822C6}"/>
    <cellStyle name="Normal 61 2 3" xfId="7982" xr:uid="{4DE1E16B-797B-4177-8301-D0EA3CEF2EBB}"/>
    <cellStyle name="Normal 61 2 3 2" xfId="8652" xr:uid="{502C7365-2930-4A66-9F9F-A3BB9E313B5B}"/>
    <cellStyle name="Normal 61 2 3 2 2" xfId="10721" xr:uid="{D13832AB-CB6C-4B6E-9B26-E1E80AA91A32}"/>
    <cellStyle name="Normal 61 2 3 2 2 2" xfId="14927" xr:uid="{66D69ACD-AB32-48E1-B9CE-E256505D1F75}"/>
    <cellStyle name="Normal 61 2 3 2 3" xfId="12898" xr:uid="{2B035C29-486A-4999-9050-385B81F76C31}"/>
    <cellStyle name="Normal 61 2 3 3" xfId="10051" xr:uid="{0DEBC5AB-8FEE-421C-8E6A-2BC9349764A6}"/>
    <cellStyle name="Normal 61 2 3 3 2" xfId="14257" xr:uid="{1A5CB93E-3697-4AC5-95B3-B1FB8198F11A}"/>
    <cellStyle name="Normal 61 2 3 4" xfId="12228" xr:uid="{724B3C37-B05F-4F35-A3AB-1375CE6AA2F4}"/>
    <cellStyle name="Normal 61 2 4" xfId="8318" xr:uid="{8C7836CB-A76C-41C7-B1F6-E42A5C687F0F}"/>
    <cellStyle name="Normal 61 2 4 2" xfId="10387" xr:uid="{92FF81F2-0AC7-47B5-8725-E82DBC72A7FE}"/>
    <cellStyle name="Normal 61 2 4 2 2" xfId="14593" xr:uid="{5A7B5416-206D-4793-94B6-34F693D3AD17}"/>
    <cellStyle name="Normal 61 2 4 3" xfId="12564" xr:uid="{B7D23484-4F78-42C9-B33D-83BEE9BB2287}"/>
    <cellStyle name="Normal 61 2 5" xfId="8991" xr:uid="{1516C8AA-200E-43F1-BB4F-CE00405ADEC9}"/>
    <cellStyle name="Normal 61 2 5 2" xfId="11060" xr:uid="{C62D5BB1-727E-475B-8CDE-A10B0BD660D9}"/>
    <cellStyle name="Normal 61 2 5 2 2" xfId="15266" xr:uid="{3A07B996-AE61-419D-B5ED-ED800C4A10F0}"/>
    <cellStyle name="Normal 61 2 5 3" xfId="13237" xr:uid="{7AEF7CA3-0F69-4850-8814-7258B8D5CDE2}"/>
    <cellStyle name="Normal 61 2 6" xfId="9359" xr:uid="{9C1BC04A-2ECB-4D63-AD38-FF0E0A032221}"/>
    <cellStyle name="Normal 61 2 6 2" xfId="11393" xr:uid="{E6EDBD3F-0EE2-4548-B0FD-317D4FB291ED}"/>
    <cellStyle name="Normal 61 2 6 2 2" xfId="15599" xr:uid="{09B9186B-DF67-434F-94A3-133B062E9477}"/>
    <cellStyle name="Normal 61 2 6 3" xfId="13570" xr:uid="{28E52D0E-C0C0-4E92-B47E-017446A88C40}"/>
    <cellStyle name="Normal 61 2 7" xfId="9717" xr:uid="{2DFD3900-B362-4EA8-B7B8-AF0AA493CA44}"/>
    <cellStyle name="Normal 61 2 7 2" xfId="13923" xr:uid="{07962EC5-ED3F-499C-A44E-04E2C2033C76}"/>
    <cellStyle name="Normal 61 2 8" xfId="11894" xr:uid="{5EBD1345-00B7-4DC6-A392-97C46CF27164}"/>
    <cellStyle name="Normal 61 3" xfId="7733" xr:uid="{66EBDF06-0156-46B1-A09F-84223550CB39}"/>
    <cellStyle name="Normal 61 3 2" xfId="8104" xr:uid="{74DC0E7D-704E-4855-B5D5-ADD1E3592EFF}"/>
    <cellStyle name="Normal 61 3 2 2" xfId="8774" xr:uid="{71D2F88B-24D9-48B5-86F2-A479F9057A15}"/>
    <cellStyle name="Normal 61 3 2 2 2" xfId="10843" xr:uid="{1293EC05-06CB-4B87-AD52-AF7AE38229D1}"/>
    <cellStyle name="Normal 61 3 2 2 2 2" xfId="15049" xr:uid="{EE5E320F-27E4-4587-98A9-F6C13048BB0A}"/>
    <cellStyle name="Normal 61 3 2 2 3" xfId="13020" xr:uid="{F8BCC4BD-622C-4572-BE89-88FF2B1D613D}"/>
    <cellStyle name="Normal 61 3 2 3" xfId="10173" xr:uid="{A093F9C9-4A92-4984-A0DC-8E75F3DC5B1E}"/>
    <cellStyle name="Normal 61 3 2 3 2" xfId="14379" xr:uid="{835EE01D-DE5E-4F6E-BF10-C264C8AF6A54}"/>
    <cellStyle name="Normal 61 3 2 4" xfId="12350" xr:uid="{719C3EBB-A1A9-4A9F-98D2-05F8F17EE3F8}"/>
    <cellStyle name="Normal 61 3 3" xfId="8440" xr:uid="{06697F22-EDB0-42F7-9EC4-9E9E72439978}"/>
    <cellStyle name="Normal 61 3 3 2" xfId="10509" xr:uid="{0E5B6BFD-6F90-457F-AABF-0729D00F7D18}"/>
    <cellStyle name="Normal 61 3 3 2 2" xfId="14715" xr:uid="{2B3CBF3C-8D50-4323-9160-EEB9C472A9D4}"/>
    <cellStyle name="Normal 61 3 3 3" xfId="12686" xr:uid="{0DFBAFF2-5C7A-4182-8F77-BA51A5DA4457}"/>
    <cellStyle name="Normal 61 3 4" xfId="9113" xr:uid="{32830DBF-5EFD-4128-9BC9-DF5288ED58F1}"/>
    <cellStyle name="Normal 61 3 4 2" xfId="11182" xr:uid="{613CE156-48C7-4170-A1A5-1E34878A0F1C}"/>
    <cellStyle name="Normal 61 3 4 2 2" xfId="15388" xr:uid="{D3845B5D-A5E7-43A2-9C19-0EDF25E4FF71}"/>
    <cellStyle name="Normal 61 3 4 3" xfId="13359" xr:uid="{C756F864-A358-46D8-A467-33A374AC5F7B}"/>
    <cellStyle name="Normal 61 3 5" xfId="9481" xr:uid="{8A8BC9E3-5757-42AC-BD21-7515E8F21A89}"/>
    <cellStyle name="Normal 61 3 5 2" xfId="11515" xr:uid="{7D52E821-1017-46EE-B522-E798169DA8A1}"/>
    <cellStyle name="Normal 61 3 5 2 2" xfId="15721" xr:uid="{605ACC69-B985-4B47-AC6F-7AAE3419E779}"/>
    <cellStyle name="Normal 61 3 5 3" xfId="13692" xr:uid="{15550936-4B01-41A6-B8C8-A73965354FF4}"/>
    <cellStyle name="Normal 61 3 6" xfId="9839" xr:uid="{DEE7C5F8-0EBA-4C34-B42A-884D3DBB3772}"/>
    <cellStyle name="Normal 61 3 6 2" xfId="14045" xr:uid="{206A87C1-5ED2-492D-BC44-4CCA8A49336C}"/>
    <cellStyle name="Normal 61 3 7" xfId="12016" xr:uid="{CFCE57EF-F643-491E-82E7-720BC5DA89A9}"/>
    <cellStyle name="Normal 61 4" xfId="7941" xr:uid="{4218E00F-08D2-4F18-BFFB-0074586E64FD}"/>
    <cellStyle name="Normal 61 4 2" xfId="8611" xr:uid="{F9F95541-1FD5-40FC-A848-9A635B1F4647}"/>
    <cellStyle name="Normal 61 4 2 2" xfId="10680" xr:uid="{29F3BC2E-8EB8-4BC1-872C-A87CDA408C5A}"/>
    <cellStyle name="Normal 61 4 2 2 2" xfId="14886" xr:uid="{43AF5A9C-8215-40DB-9A2E-48D6FA00B276}"/>
    <cellStyle name="Normal 61 4 2 3" xfId="12857" xr:uid="{15C2B5BD-707A-4B61-A8BF-19345F43A39F}"/>
    <cellStyle name="Normal 61 4 3" xfId="10010" xr:uid="{6E0637B6-18A8-45BA-A1C0-C31F10371DFC}"/>
    <cellStyle name="Normal 61 4 3 2" xfId="14216" xr:uid="{F8D64276-A3CB-48DB-AB23-9CCCC3054C86}"/>
    <cellStyle name="Normal 61 4 4" xfId="12187" xr:uid="{07124A01-6C15-4EB3-8BDE-1037F3802FDF}"/>
    <cellStyle name="Normal 61 5" xfId="8277" xr:uid="{224980B5-F192-460B-962D-36F970CE2AA9}"/>
    <cellStyle name="Normal 61 5 2" xfId="10346" xr:uid="{7ABC4C75-3FAF-476E-98CF-82886D8E958C}"/>
    <cellStyle name="Normal 61 5 2 2" xfId="14552" xr:uid="{8681922E-859C-4BF1-B789-9DAD7DFD90A5}"/>
    <cellStyle name="Normal 61 5 3" xfId="12523" xr:uid="{8FC39AF4-4710-41B3-A748-8B0219DEEBB6}"/>
    <cellStyle name="Normal 61 6" xfId="8950" xr:uid="{9F2F422F-2456-447E-BF5C-0B0EA1B149DA}"/>
    <cellStyle name="Normal 61 6 2" xfId="11019" xr:uid="{BB0D0216-48BE-4730-8251-C1A1FC0A78D7}"/>
    <cellStyle name="Normal 61 6 2 2" xfId="15225" xr:uid="{A6785CA3-D135-4D8D-B069-0687406A60E6}"/>
    <cellStyle name="Normal 61 6 3" xfId="13196" xr:uid="{FADC6839-7295-4E92-BD14-852F65012692}"/>
    <cellStyle name="Normal 61 7" xfId="9317" xr:uid="{73AB26ED-4CAF-4572-A1C3-D9616CC25C5B}"/>
    <cellStyle name="Normal 61 7 2" xfId="11352" xr:uid="{6F0381F3-7117-427D-A574-3997463ADD54}"/>
    <cellStyle name="Normal 61 7 2 2" xfId="15558" xr:uid="{E50829D3-DFFF-4B1F-99EB-2FF2B03B2FD7}"/>
    <cellStyle name="Normal 61 7 3" xfId="13529" xr:uid="{C41B5EFB-08FD-4A12-8078-831696BBA885}"/>
    <cellStyle name="Normal 61 8" xfId="9676" xr:uid="{D2D5E9FE-4CEF-4572-B3E7-DFFA62DBB142}"/>
    <cellStyle name="Normal 61 8 2" xfId="13882" xr:uid="{EC666F62-D87A-4466-BD75-E51FDAE51F4F}"/>
    <cellStyle name="Normal 61 9" xfId="11852" xr:uid="{2B01D060-4976-44C2-90F0-7EE76603BAA2}"/>
    <cellStyle name="Normal 62" xfId="7533" xr:uid="{44B1C221-B149-49D6-B22D-546F7DAC1876}"/>
    <cellStyle name="Normal 62 2" xfId="7576" xr:uid="{65CC0199-D8F5-4D8A-8B00-2ED349BABD3C}"/>
    <cellStyle name="Normal 62 2 2" xfId="7775" xr:uid="{E46448FD-C3C6-4B20-BD26-66A154BAAF7C}"/>
    <cellStyle name="Normal 62 2 2 2" xfId="8146" xr:uid="{90BBFA75-CD8B-45B9-9B73-43131783089C}"/>
    <cellStyle name="Normal 62 2 2 2 2" xfId="8816" xr:uid="{F6813BDC-F1FE-44DE-941E-B7831EB2383A}"/>
    <cellStyle name="Normal 62 2 2 2 2 2" xfId="10885" xr:uid="{4BDBA827-8D58-4ABC-888C-3FB4CC20F86C}"/>
    <cellStyle name="Normal 62 2 2 2 2 2 2" xfId="15091" xr:uid="{9EF1F7B7-99BF-4533-AF52-7952219BC6DC}"/>
    <cellStyle name="Normal 62 2 2 2 2 3" xfId="13062" xr:uid="{42CC929F-BA7C-488F-A5B6-A1C12B084BC9}"/>
    <cellStyle name="Normal 62 2 2 2 3" xfId="10215" xr:uid="{7B6F41BC-3FF9-49C8-9209-2AD3C463955D}"/>
    <cellStyle name="Normal 62 2 2 2 3 2" xfId="14421" xr:uid="{6368835A-2860-424B-B60C-E9E56C599E80}"/>
    <cellStyle name="Normal 62 2 2 2 4" xfId="12392" xr:uid="{9D3FB758-0F4A-423D-ADFE-E6B6FA4F63F5}"/>
    <cellStyle name="Normal 62 2 2 3" xfId="8482" xr:uid="{872073D2-9C7C-43B7-8D12-BE01767C7E0E}"/>
    <cellStyle name="Normal 62 2 2 3 2" xfId="10551" xr:uid="{EFAF3DB5-45BE-4139-99AD-CA5588B59A47}"/>
    <cellStyle name="Normal 62 2 2 3 2 2" xfId="14757" xr:uid="{1A357C56-13DB-4EA0-B37B-EB309A078D9C}"/>
    <cellStyle name="Normal 62 2 2 3 3" xfId="12728" xr:uid="{5C63BA4D-DF28-4429-AAE9-F981BF8A9A55}"/>
    <cellStyle name="Normal 62 2 2 4" xfId="9155" xr:uid="{E8E529E2-CF36-4885-9D1C-FF21BA1073EA}"/>
    <cellStyle name="Normal 62 2 2 4 2" xfId="11224" xr:uid="{4E99F014-FF74-40E4-B60D-93FF5174A795}"/>
    <cellStyle name="Normal 62 2 2 4 2 2" xfId="15430" xr:uid="{0FDBC46F-CE79-4E5F-B06A-6DB118A382E5}"/>
    <cellStyle name="Normal 62 2 2 4 3" xfId="13401" xr:uid="{54E28BA6-802C-4B71-8473-F60F9A75D25F}"/>
    <cellStyle name="Normal 62 2 2 5" xfId="9523" xr:uid="{F72430EF-5593-44EF-8B1E-D6F39708DF77}"/>
    <cellStyle name="Normal 62 2 2 5 2" xfId="11557" xr:uid="{5E280C3B-BA11-43E4-B9FC-CD1F7D9E5340}"/>
    <cellStyle name="Normal 62 2 2 5 2 2" xfId="15763" xr:uid="{B4BB5316-3761-4C1F-A7F6-F12BA2C9E0F8}"/>
    <cellStyle name="Normal 62 2 2 5 3" xfId="13734" xr:uid="{E53C5403-C020-42F8-9FED-D3F3A623E6D4}"/>
    <cellStyle name="Normal 62 2 2 6" xfId="9881" xr:uid="{7DDB4DD0-28F4-41FD-AE6B-854329C8F5FE}"/>
    <cellStyle name="Normal 62 2 2 6 2" xfId="14087" xr:uid="{A6D9F5FC-A4FC-4413-BA5F-037FEAE28952}"/>
    <cellStyle name="Normal 62 2 2 7" xfId="12058" xr:uid="{4F4F17BE-07D8-4177-B723-12487576AEFE}"/>
    <cellStyle name="Normal 62 2 3" xfId="7983" xr:uid="{3C82A1F5-621A-41E0-AD9D-FCF760760357}"/>
    <cellStyle name="Normal 62 2 3 2" xfId="8653" xr:uid="{68BCEE51-D0F8-4D77-B70C-DDD56144B58D}"/>
    <cellStyle name="Normal 62 2 3 2 2" xfId="10722" xr:uid="{BD638A45-7B30-4D6C-95BD-64C3E4076D6F}"/>
    <cellStyle name="Normal 62 2 3 2 2 2" xfId="14928" xr:uid="{8619298A-BA65-44D2-B5DF-76F427B0FAD3}"/>
    <cellStyle name="Normal 62 2 3 2 3" xfId="12899" xr:uid="{E84E4ED6-C8D9-4ABC-9580-0B6E0D356E7F}"/>
    <cellStyle name="Normal 62 2 3 3" xfId="10052" xr:uid="{49AFA8A9-D605-47E9-951E-A3659B3EC7D4}"/>
    <cellStyle name="Normal 62 2 3 3 2" xfId="14258" xr:uid="{8EBD98FA-BAB6-4CF1-A0C0-E9DC5EEDA1CE}"/>
    <cellStyle name="Normal 62 2 3 4" xfId="12229" xr:uid="{19881432-448D-4E5B-ADBD-071C66A57CE5}"/>
    <cellStyle name="Normal 62 2 4" xfId="8319" xr:uid="{AB158F40-A520-47B0-A44F-BDD819A59F27}"/>
    <cellStyle name="Normal 62 2 4 2" xfId="10388" xr:uid="{10BD005E-1C37-4A11-8F60-A4D055143EFC}"/>
    <cellStyle name="Normal 62 2 4 2 2" xfId="14594" xr:uid="{0A3D54C4-A8D5-4126-81A2-94DF2AAB6CBE}"/>
    <cellStyle name="Normal 62 2 4 3" xfId="12565" xr:uid="{C7D3F5E3-8628-4969-BFC9-C1BE0EA386B2}"/>
    <cellStyle name="Normal 62 2 5" xfId="8992" xr:uid="{0026BECA-47B5-4EC5-BED5-09768C4492D0}"/>
    <cellStyle name="Normal 62 2 5 2" xfId="11061" xr:uid="{33E26CDB-DA29-409A-AE6F-64091A51E7A9}"/>
    <cellStyle name="Normal 62 2 5 2 2" xfId="15267" xr:uid="{990AA1B1-EC5B-4370-8B2D-ADA169012E61}"/>
    <cellStyle name="Normal 62 2 5 3" xfId="13238" xr:uid="{42C634F9-10D3-4A24-A873-2F2D6792A80D}"/>
    <cellStyle name="Normal 62 2 6" xfId="9360" xr:uid="{C445B8F0-0C1E-4CEA-B56C-C3CA6C341DA2}"/>
    <cellStyle name="Normal 62 2 6 2" xfId="11394" xr:uid="{43E601EC-E0F1-442A-9EC0-7FA51192B028}"/>
    <cellStyle name="Normal 62 2 6 2 2" xfId="15600" xr:uid="{ABBE092D-C042-4E87-9481-2162799D388C}"/>
    <cellStyle name="Normal 62 2 6 3" xfId="13571" xr:uid="{2FBEE23E-EA91-4D1E-9BDE-8BC71C2BCB0D}"/>
    <cellStyle name="Normal 62 2 7" xfId="9718" xr:uid="{E5E4E195-4546-4E58-82F3-F4A19712DE2B}"/>
    <cellStyle name="Normal 62 2 7 2" xfId="13924" xr:uid="{BCB9CB63-E711-4882-8743-BD54749B6E99}"/>
    <cellStyle name="Normal 62 2 8" xfId="11895" xr:uid="{B1367216-76C4-4819-9FE6-B9CF2AA3193B}"/>
    <cellStyle name="Normal 62 3" xfId="7734" xr:uid="{72BFCEDB-B9A6-43DE-883B-FB2BD5E09309}"/>
    <cellStyle name="Normal 62 3 2" xfId="8105" xr:uid="{1C85167A-0D1D-45B3-AF9E-F41A1803A310}"/>
    <cellStyle name="Normal 62 3 2 2" xfId="8775" xr:uid="{7BE5C879-83D6-4E47-BCFF-57902888A176}"/>
    <cellStyle name="Normal 62 3 2 2 2" xfId="10844" xr:uid="{09A7AF01-6317-41EE-B9DB-DD1D883F1642}"/>
    <cellStyle name="Normal 62 3 2 2 2 2" xfId="15050" xr:uid="{63249639-E70E-4B14-975B-7CA9FCAF73F7}"/>
    <cellStyle name="Normal 62 3 2 2 3" xfId="13021" xr:uid="{7C0056E3-77CC-4EA9-94DE-F594DEB5D434}"/>
    <cellStyle name="Normal 62 3 2 3" xfId="10174" xr:uid="{A635739A-8555-4317-8328-E3D962D84B36}"/>
    <cellStyle name="Normal 62 3 2 3 2" xfId="14380" xr:uid="{A7ADB0B1-46FF-44F0-A81E-5E49BBBC6EE0}"/>
    <cellStyle name="Normal 62 3 2 4" xfId="12351" xr:uid="{0331610C-F0DD-458C-9E6B-5FFA706E1C80}"/>
    <cellStyle name="Normal 62 3 3" xfId="8441" xr:uid="{3B065A11-32DE-4B16-A6CD-29B18C951EB5}"/>
    <cellStyle name="Normal 62 3 3 2" xfId="10510" xr:uid="{153A0825-DB0A-4380-9EB5-8DE2FFC19424}"/>
    <cellStyle name="Normal 62 3 3 2 2" xfId="14716" xr:uid="{44CA66F9-C7A4-46F9-9ECC-AAB23A6773BF}"/>
    <cellStyle name="Normal 62 3 3 3" xfId="12687" xr:uid="{16A9327B-CBBB-4E84-8154-A497FF79A9B0}"/>
    <cellStyle name="Normal 62 3 4" xfId="9114" xr:uid="{7B6394CB-CAD8-4654-93D7-4841C4F3AA9A}"/>
    <cellStyle name="Normal 62 3 4 2" xfId="11183" xr:uid="{1A444D1B-F10C-4109-A9BB-2DB9EA3FCAB6}"/>
    <cellStyle name="Normal 62 3 4 2 2" xfId="15389" xr:uid="{74EA5849-9289-4095-9CF0-366F3D98E3AF}"/>
    <cellStyle name="Normal 62 3 4 3" xfId="13360" xr:uid="{2D9BE3A6-DC76-4545-81B5-38675C00D442}"/>
    <cellStyle name="Normal 62 3 5" xfId="9482" xr:uid="{6BDFC997-1AF6-4D54-BA38-772668FED570}"/>
    <cellStyle name="Normal 62 3 5 2" xfId="11516" xr:uid="{5FAB3EDF-3098-4511-9C0B-7878243F73C1}"/>
    <cellStyle name="Normal 62 3 5 2 2" xfId="15722" xr:uid="{EDD57510-02B5-44CA-88F7-D6D2FEDB8290}"/>
    <cellStyle name="Normal 62 3 5 3" xfId="13693" xr:uid="{B9E25C19-CC51-4995-BBC4-22BCC284DA27}"/>
    <cellStyle name="Normal 62 3 6" xfId="9840" xr:uid="{BF9780A4-13ED-4A94-8769-8160978BC63C}"/>
    <cellStyle name="Normal 62 3 6 2" xfId="14046" xr:uid="{F2FD654A-F410-4333-B395-5AEC974B1B83}"/>
    <cellStyle name="Normal 62 3 7" xfId="12017" xr:uid="{A264BC7F-FEF4-42EA-BFDF-5320C9F73A75}"/>
    <cellStyle name="Normal 62 4" xfId="7942" xr:uid="{D3A57DB2-72BA-463C-8283-D0762430D5BC}"/>
    <cellStyle name="Normal 62 4 2" xfId="8612" xr:uid="{A85ADEE6-B5E2-4AFA-9B24-64D18B754647}"/>
    <cellStyle name="Normal 62 4 2 2" xfId="10681" xr:uid="{B42FFC7F-08BE-4944-A50D-4FA45060630A}"/>
    <cellStyle name="Normal 62 4 2 2 2" xfId="14887" xr:uid="{7F06B6A9-0EA9-44FE-80C0-E9183ACBA664}"/>
    <cellStyle name="Normal 62 4 2 3" xfId="12858" xr:uid="{740F8485-E9CD-4FA2-95C2-795FE4D3D15F}"/>
    <cellStyle name="Normal 62 4 3" xfId="10011" xr:uid="{192C05E6-1161-4833-A8E5-2DBE7DF9DEC5}"/>
    <cellStyle name="Normal 62 4 3 2" xfId="14217" xr:uid="{4B3A99B5-9559-4D3D-9D3A-63180DBC0A70}"/>
    <cellStyle name="Normal 62 4 4" xfId="12188" xr:uid="{150449D1-3ACD-46BC-9148-93026067B93F}"/>
    <cellStyle name="Normal 62 5" xfId="8278" xr:uid="{1C055332-2126-4712-8C91-D54B63E63F21}"/>
    <cellStyle name="Normal 62 5 2" xfId="10347" xr:uid="{D3DE3095-8A80-4264-8B7D-138BFCC6B1BA}"/>
    <cellStyle name="Normal 62 5 2 2" xfId="14553" xr:uid="{64E49ED1-A84E-4D70-96C7-66F5D7EB774A}"/>
    <cellStyle name="Normal 62 5 3" xfId="12524" xr:uid="{E0A5A253-024A-4387-B27E-6E9EF97B0E2D}"/>
    <cellStyle name="Normal 62 6" xfId="8951" xr:uid="{D37221EF-0883-43D7-A271-02AC38212229}"/>
    <cellStyle name="Normal 62 6 2" xfId="11020" xr:uid="{0B4E342C-1964-4D41-A6BF-4DA2EA675E52}"/>
    <cellStyle name="Normal 62 6 2 2" xfId="15226" xr:uid="{31C9CFF0-31D8-471F-80D2-910751559CCB}"/>
    <cellStyle name="Normal 62 6 3" xfId="13197" xr:uid="{83506594-17A9-454C-AE21-4D4CFA8CB9F3}"/>
    <cellStyle name="Normal 62 7" xfId="9319" xr:uid="{D6A99185-F3F1-4972-9F16-DCD9A9F56581}"/>
    <cellStyle name="Normal 62 7 2" xfId="11353" xr:uid="{31AAD116-243B-492A-AF27-E343DD9943DA}"/>
    <cellStyle name="Normal 62 7 2 2" xfId="15559" xr:uid="{B090A4EB-4901-4422-8C55-8C497E63221B}"/>
    <cellStyle name="Normal 62 7 3" xfId="13530" xr:uid="{815E4597-68A2-4915-9FFB-F240500982EA}"/>
    <cellStyle name="Normal 62 8" xfId="9677" xr:uid="{095AC956-B2A7-47E1-BFCB-C96D14233487}"/>
    <cellStyle name="Normal 62 8 2" xfId="13883" xr:uid="{E4655C2D-D41E-4CE7-B9EA-CB100F4CBD99}"/>
    <cellStyle name="Normal 62 9" xfId="11854" xr:uid="{3F491EAC-DC04-4F83-BEDC-4FEFD57C290D}"/>
    <cellStyle name="Normal 63" xfId="7534" xr:uid="{6DF876BB-11BC-48EE-88BA-58BC157DF693}"/>
    <cellStyle name="Normal 63 2" xfId="7577" xr:uid="{E59452E3-78E3-42FF-BE5E-37D85755B143}"/>
    <cellStyle name="Normal 63 2 2" xfId="7776" xr:uid="{7A3BAA2B-8129-483B-9346-29C2D147761D}"/>
    <cellStyle name="Normal 63 2 2 2" xfId="8147" xr:uid="{195AEDA3-851D-4595-BE08-CCD9DFD6961C}"/>
    <cellStyle name="Normal 63 2 2 2 2" xfId="8817" xr:uid="{4B97600C-38A1-4302-BF3D-04960D6FBC0F}"/>
    <cellStyle name="Normal 63 2 2 2 2 2" xfId="10886" xr:uid="{84A70CAE-EF6F-4027-B4B3-71D24C4E740D}"/>
    <cellStyle name="Normal 63 2 2 2 2 2 2" xfId="15092" xr:uid="{7F27DC62-E95F-47A8-AF11-E6A36BAF733F}"/>
    <cellStyle name="Normal 63 2 2 2 2 3" xfId="13063" xr:uid="{941712EE-32E0-405C-B71C-36D49CD29C0E}"/>
    <cellStyle name="Normal 63 2 2 2 3" xfId="10216" xr:uid="{8353F0E2-490D-4D11-AC8F-0D61C0FF3A47}"/>
    <cellStyle name="Normal 63 2 2 2 3 2" xfId="14422" xr:uid="{32A2DBA4-A819-4A1C-9743-47B15211DDCC}"/>
    <cellStyle name="Normal 63 2 2 2 4" xfId="12393" xr:uid="{C7B811DD-84E8-4366-B2AF-AC1AEA95FF31}"/>
    <cellStyle name="Normal 63 2 2 3" xfId="8483" xr:uid="{0B5155BF-0EEB-44DB-9940-4CB4F392C9F2}"/>
    <cellStyle name="Normal 63 2 2 3 2" xfId="10552" xr:uid="{9D79D2D9-B648-4A60-B4E0-1668620C667B}"/>
    <cellStyle name="Normal 63 2 2 3 2 2" xfId="14758" xr:uid="{341912B7-4A45-4D69-8A63-BAD808F6C8ED}"/>
    <cellStyle name="Normal 63 2 2 3 3" xfId="12729" xr:uid="{74AA75AF-1A8F-4855-999B-8E3DF7D054F0}"/>
    <cellStyle name="Normal 63 2 2 4" xfId="9156" xr:uid="{67181C2F-6C55-4AC9-B66B-1B274E20E9EB}"/>
    <cellStyle name="Normal 63 2 2 4 2" xfId="11225" xr:uid="{1188C4F8-B370-4E18-A4EB-7FFA1B762442}"/>
    <cellStyle name="Normal 63 2 2 4 2 2" xfId="15431" xr:uid="{47FF019A-2E3D-401D-9ED5-2700C2EB098D}"/>
    <cellStyle name="Normal 63 2 2 4 3" xfId="13402" xr:uid="{B3418888-70C4-4683-804A-557D7C0B3EA9}"/>
    <cellStyle name="Normal 63 2 2 5" xfId="9524" xr:uid="{ECDEC185-7AC5-4626-B491-AC60285702FA}"/>
    <cellStyle name="Normal 63 2 2 5 2" xfId="11558" xr:uid="{A0392F54-9C36-4436-BF67-452D111C6079}"/>
    <cellStyle name="Normal 63 2 2 5 2 2" xfId="15764" xr:uid="{1194B153-81E0-492B-BE1E-3CBA6D1B8FDA}"/>
    <cellStyle name="Normal 63 2 2 5 3" xfId="13735" xr:uid="{D0178EDE-885F-4417-9CD9-8ADA45FF1D51}"/>
    <cellStyle name="Normal 63 2 2 6" xfId="9882" xr:uid="{203D49F0-29F2-43B1-A119-E01808C1DA01}"/>
    <cellStyle name="Normal 63 2 2 6 2" xfId="14088" xr:uid="{13CC3C3A-5164-4B49-98C6-7B5EA8F52DEB}"/>
    <cellStyle name="Normal 63 2 2 7" xfId="12059" xr:uid="{AF538451-CA6B-4CC0-9A46-B6600FAA13B5}"/>
    <cellStyle name="Normal 63 2 3" xfId="7984" xr:uid="{69E150E8-403B-4772-A907-8AFD5247CAE9}"/>
    <cellStyle name="Normal 63 2 3 2" xfId="8654" xr:uid="{992A35E3-D902-422C-9567-BB042609C584}"/>
    <cellStyle name="Normal 63 2 3 2 2" xfId="10723" xr:uid="{D17514CD-DEAC-4C7F-9A43-CC37E5483053}"/>
    <cellStyle name="Normal 63 2 3 2 2 2" xfId="14929" xr:uid="{2A2F3254-C316-44FE-AF95-785555976C1B}"/>
    <cellStyle name="Normal 63 2 3 2 3" xfId="12900" xr:uid="{8513ACBA-A100-4C78-94FA-5070D77CCCD8}"/>
    <cellStyle name="Normal 63 2 3 3" xfId="10053" xr:uid="{3FDA8143-43A6-4EFA-9C5E-3CA213BD9E1B}"/>
    <cellStyle name="Normal 63 2 3 3 2" xfId="14259" xr:uid="{A147EFD7-EA96-4A5B-AA7E-19E94AC3E0ED}"/>
    <cellStyle name="Normal 63 2 3 4" xfId="12230" xr:uid="{BFECF206-F0F2-438E-8029-841706D2E64D}"/>
    <cellStyle name="Normal 63 2 4" xfId="8320" xr:uid="{D8675851-2F95-4E33-B08B-1ACFBB1BBAE4}"/>
    <cellStyle name="Normal 63 2 4 2" xfId="10389" xr:uid="{EA6E3096-1792-4C20-91C3-45CDD46AF1BD}"/>
    <cellStyle name="Normal 63 2 4 2 2" xfId="14595" xr:uid="{823799C3-93A4-4AE9-A934-EDCEAA03D0CA}"/>
    <cellStyle name="Normal 63 2 4 3" xfId="12566" xr:uid="{3A27DA14-DE25-4E6F-82D5-C788EC12BBA9}"/>
    <cellStyle name="Normal 63 2 5" xfId="8993" xr:uid="{11F21D5A-1C80-4D5C-B91B-5D17E0C781FB}"/>
    <cellStyle name="Normal 63 2 5 2" xfId="11062" xr:uid="{14083126-0A81-42E0-B35D-03321CEE77F5}"/>
    <cellStyle name="Normal 63 2 5 2 2" xfId="15268" xr:uid="{DC931A56-A328-40AE-A1FE-02C4E86A1C60}"/>
    <cellStyle name="Normal 63 2 5 3" xfId="13239" xr:uid="{FD8FB9E8-2220-4622-995E-B08FFB251C33}"/>
    <cellStyle name="Normal 63 2 6" xfId="9361" xr:uid="{FD7DCC39-6C3D-4637-B246-BA923B72718B}"/>
    <cellStyle name="Normal 63 2 6 2" xfId="11395" xr:uid="{4EA3EA2B-48C0-4937-91B9-ABA5EFAAD9D2}"/>
    <cellStyle name="Normal 63 2 6 2 2" xfId="15601" xr:uid="{84E2890A-FE4F-4C3E-A983-A65DCD7D9567}"/>
    <cellStyle name="Normal 63 2 6 3" xfId="13572" xr:uid="{BB7066D8-C337-4F15-90C2-BEB9548C100F}"/>
    <cellStyle name="Normal 63 2 7" xfId="9719" xr:uid="{5D76FD33-FED2-44F0-B396-767DE55F59E5}"/>
    <cellStyle name="Normal 63 2 7 2" xfId="13925" xr:uid="{B0A731E5-F849-40FB-9906-267014B0A099}"/>
    <cellStyle name="Normal 63 2 8" xfId="11896" xr:uid="{40376777-72BE-4CBD-8231-6C73B4C0F678}"/>
    <cellStyle name="Normal 63 3" xfId="7735" xr:uid="{F8BDB565-19F2-4567-A835-D1CBCD1BF9A4}"/>
    <cellStyle name="Normal 63 3 2" xfId="8106" xr:uid="{8582991A-DB26-4F6E-A787-81D06FAC8409}"/>
    <cellStyle name="Normal 63 3 2 2" xfId="8776" xr:uid="{588E5360-F132-4CD6-90DB-2A566DD32FE2}"/>
    <cellStyle name="Normal 63 3 2 2 2" xfId="10845" xr:uid="{769317FF-F515-4146-947A-55929AC348AF}"/>
    <cellStyle name="Normal 63 3 2 2 2 2" xfId="15051" xr:uid="{8FCF6104-8B11-4C30-8501-32BD0E919788}"/>
    <cellStyle name="Normal 63 3 2 2 3" xfId="13022" xr:uid="{507E9CCB-64E3-4A00-BC00-71837269D3C1}"/>
    <cellStyle name="Normal 63 3 2 3" xfId="10175" xr:uid="{D16C8E83-F865-4BDA-9598-1466E7944315}"/>
    <cellStyle name="Normal 63 3 2 3 2" xfId="14381" xr:uid="{82D8612B-51C9-4086-A9C9-05C2072EE29D}"/>
    <cellStyle name="Normal 63 3 2 4" xfId="12352" xr:uid="{A8533323-9C9E-4C5C-92A8-D6F44167B6F4}"/>
    <cellStyle name="Normal 63 3 3" xfId="8442" xr:uid="{3037E2F4-10A3-4165-A174-33D3E9E9932F}"/>
    <cellStyle name="Normal 63 3 3 2" xfId="10511" xr:uid="{BEB5C65D-F4DF-4EBA-9B48-066645C49B8A}"/>
    <cellStyle name="Normal 63 3 3 2 2" xfId="14717" xr:uid="{2330027E-48FA-466C-A7E0-257F71177FFF}"/>
    <cellStyle name="Normal 63 3 3 3" xfId="12688" xr:uid="{8A0CFBA1-DFA0-443A-8FE0-31BE886F26E8}"/>
    <cellStyle name="Normal 63 3 4" xfId="9115" xr:uid="{8B573E35-0DDC-42D8-BF15-76A3EEA6CF7E}"/>
    <cellStyle name="Normal 63 3 4 2" xfId="11184" xr:uid="{1759832C-FCDD-4653-9372-1DC8F5BE3426}"/>
    <cellStyle name="Normal 63 3 4 2 2" xfId="15390" xr:uid="{3C17A470-6A7D-4078-95F1-301022D0FFEA}"/>
    <cellStyle name="Normal 63 3 4 3" xfId="13361" xr:uid="{FB5048EB-4B74-46CF-91A0-352B38DDD6C4}"/>
    <cellStyle name="Normal 63 3 5" xfId="9483" xr:uid="{4C7C7229-87FB-4897-B8FD-57E8B4BDEB4F}"/>
    <cellStyle name="Normal 63 3 5 2" xfId="11517" xr:uid="{A537CDA4-50E5-4C89-8FD3-CC9067FDD495}"/>
    <cellStyle name="Normal 63 3 5 2 2" xfId="15723" xr:uid="{3F4B1DDE-9404-4C05-A802-320ADCE090F5}"/>
    <cellStyle name="Normal 63 3 5 3" xfId="13694" xr:uid="{9C6E3BB6-883C-45E2-AF06-3477FC8A7BF4}"/>
    <cellStyle name="Normal 63 3 6" xfId="9841" xr:uid="{81869DCF-34B7-4DDD-9785-9292F5D1D636}"/>
    <cellStyle name="Normal 63 3 6 2" xfId="14047" xr:uid="{FC303F65-8879-4875-9810-7A43ADC18B85}"/>
    <cellStyle name="Normal 63 3 7" xfId="12018" xr:uid="{B561BC88-8DA9-4060-8BE6-BDF4D7F14CDD}"/>
    <cellStyle name="Normal 63 4" xfId="7943" xr:uid="{2A9F2F83-A362-47F4-9B61-3337F541E61F}"/>
    <cellStyle name="Normal 63 4 2" xfId="8613" xr:uid="{3C0A25CB-DDB5-4FCE-B28C-BCF3CD931F05}"/>
    <cellStyle name="Normal 63 4 2 2" xfId="10682" xr:uid="{E2213358-EAEC-465F-82D9-F264773A6BFD}"/>
    <cellStyle name="Normal 63 4 2 2 2" xfId="14888" xr:uid="{97B2DB3D-0B95-4A59-89B4-C5A9E1F79F4F}"/>
    <cellStyle name="Normal 63 4 2 3" xfId="12859" xr:uid="{DB6E3C45-ABF6-4289-81EE-F58FF460C6DF}"/>
    <cellStyle name="Normal 63 4 3" xfId="10012" xr:uid="{E464A88B-2968-4CDF-8DDB-E5D3133A6E01}"/>
    <cellStyle name="Normal 63 4 3 2" xfId="14218" xr:uid="{66BA0FD0-996B-4DA7-B103-776499CF344F}"/>
    <cellStyle name="Normal 63 4 4" xfId="12189" xr:uid="{CF259D4E-4636-4BEA-B331-92BAED06AF04}"/>
    <cellStyle name="Normal 63 5" xfId="8279" xr:uid="{26A5F27C-7B72-4208-9427-CA85AF1685EE}"/>
    <cellStyle name="Normal 63 5 2" xfId="10348" xr:uid="{31763BC2-4145-4EA2-B2FD-0C38ECE60A73}"/>
    <cellStyle name="Normal 63 5 2 2" xfId="14554" xr:uid="{AD193E45-9E5A-4BE0-900E-A96632CF2D3C}"/>
    <cellStyle name="Normal 63 5 3" xfId="12525" xr:uid="{ADCE85AE-5AA9-499A-8420-4B4CE34A933D}"/>
    <cellStyle name="Normal 63 6" xfId="8952" xr:uid="{A01F64E4-0C87-4695-B991-79E4F5C56C59}"/>
    <cellStyle name="Normal 63 6 2" xfId="11021" xr:uid="{CB7E19D5-B8ED-4396-A58A-E70AAFB3A47B}"/>
    <cellStyle name="Normal 63 6 2 2" xfId="15227" xr:uid="{5547643C-5D21-419D-8CE8-FB68490205A9}"/>
    <cellStyle name="Normal 63 6 3" xfId="13198" xr:uid="{432C3B7F-1288-405F-A4EF-9E79DF9DEDD8}"/>
    <cellStyle name="Normal 63 7" xfId="9320" xr:uid="{15FEFC4D-E452-4768-8211-46BF993678D9}"/>
    <cellStyle name="Normal 63 7 2" xfId="11354" xr:uid="{CDCE7ED0-2147-493D-B7B5-211922DBEDE9}"/>
    <cellStyle name="Normal 63 7 2 2" xfId="15560" xr:uid="{5887B100-6271-4F98-9214-62B9E3B88906}"/>
    <cellStyle name="Normal 63 7 3" xfId="13531" xr:uid="{83BC48EF-8D01-460B-9480-4BE47D75157B}"/>
    <cellStyle name="Normal 63 8" xfId="9678" xr:uid="{4FE5D6CA-DAB4-4AC2-BFA2-9D0741825937}"/>
    <cellStyle name="Normal 63 8 2" xfId="13884" xr:uid="{D9F9BFF1-E080-41B2-A316-5FE1AAAA67DF}"/>
    <cellStyle name="Normal 63 9" xfId="11855" xr:uid="{07638168-90E1-4D96-B9B7-47BA420E4621}"/>
    <cellStyle name="Normal 64" xfId="7535" xr:uid="{8FCE36A7-FCE2-47A6-9ABB-4245F5903F56}"/>
    <cellStyle name="Normal 64 2" xfId="7578" xr:uid="{562E24EF-53CC-4B76-A7AC-9D3B7BECD13B}"/>
    <cellStyle name="Normal 64 2 2" xfId="7777" xr:uid="{6C0FC418-2315-4F8E-B3CC-8F03E89EDB87}"/>
    <cellStyle name="Normal 64 2 2 2" xfId="8148" xr:uid="{C0D555BB-B65E-4B01-BD6D-79F4F93A7660}"/>
    <cellStyle name="Normal 64 2 2 2 2" xfId="8818" xr:uid="{E39C20FB-6F56-4CBD-A55F-E4E9BD4A68C7}"/>
    <cellStyle name="Normal 64 2 2 2 2 2" xfId="10887" xr:uid="{68B8758B-BAC2-4B49-B761-26F60C033764}"/>
    <cellStyle name="Normal 64 2 2 2 2 2 2" xfId="15093" xr:uid="{58F9E812-0D94-48C1-8F7F-D2D867173A0C}"/>
    <cellStyle name="Normal 64 2 2 2 2 3" xfId="13064" xr:uid="{1B94FB73-F73E-47FB-A0F9-F08617060367}"/>
    <cellStyle name="Normal 64 2 2 2 3" xfId="10217" xr:uid="{BFF208BB-8633-4E3B-908B-6EA64DAB139D}"/>
    <cellStyle name="Normal 64 2 2 2 3 2" xfId="14423" xr:uid="{718F85F1-1417-41F2-AF3B-1086A48F6FD2}"/>
    <cellStyle name="Normal 64 2 2 2 4" xfId="12394" xr:uid="{3094FF75-3828-4C64-8DC7-78E7B55748C6}"/>
    <cellStyle name="Normal 64 2 2 3" xfId="8484" xr:uid="{E76F44F3-E1B8-44C5-A3C9-3771D41F9C29}"/>
    <cellStyle name="Normal 64 2 2 3 2" xfId="10553" xr:uid="{CCECAA80-4C63-4C39-B09A-457221A3D1E1}"/>
    <cellStyle name="Normal 64 2 2 3 2 2" xfId="14759" xr:uid="{C993A068-3B29-47A3-B604-6466EFF23D31}"/>
    <cellStyle name="Normal 64 2 2 3 3" xfId="12730" xr:uid="{2C433EAE-4CB1-4EC2-AED5-FB2AD829930B}"/>
    <cellStyle name="Normal 64 2 2 4" xfId="9157" xr:uid="{2AC548BF-DB8F-4C32-A380-3A2C187B5D52}"/>
    <cellStyle name="Normal 64 2 2 4 2" xfId="11226" xr:uid="{E566365C-85CC-49D7-897C-A171B4D49686}"/>
    <cellStyle name="Normal 64 2 2 4 2 2" xfId="15432" xr:uid="{F4770533-74DA-4751-ACAB-2E342E275BEE}"/>
    <cellStyle name="Normal 64 2 2 4 3" xfId="13403" xr:uid="{7328BAFA-FD0D-404C-A724-384E69DD7E42}"/>
    <cellStyle name="Normal 64 2 2 5" xfId="9525" xr:uid="{518FF31E-C416-4B10-A4C9-F491AAD054C7}"/>
    <cellStyle name="Normal 64 2 2 5 2" xfId="11559" xr:uid="{C2F46AFA-3166-4FBA-9908-9B3CE4C7685F}"/>
    <cellStyle name="Normal 64 2 2 5 2 2" xfId="15765" xr:uid="{77214461-B171-478C-AD82-ED5908096285}"/>
    <cellStyle name="Normal 64 2 2 5 3" xfId="13736" xr:uid="{C3EE28E1-8CC2-4413-88B5-CB65933FEF3F}"/>
    <cellStyle name="Normal 64 2 2 6" xfId="9883" xr:uid="{20C0152B-5A2C-4BF3-82A3-B8CC27E665F6}"/>
    <cellStyle name="Normal 64 2 2 6 2" xfId="14089" xr:uid="{28C72820-49C4-4278-BC6B-0FF7EB137A95}"/>
    <cellStyle name="Normal 64 2 2 7" xfId="12060" xr:uid="{54134FD8-20BE-4895-A74B-0AAC428D5DCD}"/>
    <cellStyle name="Normal 64 2 3" xfId="7985" xr:uid="{5EF44FB3-A2DA-402D-BCE7-A82ECB8600F2}"/>
    <cellStyle name="Normal 64 2 3 2" xfId="8655" xr:uid="{417BABCF-3653-4DB2-BFB6-6003936BB98C}"/>
    <cellStyle name="Normal 64 2 3 2 2" xfId="10724" xr:uid="{FA90A35F-CD1E-4178-8FF6-7FC7D54F6C6D}"/>
    <cellStyle name="Normal 64 2 3 2 2 2" xfId="14930" xr:uid="{BA1A9D8B-16A9-4C1F-8371-0F21CFE8B2CA}"/>
    <cellStyle name="Normal 64 2 3 2 3" xfId="12901" xr:uid="{67863FFD-1240-418F-BA7B-4B4FBF8B74D9}"/>
    <cellStyle name="Normal 64 2 3 3" xfId="10054" xr:uid="{92A69A04-76A6-46ED-ABB0-0D7E261CC541}"/>
    <cellStyle name="Normal 64 2 3 3 2" xfId="14260" xr:uid="{908DC8CD-1DE8-41A5-A9DF-C30EDDD06526}"/>
    <cellStyle name="Normal 64 2 3 4" xfId="12231" xr:uid="{453E4A41-CD75-410E-AF7D-465F8CAD4044}"/>
    <cellStyle name="Normal 64 2 4" xfId="8321" xr:uid="{019F9C55-E34D-42CC-8622-64198033D6AE}"/>
    <cellStyle name="Normal 64 2 4 2" xfId="10390" xr:uid="{FEADFA10-EBBE-4DFF-A60C-E41AB57D0421}"/>
    <cellStyle name="Normal 64 2 4 2 2" xfId="14596" xr:uid="{8C6C2595-B5AD-426C-A0BE-05257B652670}"/>
    <cellStyle name="Normal 64 2 4 3" xfId="12567" xr:uid="{EE1BB523-031F-4FFD-94FA-45B4E39F4E39}"/>
    <cellStyle name="Normal 64 2 5" xfId="8994" xr:uid="{94AAB92F-66D0-492E-B92F-24EA32FE152F}"/>
    <cellStyle name="Normal 64 2 5 2" xfId="11063" xr:uid="{27CF94BB-E2D2-4663-A890-2DFC48888F61}"/>
    <cellStyle name="Normal 64 2 5 2 2" xfId="15269" xr:uid="{3150A132-F1FB-4A7F-A052-65F001BF79F7}"/>
    <cellStyle name="Normal 64 2 5 3" xfId="13240" xr:uid="{4D3A65FE-E8FA-4816-9A0A-1CF9B9F79EA7}"/>
    <cellStyle name="Normal 64 2 6" xfId="9362" xr:uid="{AF087251-F961-491D-950B-2C75879209B1}"/>
    <cellStyle name="Normal 64 2 6 2" xfId="11396" xr:uid="{18FECEF1-57F8-4D95-AE14-005F3BCED420}"/>
    <cellStyle name="Normal 64 2 6 2 2" xfId="15602" xr:uid="{94B6945F-7910-4D9B-B969-F381C9048B48}"/>
    <cellStyle name="Normal 64 2 6 3" xfId="13573" xr:uid="{E7021FFC-F751-411A-8BDF-886C1BBE34E8}"/>
    <cellStyle name="Normal 64 2 7" xfId="9720" xr:uid="{307516D6-CC23-4DE5-BBF0-278E2AA59E21}"/>
    <cellStyle name="Normal 64 2 7 2" xfId="13926" xr:uid="{9C1B8701-943B-4FFB-A129-192F6DA72BBF}"/>
    <cellStyle name="Normal 64 2 8" xfId="11897" xr:uid="{BD174671-CD23-40BD-BBBA-104D472BF72F}"/>
    <cellStyle name="Normal 64 3" xfId="7736" xr:uid="{CDABB4AB-9C16-4586-BD88-8202F04CC0AA}"/>
    <cellStyle name="Normal 64 3 2" xfId="8107" xr:uid="{34731DEF-55C4-45BB-9B5F-80FC86E7B53A}"/>
    <cellStyle name="Normal 64 3 2 2" xfId="8777" xr:uid="{9210057D-6263-4BA1-9B32-7388A9E9E1D0}"/>
    <cellStyle name="Normal 64 3 2 2 2" xfId="10846" xr:uid="{1E8BB322-3288-4842-8AE6-E311D306E460}"/>
    <cellStyle name="Normal 64 3 2 2 2 2" xfId="15052" xr:uid="{81FBFC1A-02FF-4530-9058-537607EB808E}"/>
    <cellStyle name="Normal 64 3 2 2 3" xfId="13023" xr:uid="{7FF69E5A-FFAC-4EA6-90BD-ABE077E4E464}"/>
    <cellStyle name="Normal 64 3 2 3" xfId="10176" xr:uid="{8DF06AED-F56B-4EF8-815E-C1144A5355BC}"/>
    <cellStyle name="Normal 64 3 2 3 2" xfId="14382" xr:uid="{186B0B56-F5F4-442C-BE01-DD6D9607FAFB}"/>
    <cellStyle name="Normal 64 3 2 4" xfId="12353" xr:uid="{54262E23-5E40-4F87-8B4D-62DD77624D4C}"/>
    <cellStyle name="Normal 64 3 3" xfId="8443" xr:uid="{06187419-0145-4686-9BAC-16CB8A9CFBBF}"/>
    <cellStyle name="Normal 64 3 3 2" xfId="10512" xr:uid="{7C1FB5F7-7C04-4DB8-A666-09E57F836466}"/>
    <cellStyle name="Normal 64 3 3 2 2" xfId="14718" xr:uid="{904603DD-ECB5-4B45-9D23-D00317211AEA}"/>
    <cellStyle name="Normal 64 3 3 3" xfId="12689" xr:uid="{045D9687-1F28-45E2-A9DE-190E8607AE23}"/>
    <cellStyle name="Normal 64 3 4" xfId="9116" xr:uid="{2D987AF3-7D0C-443C-B3A3-9B75599BF451}"/>
    <cellStyle name="Normal 64 3 4 2" xfId="11185" xr:uid="{E45F8C0A-489D-48F5-86F9-27AECB2D2AED}"/>
    <cellStyle name="Normal 64 3 4 2 2" xfId="15391" xr:uid="{46DA4A55-2E3A-47F7-A31A-0C3B31DB9B37}"/>
    <cellStyle name="Normal 64 3 4 3" xfId="13362" xr:uid="{04B6FDD0-E8C5-4FD3-A650-33A1814AF1FA}"/>
    <cellStyle name="Normal 64 3 5" xfId="9484" xr:uid="{D3636C5B-0488-4F76-B49E-1E088D20DB96}"/>
    <cellStyle name="Normal 64 3 5 2" xfId="11518" xr:uid="{516A25C2-6E4B-4681-A931-3CF95C84A115}"/>
    <cellStyle name="Normal 64 3 5 2 2" xfId="15724" xr:uid="{01E70AEC-9616-4782-8C7D-F2E692B0640F}"/>
    <cellStyle name="Normal 64 3 5 3" xfId="13695" xr:uid="{BA94CD69-B2F4-4991-98D8-751779B7B771}"/>
    <cellStyle name="Normal 64 3 6" xfId="9842" xr:uid="{24E6FBAC-6850-4FC7-B1B0-3C8E08683CF9}"/>
    <cellStyle name="Normal 64 3 6 2" xfId="14048" xr:uid="{738073E5-DE21-4EC5-B43D-3F9B54B977DA}"/>
    <cellStyle name="Normal 64 3 7" xfId="12019" xr:uid="{653F6C92-5D94-44CE-B27C-851345B61542}"/>
    <cellStyle name="Normal 64 4" xfId="7944" xr:uid="{DC77F552-AE4A-47AA-A3CB-4049D3890908}"/>
    <cellStyle name="Normal 64 4 2" xfId="8614" xr:uid="{A8D80037-498E-48A8-837B-555F72D0C96B}"/>
    <cellStyle name="Normal 64 4 2 2" xfId="10683" xr:uid="{A75EB5E1-F936-4F38-8D3A-3FDB2305F94A}"/>
    <cellStyle name="Normal 64 4 2 2 2" xfId="14889" xr:uid="{2B53765F-4D8E-4D8F-935B-3611F5C8D0B8}"/>
    <cellStyle name="Normal 64 4 2 3" xfId="12860" xr:uid="{890B1346-1329-44C1-B27A-231E43413C06}"/>
    <cellStyle name="Normal 64 4 3" xfId="10013" xr:uid="{012523CB-C8A2-4440-ADE6-12A720A3626A}"/>
    <cellStyle name="Normal 64 4 3 2" xfId="14219" xr:uid="{269CE0F9-900A-4092-AB1D-0FEB7CFB2457}"/>
    <cellStyle name="Normal 64 4 4" xfId="12190" xr:uid="{FFB49AAE-1BEA-4A97-82ED-EC03C6613385}"/>
    <cellStyle name="Normal 64 5" xfId="8280" xr:uid="{8D7F9D0E-A8C2-4F4C-B89C-604ECB116FC9}"/>
    <cellStyle name="Normal 64 5 2" xfId="10349" xr:uid="{900BE6BD-BF61-42AA-B137-E2CC60EFCA67}"/>
    <cellStyle name="Normal 64 5 2 2" xfId="14555" xr:uid="{93DDAFDD-84E5-4103-9373-409130EBB39A}"/>
    <cellStyle name="Normal 64 5 3" xfId="12526" xr:uid="{9A3F17A3-DDF5-40B2-9B4D-3CCEA94383A7}"/>
    <cellStyle name="Normal 64 6" xfId="8953" xr:uid="{A1246EE6-5608-4ECA-B5F2-2DC6C5F84D68}"/>
    <cellStyle name="Normal 64 6 2" xfId="11022" xr:uid="{C660EB33-D74A-47B0-BD27-8ABD257E9353}"/>
    <cellStyle name="Normal 64 6 2 2" xfId="15228" xr:uid="{84175B3B-2BB9-4B7F-A959-F82FB78C2250}"/>
    <cellStyle name="Normal 64 6 3" xfId="13199" xr:uid="{03F7F0D9-5CFF-45B9-A93F-213BA0DC8D9E}"/>
    <cellStyle name="Normal 64 7" xfId="9321" xr:uid="{87D93EF2-C03F-4A9F-BB99-A6F45D030168}"/>
    <cellStyle name="Normal 64 7 2" xfId="11355" xr:uid="{723EF8B8-9C94-4835-BD6E-2F47E9DC6CB1}"/>
    <cellStyle name="Normal 64 7 2 2" xfId="15561" xr:uid="{874FD645-F0BD-4CA7-BC7C-DD1214198BDB}"/>
    <cellStyle name="Normal 64 7 3" xfId="13532" xr:uid="{2F241B06-E394-4CF7-97E6-7727FF81BD7A}"/>
    <cellStyle name="Normal 64 8" xfId="9679" xr:uid="{83146E32-742F-4BB3-BF1B-23AAC885241F}"/>
    <cellStyle name="Normal 64 8 2" xfId="13885" xr:uid="{C56BE99B-E64F-40D9-83B2-5E64EF3BA03A}"/>
    <cellStyle name="Normal 64 9" xfId="11856" xr:uid="{ED9674BC-AC4F-421F-89A2-2F55E142601E}"/>
    <cellStyle name="Normal 65" xfId="7536" xr:uid="{4B4EB95F-EAD2-4490-80E2-813473DB070D}"/>
    <cellStyle name="Normal 65 2" xfId="7579" xr:uid="{C6AD971D-91F8-42C6-95DD-665DC979874D}"/>
    <cellStyle name="Normal 65 2 2" xfId="7778" xr:uid="{A44AEF8F-1338-44D5-B040-7A8C03F3CEF5}"/>
    <cellStyle name="Normal 65 2 2 2" xfId="8149" xr:uid="{94008E35-3F36-44B5-8746-CD597884B491}"/>
    <cellStyle name="Normal 65 2 2 2 2" xfId="8819" xr:uid="{5AA7AC78-6941-431F-8C50-E1427A15CD32}"/>
    <cellStyle name="Normal 65 2 2 2 2 2" xfId="10888" xr:uid="{8CDF365C-8BEA-48D0-AFF1-851D9540E20C}"/>
    <cellStyle name="Normal 65 2 2 2 2 2 2" xfId="15094" xr:uid="{1AEB08D0-3013-483F-9C80-2785B3D24A7B}"/>
    <cellStyle name="Normal 65 2 2 2 2 3" xfId="13065" xr:uid="{9927C01E-0267-4FFA-AEDF-52FC1349A158}"/>
    <cellStyle name="Normal 65 2 2 2 3" xfId="10218" xr:uid="{06DA06BD-6A4F-43E6-9D1A-5F14D7DD2E5A}"/>
    <cellStyle name="Normal 65 2 2 2 3 2" xfId="14424" xr:uid="{69D95180-831C-4770-AF46-2CB137BCE27C}"/>
    <cellStyle name="Normal 65 2 2 2 4" xfId="12395" xr:uid="{3939FE2C-1F4F-48F6-A22F-A12A79D3CBD9}"/>
    <cellStyle name="Normal 65 2 2 3" xfId="8485" xr:uid="{44925C46-3A35-4194-B566-45489FDDA813}"/>
    <cellStyle name="Normal 65 2 2 3 2" xfId="10554" xr:uid="{8526702F-1EF8-4AD1-B56B-083D659B084F}"/>
    <cellStyle name="Normal 65 2 2 3 2 2" xfId="14760" xr:uid="{F8B9CECC-4221-4619-A23C-5B9407CAA89A}"/>
    <cellStyle name="Normal 65 2 2 3 3" xfId="12731" xr:uid="{2A794ACA-4560-4EE5-83BE-5B58A41CB403}"/>
    <cellStyle name="Normal 65 2 2 4" xfId="9158" xr:uid="{93C3A18E-4490-4DF7-A79F-0804168C66CD}"/>
    <cellStyle name="Normal 65 2 2 4 2" xfId="11227" xr:uid="{18F504C7-8B65-4349-BB75-2AC976E88B41}"/>
    <cellStyle name="Normal 65 2 2 4 2 2" xfId="15433" xr:uid="{B64FC9F0-E2DC-47CB-92E9-F4A6BD29A719}"/>
    <cellStyle name="Normal 65 2 2 4 3" xfId="13404" xr:uid="{4DA9B313-294E-437B-8C38-67B68D23F60A}"/>
    <cellStyle name="Normal 65 2 2 5" xfId="9526" xr:uid="{69F0BA51-E713-42B3-96D4-C07B044F2699}"/>
    <cellStyle name="Normal 65 2 2 5 2" xfId="11560" xr:uid="{95C28064-03FE-4241-ADDF-84FB46A261B5}"/>
    <cellStyle name="Normal 65 2 2 5 2 2" xfId="15766" xr:uid="{93E2E17F-D828-442E-AD9C-C743B2AB8DF5}"/>
    <cellStyle name="Normal 65 2 2 5 3" xfId="13737" xr:uid="{FFCF5326-D9B8-4E05-84DA-8BF2030037D8}"/>
    <cellStyle name="Normal 65 2 2 6" xfId="9884" xr:uid="{02DF1AC7-4B54-4D19-A582-18706A59E003}"/>
    <cellStyle name="Normal 65 2 2 6 2" xfId="14090" xr:uid="{513EAE8F-83E3-4977-808A-74F127B9CD4B}"/>
    <cellStyle name="Normal 65 2 2 7" xfId="12061" xr:uid="{3CC45E9A-55B3-4BEA-9DFD-38015420564E}"/>
    <cellStyle name="Normal 65 2 3" xfId="7986" xr:uid="{61984251-150F-4E24-8CFA-9CA1DE522013}"/>
    <cellStyle name="Normal 65 2 3 2" xfId="8656" xr:uid="{A527C178-52E4-4CB0-ACAE-C7F040070D77}"/>
    <cellStyle name="Normal 65 2 3 2 2" xfId="10725" xr:uid="{E0A3124F-DC5C-4314-9597-4E75F679D9CF}"/>
    <cellStyle name="Normal 65 2 3 2 2 2" xfId="14931" xr:uid="{1D14195C-3376-43C2-88C7-CC92C72BF41B}"/>
    <cellStyle name="Normal 65 2 3 2 3" xfId="12902" xr:uid="{D04F2444-4EFF-45C9-9E66-EB8D6CEF4B06}"/>
    <cellStyle name="Normal 65 2 3 3" xfId="10055" xr:uid="{72953B9E-224A-451B-BF8A-15BAEA0A3AE4}"/>
    <cellStyle name="Normal 65 2 3 3 2" xfId="14261" xr:uid="{7C6BF083-16FE-4959-B482-E30B4C933E57}"/>
    <cellStyle name="Normal 65 2 3 4" xfId="12232" xr:uid="{7CEA6103-CADC-44D1-8F26-6E36F0DFBF87}"/>
    <cellStyle name="Normal 65 2 4" xfId="8322" xr:uid="{933E3C30-E786-4129-81F6-95F7D7E98577}"/>
    <cellStyle name="Normal 65 2 4 2" xfId="10391" xr:uid="{6D373D3B-2E99-4919-AD6B-942B8B291DE9}"/>
    <cellStyle name="Normal 65 2 4 2 2" xfId="14597" xr:uid="{F9E34C12-AEF4-4067-A1D6-BC46738248A3}"/>
    <cellStyle name="Normal 65 2 4 3" xfId="12568" xr:uid="{EA22509A-846F-458C-9346-608292CE4DA4}"/>
    <cellStyle name="Normal 65 2 5" xfId="8995" xr:uid="{57E43808-6566-4862-A7D6-44E53F90BA06}"/>
    <cellStyle name="Normal 65 2 5 2" xfId="11064" xr:uid="{26D06E60-C50F-419F-8DCD-4A3C6BBD755C}"/>
    <cellStyle name="Normal 65 2 5 2 2" xfId="15270" xr:uid="{6284ADCF-4FD6-40EF-BF8D-A19320E96948}"/>
    <cellStyle name="Normal 65 2 5 3" xfId="13241" xr:uid="{1097E596-9831-414E-B1E9-7F3416972AC2}"/>
    <cellStyle name="Normal 65 2 6" xfId="9363" xr:uid="{1E271C4A-D2BC-47F7-B125-DE5315AE2546}"/>
    <cellStyle name="Normal 65 2 6 2" xfId="11397" xr:uid="{140C813F-495F-4C28-8A65-17BB5A267696}"/>
    <cellStyle name="Normal 65 2 6 2 2" xfId="15603" xr:uid="{92E940E5-7336-4510-8FCB-4F5753E9AD21}"/>
    <cellStyle name="Normal 65 2 6 3" xfId="13574" xr:uid="{96AEEBD0-67D2-44AA-9E6B-2D7A096255CF}"/>
    <cellStyle name="Normal 65 2 7" xfId="9721" xr:uid="{5276CE73-3D17-40FE-9E50-9C43F323D32C}"/>
    <cellStyle name="Normal 65 2 7 2" xfId="13927" xr:uid="{C7DC8A64-7CA3-40B3-BC97-A33A3084B74E}"/>
    <cellStyle name="Normal 65 2 8" xfId="11898" xr:uid="{24AF002C-53B7-4614-B8C5-0142AD2F9FDD}"/>
    <cellStyle name="Normal 65 3" xfId="7737" xr:uid="{58FA99E0-3507-436D-A927-D77AF86339A2}"/>
    <cellStyle name="Normal 65 3 2" xfId="8108" xr:uid="{F32E94BB-0A64-4D87-B8D3-7F2F876A44C7}"/>
    <cellStyle name="Normal 65 3 2 2" xfId="8778" xr:uid="{195B36C4-BFD2-45F4-97B8-7C52B40E1735}"/>
    <cellStyle name="Normal 65 3 2 2 2" xfId="10847" xr:uid="{79B693D3-A650-4834-92FB-D5F1E795AFA2}"/>
    <cellStyle name="Normal 65 3 2 2 2 2" xfId="15053" xr:uid="{0B8A1C2D-DD09-43D7-A0AB-6C69BF0385DC}"/>
    <cellStyle name="Normal 65 3 2 2 3" xfId="13024" xr:uid="{DCD74F5B-9FFE-4F50-B1EA-A638E008DD2A}"/>
    <cellStyle name="Normal 65 3 2 3" xfId="10177" xr:uid="{6AEDA2DA-0389-41B1-A8F8-CFB54C8E3C90}"/>
    <cellStyle name="Normal 65 3 2 3 2" xfId="14383" xr:uid="{1928829D-80F0-426D-A5B9-03FBA8AF2854}"/>
    <cellStyle name="Normal 65 3 2 4" xfId="12354" xr:uid="{22D4D3BB-B8E4-4223-A62C-05C6AA8A66BC}"/>
    <cellStyle name="Normal 65 3 3" xfId="8444" xr:uid="{356F0288-2A0D-4CCA-9A04-E0A1E9AF795F}"/>
    <cellStyle name="Normal 65 3 3 2" xfId="10513" xr:uid="{DD28DE83-BA4F-499C-8902-825CCD04E78B}"/>
    <cellStyle name="Normal 65 3 3 2 2" xfId="14719" xr:uid="{9640F6A5-6271-4076-990E-D7896C330F61}"/>
    <cellStyle name="Normal 65 3 3 3" xfId="12690" xr:uid="{128E82C9-3DEA-4F9F-9F55-B3CD8C82AB6A}"/>
    <cellStyle name="Normal 65 3 4" xfId="9117" xr:uid="{0A87FA91-E554-4B3A-B4A8-4FF2E94C3055}"/>
    <cellStyle name="Normal 65 3 4 2" xfId="11186" xr:uid="{73BB7A4D-FE31-40ED-A88D-EFAA390078D0}"/>
    <cellStyle name="Normal 65 3 4 2 2" xfId="15392" xr:uid="{453DD1F2-2792-469A-85F8-3696D0793214}"/>
    <cellStyle name="Normal 65 3 4 3" xfId="13363" xr:uid="{C5986DBF-83B5-4626-8C78-C231A9D6B4CB}"/>
    <cellStyle name="Normal 65 3 5" xfId="9485" xr:uid="{F9F53DCE-DBCB-4E5E-8468-D2FF05CB56FD}"/>
    <cellStyle name="Normal 65 3 5 2" xfId="11519" xr:uid="{E784AD79-9B5A-4AA4-BFE6-0342AD313F75}"/>
    <cellStyle name="Normal 65 3 5 2 2" xfId="15725" xr:uid="{0C64159B-4DE9-4AF7-AA69-196BB97D928D}"/>
    <cellStyle name="Normal 65 3 5 3" xfId="13696" xr:uid="{D5635FCB-E021-437D-B2B7-ED8C601A1C82}"/>
    <cellStyle name="Normal 65 3 6" xfId="9843" xr:uid="{811B784B-98D0-4EDE-9A80-B8EF604870C9}"/>
    <cellStyle name="Normal 65 3 6 2" xfId="14049" xr:uid="{1B81FF01-A2E7-4805-AC01-4336B6B17F28}"/>
    <cellStyle name="Normal 65 3 7" xfId="12020" xr:uid="{157BE70B-B5D0-4A6F-B5B1-0F01C64977B5}"/>
    <cellStyle name="Normal 65 4" xfId="7945" xr:uid="{EFD4A8F9-8C41-445A-9044-1F08EDEB0A54}"/>
    <cellStyle name="Normal 65 4 2" xfId="8615" xr:uid="{E7DE58FD-C545-4668-BD4F-FB038597FA91}"/>
    <cellStyle name="Normal 65 4 2 2" xfId="10684" xr:uid="{DF62C094-48AD-46D7-BD37-C3A520CD7887}"/>
    <cellStyle name="Normal 65 4 2 2 2" xfId="14890" xr:uid="{AD388BBA-8413-4FA2-AC73-1B4C01ECB249}"/>
    <cellStyle name="Normal 65 4 2 3" xfId="12861" xr:uid="{5E9D5FF3-928E-4080-9DC3-A48C4552901E}"/>
    <cellStyle name="Normal 65 4 3" xfId="10014" xr:uid="{B0DCA579-13FB-43BF-839F-FD8C7E276512}"/>
    <cellStyle name="Normal 65 4 3 2" xfId="14220" xr:uid="{3DDCF677-EFB8-45CB-BD2A-D514CDE6106C}"/>
    <cellStyle name="Normal 65 4 4" xfId="12191" xr:uid="{19661F33-5A83-4F95-8D9E-03F6BDB69AB9}"/>
    <cellStyle name="Normal 65 5" xfId="8281" xr:uid="{9E808A38-FA0A-490F-9C9B-0B8E09A975C2}"/>
    <cellStyle name="Normal 65 5 2" xfId="10350" xr:uid="{93985407-0B77-4407-A87E-7A8F62AD63A6}"/>
    <cellStyle name="Normal 65 5 2 2" xfId="14556" xr:uid="{A2B0FA6E-2817-4E36-8EC9-9FE06523E9E7}"/>
    <cellStyle name="Normal 65 5 3" xfId="12527" xr:uid="{C4EE6ADA-5E89-49CC-89CF-10083EA141DD}"/>
    <cellStyle name="Normal 65 6" xfId="8954" xr:uid="{BA50B635-A171-47D6-9655-4A1AAA446520}"/>
    <cellStyle name="Normal 65 6 2" xfId="11023" xr:uid="{DF458BF7-A519-4E7D-8DF8-CA492C0D33F6}"/>
    <cellStyle name="Normal 65 6 2 2" xfId="15229" xr:uid="{C9AB3969-C81A-4D9C-8FB2-BBDFE284E62C}"/>
    <cellStyle name="Normal 65 6 3" xfId="13200" xr:uid="{FD6B80C5-4441-4823-BA3C-6441A9B89506}"/>
    <cellStyle name="Normal 65 7" xfId="9322" xr:uid="{B8C44473-1106-472E-98D1-A2CCF1C51115}"/>
    <cellStyle name="Normal 65 7 2" xfId="11356" xr:uid="{0F7E08DC-A57E-4B94-9033-8486B7A5A2B7}"/>
    <cellStyle name="Normal 65 7 2 2" xfId="15562" xr:uid="{035535B4-D28E-4111-B304-53193FBFF1FB}"/>
    <cellStyle name="Normal 65 7 3" xfId="13533" xr:uid="{B0F32A9C-AEFE-4626-8BB0-020801935C60}"/>
    <cellStyle name="Normal 65 8" xfId="9680" xr:uid="{09BBFEE1-4AAF-4422-AB06-90C26B9C76C6}"/>
    <cellStyle name="Normal 65 8 2" xfId="13886" xr:uid="{3B8A816D-67C5-4882-ACD9-5890E8422E23}"/>
    <cellStyle name="Normal 65 9" xfId="11857" xr:uid="{78A54034-C3C5-451F-9D1F-DDA89432EB22}"/>
    <cellStyle name="Normal 66" xfId="7537" xr:uid="{D40750B7-180E-471A-9992-0E04CFB15F55}"/>
    <cellStyle name="Normal 66 2" xfId="7580" xr:uid="{A4A47B68-1AB8-4B84-906E-603B8E1EC49C}"/>
    <cellStyle name="Normal 66 2 2" xfId="7779" xr:uid="{9A5E9C7A-4D10-4DC2-8F67-649CE0D4A480}"/>
    <cellStyle name="Normal 66 2 2 2" xfId="8150" xr:uid="{2DE9C49E-0448-49DF-8083-794FBBBF61BC}"/>
    <cellStyle name="Normal 66 2 2 2 2" xfId="8820" xr:uid="{4DE4E0F7-5F0E-49DC-96AB-C3380D997072}"/>
    <cellStyle name="Normal 66 2 2 2 2 2" xfId="10889" xr:uid="{84706180-E1CA-4779-9E76-93668102804F}"/>
    <cellStyle name="Normal 66 2 2 2 2 2 2" xfId="15095" xr:uid="{52827D6D-F4D5-4CD4-B6F7-7259F47DACA2}"/>
    <cellStyle name="Normal 66 2 2 2 2 3" xfId="13066" xr:uid="{FE27294C-6295-4385-9B9F-665D78D023BF}"/>
    <cellStyle name="Normal 66 2 2 2 3" xfId="10219" xr:uid="{5074AA03-296B-490D-8AF4-6506A4D35235}"/>
    <cellStyle name="Normal 66 2 2 2 3 2" xfId="14425" xr:uid="{A73CBADE-8E51-4A79-8F99-FB77FF33954D}"/>
    <cellStyle name="Normal 66 2 2 2 4" xfId="12396" xr:uid="{288274BE-5D66-441B-8056-F7EFBDC19817}"/>
    <cellStyle name="Normal 66 2 2 3" xfId="8486" xr:uid="{861F20D4-324C-42A0-88A1-C46F289C74A8}"/>
    <cellStyle name="Normal 66 2 2 3 2" xfId="10555" xr:uid="{DE55AA57-9B0D-4D3A-8A0C-23A839C2DBD2}"/>
    <cellStyle name="Normal 66 2 2 3 2 2" xfId="14761" xr:uid="{D6AEF52E-1BBB-4B8C-B03F-FD32C7562AC6}"/>
    <cellStyle name="Normal 66 2 2 3 3" xfId="12732" xr:uid="{C904E330-339C-41EE-B522-EC29B2859D08}"/>
    <cellStyle name="Normal 66 2 2 4" xfId="9159" xr:uid="{869AA094-DD46-4713-B709-76DAFADF5252}"/>
    <cellStyle name="Normal 66 2 2 4 2" xfId="11228" xr:uid="{02121137-BC4F-4AD0-9A88-D4FDF7F29582}"/>
    <cellStyle name="Normal 66 2 2 4 2 2" xfId="15434" xr:uid="{D3866C09-526B-407F-A3DE-B2FBDA88A6E8}"/>
    <cellStyle name="Normal 66 2 2 4 3" xfId="13405" xr:uid="{06A3306C-8394-454F-8E25-84D842CEE761}"/>
    <cellStyle name="Normal 66 2 2 5" xfId="9527" xr:uid="{CF60C748-580A-4CB8-AE85-23076E5FE6EB}"/>
    <cellStyle name="Normal 66 2 2 5 2" xfId="11561" xr:uid="{E6D616F2-C1AE-4F9E-AB63-E5467139772A}"/>
    <cellStyle name="Normal 66 2 2 5 2 2" xfId="15767" xr:uid="{219856F1-290B-40B1-9A7A-56C34E75BAFB}"/>
    <cellStyle name="Normal 66 2 2 5 3" xfId="13738" xr:uid="{F4C57C10-47A4-46B0-BFE3-653163342AB3}"/>
    <cellStyle name="Normal 66 2 2 6" xfId="9885" xr:uid="{BA593F85-025D-4ACD-AB95-05C335E924BD}"/>
    <cellStyle name="Normal 66 2 2 6 2" xfId="14091" xr:uid="{640EED67-A5AD-4C1F-8DF3-20F8E26619C7}"/>
    <cellStyle name="Normal 66 2 2 7" xfId="12062" xr:uid="{0A2254C8-7408-4392-BCA0-5396EF9833AD}"/>
    <cellStyle name="Normal 66 2 3" xfId="7987" xr:uid="{C8280FF0-D21C-40D9-8D5D-C7A7F30501C1}"/>
    <cellStyle name="Normal 66 2 3 2" xfId="8657" xr:uid="{19249A78-3E03-4173-8B9A-C09A94346B6F}"/>
    <cellStyle name="Normal 66 2 3 2 2" xfId="10726" xr:uid="{58352AC4-1650-4B94-AE45-770E99C77210}"/>
    <cellStyle name="Normal 66 2 3 2 2 2" xfId="14932" xr:uid="{AE61EED7-F27C-45A4-88FE-4FFECF71DA69}"/>
    <cellStyle name="Normal 66 2 3 2 3" xfId="12903" xr:uid="{DA88E0EF-BAC6-4AB3-A941-BD4DCFD29EF0}"/>
    <cellStyle name="Normal 66 2 3 3" xfId="10056" xr:uid="{2EAAB167-89E0-40D8-9F38-3127C5123D63}"/>
    <cellStyle name="Normal 66 2 3 3 2" xfId="14262" xr:uid="{2D5DED2A-4BCF-480C-BE3F-84DB54A04AD3}"/>
    <cellStyle name="Normal 66 2 3 4" xfId="12233" xr:uid="{1442425D-9B0C-48E4-A6BB-B16D8D754A2D}"/>
    <cellStyle name="Normal 66 2 4" xfId="8323" xr:uid="{9CC0A0CA-D029-4F80-8FEA-6077AE9718CF}"/>
    <cellStyle name="Normal 66 2 4 2" xfId="10392" xr:uid="{38A0C0C0-BD14-4422-AC33-B2A42C81CABB}"/>
    <cellStyle name="Normal 66 2 4 2 2" xfId="14598" xr:uid="{8A696471-2633-44E0-A64D-4EF8F4FA7999}"/>
    <cellStyle name="Normal 66 2 4 3" xfId="12569" xr:uid="{6469F4B9-135B-4321-A957-0C52D128E8D1}"/>
    <cellStyle name="Normal 66 2 5" xfId="8996" xr:uid="{3188C389-4A5E-4B0D-90C1-89BE5D608D5A}"/>
    <cellStyle name="Normal 66 2 5 2" xfId="11065" xr:uid="{F6F9F22A-D1D4-4025-91EA-610A176DE5C3}"/>
    <cellStyle name="Normal 66 2 5 2 2" xfId="15271" xr:uid="{06807D8B-472C-47F5-BDB1-021CD750ED18}"/>
    <cellStyle name="Normal 66 2 5 3" xfId="13242" xr:uid="{0D315082-FFAF-452A-882D-CC49125979DC}"/>
    <cellStyle name="Normal 66 2 6" xfId="9364" xr:uid="{EDF47677-2319-4068-A4AA-A1D57B9CE448}"/>
    <cellStyle name="Normal 66 2 6 2" xfId="11398" xr:uid="{9C1F7227-DF95-4537-B8E7-FBA0216A3CF6}"/>
    <cellStyle name="Normal 66 2 6 2 2" xfId="15604" xr:uid="{D4C8E82F-CF8F-476C-AE43-25BD73B8403F}"/>
    <cellStyle name="Normal 66 2 6 3" xfId="13575" xr:uid="{11FCD4B0-0C46-4675-8357-FDCD714D4B11}"/>
    <cellStyle name="Normal 66 2 7" xfId="9722" xr:uid="{4889A33F-542E-4EC8-A424-73165C8654EA}"/>
    <cellStyle name="Normal 66 2 7 2" xfId="13928" xr:uid="{BC4639C2-023E-472F-B642-002A22DBCD53}"/>
    <cellStyle name="Normal 66 2 8" xfId="11899" xr:uid="{1FB2CFE3-E061-4EFB-9E0D-1C97B9E3ADE4}"/>
    <cellStyle name="Normal 66 3" xfId="7738" xr:uid="{6C806259-BC31-4BDB-9625-F1781755818A}"/>
    <cellStyle name="Normal 66 3 2" xfId="8109" xr:uid="{6A3C40BE-5A1D-4629-A92E-8EE06B8C92E8}"/>
    <cellStyle name="Normal 66 3 2 2" xfId="8779" xr:uid="{8BC1B246-2A3C-423E-A729-B976A3E00D04}"/>
    <cellStyle name="Normal 66 3 2 2 2" xfId="10848" xr:uid="{628C69CB-9857-4C00-A7CB-476209CAE32F}"/>
    <cellStyle name="Normal 66 3 2 2 2 2" xfId="15054" xr:uid="{DA187C4B-9F46-47CD-9B66-DD0F72DB782B}"/>
    <cellStyle name="Normal 66 3 2 2 3" xfId="13025" xr:uid="{F7D57896-3036-4417-98AA-0426D00DCBD4}"/>
    <cellStyle name="Normal 66 3 2 3" xfId="10178" xr:uid="{18362471-7480-428B-91C8-43D5C16D9C38}"/>
    <cellStyle name="Normal 66 3 2 3 2" xfId="14384" xr:uid="{BF2F7B63-7661-409D-9865-A743ACB2E076}"/>
    <cellStyle name="Normal 66 3 2 4" xfId="12355" xr:uid="{4B9DADCC-FF86-41B1-81B2-9A396995F143}"/>
    <cellStyle name="Normal 66 3 3" xfId="8445" xr:uid="{354AE9F4-C512-4A9D-9416-14CB05C0D3F0}"/>
    <cellStyle name="Normal 66 3 3 2" xfId="10514" xr:uid="{A8970354-EDEE-47E9-9F9F-EAE43C7587BE}"/>
    <cellStyle name="Normal 66 3 3 2 2" xfId="14720" xr:uid="{E0764D5B-A50C-4465-954F-01C0B808B03B}"/>
    <cellStyle name="Normal 66 3 3 3" xfId="12691" xr:uid="{9D279305-DFCF-4BBD-A6C8-3FEFE077D0D4}"/>
    <cellStyle name="Normal 66 3 4" xfId="9118" xr:uid="{C82C2DB5-C9EE-4B80-96A0-92941267468A}"/>
    <cellStyle name="Normal 66 3 4 2" xfId="11187" xr:uid="{9DCC633A-63E5-4DBA-8AAB-79DC97633AEF}"/>
    <cellStyle name="Normal 66 3 4 2 2" xfId="15393" xr:uid="{3E550DE4-44A9-477F-B0C0-38EDD86C7155}"/>
    <cellStyle name="Normal 66 3 4 3" xfId="13364" xr:uid="{C6A72BEB-D900-4DC6-97FE-7C846767F727}"/>
    <cellStyle name="Normal 66 3 5" xfId="9486" xr:uid="{8A4885FB-18D9-4989-B3C3-3F210EB94CB5}"/>
    <cellStyle name="Normal 66 3 5 2" xfId="11520" xr:uid="{7DBFED51-78FF-4ED0-81F0-C6080980FD57}"/>
    <cellStyle name="Normal 66 3 5 2 2" xfId="15726" xr:uid="{EF6C4C96-267C-4203-80D3-57F595C777F0}"/>
    <cellStyle name="Normal 66 3 5 3" xfId="13697" xr:uid="{EE994E3A-803F-45BC-A59F-5F7A1E6AC483}"/>
    <cellStyle name="Normal 66 3 6" xfId="9844" xr:uid="{BB0C07EF-B9DE-4793-A33B-55F401E8DE35}"/>
    <cellStyle name="Normal 66 3 6 2" xfId="14050" xr:uid="{C396C5BA-F123-47A0-9E38-D9C1BDF58B96}"/>
    <cellStyle name="Normal 66 3 7" xfId="12021" xr:uid="{FA8893CA-9DF0-4F9C-8130-CC034488B330}"/>
    <cellStyle name="Normal 66 4" xfId="7946" xr:uid="{6C3FCDBD-9D90-4B90-87E2-5A4833E137D2}"/>
    <cellStyle name="Normal 66 4 2" xfId="8616" xr:uid="{9152B4BF-494C-4D77-A75B-5ACBE8192E7D}"/>
    <cellStyle name="Normal 66 4 2 2" xfId="10685" xr:uid="{5E8C4167-2D26-4394-97A1-512B46288FB4}"/>
    <cellStyle name="Normal 66 4 2 2 2" xfId="14891" xr:uid="{AB3A0EA3-5248-4E1F-9EA3-33701D9D8DBB}"/>
    <cellStyle name="Normal 66 4 2 3" xfId="12862" xr:uid="{86BCBCBB-FB86-4AB1-8BE1-92A964EEC89C}"/>
    <cellStyle name="Normal 66 4 3" xfId="10015" xr:uid="{940F79DB-2A3A-4668-BC80-7AEE88E96FDF}"/>
    <cellStyle name="Normal 66 4 3 2" xfId="14221" xr:uid="{5D884532-8B81-4C79-9F15-C8193D6F7462}"/>
    <cellStyle name="Normal 66 4 4" xfId="12192" xr:uid="{1E109A5C-F0CA-4A4B-B2C3-EFE59641198E}"/>
    <cellStyle name="Normal 66 5" xfId="8282" xr:uid="{9D94B6AA-3EE4-4FCF-A313-6D55B8307A71}"/>
    <cellStyle name="Normal 66 5 2" xfId="10351" xr:uid="{572B5F84-9599-4C08-823A-369A6C183835}"/>
    <cellStyle name="Normal 66 5 2 2" xfId="14557" xr:uid="{472073F9-242C-4EBF-B05B-570EF06BD319}"/>
    <cellStyle name="Normal 66 5 3" xfId="12528" xr:uid="{30A73503-0C8C-4AC8-B487-190DFF9C2211}"/>
    <cellStyle name="Normal 66 6" xfId="8955" xr:uid="{8B5D3CA7-A63B-415E-B15F-66591B29FA16}"/>
    <cellStyle name="Normal 66 6 2" xfId="11024" xr:uid="{67289970-2DDC-4FB3-8997-B56C68441E82}"/>
    <cellStyle name="Normal 66 6 2 2" xfId="15230" xr:uid="{3F9A2B4F-F673-416B-AA3C-CBEEFDE5C344}"/>
    <cellStyle name="Normal 66 6 3" xfId="13201" xr:uid="{77D60DAD-6CC5-4DF5-A3B0-0B035D6360DC}"/>
    <cellStyle name="Normal 66 7" xfId="9323" xr:uid="{5F433815-7834-45C9-B120-D288A73E3855}"/>
    <cellStyle name="Normal 66 7 2" xfId="11357" xr:uid="{84651D4C-397F-4E07-AD62-8B554FC1F3D8}"/>
    <cellStyle name="Normal 66 7 2 2" xfId="15563" xr:uid="{E7D02566-CD5B-42AE-B3E9-6BBB3CC6C772}"/>
    <cellStyle name="Normal 66 7 3" xfId="13534" xr:uid="{02AB67BF-24C4-428F-9695-54A014BA75C7}"/>
    <cellStyle name="Normal 66 8" xfId="9681" xr:uid="{5CF7017B-E52A-4844-9BAC-0F3701D656D4}"/>
    <cellStyle name="Normal 66 8 2" xfId="13887" xr:uid="{46D30ADF-D8FC-4876-A5AB-E5D974645F88}"/>
    <cellStyle name="Normal 66 9" xfId="11858" xr:uid="{7A3D22BC-0485-4456-BF56-D0581FFBB1BE}"/>
    <cellStyle name="Normal 67" xfId="7538" xr:uid="{777DFA17-76B2-42CC-9B60-31890EE653FD}"/>
    <cellStyle name="Normal 67 2" xfId="7581" xr:uid="{82BA6FBE-55E4-431A-9F88-493C4932D83F}"/>
    <cellStyle name="Normal 67 2 2" xfId="7780" xr:uid="{FE919417-35E6-48C4-9C48-9AC686C420ED}"/>
    <cellStyle name="Normal 67 2 2 2" xfId="8151" xr:uid="{80A2E24C-3591-4B3F-8E67-A3E8615C47C6}"/>
    <cellStyle name="Normal 67 2 2 2 2" xfId="8821" xr:uid="{709040CF-7CC8-4CB2-AAF2-8B79BD31F2C1}"/>
    <cellStyle name="Normal 67 2 2 2 2 2" xfId="10890" xr:uid="{2F6BE28C-EA1F-4C7D-BF4F-C054565A2D78}"/>
    <cellStyle name="Normal 67 2 2 2 2 2 2" xfId="15096" xr:uid="{1C8F908F-282F-4FAB-9A2F-BBEC7F0CEC9D}"/>
    <cellStyle name="Normal 67 2 2 2 2 3" xfId="13067" xr:uid="{52900870-4EB0-49AC-BB12-7BE397C2E3FB}"/>
    <cellStyle name="Normal 67 2 2 2 3" xfId="10220" xr:uid="{911191FB-1595-4A18-8EA1-753AAAD42EFC}"/>
    <cellStyle name="Normal 67 2 2 2 3 2" xfId="14426" xr:uid="{7EF02F89-68EA-4766-AF45-F96C22A0D6F7}"/>
    <cellStyle name="Normal 67 2 2 2 4" xfId="12397" xr:uid="{1DD742B1-63BA-4DAF-8322-8123BCB9A82C}"/>
    <cellStyle name="Normal 67 2 2 3" xfId="8487" xr:uid="{B3F7EC23-83B9-44A3-BFBF-6AFE5B870CD9}"/>
    <cellStyle name="Normal 67 2 2 3 2" xfId="10556" xr:uid="{2AC73FF4-797A-4A97-857B-2F2AF4A7C505}"/>
    <cellStyle name="Normal 67 2 2 3 2 2" xfId="14762" xr:uid="{A489F362-3D9A-4298-A2F0-5933A76C0076}"/>
    <cellStyle name="Normal 67 2 2 3 3" xfId="12733" xr:uid="{46487444-3F7A-4624-9505-9EB30C6E5597}"/>
    <cellStyle name="Normal 67 2 2 4" xfId="9160" xr:uid="{04B7D0C0-516A-4BB4-BA4C-5FBD9E32ED15}"/>
    <cellStyle name="Normal 67 2 2 4 2" xfId="11229" xr:uid="{9A159B51-7A79-467C-B9D4-C270B55791D4}"/>
    <cellStyle name="Normal 67 2 2 4 2 2" xfId="15435" xr:uid="{0EFE2546-D4D1-4D94-9280-CDEBEA5BE6F5}"/>
    <cellStyle name="Normal 67 2 2 4 3" xfId="13406" xr:uid="{6A9BFA97-C4EC-4243-9C21-7AEE3BC5196E}"/>
    <cellStyle name="Normal 67 2 2 5" xfId="9528" xr:uid="{A8E02D01-BBE4-442A-BE5E-F12C1CCC79BA}"/>
    <cellStyle name="Normal 67 2 2 5 2" xfId="11562" xr:uid="{C5EC36B3-4F09-411B-B0C2-FEBA47A68C52}"/>
    <cellStyle name="Normal 67 2 2 5 2 2" xfId="15768" xr:uid="{694285C5-935C-43B0-A83B-837F6D399500}"/>
    <cellStyle name="Normal 67 2 2 5 3" xfId="13739" xr:uid="{087A3C5D-2C8E-4C51-BDF2-00335F418C2E}"/>
    <cellStyle name="Normal 67 2 2 6" xfId="9886" xr:uid="{8F138C61-D22B-469F-AF19-E2487F9A1EEE}"/>
    <cellStyle name="Normal 67 2 2 6 2" xfId="14092" xr:uid="{B097802B-C7DB-4EF4-9A60-955A32EB6578}"/>
    <cellStyle name="Normal 67 2 2 7" xfId="12063" xr:uid="{EE653D36-E3CB-4882-9ADD-36309CC06399}"/>
    <cellStyle name="Normal 67 2 3" xfId="7988" xr:uid="{094D32E5-6815-4849-B034-C9C197A0A640}"/>
    <cellStyle name="Normal 67 2 3 2" xfId="8658" xr:uid="{AB76888E-5B99-4FB4-9F9D-A5DB581263EA}"/>
    <cellStyle name="Normal 67 2 3 2 2" xfId="10727" xr:uid="{B0646B0C-794F-40C9-838D-4E48E5670D9F}"/>
    <cellStyle name="Normal 67 2 3 2 2 2" xfId="14933" xr:uid="{D0401AC6-6F5C-46A9-9890-E532EDC8864B}"/>
    <cellStyle name="Normal 67 2 3 2 3" xfId="12904" xr:uid="{2E977F26-1159-4807-9AF9-AFD8C5494925}"/>
    <cellStyle name="Normal 67 2 3 3" xfId="10057" xr:uid="{46CED4F4-D159-4141-A337-2DF47879EA18}"/>
    <cellStyle name="Normal 67 2 3 3 2" xfId="14263" xr:uid="{BA5285AA-8D97-4EBA-8183-DE2C5B7B8A10}"/>
    <cellStyle name="Normal 67 2 3 4" xfId="12234" xr:uid="{AC35A402-705D-4FA2-94A8-12657B62E5D7}"/>
    <cellStyle name="Normal 67 2 4" xfId="8324" xr:uid="{2175921E-C778-4B43-9417-54148A4094F3}"/>
    <cellStyle name="Normal 67 2 4 2" xfId="10393" xr:uid="{C84B5E3D-14D4-4635-93D8-0CBC96595E2A}"/>
    <cellStyle name="Normal 67 2 4 2 2" xfId="14599" xr:uid="{6C858658-7238-457B-A20B-E1DAFE91B689}"/>
    <cellStyle name="Normal 67 2 4 3" xfId="12570" xr:uid="{2D4A1B39-666C-429A-9D30-DE4FA63AC11F}"/>
    <cellStyle name="Normal 67 2 5" xfId="8997" xr:uid="{18EAB3A3-7ADE-4D3E-B7CE-66261BB52D30}"/>
    <cellStyle name="Normal 67 2 5 2" xfId="11066" xr:uid="{4FB27D9A-82E1-44B7-9FD2-649C425CB92D}"/>
    <cellStyle name="Normal 67 2 5 2 2" xfId="15272" xr:uid="{977CE5E5-5F23-44B6-8EB0-796CB90E8175}"/>
    <cellStyle name="Normal 67 2 5 3" xfId="13243" xr:uid="{CF4EB8C4-C9B8-4F56-9A5B-78179FA670E1}"/>
    <cellStyle name="Normal 67 2 6" xfId="9365" xr:uid="{0A244161-1275-4722-98CC-7968848D3EBE}"/>
    <cellStyle name="Normal 67 2 6 2" xfId="11399" xr:uid="{4DE5345D-1A35-463B-84DD-80888840DEBF}"/>
    <cellStyle name="Normal 67 2 6 2 2" xfId="15605" xr:uid="{BADBD551-2E1E-4C83-977F-A069373DB9D3}"/>
    <cellStyle name="Normal 67 2 6 3" xfId="13576" xr:uid="{FC90058E-9752-4840-B3E9-0987A16A0F3F}"/>
    <cellStyle name="Normal 67 2 7" xfId="9723" xr:uid="{3325FCCA-AE20-4115-B08C-67AD8037C77D}"/>
    <cellStyle name="Normal 67 2 7 2" xfId="13929" xr:uid="{61CDCC76-1875-45F3-9365-6706B0EB4FC1}"/>
    <cellStyle name="Normal 67 2 8" xfId="11900" xr:uid="{6E724F67-8CCD-45DC-B371-98ABDEE48D03}"/>
    <cellStyle name="Normal 67 3" xfId="7739" xr:uid="{3506192E-908F-4D05-B66E-3D6E752FC7F0}"/>
    <cellStyle name="Normal 67 3 2" xfId="8110" xr:uid="{735C5755-8A87-461D-981C-CC2C4E70F96F}"/>
    <cellStyle name="Normal 67 3 2 2" xfId="8780" xr:uid="{8EDC9C86-98BF-4C67-AB21-4330EE52F7E5}"/>
    <cellStyle name="Normal 67 3 2 2 2" xfId="10849" xr:uid="{6E1AE8D4-F70B-4579-94CB-47D87061DBD5}"/>
    <cellStyle name="Normal 67 3 2 2 2 2" xfId="15055" xr:uid="{278D2AB4-0378-42DB-9001-15D148C47550}"/>
    <cellStyle name="Normal 67 3 2 2 3" xfId="13026" xr:uid="{8CEF5910-92B8-4588-A33A-545D5B68CF95}"/>
    <cellStyle name="Normal 67 3 2 3" xfId="10179" xr:uid="{DE0B20E5-6ECB-4FB1-A20D-18EB314188D8}"/>
    <cellStyle name="Normal 67 3 2 3 2" xfId="14385" xr:uid="{390E7657-B5C8-4EDF-B775-78B154A07A95}"/>
    <cellStyle name="Normal 67 3 2 4" xfId="12356" xr:uid="{E6BA3EB7-7D2F-4E53-9284-1E25AF861C56}"/>
    <cellStyle name="Normal 67 3 3" xfId="8446" xr:uid="{9F765A1D-BAE3-47B9-BE81-5DDE08BD5BE2}"/>
    <cellStyle name="Normal 67 3 3 2" xfId="10515" xr:uid="{1E2EB993-C94D-43A5-8CD7-A4B12C051988}"/>
    <cellStyle name="Normal 67 3 3 2 2" xfId="14721" xr:uid="{EA7715F5-2779-46D3-97EC-3B67EA5D944D}"/>
    <cellStyle name="Normal 67 3 3 3" xfId="12692" xr:uid="{AEFB1BC9-7066-4064-80D2-C645A9E9FA7C}"/>
    <cellStyle name="Normal 67 3 4" xfId="9119" xr:uid="{E459E764-9367-4D63-A1DC-48B949CB0642}"/>
    <cellStyle name="Normal 67 3 4 2" xfId="11188" xr:uid="{F7B9A748-40B4-4CBD-8527-13EA34D5D58C}"/>
    <cellStyle name="Normal 67 3 4 2 2" xfId="15394" xr:uid="{B193A26C-7E2C-4963-B680-4EA1D9791EDC}"/>
    <cellStyle name="Normal 67 3 4 3" xfId="13365" xr:uid="{C09E22FB-EE0E-4FDF-B357-331E2CBA8B6D}"/>
    <cellStyle name="Normal 67 3 5" xfId="9487" xr:uid="{CDD374EC-A643-4028-831E-C3BC7E727203}"/>
    <cellStyle name="Normal 67 3 5 2" xfId="11521" xr:uid="{70A3A019-EAA4-4B5D-BA05-69D786E45AC5}"/>
    <cellStyle name="Normal 67 3 5 2 2" xfId="15727" xr:uid="{D418FFF6-44F8-4B1A-942F-EA32B1305981}"/>
    <cellStyle name="Normal 67 3 5 3" xfId="13698" xr:uid="{42CA58FD-5729-4B7A-84FE-5A2938CDB2B1}"/>
    <cellStyle name="Normal 67 3 6" xfId="9845" xr:uid="{1730386A-94C4-4718-B744-AEBE9433580C}"/>
    <cellStyle name="Normal 67 3 6 2" xfId="14051" xr:uid="{B513BCED-E5C4-4FD0-8B1A-A9F01BA86207}"/>
    <cellStyle name="Normal 67 3 7" xfId="12022" xr:uid="{45E4097C-D294-4396-9FA5-8C22D3711D1A}"/>
    <cellStyle name="Normal 67 4" xfId="7947" xr:uid="{82183058-AF82-4999-B742-3F7D67A551E3}"/>
    <cellStyle name="Normal 67 4 2" xfId="8617" xr:uid="{FABF812E-5BDE-4E65-88DD-17E070BFB6C3}"/>
    <cellStyle name="Normal 67 4 2 2" xfId="10686" xr:uid="{3F2E6645-2A56-41C3-BDDB-B5668C257439}"/>
    <cellStyle name="Normal 67 4 2 2 2" xfId="14892" xr:uid="{C6902B93-7E1A-4DFB-8E50-40F9FA39E10B}"/>
    <cellStyle name="Normal 67 4 2 3" xfId="12863" xr:uid="{9B0F8EBB-2F65-4320-A76E-6CF0A23401F7}"/>
    <cellStyle name="Normal 67 4 3" xfId="10016" xr:uid="{9D87F9D4-7307-42FD-86CC-5DB1CFFE9EC6}"/>
    <cellStyle name="Normal 67 4 3 2" xfId="14222" xr:uid="{74782B74-A60E-467F-828E-0A2FEF1E8AD9}"/>
    <cellStyle name="Normal 67 4 4" xfId="12193" xr:uid="{16AFC52E-DBB0-4335-A497-FD5F4E23453F}"/>
    <cellStyle name="Normal 67 5" xfId="8283" xr:uid="{502FFA54-824A-4B7A-9EC0-C67933FC349E}"/>
    <cellStyle name="Normal 67 5 2" xfId="10352" xr:uid="{B3A74715-0B91-4122-9F65-90466B271C2E}"/>
    <cellStyle name="Normal 67 5 2 2" xfId="14558" xr:uid="{6C04FAA1-8A80-41C0-AA0B-F8B6B232B115}"/>
    <cellStyle name="Normal 67 5 3" xfId="12529" xr:uid="{ABF5C6F7-5B0D-4138-9239-E123149431E6}"/>
    <cellStyle name="Normal 67 6" xfId="8956" xr:uid="{312AAB6C-6937-49FB-95EB-CECD92AEBB31}"/>
    <cellStyle name="Normal 67 6 2" xfId="11025" xr:uid="{E43538C8-87CB-4381-9A07-B72CBDC84317}"/>
    <cellStyle name="Normal 67 6 2 2" xfId="15231" xr:uid="{AFD6E874-8E00-4D8B-92E9-B215EFB36878}"/>
    <cellStyle name="Normal 67 6 3" xfId="13202" xr:uid="{3D511857-944F-4CD8-9511-B5F0EA75ECC5}"/>
    <cellStyle name="Normal 67 7" xfId="9324" xr:uid="{CA1D2814-D601-4A8B-8183-3AB53560C116}"/>
    <cellStyle name="Normal 67 7 2" xfId="11358" xr:uid="{FF530BC7-B87F-423C-B7C6-E09416BDBFC2}"/>
    <cellStyle name="Normal 67 7 2 2" xfId="15564" xr:uid="{1285E2B9-9A5A-4466-9B8A-2798ED63E984}"/>
    <cellStyle name="Normal 67 7 3" xfId="13535" xr:uid="{04F41A98-1B87-4EDF-936E-861DD03B5D02}"/>
    <cellStyle name="Normal 67 8" xfId="9682" xr:uid="{FB4A9DAF-3192-4465-B358-11960AF8B056}"/>
    <cellStyle name="Normal 67 8 2" xfId="13888" xr:uid="{EBA3470C-DAF5-422F-9528-352E17F3A71B}"/>
    <cellStyle name="Normal 67 9" xfId="11859" xr:uid="{88D1FC42-02E1-4464-9A80-376ADB79FB20}"/>
    <cellStyle name="Normal 68" xfId="7539" xr:uid="{1341F3B0-084C-411F-9F58-D4C60286A5FD}"/>
    <cellStyle name="Normal 68 2" xfId="7582" xr:uid="{09FBF7D3-8B43-46BB-AF03-70EB75EB49FC}"/>
    <cellStyle name="Normal 68 2 2" xfId="7781" xr:uid="{3894DBF6-77C7-4698-9C7F-93D2B6A39F53}"/>
    <cellStyle name="Normal 68 2 2 2" xfId="8152" xr:uid="{1CB67663-0145-4EF0-847B-E7AA8D82EA27}"/>
    <cellStyle name="Normal 68 2 2 2 2" xfId="8822" xr:uid="{594723D2-99E4-444F-AFFA-E28383B6ACFC}"/>
    <cellStyle name="Normal 68 2 2 2 2 2" xfId="10891" xr:uid="{334765CF-AAF3-40C6-BD39-157103CE209C}"/>
    <cellStyle name="Normal 68 2 2 2 2 2 2" xfId="15097" xr:uid="{78863D84-CEBA-45C0-9929-77016E9DE892}"/>
    <cellStyle name="Normal 68 2 2 2 2 3" xfId="13068" xr:uid="{D4EE10D7-3130-4D96-B9FB-1996D3F70C1B}"/>
    <cellStyle name="Normal 68 2 2 2 3" xfId="10221" xr:uid="{50713E55-C471-40C7-B9EA-2F42A0DEA596}"/>
    <cellStyle name="Normal 68 2 2 2 3 2" xfId="14427" xr:uid="{040866B8-84E6-42EE-909B-E537AD92B730}"/>
    <cellStyle name="Normal 68 2 2 2 4" xfId="12398" xr:uid="{7CC4598F-476C-43A0-92CC-B3AAFFD8CEE7}"/>
    <cellStyle name="Normal 68 2 2 3" xfId="8488" xr:uid="{FBB4E0F7-A5A9-4D50-A611-435B3C96DE10}"/>
    <cellStyle name="Normal 68 2 2 3 2" xfId="10557" xr:uid="{960A61A3-8825-4B91-930F-2F927D3BD0AF}"/>
    <cellStyle name="Normal 68 2 2 3 2 2" xfId="14763" xr:uid="{6E94C091-9322-4B65-937E-54BB7B27C47B}"/>
    <cellStyle name="Normal 68 2 2 3 3" xfId="12734" xr:uid="{3DF1DE04-50CF-432D-83A3-B5842E0DD1BC}"/>
    <cellStyle name="Normal 68 2 2 4" xfId="9161" xr:uid="{01A1019A-5AEE-4B1A-A603-97D2D5D913A8}"/>
    <cellStyle name="Normal 68 2 2 4 2" xfId="11230" xr:uid="{45687360-11D3-4AB1-A188-4341A5E473ED}"/>
    <cellStyle name="Normal 68 2 2 4 2 2" xfId="15436" xr:uid="{F83B45C6-8683-449C-863E-8192E4D98AD3}"/>
    <cellStyle name="Normal 68 2 2 4 3" xfId="13407" xr:uid="{2F5E9BAB-8929-424C-9950-E9F3FE31F25E}"/>
    <cellStyle name="Normal 68 2 2 5" xfId="9529" xr:uid="{9627E0E9-A3D3-490E-BC76-5E6B004DE018}"/>
    <cellStyle name="Normal 68 2 2 5 2" xfId="11563" xr:uid="{E6C585B0-ABCC-45AF-BC8C-0D2AAA726A75}"/>
    <cellStyle name="Normal 68 2 2 5 2 2" xfId="15769" xr:uid="{48B92F9B-267A-47AB-87A2-4E97E304E482}"/>
    <cellStyle name="Normal 68 2 2 5 3" xfId="13740" xr:uid="{54BE3ECE-41DA-4213-B535-E69D1992D3C0}"/>
    <cellStyle name="Normal 68 2 2 6" xfId="9887" xr:uid="{9CADF1A7-4D2B-4698-BB76-6F1610EDA56E}"/>
    <cellStyle name="Normal 68 2 2 6 2" xfId="14093" xr:uid="{5177B965-01C9-46F7-84A2-AC885E7A1FC2}"/>
    <cellStyle name="Normal 68 2 2 7" xfId="12064" xr:uid="{7C4CFBFD-0DF5-45A9-A2B7-C15017311F5D}"/>
    <cellStyle name="Normal 68 2 3" xfId="7989" xr:uid="{43E2BA87-BEC8-463A-B6B4-F1F4114CDB25}"/>
    <cellStyle name="Normal 68 2 3 2" xfId="8659" xr:uid="{CBBAC1B7-8460-4707-B41F-84F88A863F9E}"/>
    <cellStyle name="Normal 68 2 3 2 2" xfId="10728" xr:uid="{7F4136E5-4CB6-4B6A-BB4F-5EA0795CC8BB}"/>
    <cellStyle name="Normal 68 2 3 2 2 2" xfId="14934" xr:uid="{26E38477-B70F-44CB-9A6F-65591BB417F8}"/>
    <cellStyle name="Normal 68 2 3 2 3" xfId="12905" xr:uid="{9B03A504-AF89-4763-88FA-6BF06C9302CC}"/>
    <cellStyle name="Normal 68 2 3 3" xfId="10058" xr:uid="{2832F44D-C57F-4F79-9573-7DCF1229A4D9}"/>
    <cellStyle name="Normal 68 2 3 3 2" xfId="14264" xr:uid="{48E45AE0-FBCC-4F46-86D2-3323404DA025}"/>
    <cellStyle name="Normal 68 2 3 4" xfId="12235" xr:uid="{C91EB3DB-DB93-4000-9B08-2FACD7B8544F}"/>
    <cellStyle name="Normal 68 2 4" xfId="8325" xr:uid="{0F7E0910-85A1-40F0-B9AB-D9EDAF1F6302}"/>
    <cellStyle name="Normal 68 2 4 2" xfId="10394" xr:uid="{60E84FFF-AC6A-4AEE-B8FE-F9CBB60CD952}"/>
    <cellStyle name="Normal 68 2 4 2 2" xfId="14600" xr:uid="{178FE956-88F9-4793-8D3F-83F68483D806}"/>
    <cellStyle name="Normal 68 2 4 3" xfId="12571" xr:uid="{3525A3CC-EDD7-4858-80F0-D2704D82F5C1}"/>
    <cellStyle name="Normal 68 2 5" xfId="8998" xr:uid="{BA1BB09C-67AE-4D53-AEB9-F065A79BE04E}"/>
    <cellStyle name="Normal 68 2 5 2" xfId="11067" xr:uid="{72D33ACE-B1B8-4A37-AF5E-DD6A4A74502E}"/>
    <cellStyle name="Normal 68 2 5 2 2" xfId="15273" xr:uid="{A121F988-9F90-47C8-AE59-DF0C2ED7AF94}"/>
    <cellStyle name="Normal 68 2 5 3" xfId="13244" xr:uid="{826BD202-20AB-42B4-A44C-4FE8941AADAF}"/>
    <cellStyle name="Normal 68 2 6" xfId="9366" xr:uid="{8A81B5B1-7D12-4F09-B7AF-D6E2E0988B6F}"/>
    <cellStyle name="Normal 68 2 6 2" xfId="11400" xr:uid="{137AD280-3BA3-45C0-9276-CE93A59D437F}"/>
    <cellStyle name="Normal 68 2 6 2 2" xfId="15606" xr:uid="{DD1B7755-7FCD-489E-BA8C-4F49798D64D5}"/>
    <cellStyle name="Normal 68 2 6 3" xfId="13577" xr:uid="{12B880BF-91FE-4195-BCA4-61DDF18EDCD2}"/>
    <cellStyle name="Normal 68 2 7" xfId="9724" xr:uid="{BA380976-AE5C-4F62-8E2B-579F6C3415F2}"/>
    <cellStyle name="Normal 68 2 7 2" xfId="13930" xr:uid="{7F4FD104-80D0-4D9C-A096-0F8D4C40896E}"/>
    <cellStyle name="Normal 68 2 8" xfId="11901" xr:uid="{F46E2445-334C-4344-BFB8-56D32B0CEBF2}"/>
    <cellStyle name="Normal 68 3" xfId="7740" xr:uid="{43B656E9-70E8-452A-B465-156FC647519C}"/>
    <cellStyle name="Normal 68 3 2" xfId="8111" xr:uid="{3C9E846B-E2C0-416B-A6F6-06161BED54F6}"/>
    <cellStyle name="Normal 68 3 2 2" xfId="8781" xr:uid="{4BF7D800-7713-424F-AD80-80E884EAAE6B}"/>
    <cellStyle name="Normal 68 3 2 2 2" xfId="10850" xr:uid="{9470058A-9007-4C86-8078-610833EBE147}"/>
    <cellStyle name="Normal 68 3 2 2 2 2" xfId="15056" xr:uid="{9B0CCAB5-35C7-46BF-97E0-0C70517A0620}"/>
    <cellStyle name="Normal 68 3 2 2 3" xfId="13027" xr:uid="{E59503EB-8A8D-4311-BF55-A0C51D854D8A}"/>
    <cellStyle name="Normal 68 3 2 3" xfId="10180" xr:uid="{727CE7B1-5E07-4455-ACC9-ABAC56D6369D}"/>
    <cellStyle name="Normal 68 3 2 3 2" xfId="14386" xr:uid="{098C6D9F-D539-463B-9520-86C2B49E73B3}"/>
    <cellStyle name="Normal 68 3 2 4" xfId="12357" xr:uid="{07B27536-C54C-4706-BECE-8CA0FBDBBBFC}"/>
    <cellStyle name="Normal 68 3 3" xfId="8447" xr:uid="{758995B0-719E-4B12-8386-FF24623BBBD9}"/>
    <cellStyle name="Normal 68 3 3 2" xfId="10516" xr:uid="{35D211F6-C94D-424F-A074-3268E4B6355E}"/>
    <cellStyle name="Normal 68 3 3 2 2" xfId="14722" xr:uid="{4921E80E-3E17-4EA0-8B4F-A37317CBBA85}"/>
    <cellStyle name="Normal 68 3 3 3" xfId="12693" xr:uid="{05FD5602-5C17-402A-ACA3-662F47C9B796}"/>
    <cellStyle name="Normal 68 3 4" xfId="9120" xr:uid="{B532A562-2AAB-4FB0-833E-FC5CA38B1EB4}"/>
    <cellStyle name="Normal 68 3 4 2" xfId="11189" xr:uid="{0E935E58-99FE-439A-AC4D-CBA115F83AE0}"/>
    <cellStyle name="Normal 68 3 4 2 2" xfId="15395" xr:uid="{264A1968-22E7-4D74-B673-9F7F2BA9DD49}"/>
    <cellStyle name="Normal 68 3 4 3" xfId="13366" xr:uid="{6BA392B0-4E8B-43D3-9C73-F4A10024261C}"/>
    <cellStyle name="Normal 68 3 5" xfId="9488" xr:uid="{670E6E95-4D5C-4E6A-AD3A-38A9F754E419}"/>
    <cellStyle name="Normal 68 3 5 2" xfId="11522" xr:uid="{BC280988-2F3E-47BE-B6BD-D7157D2A8B28}"/>
    <cellStyle name="Normal 68 3 5 2 2" xfId="15728" xr:uid="{399E1CFF-BC14-43F7-9661-3B10299E6A99}"/>
    <cellStyle name="Normal 68 3 5 3" xfId="13699" xr:uid="{0423E3E1-AB9E-4552-91C1-48455E3C1B4C}"/>
    <cellStyle name="Normal 68 3 6" xfId="9846" xr:uid="{77AB2508-7F5B-4638-8E63-F7EEAD1D7227}"/>
    <cellStyle name="Normal 68 3 6 2" xfId="14052" xr:uid="{FE8D214A-45D9-4332-A4A2-4DDEE0E08779}"/>
    <cellStyle name="Normal 68 3 7" xfId="12023" xr:uid="{1510157B-8570-4FB3-A497-A4D52448C366}"/>
    <cellStyle name="Normal 68 4" xfId="7948" xr:uid="{91AF289B-709D-43FF-9EAF-2D315556D7E4}"/>
    <cellStyle name="Normal 68 4 2" xfId="8618" xr:uid="{FC9CC141-874A-4A0A-B95C-63FD70A1B400}"/>
    <cellStyle name="Normal 68 4 2 2" xfId="10687" xr:uid="{693D211D-6FFC-4150-B3F0-BD5338DCF06B}"/>
    <cellStyle name="Normal 68 4 2 2 2" xfId="14893" xr:uid="{2EFED1F2-49F1-44AA-BC31-AA34F686A7A0}"/>
    <cellStyle name="Normal 68 4 2 3" xfId="12864" xr:uid="{56F6C32A-C90E-4419-A764-2C28A96FE36D}"/>
    <cellStyle name="Normal 68 4 3" xfId="10017" xr:uid="{E76B32B7-D283-4AE6-AF93-AA64C2240044}"/>
    <cellStyle name="Normal 68 4 3 2" xfId="14223" xr:uid="{52A9BD35-3A28-4CBC-A5E2-6B09E7632559}"/>
    <cellStyle name="Normal 68 4 4" xfId="12194" xr:uid="{3E9ABEEB-F1AF-4F4C-8C31-B521E411079F}"/>
    <cellStyle name="Normal 68 5" xfId="8284" xr:uid="{629CF4D7-4C1E-4A65-8D09-06960783DE89}"/>
    <cellStyle name="Normal 68 5 2" xfId="10353" xr:uid="{F90FFD89-68EF-4FEA-9317-4B1CCEFEEEBF}"/>
    <cellStyle name="Normal 68 5 2 2" xfId="14559" xr:uid="{A5D01E8A-B264-4A2C-A6CD-545437C2A821}"/>
    <cellStyle name="Normal 68 5 3" xfId="12530" xr:uid="{BB041F7E-B46C-447C-9F49-F4E28F0B5AE5}"/>
    <cellStyle name="Normal 68 6" xfId="8957" xr:uid="{55990DB2-D4EC-4FB0-83C8-D09DBFACBF42}"/>
    <cellStyle name="Normal 68 6 2" xfId="11026" xr:uid="{58E70D9D-1F42-4C79-913C-FD50EA1CFD16}"/>
    <cellStyle name="Normal 68 6 2 2" xfId="15232" xr:uid="{9696F36F-6C28-4B8D-BAC4-0FF249489410}"/>
    <cellStyle name="Normal 68 6 3" xfId="13203" xr:uid="{A1AE5E41-1231-4A47-B051-305CEE737C50}"/>
    <cellStyle name="Normal 68 7" xfId="9325" xr:uid="{4442D0FA-47E3-46C3-9E57-38C8442F5E81}"/>
    <cellStyle name="Normal 68 7 2" xfId="11359" xr:uid="{FBE51959-5DE4-4696-8C90-5254B2EA33BA}"/>
    <cellStyle name="Normal 68 7 2 2" xfId="15565" xr:uid="{FDC52515-5430-41CB-9601-A9EBC0A48EF3}"/>
    <cellStyle name="Normal 68 7 3" xfId="13536" xr:uid="{31A21BBC-4B37-4A82-AFED-B6392D11236C}"/>
    <cellStyle name="Normal 68 8" xfId="9683" xr:uid="{8E580EAA-1877-4659-986D-E7ACEBB405B7}"/>
    <cellStyle name="Normal 68 8 2" xfId="13889" xr:uid="{F02F7CC6-C31A-4DB1-9E0D-A3042F42467A}"/>
    <cellStyle name="Normal 68 9" xfId="11860" xr:uid="{586DE2A5-6D87-4E72-AF58-F735266468AA}"/>
    <cellStyle name="Normal 69" xfId="7540" xr:uid="{EE621307-ED42-45DE-9705-E6339DC5B3A5}"/>
    <cellStyle name="Normal 69 2" xfId="7583" xr:uid="{DA8AAF82-DC63-4609-A0E8-50BA82F68728}"/>
    <cellStyle name="Normal 69 2 2" xfId="7782" xr:uid="{535757CF-B835-4720-967E-4ADC359804E0}"/>
    <cellStyle name="Normal 69 2 2 2" xfId="8153" xr:uid="{CFA7586F-E1DC-40F7-8AB5-666B75BFCA6C}"/>
    <cellStyle name="Normal 69 2 2 2 2" xfId="8823" xr:uid="{BDF4776C-1996-4D28-8384-74B0BA81BC4B}"/>
    <cellStyle name="Normal 69 2 2 2 2 2" xfId="10892" xr:uid="{988E2193-BE8F-4157-97C7-32720DA784EA}"/>
    <cellStyle name="Normal 69 2 2 2 2 2 2" xfId="15098" xr:uid="{2701E62B-57F5-496F-A348-9AE8283359D2}"/>
    <cellStyle name="Normal 69 2 2 2 2 3" xfId="13069" xr:uid="{A9E280F2-15BD-4F96-9DF3-E705A3B6AAA1}"/>
    <cellStyle name="Normal 69 2 2 2 3" xfId="10222" xr:uid="{54C0174E-4D69-4493-B765-2A9E68055CC3}"/>
    <cellStyle name="Normal 69 2 2 2 3 2" xfId="14428" xr:uid="{49FB1A1E-FDF9-4FA1-88C9-0F2E15ACC488}"/>
    <cellStyle name="Normal 69 2 2 2 4" xfId="12399" xr:uid="{23D5864E-8316-4F5E-A3C2-5C2D396037F9}"/>
    <cellStyle name="Normal 69 2 2 3" xfId="8489" xr:uid="{214CCF5A-97D0-428B-A95D-F7D77EF1E70F}"/>
    <cellStyle name="Normal 69 2 2 3 2" xfId="10558" xr:uid="{9E52C7CB-BFBE-4CA8-9BCF-1F3C07A70373}"/>
    <cellStyle name="Normal 69 2 2 3 2 2" xfId="14764" xr:uid="{E8A292EC-C0E1-46FA-87B3-CBA77A844CFE}"/>
    <cellStyle name="Normal 69 2 2 3 3" xfId="12735" xr:uid="{4E6CA6D3-19F3-40FF-BE22-B6734C4266F5}"/>
    <cellStyle name="Normal 69 2 2 4" xfId="9162" xr:uid="{ED663E74-C821-4315-97B1-6ABEEFA063C2}"/>
    <cellStyle name="Normal 69 2 2 4 2" xfId="11231" xr:uid="{D465141B-7F78-4B39-A2FD-4296F93C3453}"/>
    <cellStyle name="Normal 69 2 2 4 2 2" xfId="15437" xr:uid="{2301DA3A-405B-41DF-AE33-EF8C5C11AFF1}"/>
    <cellStyle name="Normal 69 2 2 4 3" xfId="13408" xr:uid="{454F72EA-836B-4CCA-A531-C0B49E675D6D}"/>
    <cellStyle name="Normal 69 2 2 5" xfId="9530" xr:uid="{85DA66DD-5AA6-4A6A-97F4-F5C6E547E46F}"/>
    <cellStyle name="Normal 69 2 2 5 2" xfId="11564" xr:uid="{224736C9-628C-4447-B4FA-9D35ABD0073F}"/>
    <cellStyle name="Normal 69 2 2 5 2 2" xfId="15770" xr:uid="{3F32250A-F4CA-48B6-AB4C-C26FE78AB24A}"/>
    <cellStyle name="Normal 69 2 2 5 3" xfId="13741" xr:uid="{D9A35A47-2553-46A1-8558-7016D75ECE8F}"/>
    <cellStyle name="Normal 69 2 2 6" xfId="9888" xr:uid="{F74F3297-3778-424E-9E7B-FE6AFB0AF36D}"/>
    <cellStyle name="Normal 69 2 2 6 2" xfId="14094" xr:uid="{420D389C-3DCF-40D4-BD9F-793F5879C02E}"/>
    <cellStyle name="Normal 69 2 2 7" xfId="12065" xr:uid="{A0405F72-A300-4224-BA53-76AAEC6A04A9}"/>
    <cellStyle name="Normal 69 2 3" xfId="7990" xr:uid="{0E140AE0-589E-459D-923C-EE0434989609}"/>
    <cellStyle name="Normal 69 2 3 2" xfId="8660" xr:uid="{F8894F2D-88E2-4F0C-8BCE-33671310C13D}"/>
    <cellStyle name="Normal 69 2 3 2 2" xfId="10729" xr:uid="{6AA4C20E-66D0-4E7C-918A-4A7A2AAA7036}"/>
    <cellStyle name="Normal 69 2 3 2 2 2" xfId="14935" xr:uid="{88301F70-CAA6-403B-99BB-2C9571450D8E}"/>
    <cellStyle name="Normal 69 2 3 2 3" xfId="12906" xr:uid="{A3B44D43-83BE-45C5-B7DE-3277B98E1357}"/>
    <cellStyle name="Normal 69 2 3 3" xfId="10059" xr:uid="{43B46EE7-7F74-47D6-8C9C-5F52F5F0FE53}"/>
    <cellStyle name="Normal 69 2 3 3 2" xfId="14265" xr:uid="{7FF6377C-552A-471A-AF9F-6E2FD9FD3F24}"/>
    <cellStyle name="Normal 69 2 3 4" xfId="12236" xr:uid="{16E2E83D-A2A5-4133-9FFF-64DB3936C8B1}"/>
    <cellStyle name="Normal 69 2 4" xfId="8326" xr:uid="{E7BD3F59-56A7-4E41-B681-838B3FD54A19}"/>
    <cellStyle name="Normal 69 2 4 2" xfId="10395" xr:uid="{E0022316-C70A-4D07-B1AC-8749FE9AF965}"/>
    <cellStyle name="Normal 69 2 4 2 2" xfId="14601" xr:uid="{830E91DE-5E7D-45E2-B894-E24A368E623F}"/>
    <cellStyle name="Normal 69 2 4 3" xfId="12572" xr:uid="{2BD2C97B-ACA6-4C5C-8AA2-B230F45C7A3C}"/>
    <cellStyle name="Normal 69 2 5" xfId="8999" xr:uid="{AEC19E92-5066-427F-9CF3-76D0ADDFCC16}"/>
    <cellStyle name="Normal 69 2 5 2" xfId="11068" xr:uid="{E9CBABB0-A125-4ECE-BE99-A0FBB4973743}"/>
    <cellStyle name="Normal 69 2 5 2 2" xfId="15274" xr:uid="{E1C746F2-280C-4639-A65C-8273502400F2}"/>
    <cellStyle name="Normal 69 2 5 3" xfId="13245" xr:uid="{733C3A91-992F-43DF-AA3F-A747486CC44D}"/>
    <cellStyle name="Normal 69 2 6" xfId="9367" xr:uid="{3BFB8918-1C34-48CB-B348-CBF8A271B4DC}"/>
    <cellStyle name="Normal 69 2 6 2" xfId="11401" xr:uid="{566A35AD-02F7-4E11-91F6-E3A52E09964D}"/>
    <cellStyle name="Normal 69 2 6 2 2" xfId="15607" xr:uid="{D5DADC5E-5ADF-4850-A215-0563BBD7B603}"/>
    <cellStyle name="Normal 69 2 6 3" xfId="13578" xr:uid="{772EB4CD-A2A2-465D-946E-2CDE16041159}"/>
    <cellStyle name="Normal 69 2 7" xfId="9725" xr:uid="{F6F7F87C-0C62-4A18-B71E-D652B1F2631C}"/>
    <cellStyle name="Normal 69 2 7 2" xfId="13931" xr:uid="{ABCEB1E4-31F3-4390-8C8A-F2B499BDE0FD}"/>
    <cellStyle name="Normal 69 2 8" xfId="11902" xr:uid="{6F016A2C-DED1-48B3-A459-5882CF8BBDC0}"/>
    <cellStyle name="Normal 69 3" xfId="7741" xr:uid="{B63565C5-136E-4E45-B039-CD9F0EF9444E}"/>
    <cellStyle name="Normal 69 3 2" xfId="8112" xr:uid="{0E9ADFFC-0ED2-4469-892E-BC4FD4E04987}"/>
    <cellStyle name="Normal 69 3 2 2" xfId="8782" xr:uid="{8A27D2A1-5E2A-45F9-8D78-8DA76A223390}"/>
    <cellStyle name="Normal 69 3 2 2 2" xfId="10851" xr:uid="{FAA68B46-0ABC-4ED8-B300-F55D65B72208}"/>
    <cellStyle name="Normal 69 3 2 2 2 2" xfId="15057" xr:uid="{1D559C17-85CB-4FEA-94DB-B9B0C05547F5}"/>
    <cellStyle name="Normal 69 3 2 2 3" xfId="13028" xr:uid="{4E7C13C3-502E-4669-8189-C3822A5DB1B8}"/>
    <cellStyle name="Normal 69 3 2 3" xfId="10181" xr:uid="{3D55123F-C876-47CA-A7B4-2ADE30CE425E}"/>
    <cellStyle name="Normal 69 3 2 3 2" xfId="14387" xr:uid="{D77BFB15-76A3-4E3E-A365-77484A2AF6C8}"/>
    <cellStyle name="Normal 69 3 2 4" xfId="12358" xr:uid="{66783C24-9DDE-49D9-83C9-2F7CA3D0AE5B}"/>
    <cellStyle name="Normal 69 3 3" xfId="8448" xr:uid="{8C96DB6D-80D1-4A8C-B843-748EE0AF206D}"/>
    <cellStyle name="Normal 69 3 3 2" xfId="10517" xr:uid="{5B03B128-7BDC-4710-9644-3FCB4FF9558F}"/>
    <cellStyle name="Normal 69 3 3 2 2" xfId="14723" xr:uid="{7B6F6D4C-22A6-4563-ADE9-BD818B06613D}"/>
    <cellStyle name="Normal 69 3 3 3" xfId="12694" xr:uid="{10809451-F282-4FAD-ACA5-B5185F39B832}"/>
    <cellStyle name="Normal 69 3 4" xfId="9121" xr:uid="{4C5B02F5-A4A0-425C-9CF1-A7F2ACD5DA24}"/>
    <cellStyle name="Normal 69 3 4 2" xfId="11190" xr:uid="{7DC530B3-BC89-459E-A0C8-60C943A4DC9A}"/>
    <cellStyle name="Normal 69 3 4 2 2" xfId="15396" xr:uid="{6E277B8D-21CB-4575-AB5D-6E9C4028B973}"/>
    <cellStyle name="Normal 69 3 4 3" xfId="13367" xr:uid="{C0E61CBA-2D81-4892-A54B-84418E899758}"/>
    <cellStyle name="Normal 69 3 5" xfId="9489" xr:uid="{AA2E9EDF-8505-44CA-8896-305BA1BE2663}"/>
    <cellStyle name="Normal 69 3 5 2" xfId="11523" xr:uid="{567933EF-4C50-49AD-96D2-8B66BB822878}"/>
    <cellStyle name="Normal 69 3 5 2 2" xfId="15729" xr:uid="{057CE6F5-862B-4F24-A6DB-7697A94649BC}"/>
    <cellStyle name="Normal 69 3 5 3" xfId="13700" xr:uid="{30FCBEF1-60B5-43D0-B255-F8FCBC99ABE6}"/>
    <cellStyle name="Normal 69 3 6" xfId="9847" xr:uid="{0420C87C-5EAE-4875-A861-3C2AA80B6DCE}"/>
    <cellStyle name="Normal 69 3 6 2" xfId="14053" xr:uid="{07107416-09AC-4D57-BA2B-3F80AC064B5A}"/>
    <cellStyle name="Normal 69 3 7" xfId="12024" xr:uid="{2C539CB8-1631-4F4C-8391-B8FDD695D253}"/>
    <cellStyle name="Normal 69 4" xfId="7949" xr:uid="{896D32A7-8A28-49E6-B5A1-14F2F306E7F2}"/>
    <cellStyle name="Normal 69 4 2" xfId="8619" xr:uid="{B7C75A6D-F5D1-43BE-A562-4D093F306EF0}"/>
    <cellStyle name="Normal 69 4 2 2" xfId="10688" xr:uid="{FE88AE20-1FB9-4FD1-8A01-C979B00E2E09}"/>
    <cellStyle name="Normal 69 4 2 2 2" xfId="14894" xr:uid="{0C39EA80-8070-4058-B344-5FB346D0D2D9}"/>
    <cellStyle name="Normal 69 4 2 3" xfId="12865" xr:uid="{5B940FAC-6AB7-4625-82F3-541582B48868}"/>
    <cellStyle name="Normal 69 4 3" xfId="10018" xr:uid="{596838E6-B2A1-4BC4-BA6C-ED830BDCD0CD}"/>
    <cellStyle name="Normal 69 4 3 2" xfId="14224" xr:uid="{D734F604-3F21-4A20-8A9A-AB4D698406FA}"/>
    <cellStyle name="Normal 69 4 4" xfId="12195" xr:uid="{3D49ACB9-6F3F-40F2-A13F-A3CB879476C8}"/>
    <cellStyle name="Normal 69 5" xfId="8285" xr:uid="{097CF781-7691-4653-9436-A0D18E6FE8DF}"/>
    <cellStyle name="Normal 69 5 2" xfId="10354" xr:uid="{4BFEE3E0-D734-4A83-9830-63E20EA77CAE}"/>
    <cellStyle name="Normal 69 5 2 2" xfId="14560" xr:uid="{3B30936C-00C9-401A-BC0D-C25529E72AF3}"/>
    <cellStyle name="Normal 69 5 3" xfId="12531" xr:uid="{3640FD0D-3DC4-4AA9-BB54-970CB0E8A36A}"/>
    <cellStyle name="Normal 69 6" xfId="8958" xr:uid="{0DFB87F5-21D6-4D17-831E-7224DC4E9FBF}"/>
    <cellStyle name="Normal 69 6 2" xfId="11027" xr:uid="{3766C4AB-2977-48EF-9EE5-8365DF4F04B2}"/>
    <cellStyle name="Normal 69 6 2 2" xfId="15233" xr:uid="{BD5C437B-DEDD-4C6E-A13C-F54DF8F0CE82}"/>
    <cellStyle name="Normal 69 6 3" xfId="13204" xr:uid="{FD7E113B-24EC-4B87-8AE7-68D24BCE3507}"/>
    <cellStyle name="Normal 69 7" xfId="9326" xr:uid="{28FF8480-C518-41C6-ACA4-A6A04D445174}"/>
    <cellStyle name="Normal 69 7 2" xfId="11360" xr:uid="{87A77BC5-4786-484F-91C1-D53522094AB3}"/>
    <cellStyle name="Normal 69 7 2 2" xfId="15566" xr:uid="{A417F6B3-5E5B-4D4C-997D-88A4F57DD694}"/>
    <cellStyle name="Normal 69 7 3" xfId="13537" xr:uid="{F576668A-F10D-4EBF-AACF-D1368732D971}"/>
    <cellStyle name="Normal 69 8" xfId="9684" xr:uid="{4D312E4C-96BA-4818-AAD8-9B7A3CE6ADB0}"/>
    <cellStyle name="Normal 69 8 2" xfId="13890" xr:uid="{FCF423AF-2D0B-4EA3-8849-32ED3D866FB0}"/>
    <cellStyle name="Normal 69 9" xfId="11861" xr:uid="{E70C1D29-0BF0-498C-A8E8-2A66F9CB262D}"/>
    <cellStyle name="Normal 7" xfId="5856" xr:uid="{3394EAB6-A751-412A-A1F4-99A075DC0D97}"/>
    <cellStyle name="Normal 7 10" xfId="5857" xr:uid="{4DC383E4-1365-4DD7-8A7A-03B804011435}"/>
    <cellStyle name="Normal 7 10 2" xfId="5858" xr:uid="{5A0757D9-7703-49B7-9C51-C0F7E78F837A}"/>
    <cellStyle name="Normal 7 10 2 2" xfId="5859" xr:uid="{BA52D89D-460C-4305-944A-5345D2425623}"/>
    <cellStyle name="Normal 7 10 3" xfId="5860" xr:uid="{D5647377-7E3E-4EED-A551-10652D9B0521}"/>
    <cellStyle name="Normal 7 11" xfId="5861" xr:uid="{250F3920-9022-4C66-919B-996663C6CE07}"/>
    <cellStyle name="Normal 7 11 2" xfId="5862" xr:uid="{79FCD29B-A1FE-4919-A9EE-7C618BEC863C}"/>
    <cellStyle name="Normal 7 11 2 2" xfId="5863" xr:uid="{FDFEC7B4-2919-4DC6-ADD4-6C1FC2AA2867}"/>
    <cellStyle name="Normal 7 11 3" xfId="5864" xr:uid="{514B09B0-3B81-4E41-8125-95C8AE6CE69D}"/>
    <cellStyle name="Normal 7 12" xfId="5865" xr:uid="{7B4E5AFB-EB39-4994-A9A8-EA8CF4DA6512}"/>
    <cellStyle name="Normal 7 12 2" xfId="5866" xr:uid="{1B3A7246-B723-4F56-85EB-A49B59BC5462}"/>
    <cellStyle name="Normal 7 12 2 2" xfId="5867" xr:uid="{FA08D827-99E7-4C7B-990A-1059519363DB}"/>
    <cellStyle name="Normal 7 12 3" xfId="5868" xr:uid="{E09E79D1-FE2B-4886-BA65-A972374A2B8C}"/>
    <cellStyle name="Normal 7 13" xfId="5869" xr:uid="{7B6F38B2-671E-413B-9FBC-7009540625EA}"/>
    <cellStyle name="Normal 7 13 2" xfId="5870" xr:uid="{693F328D-E461-4705-8B03-CA75D5F7AF19}"/>
    <cellStyle name="Normal 7 14" xfId="5871" xr:uid="{4A08D442-7294-45B6-9F9E-8E17B8A60882}"/>
    <cellStyle name="Normal 7 15" xfId="7663" xr:uid="{25329E97-28DF-4A27-9C55-8221F5BB863A}"/>
    <cellStyle name="Normal 7 15 2" xfId="7852" xr:uid="{E5AFF88B-1BE1-4D08-9891-AB6E088A8371}"/>
    <cellStyle name="Normal 7 15 2 2" xfId="8222" xr:uid="{9AAA64C0-7FCD-480A-B2FF-37E4E1B1A42F}"/>
    <cellStyle name="Normal 7 15 2 2 2" xfId="8892" xr:uid="{2D1F595D-8555-4C69-AA6D-42B088F9D83D}"/>
    <cellStyle name="Normal 7 15 2 2 2 2" xfId="10961" xr:uid="{B896AB2C-B0EE-41E3-9CBD-AEF1B643D836}"/>
    <cellStyle name="Normal 7 15 2 2 2 2 2" xfId="15167" xr:uid="{D4CF373C-6702-49B2-AAEB-5D304DF3866A}"/>
    <cellStyle name="Normal 7 15 2 2 2 3" xfId="13138" xr:uid="{C84405D7-D1EE-43B3-8D2A-773B5A9EF8FC}"/>
    <cellStyle name="Normal 7 15 2 2 3" xfId="10291" xr:uid="{19BAC0F0-03A2-48A9-A2EC-3F54D61B2B43}"/>
    <cellStyle name="Normal 7 15 2 2 3 2" xfId="14497" xr:uid="{4081EC69-6EA9-4296-A54E-93B09338ED89}"/>
    <cellStyle name="Normal 7 15 2 2 4" xfId="12468" xr:uid="{B4DBDD66-61AB-4108-82F4-26D883A736A4}"/>
    <cellStyle name="Normal 7 15 2 3" xfId="8558" xr:uid="{1C9D5DC1-9769-461C-980F-E2EC714C0622}"/>
    <cellStyle name="Normal 7 15 2 3 2" xfId="10627" xr:uid="{8F6C723B-A5DB-4B07-926C-8D77412DABF3}"/>
    <cellStyle name="Normal 7 15 2 3 2 2" xfId="14833" xr:uid="{A22C9660-7402-46D4-9399-07CC10EB94EB}"/>
    <cellStyle name="Normal 7 15 2 3 3" xfId="12804" xr:uid="{5C902AAD-5FDD-4799-A68C-900622D71331}"/>
    <cellStyle name="Normal 7 15 2 4" xfId="9231" xr:uid="{6E133F24-7570-4447-A2B9-478B66A7393E}"/>
    <cellStyle name="Normal 7 15 2 4 2" xfId="11300" xr:uid="{1CF59182-B5B8-481E-B43D-CAEFCC4A903A}"/>
    <cellStyle name="Normal 7 15 2 4 2 2" xfId="15506" xr:uid="{F0AD2A24-56C4-4E91-AB05-2BAC0CC8B92D}"/>
    <cellStyle name="Normal 7 15 2 4 3" xfId="13477" xr:uid="{5182853C-615B-4692-B51B-643C77A8CF47}"/>
    <cellStyle name="Normal 7 15 2 5" xfId="9599" xr:uid="{38F8D2F4-C50D-4417-B75E-73D20E921F3D}"/>
    <cellStyle name="Normal 7 15 2 5 2" xfId="11633" xr:uid="{798BEE9A-8E77-44D2-A298-0B51A919D7B1}"/>
    <cellStyle name="Normal 7 15 2 5 2 2" xfId="15839" xr:uid="{F85D30DA-27E8-4873-9B2F-C52586B224BB}"/>
    <cellStyle name="Normal 7 15 2 5 3" xfId="13810" xr:uid="{84E981EA-8476-43EC-A583-497EE628006A}"/>
    <cellStyle name="Normal 7 15 2 6" xfId="9957" xr:uid="{404BC116-684B-4198-9975-C8F618BFAF53}"/>
    <cellStyle name="Normal 7 15 2 6 2" xfId="14163" xr:uid="{B5F24737-BBC4-40AF-B18C-24F5C5ED0AAA}"/>
    <cellStyle name="Normal 7 15 2 7" xfId="12134" xr:uid="{FBE7A7B7-5B31-4B42-B743-F34CE84C89F1}"/>
    <cellStyle name="Normal 7 15 3" xfId="8059" xr:uid="{C6D250B8-FDB9-4BA8-A0EC-F2BEE5BA4D86}"/>
    <cellStyle name="Normal 7 15 3 2" xfId="8729" xr:uid="{123C8611-627B-4F10-A4BB-4A1F8E8DA794}"/>
    <cellStyle name="Normal 7 15 3 2 2" xfId="10798" xr:uid="{3386D19B-16E5-430E-95A5-C53F982562BF}"/>
    <cellStyle name="Normal 7 15 3 2 2 2" xfId="15004" xr:uid="{1BD35F23-0364-45FA-9BA0-0276DB66623A}"/>
    <cellStyle name="Normal 7 15 3 2 3" xfId="12975" xr:uid="{767380DB-9649-49C7-AF38-4FDD3282DD70}"/>
    <cellStyle name="Normal 7 15 3 3" xfId="10128" xr:uid="{DC717FB2-2605-490A-A1BA-3310ECCD5307}"/>
    <cellStyle name="Normal 7 15 3 3 2" xfId="14334" xr:uid="{0A9A0C0A-ECF6-49D6-A80C-05F39DCF6DF6}"/>
    <cellStyle name="Normal 7 15 3 4" xfId="12305" xr:uid="{CF7D9068-C0E8-410B-B2E6-3E57E09AF7CE}"/>
    <cellStyle name="Normal 7 15 4" xfId="8395" xr:uid="{9B4502D5-B512-45DB-A2AD-87FAA31BBA4D}"/>
    <cellStyle name="Normal 7 15 4 2" xfId="10464" xr:uid="{C8EFFD8E-26CF-4E42-8486-F54463EE842F}"/>
    <cellStyle name="Normal 7 15 4 2 2" xfId="14670" xr:uid="{00E6A40C-B2A8-443E-A71A-A7385497644F}"/>
    <cellStyle name="Normal 7 15 4 3" xfId="12641" xr:uid="{724632AF-DF18-4DDA-8C63-DE8705988FC1}"/>
    <cellStyle name="Normal 7 15 5" xfId="9068" xr:uid="{5F1D5AD8-7681-497A-9CF8-EE2F93418A02}"/>
    <cellStyle name="Normal 7 15 5 2" xfId="11137" xr:uid="{78F70512-B24A-4151-A68B-3D5D574D6368}"/>
    <cellStyle name="Normal 7 15 5 2 2" xfId="15343" xr:uid="{8FC8DF2A-76DE-48BE-BC35-CA405F28F608}"/>
    <cellStyle name="Normal 7 15 5 3" xfId="13314" xr:uid="{09BA5A7A-EDC7-4046-BE00-E903F2C5FAB1}"/>
    <cellStyle name="Normal 7 15 6" xfId="9436" xr:uid="{33C02A08-FCE1-4AA5-A2CC-B3E79116990C}"/>
    <cellStyle name="Normal 7 15 6 2" xfId="11470" xr:uid="{93E4F726-33D2-458A-AAF5-1083D313076D}"/>
    <cellStyle name="Normal 7 15 6 2 2" xfId="15676" xr:uid="{245F1172-61DC-4158-A5EC-735A369380DF}"/>
    <cellStyle name="Normal 7 15 6 3" xfId="13647" xr:uid="{34E8B7B1-54EA-4E53-9001-410170A0905F}"/>
    <cellStyle name="Normal 7 15 7" xfId="9794" xr:uid="{628400D6-4A7F-442A-BF40-A51FC75FEB2B}"/>
    <cellStyle name="Normal 7 15 7 2" xfId="14000" xr:uid="{CBF5B0EC-70D2-49E5-96BE-F9DB1AE03ED6}"/>
    <cellStyle name="Normal 7 15 8" xfId="11971" xr:uid="{01EB2319-8E09-4B78-A122-022F8C26B317}"/>
    <cellStyle name="Normal 7 16" xfId="11670" xr:uid="{5D590669-C46E-43BD-A695-0EC01419AC33}"/>
    <cellStyle name="Normal 7 16 2" xfId="15875" xr:uid="{3043C76B-2C1B-4F8F-AD95-FF396B164037}"/>
    <cellStyle name="Normal 7 17" xfId="11706" xr:uid="{12A4946C-6614-45E5-935B-AB6A98B5DC81}"/>
    <cellStyle name="Normal 7 17 2" xfId="15910" xr:uid="{6EFA557A-562A-4F87-8F53-CC22AC2EB550}"/>
    <cellStyle name="Normal 7 18" xfId="11729" xr:uid="{244139F2-AFCB-4802-A12C-BC3BBCD9DDF7}"/>
    <cellStyle name="Normal 7 18 2" xfId="15933" xr:uid="{CF2C6045-8C45-47AC-A42D-B646409E505A}"/>
    <cellStyle name="Normal 7 19" xfId="11756" xr:uid="{A9532F17-5CD1-4106-A542-D9845ABA3A65}"/>
    <cellStyle name="Normal 7 19 2" xfId="15957" xr:uid="{EB3CDAF8-C697-4B63-B1F4-ABB012B398E8}"/>
    <cellStyle name="Normal 7 2" xfId="5872" xr:uid="{23735134-DEDA-4275-BCFE-967005CF0C4B}"/>
    <cellStyle name="Normal 7 2 10" xfId="5873" xr:uid="{7365F29E-8E62-4B09-898C-2176EAF3F31E}"/>
    <cellStyle name="Normal 7 2 10 2" xfId="5874" xr:uid="{3A4CD56A-01CC-48DF-930E-C3AE4D128CD4}"/>
    <cellStyle name="Normal 7 2 10 2 2" xfId="5875" xr:uid="{A3D8F791-4420-4353-AA86-EA25CCF1B1F5}"/>
    <cellStyle name="Normal 7 2 10 3" xfId="5876" xr:uid="{009A122E-3224-4606-9550-894A4548BD8E}"/>
    <cellStyle name="Normal 7 2 11" xfId="5877" xr:uid="{A47AD646-50DC-485E-AB60-41084814CBD2}"/>
    <cellStyle name="Normal 7 2 11 2" xfId="5878" xr:uid="{2CC5A370-BF56-4B8A-899F-8F2E34BE44FD}"/>
    <cellStyle name="Normal 7 2 11 2 2" xfId="5879" xr:uid="{29F7E13C-DBDB-4089-A34C-B6AB98BEE86C}"/>
    <cellStyle name="Normal 7 2 11 3" xfId="5880" xr:uid="{5D6B4DD2-7BDE-4031-8BBC-3B2A8925EF23}"/>
    <cellStyle name="Normal 7 2 12" xfId="5881" xr:uid="{8EE85B83-341C-460F-A4DC-98B8A4A72FA4}"/>
    <cellStyle name="Normal 7 2 12 2" xfId="5882" xr:uid="{84E450DA-554A-41E1-9B05-96A31D8AD4C3}"/>
    <cellStyle name="Normal 7 2 13" xfId="5883" xr:uid="{B97D1F71-2B72-449A-B059-C6163F7ADC55}"/>
    <cellStyle name="Normal 7 2 2" xfId="5884" xr:uid="{9F207F1A-29D1-44BA-AFCD-1EAAA2F2917C}"/>
    <cellStyle name="Normal 7 2 2 10" xfId="5885" xr:uid="{45E79507-02D8-4926-862F-2894E7119250}"/>
    <cellStyle name="Normal 7 2 2 10 2" xfId="5886" xr:uid="{0322552D-9963-46FE-AD9E-FC7B232D2710}"/>
    <cellStyle name="Normal 7 2 2 11" xfId="5887" xr:uid="{7A800CCF-6BA5-4091-8522-DE61E0921FF9}"/>
    <cellStyle name="Normal 7 2 2 2" xfId="5888" xr:uid="{C61D93D5-683E-4EFD-BDFA-26CE17325E59}"/>
    <cellStyle name="Normal 7 2 2 2 2" xfId="5889" xr:uid="{6F26784A-1B86-4E34-A126-22D5D1E16855}"/>
    <cellStyle name="Normal 7 2 2 2 2 2" xfId="5890" xr:uid="{F207C2A6-989C-42E4-9E85-7911426EC7FF}"/>
    <cellStyle name="Normal 7 2 2 2 2 2 2" xfId="5891" xr:uid="{517ACC46-7B15-4032-9DFA-FE402680476E}"/>
    <cellStyle name="Normal 7 2 2 2 2 2 2 2" xfId="5892" xr:uid="{FCE450BB-2B7F-436C-A241-3385A8CBED11}"/>
    <cellStyle name="Normal 7 2 2 2 2 2 2 2 2" xfId="5893" xr:uid="{03360B6C-620F-499A-984F-83425A6459D2}"/>
    <cellStyle name="Normal 7 2 2 2 2 2 2 3" xfId="5894" xr:uid="{05A4AC72-D39A-4E5E-927E-AD89F19AA7D1}"/>
    <cellStyle name="Normal 7 2 2 2 2 2 3" xfId="5895" xr:uid="{BA68FEA3-760E-46FF-970E-ED2525F00BA9}"/>
    <cellStyle name="Normal 7 2 2 2 2 2 3 2" xfId="5896" xr:uid="{C660C393-0AB7-468A-90A6-93EAA75DF150}"/>
    <cellStyle name="Normal 7 2 2 2 2 2 3 2 2" xfId="5897" xr:uid="{A2F6F4D2-4573-404A-86EC-B8DA539B742F}"/>
    <cellStyle name="Normal 7 2 2 2 2 2 3 3" xfId="5898" xr:uid="{83AF6502-D031-4562-AE7C-245787D50337}"/>
    <cellStyle name="Normal 7 2 2 2 2 2 4" xfId="5899" xr:uid="{26FC9FA4-E21B-4BD7-873B-CFC0CB3B5D48}"/>
    <cellStyle name="Normal 7 2 2 2 2 2 4 2" xfId="5900" xr:uid="{5DC1CF10-87F7-4F9A-A5B8-52CED3BB17D8}"/>
    <cellStyle name="Normal 7 2 2 2 2 2 4 2 2" xfId="5901" xr:uid="{A4BBBDC7-A1A3-4F84-A128-292EFC643EA6}"/>
    <cellStyle name="Normal 7 2 2 2 2 2 4 3" xfId="5902" xr:uid="{689F6812-3BDB-45C5-B614-F5199859E916}"/>
    <cellStyle name="Normal 7 2 2 2 2 2 5" xfId="5903" xr:uid="{5E716E1E-C75B-4BBC-AC2C-65EE3DD85985}"/>
    <cellStyle name="Normal 7 2 2 2 2 2 5 2" xfId="5904" xr:uid="{42791580-6806-4F84-8CEA-E809480FC459}"/>
    <cellStyle name="Normal 7 2 2 2 2 2 6" xfId="5905" xr:uid="{D6141264-E3FE-41ED-B506-4D2AC802D5D0}"/>
    <cellStyle name="Normal 7 2 2 2 2 3" xfId="5906" xr:uid="{336E7BFC-EB1E-4F31-9630-766F556790FD}"/>
    <cellStyle name="Normal 7 2 2 2 2 3 2" xfId="5907" xr:uid="{08019189-5113-4565-9E9C-27183CF8F9D1}"/>
    <cellStyle name="Normal 7 2 2 2 2 3 2 2" xfId="5908" xr:uid="{01FF318C-67B4-41C8-A7EE-30B1587668B5}"/>
    <cellStyle name="Normal 7 2 2 2 2 3 3" xfId="5909" xr:uid="{417AA4E6-90AB-4A33-A6DD-4EC58D7576F8}"/>
    <cellStyle name="Normal 7 2 2 2 2 4" xfId="5910" xr:uid="{8E279933-7A7D-4F3A-BAC6-A491A5D260F5}"/>
    <cellStyle name="Normal 7 2 2 2 2 4 2" xfId="5911" xr:uid="{B8BD9861-BF22-443C-804B-E2C20895F52A}"/>
    <cellStyle name="Normal 7 2 2 2 2 4 2 2" xfId="5912" xr:uid="{9A818363-38C9-4C99-B642-D8DB5188762F}"/>
    <cellStyle name="Normal 7 2 2 2 2 4 3" xfId="5913" xr:uid="{01124B33-C901-4F53-8AE9-B4569D9034DB}"/>
    <cellStyle name="Normal 7 2 2 2 2 5" xfId="5914" xr:uid="{C8095D78-BB8E-4476-AC8B-AE0F92CE3522}"/>
    <cellStyle name="Normal 7 2 2 2 2 5 2" xfId="5915" xr:uid="{9DA7EE9D-2518-497D-9AA8-9D2C3A73E41D}"/>
    <cellStyle name="Normal 7 2 2 2 2 5 2 2" xfId="5916" xr:uid="{59F75F95-5B63-48DC-8DC2-611DDFF2A042}"/>
    <cellStyle name="Normal 7 2 2 2 2 5 3" xfId="5917" xr:uid="{D74A39F0-2B07-441F-8E12-4B977788654E}"/>
    <cellStyle name="Normal 7 2 2 2 2 6" xfId="5918" xr:uid="{5F80BF4F-E4B1-4824-8CF0-1D0855F3DC5A}"/>
    <cellStyle name="Normal 7 2 2 2 2 6 2" xfId="5919" xr:uid="{D65E23F5-7C05-499E-80EF-160B96B36F7C}"/>
    <cellStyle name="Normal 7 2 2 2 2 7" xfId="5920" xr:uid="{61055E50-D80D-4A30-81E1-80E483C3EA81}"/>
    <cellStyle name="Normal 7 2 2 2 3" xfId="5921" xr:uid="{EA4C92D0-2CFB-47A3-8415-F01BE5337FBD}"/>
    <cellStyle name="Normal 7 2 2 2 3 2" xfId="5922" xr:uid="{E2E8125D-7BCA-40F5-B179-84DE52F483DC}"/>
    <cellStyle name="Normal 7 2 2 2 3 2 2" xfId="5923" xr:uid="{A040E59F-D0C6-44B4-976A-E71317B99DB6}"/>
    <cellStyle name="Normal 7 2 2 2 3 2 2 2" xfId="5924" xr:uid="{89970656-BB68-4761-B760-1E857A4E186D}"/>
    <cellStyle name="Normal 7 2 2 2 3 2 3" xfId="5925" xr:uid="{349688EB-639A-4935-B455-D777215CA0F1}"/>
    <cellStyle name="Normal 7 2 2 2 3 3" xfId="5926" xr:uid="{F7ADC8DF-18FB-417E-8BFF-E2E256DD06BD}"/>
    <cellStyle name="Normal 7 2 2 2 3 3 2" xfId="5927" xr:uid="{6936804D-C8C1-4CD0-8DD3-56901105B7E4}"/>
    <cellStyle name="Normal 7 2 2 2 3 3 2 2" xfId="5928" xr:uid="{69558849-766B-4362-A894-352FF912F44C}"/>
    <cellStyle name="Normal 7 2 2 2 3 3 3" xfId="5929" xr:uid="{6AAD0926-D4D1-465C-B12A-DFB88F40EA6F}"/>
    <cellStyle name="Normal 7 2 2 2 3 4" xfId="5930" xr:uid="{EC3425A4-E45F-4FE8-AED3-C9F3D55ED433}"/>
    <cellStyle name="Normal 7 2 2 2 3 4 2" xfId="5931" xr:uid="{273567A9-AEB7-410E-99A0-04097CE71C50}"/>
    <cellStyle name="Normal 7 2 2 2 3 4 2 2" xfId="5932" xr:uid="{04924D13-B9CC-4D71-95B9-A264B89356D7}"/>
    <cellStyle name="Normal 7 2 2 2 3 4 3" xfId="5933" xr:uid="{F0C45181-B510-4674-A3BC-D4A10357F188}"/>
    <cellStyle name="Normal 7 2 2 2 3 5" xfId="5934" xr:uid="{84FA7479-EAC5-407C-9569-CBAE09DA1DF5}"/>
    <cellStyle name="Normal 7 2 2 2 3 5 2" xfId="5935" xr:uid="{37116A9B-88A6-41AE-914D-B94F4538C903}"/>
    <cellStyle name="Normal 7 2 2 2 3 6" xfId="5936" xr:uid="{812991B4-2FD1-40D4-98F6-6D20C84C1467}"/>
    <cellStyle name="Normal 7 2 2 2 4" xfId="5937" xr:uid="{0A819E9C-7ED3-4889-A7B5-8CB0E26B6924}"/>
    <cellStyle name="Normal 7 2 2 2 4 2" xfId="5938" xr:uid="{315579E4-BAA2-490B-8CCE-8C6DBD3D3FAC}"/>
    <cellStyle name="Normal 7 2 2 2 4 2 2" xfId="5939" xr:uid="{CD407613-E6AC-43FE-A827-0AD47DB79E12}"/>
    <cellStyle name="Normal 7 2 2 2 4 3" xfId="5940" xr:uid="{2B8E95D7-60C8-4257-95C9-47C5D87ED8F4}"/>
    <cellStyle name="Normal 7 2 2 2 5" xfId="5941" xr:uid="{530F3264-04FD-4983-B4C9-5EEA2B1D0A52}"/>
    <cellStyle name="Normal 7 2 2 2 5 2" xfId="5942" xr:uid="{E73388E6-81C5-45CF-BBC3-BEB1EE3E8CFD}"/>
    <cellStyle name="Normal 7 2 2 2 5 2 2" xfId="5943" xr:uid="{FCB18FD5-E1C9-4A2F-9232-E2C01809023A}"/>
    <cellStyle name="Normal 7 2 2 2 5 3" xfId="5944" xr:uid="{9693AFB4-5906-4F68-A014-5D223270C7F7}"/>
    <cellStyle name="Normal 7 2 2 2 6" xfId="5945" xr:uid="{F775789B-5739-4C66-A3FD-8A9AD290F9A5}"/>
    <cellStyle name="Normal 7 2 2 2 6 2" xfId="5946" xr:uid="{E28C9722-7CC1-48E4-A78B-5F589B5E0E3B}"/>
    <cellStyle name="Normal 7 2 2 2 6 2 2" xfId="5947" xr:uid="{EDC14F0F-7305-4EFC-A207-1066A981C2E5}"/>
    <cellStyle name="Normal 7 2 2 2 6 3" xfId="5948" xr:uid="{632E3EAF-E634-43B8-8873-952CB1879DEA}"/>
    <cellStyle name="Normal 7 2 2 2 7" xfId="5949" xr:uid="{FD3A073F-51B9-4969-A442-8CF6380E992B}"/>
    <cellStyle name="Normal 7 2 2 2 7 2" xfId="5950" xr:uid="{A83F17E4-1E06-4FE8-9B9D-E691D4BABB99}"/>
    <cellStyle name="Normal 7 2 2 2 8" xfId="5951" xr:uid="{069690AB-C465-4A03-88A1-A9812DC9BCF9}"/>
    <cellStyle name="Normal 7 2 2 3" xfId="5952" xr:uid="{305F3B0F-9C03-483B-9E05-E1268D4ADB25}"/>
    <cellStyle name="Normal 7 2 2 3 2" xfId="5953" xr:uid="{6F6048D1-926F-4E76-B36F-FF0BE0F6A508}"/>
    <cellStyle name="Normal 7 2 2 3 2 2" xfId="5954" xr:uid="{E5A078DD-CBAE-4EBB-A5A5-D737FCCB0A3B}"/>
    <cellStyle name="Normal 7 2 2 3 2 2 2" xfId="5955" xr:uid="{EF538DB3-F746-40CD-A7D9-A0E32094A7C6}"/>
    <cellStyle name="Normal 7 2 2 3 2 2 2 2" xfId="5956" xr:uid="{17432E72-1429-45AC-BCF8-A16B3AC6B4A7}"/>
    <cellStyle name="Normal 7 2 2 3 2 2 2 2 2" xfId="5957" xr:uid="{D52623AE-64BA-4407-ACB8-1B3A6F32FCED}"/>
    <cellStyle name="Normal 7 2 2 3 2 2 2 3" xfId="5958" xr:uid="{50F85298-48E6-4730-AB17-AE9B8951DB50}"/>
    <cellStyle name="Normal 7 2 2 3 2 2 3" xfId="5959" xr:uid="{C7606E2C-6966-40D0-91AF-48028DEFC4F9}"/>
    <cellStyle name="Normal 7 2 2 3 2 2 3 2" xfId="5960" xr:uid="{4D8EEC72-CA6C-4D57-AD63-9AE80F9BF63A}"/>
    <cellStyle name="Normal 7 2 2 3 2 2 3 2 2" xfId="5961" xr:uid="{033CF4B9-7277-4FD6-A02F-C7AACBDFB6B1}"/>
    <cellStyle name="Normal 7 2 2 3 2 2 3 3" xfId="5962" xr:uid="{5779E3DB-209D-4BCD-BF21-DD3089CF7C15}"/>
    <cellStyle name="Normal 7 2 2 3 2 2 4" xfId="5963" xr:uid="{36D729A6-3E25-4FD0-893C-B65DA7EFCE9F}"/>
    <cellStyle name="Normal 7 2 2 3 2 2 4 2" xfId="5964" xr:uid="{A68E4E1B-EB66-4C1D-9C3F-9F1261FE3E1E}"/>
    <cellStyle name="Normal 7 2 2 3 2 2 4 2 2" xfId="5965" xr:uid="{B134169D-E45B-4E4A-9994-FD653FF00C44}"/>
    <cellStyle name="Normal 7 2 2 3 2 2 4 3" xfId="5966" xr:uid="{D97D49E3-EE28-49DF-9939-2125533C74A8}"/>
    <cellStyle name="Normal 7 2 2 3 2 2 5" xfId="5967" xr:uid="{93E0F729-83A9-424D-853D-B3DE371E6B6F}"/>
    <cellStyle name="Normal 7 2 2 3 2 2 5 2" xfId="5968" xr:uid="{2C683B6B-D998-4602-86AC-DFC3D47EA0C5}"/>
    <cellStyle name="Normal 7 2 2 3 2 2 6" xfId="5969" xr:uid="{249C0B94-B13C-42FF-B6CB-CEDE109FF713}"/>
    <cellStyle name="Normal 7 2 2 3 2 3" xfId="5970" xr:uid="{F6997A38-3B13-4EFE-8F10-51969572814E}"/>
    <cellStyle name="Normal 7 2 2 3 2 3 2" xfId="5971" xr:uid="{280E4308-9DE8-4A58-9AD3-54BB18094367}"/>
    <cellStyle name="Normal 7 2 2 3 2 3 2 2" xfId="5972" xr:uid="{B852EAF0-0A9E-48D8-9409-7BEB9CB5DFDB}"/>
    <cellStyle name="Normal 7 2 2 3 2 3 3" xfId="5973" xr:uid="{90050BF1-BAFE-411D-AF0E-CD28213CBB82}"/>
    <cellStyle name="Normal 7 2 2 3 2 4" xfId="5974" xr:uid="{890D3251-3633-4FDC-8867-49C44966025E}"/>
    <cellStyle name="Normal 7 2 2 3 2 4 2" xfId="5975" xr:uid="{3D6A5FA4-796A-417C-B032-D48E55470E5C}"/>
    <cellStyle name="Normal 7 2 2 3 2 4 2 2" xfId="5976" xr:uid="{561825CA-A72B-49C9-AE5C-5AB12D8701BB}"/>
    <cellStyle name="Normal 7 2 2 3 2 4 3" xfId="5977" xr:uid="{5EA4C92A-AD0E-4277-8DF5-C296101D4060}"/>
    <cellStyle name="Normal 7 2 2 3 2 5" xfId="5978" xr:uid="{D0D018CE-14B9-4EED-A089-B8B8ECADE17A}"/>
    <cellStyle name="Normal 7 2 2 3 2 5 2" xfId="5979" xr:uid="{38A057F5-FE04-4CC4-89F5-AC8E019369B8}"/>
    <cellStyle name="Normal 7 2 2 3 2 5 2 2" xfId="5980" xr:uid="{BABA58B2-B904-4642-A1E9-7BA1D79FF2F1}"/>
    <cellStyle name="Normal 7 2 2 3 2 5 3" xfId="5981" xr:uid="{AF71BC1E-93A7-48BE-8A05-507DE67D39DF}"/>
    <cellStyle name="Normal 7 2 2 3 2 6" xfId="5982" xr:uid="{B64A873A-1F73-42D6-8222-E6277343BC2E}"/>
    <cellStyle name="Normal 7 2 2 3 2 6 2" xfId="5983" xr:uid="{EE0B6464-BECF-4C5F-80AB-1AA9D5907A55}"/>
    <cellStyle name="Normal 7 2 2 3 2 7" xfId="5984" xr:uid="{C0F54ACB-3639-4742-9FA4-D5CDC58A832C}"/>
    <cellStyle name="Normal 7 2 2 3 3" xfId="5985" xr:uid="{D875E65F-65E9-4A8D-857D-AB5158D44AC9}"/>
    <cellStyle name="Normal 7 2 2 3 3 2" xfId="5986" xr:uid="{75C40392-1452-47DC-B639-FD56374CBE28}"/>
    <cellStyle name="Normal 7 2 2 3 3 2 2" xfId="5987" xr:uid="{9297D277-3B84-4E22-8A5C-86BE2CC7851E}"/>
    <cellStyle name="Normal 7 2 2 3 3 2 2 2" xfId="5988" xr:uid="{47434F0F-4BBA-4589-865B-6CB9DBA29580}"/>
    <cellStyle name="Normal 7 2 2 3 3 2 3" xfId="5989" xr:uid="{3D05F38D-8005-48E6-98A5-C08BCDB23EA6}"/>
    <cellStyle name="Normal 7 2 2 3 3 3" xfId="5990" xr:uid="{BFC5513A-895D-4818-94E5-90096A775971}"/>
    <cellStyle name="Normal 7 2 2 3 3 3 2" xfId="5991" xr:uid="{3E3404B4-7A7C-4116-A30F-6EEA2B6ED685}"/>
    <cellStyle name="Normal 7 2 2 3 3 3 2 2" xfId="5992" xr:uid="{3BCA0327-53DE-472B-89EC-8E7168A8FC5D}"/>
    <cellStyle name="Normal 7 2 2 3 3 3 3" xfId="5993" xr:uid="{88E007DA-E278-4B31-A57A-D234A40CDC68}"/>
    <cellStyle name="Normal 7 2 2 3 3 4" xfId="5994" xr:uid="{1EE0CCC1-DD84-4ABB-B44D-E98E09083B18}"/>
    <cellStyle name="Normal 7 2 2 3 3 4 2" xfId="5995" xr:uid="{B826AF70-EFCA-45AB-8F85-086A53042641}"/>
    <cellStyle name="Normal 7 2 2 3 3 4 2 2" xfId="5996" xr:uid="{7B013786-0107-421E-AD3C-B6D29B0F3B75}"/>
    <cellStyle name="Normal 7 2 2 3 3 4 3" xfId="5997" xr:uid="{393B751B-B7AA-4989-96A3-F863179A1F3B}"/>
    <cellStyle name="Normal 7 2 2 3 3 5" xfId="5998" xr:uid="{1427B8E6-7136-4BB1-9272-5FF2810A575C}"/>
    <cellStyle name="Normal 7 2 2 3 3 5 2" xfId="5999" xr:uid="{F8B3828D-8E44-4125-8CDE-724521B17638}"/>
    <cellStyle name="Normal 7 2 2 3 3 6" xfId="6000" xr:uid="{D36F939E-5A5A-4C9E-81A7-CD1C63104015}"/>
    <cellStyle name="Normal 7 2 2 3 4" xfId="6001" xr:uid="{D2E30B78-995A-467F-816D-9B749A1BE30A}"/>
    <cellStyle name="Normal 7 2 2 3 4 2" xfId="6002" xr:uid="{F6E94836-698B-4B83-BA10-B2F73CC25B43}"/>
    <cellStyle name="Normal 7 2 2 3 4 2 2" xfId="6003" xr:uid="{623D3725-68B9-4756-BA7C-7F595C6DF3FF}"/>
    <cellStyle name="Normal 7 2 2 3 4 3" xfId="6004" xr:uid="{FC6FECF0-8FEA-4781-853A-0130D032EE73}"/>
    <cellStyle name="Normal 7 2 2 3 5" xfId="6005" xr:uid="{0CF7F432-377F-489F-9469-CA29F65D5C07}"/>
    <cellStyle name="Normal 7 2 2 3 5 2" xfId="6006" xr:uid="{F13693A5-CB6F-459A-B9E3-DD016EB03C4D}"/>
    <cellStyle name="Normal 7 2 2 3 5 2 2" xfId="6007" xr:uid="{0C329AF2-775E-481E-BACB-FBC55FCBCE07}"/>
    <cellStyle name="Normal 7 2 2 3 5 3" xfId="6008" xr:uid="{F94A5C06-A295-43E0-BDD7-206C5DC499B8}"/>
    <cellStyle name="Normal 7 2 2 3 6" xfId="6009" xr:uid="{DE978DE3-E791-4293-AE69-8A8909066514}"/>
    <cellStyle name="Normal 7 2 2 3 6 2" xfId="6010" xr:uid="{5279049B-7B69-49AB-8C96-CCCD9AFBF545}"/>
    <cellStyle name="Normal 7 2 2 3 6 2 2" xfId="6011" xr:uid="{4AB1DAA2-F5B1-4975-8ED8-227C821A5A0B}"/>
    <cellStyle name="Normal 7 2 2 3 6 3" xfId="6012" xr:uid="{F616ECEB-6061-4605-9BC3-272AFB0EF049}"/>
    <cellStyle name="Normal 7 2 2 3 7" xfId="6013" xr:uid="{3A566D28-0FB9-4393-B891-458312D1C598}"/>
    <cellStyle name="Normal 7 2 2 3 7 2" xfId="6014" xr:uid="{050CE2CD-0755-4CA4-9B02-0C08B71CB2C3}"/>
    <cellStyle name="Normal 7 2 2 3 8" xfId="6015" xr:uid="{7E0A81E0-F3EE-48EE-92ED-1A71870D39B5}"/>
    <cellStyle name="Normal 7 2 2 4" xfId="6016" xr:uid="{3899F47E-56BF-48EC-B76E-19D68BF91687}"/>
    <cellStyle name="Normal 7 2 2 4 2" xfId="6017" xr:uid="{69DDD544-8B37-4B73-BFD1-E952104D1722}"/>
    <cellStyle name="Normal 7 2 2 4 2 2" xfId="6018" xr:uid="{9AB312AC-F8FE-45D2-A034-3C1D4DF5AA1D}"/>
    <cellStyle name="Normal 7 2 2 4 2 2 2" xfId="6019" xr:uid="{21AA97D8-4359-4704-9CEF-4D0766FE7DC2}"/>
    <cellStyle name="Normal 7 2 2 4 2 2 2 2" xfId="6020" xr:uid="{0A6C5305-8429-4DFF-910E-E9A8C846300C}"/>
    <cellStyle name="Normal 7 2 2 4 2 2 3" xfId="6021" xr:uid="{4AA00DFA-8D34-4958-8DED-D176424107AF}"/>
    <cellStyle name="Normal 7 2 2 4 2 3" xfId="6022" xr:uid="{277DE9DA-F6D3-4702-BCA5-E1F030AF316D}"/>
    <cellStyle name="Normal 7 2 2 4 2 3 2" xfId="6023" xr:uid="{1A8F0CC0-A4C6-45FC-B709-DC657F4AF7D0}"/>
    <cellStyle name="Normal 7 2 2 4 2 3 2 2" xfId="6024" xr:uid="{DEB1ACD9-8037-4D4A-BD1F-8F7703ED78C9}"/>
    <cellStyle name="Normal 7 2 2 4 2 3 3" xfId="6025" xr:uid="{5EB2C60C-92B2-4219-A1EA-030E7EE0D014}"/>
    <cellStyle name="Normal 7 2 2 4 2 4" xfId="6026" xr:uid="{7A92EDC3-B057-4E83-A730-B8F4A4AB746C}"/>
    <cellStyle name="Normal 7 2 2 4 2 4 2" xfId="6027" xr:uid="{329C6B6C-348C-42BB-9478-87B818A48058}"/>
    <cellStyle name="Normal 7 2 2 4 2 4 2 2" xfId="6028" xr:uid="{D674FF7C-363A-4636-BB79-955FD9C167DF}"/>
    <cellStyle name="Normal 7 2 2 4 2 4 3" xfId="6029" xr:uid="{AA859615-54EE-4ECF-AADA-ACBEB66C14B1}"/>
    <cellStyle name="Normal 7 2 2 4 2 5" xfId="6030" xr:uid="{61D43FA3-C0F4-4CE5-9891-1650CA3D42DE}"/>
    <cellStyle name="Normal 7 2 2 4 2 5 2" xfId="6031" xr:uid="{6C3FF26C-2698-4D9B-B960-9EFA3FB7DC82}"/>
    <cellStyle name="Normal 7 2 2 4 2 6" xfId="6032" xr:uid="{04B3F38B-1D93-4FA8-8D5C-C1A1F3A15FDB}"/>
    <cellStyle name="Normal 7 2 2 4 3" xfId="6033" xr:uid="{28383AA3-6326-4FA4-AC57-B2928E029E00}"/>
    <cellStyle name="Normal 7 2 2 4 3 2" xfId="6034" xr:uid="{C977D236-9958-414A-8C43-5362B4283FE0}"/>
    <cellStyle name="Normal 7 2 2 4 3 2 2" xfId="6035" xr:uid="{C730DDA9-5ED8-4048-AB2B-C21921DB09B9}"/>
    <cellStyle name="Normal 7 2 2 4 3 3" xfId="6036" xr:uid="{C467AB3C-6CF2-4B84-AA15-9E61BB4DDC4D}"/>
    <cellStyle name="Normal 7 2 2 4 4" xfId="6037" xr:uid="{D4DC308E-3787-4141-BBF0-6E1135307479}"/>
    <cellStyle name="Normal 7 2 2 4 4 2" xfId="6038" xr:uid="{F1918205-3317-409F-820E-6D026CE5BDA5}"/>
    <cellStyle name="Normal 7 2 2 4 4 2 2" xfId="6039" xr:uid="{693B69A1-8776-4014-9AE6-AEF58BB99D8F}"/>
    <cellStyle name="Normal 7 2 2 4 4 3" xfId="6040" xr:uid="{6B3C1593-4F68-4B1C-890A-7374DC96D649}"/>
    <cellStyle name="Normal 7 2 2 4 5" xfId="6041" xr:uid="{AFA7129A-CEF8-4278-9713-CC92FFF5D73A}"/>
    <cellStyle name="Normal 7 2 2 4 5 2" xfId="6042" xr:uid="{54DDF076-46CB-45B5-9D44-4E99A7131AA8}"/>
    <cellStyle name="Normal 7 2 2 4 5 2 2" xfId="6043" xr:uid="{2E9074FA-0E19-4B22-8B37-D9FDC507FE9B}"/>
    <cellStyle name="Normal 7 2 2 4 5 3" xfId="6044" xr:uid="{28E9B450-9750-4E48-957C-04D9FB54F9BF}"/>
    <cellStyle name="Normal 7 2 2 4 6" xfId="6045" xr:uid="{CFD7B88C-02A6-456F-896D-98281277012C}"/>
    <cellStyle name="Normal 7 2 2 4 6 2" xfId="6046" xr:uid="{350D46D6-BBE2-491D-8046-DE141237B8D6}"/>
    <cellStyle name="Normal 7 2 2 4 7" xfId="6047" xr:uid="{E96C5709-0F4C-432F-B597-72B3A780984E}"/>
    <cellStyle name="Normal 7 2 2 5" xfId="6048" xr:uid="{EEF301D9-3518-44F1-8B6C-78A3C29AD044}"/>
    <cellStyle name="Normal 7 2 2 5 2" xfId="6049" xr:uid="{18079157-FC8B-4B6D-943C-3855018B0095}"/>
    <cellStyle name="Normal 7 2 2 5 2 2" xfId="6050" xr:uid="{197334E3-17F6-4895-8C3D-983017DD7C4A}"/>
    <cellStyle name="Normal 7 2 2 5 2 2 2" xfId="6051" xr:uid="{F1BE205D-5F5E-45B0-9652-62DB5A9F80F3}"/>
    <cellStyle name="Normal 7 2 2 5 2 3" xfId="6052" xr:uid="{AAFAFC1C-214E-4B39-A286-77CF96248ECC}"/>
    <cellStyle name="Normal 7 2 2 5 3" xfId="6053" xr:uid="{5B2880BB-8536-46A1-BFF9-4A1C52982CAE}"/>
    <cellStyle name="Normal 7 2 2 5 3 2" xfId="6054" xr:uid="{622FF711-6FCA-4FC4-8550-D201F6F9A5DC}"/>
    <cellStyle name="Normal 7 2 2 5 3 2 2" xfId="6055" xr:uid="{9D5476AB-FFEF-4697-B9BA-C5D7E89E76EE}"/>
    <cellStyle name="Normal 7 2 2 5 3 3" xfId="6056" xr:uid="{C94A0560-3371-439C-B9E3-43DFA79C03A0}"/>
    <cellStyle name="Normal 7 2 2 5 4" xfId="6057" xr:uid="{CA888C7A-6EA1-43C9-AEEB-4F9326C0E542}"/>
    <cellStyle name="Normal 7 2 2 5 4 2" xfId="6058" xr:uid="{404C60BB-6742-4F7B-BA22-5A201ABADD42}"/>
    <cellStyle name="Normal 7 2 2 5 4 2 2" xfId="6059" xr:uid="{86F82971-ACBF-4F53-83E2-BE3EEF3707E8}"/>
    <cellStyle name="Normal 7 2 2 5 4 3" xfId="6060" xr:uid="{029F520C-6F98-42C5-812B-EDA8E248BEBC}"/>
    <cellStyle name="Normal 7 2 2 5 5" xfId="6061" xr:uid="{249E6D33-5A08-490C-A550-4DE6C43EB14C}"/>
    <cellStyle name="Normal 7 2 2 5 5 2" xfId="6062" xr:uid="{ED45142F-FA9C-4093-8B56-41FA4D36B648}"/>
    <cellStyle name="Normal 7 2 2 5 6" xfId="6063" xr:uid="{D92180D0-BAEC-4090-BB9C-D22CA3FC57D0}"/>
    <cellStyle name="Normal 7 2 2 6" xfId="6064" xr:uid="{2CA1C478-028E-494A-BB83-0B83AB87F013}"/>
    <cellStyle name="Normal 7 2 2 6 2" xfId="6065" xr:uid="{D1DE3F78-98C7-4946-8FF3-56E5990DEE27}"/>
    <cellStyle name="Normal 7 2 2 6 2 2" xfId="6066" xr:uid="{E0BEA67F-E30E-40FA-941B-5E55B401E9E0}"/>
    <cellStyle name="Normal 7 2 2 6 3" xfId="6067" xr:uid="{63B6AEC4-C64A-4CF6-88DB-6A6494870634}"/>
    <cellStyle name="Normal 7 2 2 7" xfId="6068" xr:uid="{426AC814-FD64-400F-A8E2-BC8025D00AE8}"/>
    <cellStyle name="Normal 7 2 2 7 2" xfId="6069" xr:uid="{CAB32985-C728-4F91-8F8E-5BC292886BFF}"/>
    <cellStyle name="Normal 7 2 2 7 2 2" xfId="6070" xr:uid="{32454E69-5049-4B36-B83B-806B28E82C00}"/>
    <cellStyle name="Normal 7 2 2 7 3" xfId="6071" xr:uid="{BE8C31E8-0CA2-45EF-8197-D5ADAE61652B}"/>
    <cellStyle name="Normal 7 2 2 8" xfId="6072" xr:uid="{D44AF006-ED1A-46AB-B6B1-C84E6D2570D5}"/>
    <cellStyle name="Normal 7 2 2 8 2" xfId="6073" xr:uid="{CEE34ABF-5D7A-4657-95A9-E9AC6BB10338}"/>
    <cellStyle name="Normal 7 2 2 8 2 2" xfId="6074" xr:uid="{91CA23B7-BD9C-45E9-A76A-066B83977D2B}"/>
    <cellStyle name="Normal 7 2 2 8 3" xfId="6075" xr:uid="{15DFE812-C700-4E7D-B851-7A19D8B1436F}"/>
    <cellStyle name="Normal 7 2 2 9" xfId="6076" xr:uid="{19ADC6A4-3848-4AE5-9EC0-8FBB8AC3484C}"/>
    <cellStyle name="Normal 7 2 2 9 2" xfId="6077" xr:uid="{11ABBB13-4AF7-4D28-BF6A-3155EDB2A66A}"/>
    <cellStyle name="Normal 7 2 2 9 2 2" xfId="6078" xr:uid="{92E65DF2-BAC7-4ACB-84FB-4B8D97632705}"/>
    <cellStyle name="Normal 7 2 2 9 3" xfId="6079" xr:uid="{92E9F4BD-4B14-4985-A036-9D11E5DC3030}"/>
    <cellStyle name="Normal 7 2 3" xfId="6080" xr:uid="{38F9C9E0-9B4D-43A5-957F-CF7F0521EB81}"/>
    <cellStyle name="Normal 7 2 3 2" xfId="6081" xr:uid="{69D0BA5F-64A5-43B5-9DD2-0FED22C94F37}"/>
    <cellStyle name="Normal 7 2 3 2 2" xfId="6082" xr:uid="{67A4478B-0867-4728-9F33-9BFEBBBDC5AC}"/>
    <cellStyle name="Normal 7 2 3 2 2 2" xfId="6083" xr:uid="{B276D659-AF16-4B58-8CD8-B8F162C83F43}"/>
    <cellStyle name="Normal 7 2 3 2 2 2 2" xfId="6084" xr:uid="{31919163-4E54-4D56-950E-56CF58FC3E4A}"/>
    <cellStyle name="Normal 7 2 3 2 2 2 2 2" xfId="6085" xr:uid="{7713162E-ECCB-4B3C-AE12-779864A8CE9E}"/>
    <cellStyle name="Normal 7 2 3 2 2 2 3" xfId="6086" xr:uid="{82DEB0C9-0B6D-4DA3-9510-475494BE1C09}"/>
    <cellStyle name="Normal 7 2 3 2 2 3" xfId="6087" xr:uid="{C20959CD-718E-4DAB-8D23-A4EA40FA8490}"/>
    <cellStyle name="Normal 7 2 3 2 2 3 2" xfId="6088" xr:uid="{342A03F4-A510-4761-8B90-E4639404CAE8}"/>
    <cellStyle name="Normal 7 2 3 2 2 3 2 2" xfId="6089" xr:uid="{4DC8DDEA-4918-4C34-8784-0D6A57D817B8}"/>
    <cellStyle name="Normal 7 2 3 2 2 3 3" xfId="6090" xr:uid="{B7ECEB0E-2172-4F1A-8CD0-6340F8BD82C3}"/>
    <cellStyle name="Normal 7 2 3 2 2 4" xfId="6091" xr:uid="{309FC875-0609-4297-BE69-2803C7A46BAC}"/>
    <cellStyle name="Normal 7 2 3 2 2 4 2" xfId="6092" xr:uid="{DFD29C40-432B-4B8C-AA3C-95FB69E39B43}"/>
    <cellStyle name="Normal 7 2 3 2 2 4 2 2" xfId="6093" xr:uid="{FF9D4F6F-39D8-459D-B90D-9BC85787D7F4}"/>
    <cellStyle name="Normal 7 2 3 2 2 4 3" xfId="6094" xr:uid="{CB76CD17-AAA5-45AD-8088-5A32F4D851A6}"/>
    <cellStyle name="Normal 7 2 3 2 2 5" xfId="6095" xr:uid="{F974C997-C18D-41EF-8A24-7ED712E3EF0D}"/>
    <cellStyle name="Normal 7 2 3 2 2 5 2" xfId="6096" xr:uid="{0E3BC601-45D0-48A0-95D7-E50FD7A0CCCC}"/>
    <cellStyle name="Normal 7 2 3 2 2 6" xfId="6097" xr:uid="{C44175BE-0865-4760-92C0-52FBAE5E18ED}"/>
    <cellStyle name="Normal 7 2 3 2 3" xfId="6098" xr:uid="{642DB457-1555-4802-902F-EFC6C7C1F297}"/>
    <cellStyle name="Normal 7 2 3 2 3 2" xfId="6099" xr:uid="{25A793C1-D19A-4633-B039-37C95EC25A9A}"/>
    <cellStyle name="Normal 7 2 3 2 3 2 2" xfId="6100" xr:uid="{60160836-D12C-4C66-896A-EC6930363071}"/>
    <cellStyle name="Normal 7 2 3 2 3 3" xfId="6101" xr:uid="{0C02DB8D-D054-4FB6-8C3B-81E51640A9A8}"/>
    <cellStyle name="Normal 7 2 3 2 4" xfId="6102" xr:uid="{72D0C65B-1A65-4749-BD77-C46F20858081}"/>
    <cellStyle name="Normal 7 2 3 2 4 2" xfId="6103" xr:uid="{0AE13DAB-774C-4E6D-A6A6-CA3CC93410F9}"/>
    <cellStyle name="Normal 7 2 3 2 4 2 2" xfId="6104" xr:uid="{3495D3A8-8DD4-4B55-A75B-6B6660EE02C3}"/>
    <cellStyle name="Normal 7 2 3 2 4 3" xfId="6105" xr:uid="{72E30A05-1C8C-41C1-B4BB-B74CE9C1C18F}"/>
    <cellStyle name="Normal 7 2 3 2 5" xfId="6106" xr:uid="{BF214248-267A-4249-8FBF-224372285661}"/>
    <cellStyle name="Normal 7 2 3 2 5 2" xfId="6107" xr:uid="{782BDBD4-EEC1-4ACA-937D-C2196D7301D6}"/>
    <cellStyle name="Normal 7 2 3 2 5 2 2" xfId="6108" xr:uid="{D64F3C43-DF79-4E6A-8A19-68C2FCA15C4F}"/>
    <cellStyle name="Normal 7 2 3 2 5 3" xfId="6109" xr:uid="{757F9F4A-235E-4901-8B6D-9F6BC6B90C33}"/>
    <cellStyle name="Normal 7 2 3 2 6" xfId="6110" xr:uid="{8C105E36-5427-4EF7-86A0-FB9CF55A0E5E}"/>
    <cellStyle name="Normal 7 2 3 2 6 2" xfId="6111" xr:uid="{4D4B7472-D18A-4E0C-88B3-4B7C7BB80BDA}"/>
    <cellStyle name="Normal 7 2 3 2 7" xfId="6112" xr:uid="{0EA2F971-077C-4FE8-A033-FEC49A0BFFDD}"/>
    <cellStyle name="Normal 7 2 3 3" xfId="6113" xr:uid="{603F22E3-7BC2-4680-8DFC-238CFFDEE22B}"/>
    <cellStyle name="Normal 7 2 3 3 2" xfId="6114" xr:uid="{F68C7BF8-DA09-4618-9C42-666F47E39966}"/>
    <cellStyle name="Normal 7 2 3 3 2 2" xfId="6115" xr:uid="{28260470-D3F3-4BD2-9DCA-091B8EC17B97}"/>
    <cellStyle name="Normal 7 2 3 3 2 2 2" xfId="6116" xr:uid="{16C0E8C9-25EC-45EA-ADBF-3D40B82974B7}"/>
    <cellStyle name="Normal 7 2 3 3 2 3" xfId="6117" xr:uid="{B9AA1233-3B73-415A-BDBB-70F41C2E0CB6}"/>
    <cellStyle name="Normal 7 2 3 3 3" xfId="6118" xr:uid="{64A856D1-AB8F-4B86-9D73-65953FEC946A}"/>
    <cellStyle name="Normal 7 2 3 3 3 2" xfId="6119" xr:uid="{F38F349B-0C77-4491-9EBF-1129170CB2FB}"/>
    <cellStyle name="Normal 7 2 3 3 3 2 2" xfId="6120" xr:uid="{180CEB9F-28BE-4C3F-9798-E80426080FA6}"/>
    <cellStyle name="Normal 7 2 3 3 3 3" xfId="6121" xr:uid="{8B06021D-267F-4790-BCA6-5A1691BEA704}"/>
    <cellStyle name="Normal 7 2 3 3 4" xfId="6122" xr:uid="{9B655BEB-7825-46EB-A51E-8BC286C450F0}"/>
    <cellStyle name="Normal 7 2 3 3 4 2" xfId="6123" xr:uid="{372C9926-A645-49C7-B760-D06648BC865C}"/>
    <cellStyle name="Normal 7 2 3 3 4 2 2" xfId="6124" xr:uid="{8B972E92-D7AE-48C4-8AC8-73A253C816F3}"/>
    <cellStyle name="Normal 7 2 3 3 4 3" xfId="6125" xr:uid="{F53C2D22-CB02-4924-AA4D-9BF871A516A5}"/>
    <cellStyle name="Normal 7 2 3 3 5" xfId="6126" xr:uid="{75E6A961-1A46-4CBF-8235-884B37454D58}"/>
    <cellStyle name="Normal 7 2 3 3 5 2" xfId="6127" xr:uid="{2A273730-3DF8-4439-83F9-DBCFD9D2BFC9}"/>
    <cellStyle name="Normal 7 2 3 3 6" xfId="6128" xr:uid="{0395A658-C30D-4D07-B5BF-652A7CDFAF51}"/>
    <cellStyle name="Normal 7 2 3 4" xfId="6129" xr:uid="{ABAE2DC8-C4E8-4E74-BF0D-2DD7FE4D6974}"/>
    <cellStyle name="Normal 7 2 3 4 2" xfId="6130" xr:uid="{B2A64135-D54C-48C6-941C-123B846A7C39}"/>
    <cellStyle name="Normal 7 2 3 4 2 2" xfId="6131" xr:uid="{60571404-8119-495E-B354-8830E46B932B}"/>
    <cellStyle name="Normal 7 2 3 4 3" xfId="6132" xr:uid="{FA8559DD-FDB5-40AA-9FA4-657EBE8C4A07}"/>
    <cellStyle name="Normal 7 2 3 5" xfId="6133" xr:uid="{93518FC0-6A7B-4C65-A6B2-048C9A3E37F5}"/>
    <cellStyle name="Normal 7 2 3 5 2" xfId="6134" xr:uid="{D99721A0-7D7A-4743-83E7-56F63B86CE1A}"/>
    <cellStyle name="Normal 7 2 3 5 2 2" xfId="6135" xr:uid="{6C6F2A3C-AA2B-458D-8AFC-CF7DB32C5F6E}"/>
    <cellStyle name="Normal 7 2 3 5 3" xfId="6136" xr:uid="{B6EEFAF2-534C-421A-BEFF-913D48410EC5}"/>
    <cellStyle name="Normal 7 2 3 6" xfId="6137" xr:uid="{9E53273C-964D-45CE-B223-E4E9472685EA}"/>
    <cellStyle name="Normal 7 2 3 6 2" xfId="6138" xr:uid="{E83A0E5B-3198-4961-AF80-C4AFED4A8372}"/>
    <cellStyle name="Normal 7 2 3 6 2 2" xfId="6139" xr:uid="{79CA601B-3187-469F-88EA-17B528178A35}"/>
    <cellStyle name="Normal 7 2 3 6 3" xfId="6140" xr:uid="{E14CE960-95D3-4D49-B213-38B7DF8F4605}"/>
    <cellStyle name="Normal 7 2 3 7" xfId="6141" xr:uid="{D9B682D7-F74C-4599-8310-56761C45EE9E}"/>
    <cellStyle name="Normal 7 2 3 7 2" xfId="6142" xr:uid="{83DA02EF-5090-49A4-8577-7B8CBD2A103A}"/>
    <cellStyle name="Normal 7 2 3 8" xfId="6143" xr:uid="{28C13690-32BB-4AD1-9229-086421B97CCE}"/>
    <cellStyle name="Normal 7 2 4" xfId="6144" xr:uid="{EFD38392-F00C-45E1-90C8-A827D277108C}"/>
    <cellStyle name="Normal 7 2 4 2" xfId="6145" xr:uid="{21535E3F-AE2D-4057-8B6F-6895766E7929}"/>
    <cellStyle name="Normal 7 2 4 2 2" xfId="6146" xr:uid="{0123F548-7CB4-402F-BFC3-EFF9D80C36C4}"/>
    <cellStyle name="Normal 7 2 4 2 2 2" xfId="6147" xr:uid="{16C62651-1B7D-431B-9347-88D4C6650239}"/>
    <cellStyle name="Normal 7 2 4 2 2 2 2" xfId="6148" xr:uid="{22D9A84F-2D7B-4B33-987E-717D1C61B109}"/>
    <cellStyle name="Normal 7 2 4 2 2 2 2 2" xfId="6149" xr:uid="{2F4AD7FC-A223-45A5-9485-EDF13A705A77}"/>
    <cellStyle name="Normal 7 2 4 2 2 2 3" xfId="6150" xr:uid="{16461623-7412-475D-A796-F4F58D56E037}"/>
    <cellStyle name="Normal 7 2 4 2 2 3" xfId="6151" xr:uid="{BE93705F-9F79-4B9B-ABDF-36DCC0CBC942}"/>
    <cellStyle name="Normal 7 2 4 2 2 3 2" xfId="6152" xr:uid="{69A637FD-A4C2-468B-BDD5-5333EC5D692E}"/>
    <cellStyle name="Normal 7 2 4 2 2 3 2 2" xfId="6153" xr:uid="{71DDFECD-75BF-4710-BEC1-60F188BC4577}"/>
    <cellStyle name="Normal 7 2 4 2 2 3 3" xfId="6154" xr:uid="{2F4CE9A3-085F-4474-A898-FB0B7B55E5A7}"/>
    <cellStyle name="Normal 7 2 4 2 2 4" xfId="6155" xr:uid="{C076CA84-2ABB-41C8-BBF1-50F9B1266349}"/>
    <cellStyle name="Normal 7 2 4 2 2 4 2" xfId="6156" xr:uid="{99294851-9B0E-4772-BD30-ACC9FBB3EA5A}"/>
    <cellStyle name="Normal 7 2 4 2 2 4 2 2" xfId="6157" xr:uid="{A84CE9EA-D5A2-4A16-A79F-86B55251C04D}"/>
    <cellStyle name="Normal 7 2 4 2 2 4 3" xfId="6158" xr:uid="{2221FE36-DC4C-4BFE-BBF4-A6E19847EEBB}"/>
    <cellStyle name="Normal 7 2 4 2 2 5" xfId="6159" xr:uid="{3ED19CBD-4343-4A34-9AC1-A824B3FC5FB8}"/>
    <cellStyle name="Normal 7 2 4 2 2 5 2" xfId="6160" xr:uid="{80958AF3-6AA5-4C88-B67D-D678B599F12F}"/>
    <cellStyle name="Normal 7 2 4 2 2 6" xfId="6161" xr:uid="{77D7493E-DAFC-4294-A3F0-878B2689D474}"/>
    <cellStyle name="Normal 7 2 4 2 3" xfId="6162" xr:uid="{FD2082FD-EFDB-4D0C-B2F9-8E77BEF0EAA8}"/>
    <cellStyle name="Normal 7 2 4 2 3 2" xfId="6163" xr:uid="{D60A2C89-FB5F-48AE-B972-CF084E5C524B}"/>
    <cellStyle name="Normal 7 2 4 2 3 2 2" xfId="6164" xr:uid="{BCD928B1-A73F-49A1-AF4E-50B8E3DD54E1}"/>
    <cellStyle name="Normal 7 2 4 2 3 3" xfId="6165" xr:uid="{43521C32-C505-463F-80FE-BDE3E2EE6C00}"/>
    <cellStyle name="Normal 7 2 4 2 4" xfId="6166" xr:uid="{B1EFC7B3-9BB5-40FB-8415-C4AD293DE24D}"/>
    <cellStyle name="Normal 7 2 4 2 4 2" xfId="6167" xr:uid="{21BEA9BE-9098-47A9-BE18-E818B3C6A3A9}"/>
    <cellStyle name="Normal 7 2 4 2 4 2 2" xfId="6168" xr:uid="{41E3A57B-2508-4072-A9CC-BB55F3E21790}"/>
    <cellStyle name="Normal 7 2 4 2 4 3" xfId="6169" xr:uid="{2A8A94A9-C94B-4236-A01C-DA3D097A4178}"/>
    <cellStyle name="Normal 7 2 4 2 5" xfId="6170" xr:uid="{BACFE544-FA79-41A3-9F33-736E582926AD}"/>
    <cellStyle name="Normal 7 2 4 2 5 2" xfId="6171" xr:uid="{FD3AC554-86F5-4B85-B018-FDD29101B6F1}"/>
    <cellStyle name="Normal 7 2 4 2 5 2 2" xfId="6172" xr:uid="{F03F1DDB-6FFD-456C-BEFF-15DBECC451BB}"/>
    <cellStyle name="Normal 7 2 4 2 5 3" xfId="6173" xr:uid="{0FF9AA0C-7B11-4B28-8712-CD51945106CB}"/>
    <cellStyle name="Normal 7 2 4 2 6" xfId="6174" xr:uid="{918CE5DE-F106-4072-B443-413B01E23F46}"/>
    <cellStyle name="Normal 7 2 4 2 6 2" xfId="6175" xr:uid="{6B48FFDE-A2F6-4F30-8056-30E4D20DC52B}"/>
    <cellStyle name="Normal 7 2 4 2 7" xfId="6176" xr:uid="{13BCE465-215A-4432-8E11-0E2612897751}"/>
    <cellStyle name="Normal 7 2 4 3" xfId="6177" xr:uid="{8D603B96-6BCF-4A1F-8E5E-60393EFA3EA5}"/>
    <cellStyle name="Normal 7 2 4 3 2" xfId="6178" xr:uid="{01FA2323-05CF-435D-B6A9-A9F2A30EFA36}"/>
    <cellStyle name="Normal 7 2 4 3 2 2" xfId="6179" xr:uid="{BCCE22AD-98DF-4C4C-9A8A-67F5EE4FC2F3}"/>
    <cellStyle name="Normal 7 2 4 3 2 2 2" xfId="6180" xr:uid="{B8454C7A-3FAB-4375-9BEE-CB3BA13701AD}"/>
    <cellStyle name="Normal 7 2 4 3 2 3" xfId="6181" xr:uid="{2F419992-EDBA-4AF8-939D-553F0CD71FCD}"/>
    <cellStyle name="Normal 7 2 4 3 3" xfId="6182" xr:uid="{A83335ED-119A-4AF9-9DC0-74C710EF2196}"/>
    <cellStyle name="Normal 7 2 4 3 3 2" xfId="6183" xr:uid="{5069F829-B377-4491-9CCC-601A1D5353AA}"/>
    <cellStyle name="Normal 7 2 4 3 3 2 2" xfId="6184" xr:uid="{51A20683-5CD7-466A-BF04-3327203AF1C0}"/>
    <cellStyle name="Normal 7 2 4 3 3 3" xfId="6185" xr:uid="{7B9EAEB9-B4C0-4249-B3CF-6789A5B194E9}"/>
    <cellStyle name="Normal 7 2 4 3 4" xfId="6186" xr:uid="{A042813E-8B2D-47E6-A322-9144D45B57DE}"/>
    <cellStyle name="Normal 7 2 4 3 4 2" xfId="6187" xr:uid="{5ED1D881-B6EB-4822-9A4B-83E3A3FD8047}"/>
    <cellStyle name="Normal 7 2 4 3 4 2 2" xfId="6188" xr:uid="{09184F0B-AA31-41F2-8F60-EC20ED89E331}"/>
    <cellStyle name="Normal 7 2 4 3 4 3" xfId="6189" xr:uid="{8729A6F7-B03C-4D4F-84C3-3B495CC01416}"/>
    <cellStyle name="Normal 7 2 4 3 5" xfId="6190" xr:uid="{0C0CDB8F-157C-4222-B378-19521FC97875}"/>
    <cellStyle name="Normal 7 2 4 3 5 2" xfId="6191" xr:uid="{4E5D31D0-89DE-44A3-9108-7DBA0E3216BA}"/>
    <cellStyle name="Normal 7 2 4 3 6" xfId="6192" xr:uid="{C69D628A-3E6E-4E08-A3E5-755C563C09DE}"/>
    <cellStyle name="Normal 7 2 4 4" xfId="6193" xr:uid="{67E6781F-BB67-4646-B2E3-C246E098EF12}"/>
    <cellStyle name="Normal 7 2 4 4 2" xfId="6194" xr:uid="{CBC89FF6-B843-468B-892C-4DA412AD544E}"/>
    <cellStyle name="Normal 7 2 4 4 2 2" xfId="6195" xr:uid="{D9D11013-C10F-4940-B376-3E896738383B}"/>
    <cellStyle name="Normal 7 2 4 4 3" xfId="6196" xr:uid="{78898FCF-965F-4E2A-A882-845E56694094}"/>
    <cellStyle name="Normal 7 2 4 5" xfId="6197" xr:uid="{26F3AF0C-E422-41E8-90E6-514115BD78FD}"/>
    <cellStyle name="Normal 7 2 4 5 2" xfId="6198" xr:uid="{58B160F3-034D-4048-82AD-3A4984D65469}"/>
    <cellStyle name="Normal 7 2 4 5 2 2" xfId="6199" xr:uid="{9627AAC8-EF50-4F49-A2BE-925FAFD2A342}"/>
    <cellStyle name="Normal 7 2 4 5 3" xfId="6200" xr:uid="{429BE72D-8ED4-4629-826E-9914CAD28728}"/>
    <cellStyle name="Normal 7 2 4 6" xfId="6201" xr:uid="{9BC134AD-2189-4ECA-94EE-6650B77DE4F9}"/>
    <cellStyle name="Normal 7 2 4 6 2" xfId="6202" xr:uid="{6E190F57-CAB2-4B93-B1C5-921F4F5A5E27}"/>
    <cellStyle name="Normal 7 2 4 6 2 2" xfId="6203" xr:uid="{57913944-79A0-4619-9AC7-D500B7B93B3D}"/>
    <cellStyle name="Normal 7 2 4 6 3" xfId="6204" xr:uid="{57F6D3CA-EED1-4F47-B56E-E515556A2D08}"/>
    <cellStyle name="Normal 7 2 4 7" xfId="6205" xr:uid="{8AB4E94B-273D-4D0D-B3F3-3BA9921BB15E}"/>
    <cellStyle name="Normal 7 2 4 7 2" xfId="6206" xr:uid="{F358F818-8E33-4BFD-AE06-75C8D6838C9B}"/>
    <cellStyle name="Normal 7 2 4 8" xfId="6207" xr:uid="{A8A2320A-87B7-4CEC-AF6E-685783D89618}"/>
    <cellStyle name="Normal 7 2 5" xfId="6208" xr:uid="{49F29BF6-2C8D-4EE8-84DB-37BC994E0855}"/>
    <cellStyle name="Normal 7 2 5 2" xfId="6209" xr:uid="{4FC13274-5BAB-4886-84FC-4410BFDB01E2}"/>
    <cellStyle name="Normal 7 2 5 2 2" xfId="6210" xr:uid="{7D35839B-8FD7-411A-ADDD-2B5576708679}"/>
    <cellStyle name="Normal 7 2 5 2 2 2" xfId="6211" xr:uid="{EE2E6A81-72C0-473B-92DD-76C3E26F356B}"/>
    <cellStyle name="Normal 7 2 5 2 2 2 2" xfId="6212" xr:uid="{9F301791-D7D0-4065-80CF-C9DDEF805BD0}"/>
    <cellStyle name="Normal 7 2 5 2 2 3" xfId="6213" xr:uid="{FCBF2622-989F-4D51-B628-28C40ECD79DD}"/>
    <cellStyle name="Normal 7 2 5 2 3" xfId="6214" xr:uid="{54459CC9-7554-47E9-9E5C-D3A0CCF02C67}"/>
    <cellStyle name="Normal 7 2 5 2 3 2" xfId="6215" xr:uid="{F8DEBD15-B7F6-4217-923F-705D83A2E41C}"/>
    <cellStyle name="Normal 7 2 5 2 3 2 2" xfId="6216" xr:uid="{1D014454-95C8-4ED7-A21E-E198BDB6C83D}"/>
    <cellStyle name="Normal 7 2 5 2 3 3" xfId="6217" xr:uid="{C5F130EC-9A46-4916-B666-880D796FA8BC}"/>
    <cellStyle name="Normal 7 2 5 2 4" xfId="6218" xr:uid="{8081165C-D589-477F-A1DD-2A47A0925C17}"/>
    <cellStyle name="Normal 7 2 5 2 4 2" xfId="6219" xr:uid="{07F1A737-106B-4A01-9F0B-ADC4DE38B317}"/>
    <cellStyle name="Normal 7 2 5 2 4 2 2" xfId="6220" xr:uid="{8CC540D2-0967-4E3D-880F-E21ED9867475}"/>
    <cellStyle name="Normal 7 2 5 2 4 3" xfId="6221" xr:uid="{06C1C3E6-EA6B-4CCD-9B08-2D9AA8417396}"/>
    <cellStyle name="Normal 7 2 5 2 5" xfId="6222" xr:uid="{61B65107-1AF0-4F64-9ECD-339440C7A582}"/>
    <cellStyle name="Normal 7 2 5 2 5 2" xfId="6223" xr:uid="{993E7A50-FE15-4330-9BCD-A31477703F37}"/>
    <cellStyle name="Normal 7 2 5 2 6" xfId="6224" xr:uid="{B636082E-A3BA-4504-B4B9-D3A5B4E65D08}"/>
    <cellStyle name="Normal 7 2 5 3" xfId="6225" xr:uid="{30331119-DF7E-479C-8A39-46A9485CBE8F}"/>
    <cellStyle name="Normal 7 2 5 3 2" xfId="6226" xr:uid="{7BF96C1D-2A3B-4268-AC27-0C33FA2159F7}"/>
    <cellStyle name="Normal 7 2 5 3 2 2" xfId="6227" xr:uid="{7F96D683-8786-4D79-B863-B521528580C5}"/>
    <cellStyle name="Normal 7 2 5 3 3" xfId="6228" xr:uid="{E6449DF7-0C40-4F21-B542-CC33EA18D8FB}"/>
    <cellStyle name="Normal 7 2 5 4" xfId="6229" xr:uid="{064DB18F-782E-4682-BF5E-66F697D0D6D9}"/>
    <cellStyle name="Normal 7 2 5 4 2" xfId="6230" xr:uid="{B4F8A2D5-FD74-4FBB-A65B-4CE6DD5E9E67}"/>
    <cellStyle name="Normal 7 2 5 4 2 2" xfId="6231" xr:uid="{9E5E29E5-F87F-4D2C-9BD3-78DBC7E778DA}"/>
    <cellStyle name="Normal 7 2 5 4 3" xfId="6232" xr:uid="{D58E087F-2B3F-463C-B95A-45EE879E464F}"/>
    <cellStyle name="Normal 7 2 5 5" xfId="6233" xr:uid="{33450341-70C8-40EE-8DF6-4E28C9AB9295}"/>
    <cellStyle name="Normal 7 2 5 5 2" xfId="6234" xr:uid="{1DACC7BF-2256-4DA9-94ED-0FC3EA3E3F40}"/>
    <cellStyle name="Normal 7 2 5 5 2 2" xfId="6235" xr:uid="{8D12020F-F336-4258-AB85-E225821981B4}"/>
    <cellStyle name="Normal 7 2 5 5 3" xfId="6236" xr:uid="{77E416A2-0EF3-4F8C-A4BA-B448DBDF86DE}"/>
    <cellStyle name="Normal 7 2 5 6" xfId="6237" xr:uid="{06568322-8F3B-452C-9FBF-64DE31822385}"/>
    <cellStyle name="Normal 7 2 5 6 2" xfId="6238" xr:uid="{29039C38-B2F2-4863-8CE3-EDF6D2F8E29F}"/>
    <cellStyle name="Normal 7 2 5 7" xfId="6239" xr:uid="{A4583952-8A2D-4AB4-A471-0640C1CCEA91}"/>
    <cellStyle name="Normal 7 2 6" xfId="6240" xr:uid="{230AC3AB-91D1-4691-A6FC-9C6F38F914C5}"/>
    <cellStyle name="Normal 7 2 6 2" xfId="6241" xr:uid="{E700811E-7E80-4C8E-B144-E253197E8FDD}"/>
    <cellStyle name="Normal 7 2 6 2 2" xfId="6242" xr:uid="{04EF7DB4-BE32-4123-8653-245B7A220D67}"/>
    <cellStyle name="Normal 7 2 6 2 2 2" xfId="6243" xr:uid="{E2CD2EB0-221D-4434-89C5-9AD2CB9F92C5}"/>
    <cellStyle name="Normal 7 2 6 2 3" xfId="6244" xr:uid="{EAA40EE9-FF29-4204-B5A6-0E6C5A843F5B}"/>
    <cellStyle name="Normal 7 2 6 3" xfId="6245" xr:uid="{78DB7A24-8C79-4D3A-A910-218EB2726A43}"/>
    <cellStyle name="Normal 7 2 6 3 2" xfId="6246" xr:uid="{6F47B864-B85F-43E5-9121-EF0D48FEF833}"/>
    <cellStyle name="Normal 7 2 6 3 2 2" xfId="6247" xr:uid="{E96124D5-BBB8-4A7F-BD9E-675B70DCBCFE}"/>
    <cellStyle name="Normal 7 2 6 3 3" xfId="6248" xr:uid="{AB420CC8-2866-4089-837A-CD7B49662A79}"/>
    <cellStyle name="Normal 7 2 6 4" xfId="6249" xr:uid="{0CB44EED-F18F-4935-9114-2A6ABF7352C6}"/>
    <cellStyle name="Normal 7 2 6 4 2" xfId="6250" xr:uid="{C459A560-4690-40E7-AFE1-2CB77F63412E}"/>
    <cellStyle name="Normal 7 2 6 4 2 2" xfId="6251" xr:uid="{94BC5598-79C2-4FCE-A3D7-6AA195AB841F}"/>
    <cellStyle name="Normal 7 2 6 4 3" xfId="6252" xr:uid="{32397655-C251-4A56-A97F-23677ECC6625}"/>
    <cellStyle name="Normal 7 2 6 5" xfId="6253" xr:uid="{3E7DE7B6-A69B-41F1-B99D-BAE1597FD144}"/>
    <cellStyle name="Normal 7 2 6 5 2" xfId="6254" xr:uid="{BA10F5A2-DFF4-43EC-8E56-EE20AB608A18}"/>
    <cellStyle name="Normal 7 2 6 6" xfId="6255" xr:uid="{99309A48-5F52-4E62-AD7C-9C63CF3008B9}"/>
    <cellStyle name="Normal 7 2 7" xfId="6256" xr:uid="{B8BB916A-6335-4D80-865D-78569FBCFF0F}"/>
    <cellStyle name="Normal 7 2 7 2" xfId="6257" xr:uid="{B56A6366-74A8-4C4A-B72A-920E90C07EEE}"/>
    <cellStyle name="Normal 7 2 7 2 2" xfId="6258" xr:uid="{8100F6E4-EE2F-467A-8D2C-62846FA5F0AF}"/>
    <cellStyle name="Normal 7 2 7 3" xfId="6259" xr:uid="{DBB4EC99-6B3D-43B9-B107-FCBDEBD2CD55}"/>
    <cellStyle name="Normal 7 2 8" xfId="6260" xr:uid="{E7CD86B9-7174-46CD-AEAC-86F3BBA3E7E3}"/>
    <cellStyle name="Normal 7 2 8 2" xfId="6261" xr:uid="{5A40304B-6912-45C2-A265-C9E0527C41B4}"/>
    <cellStyle name="Normal 7 2 8 2 2" xfId="6262" xr:uid="{40DDB42C-E245-46A0-B7B4-97A47EBDEEA1}"/>
    <cellStyle name="Normal 7 2 8 3" xfId="6263" xr:uid="{548E73D4-2784-49EF-8B5F-DC7BC28B3CC3}"/>
    <cellStyle name="Normal 7 2 9" xfId="6264" xr:uid="{B6BD836A-BAFF-40FE-B0FF-6BDD22B44842}"/>
    <cellStyle name="Normal 7 2 9 2" xfId="6265" xr:uid="{2ADAE7DE-13F7-4D22-A3B6-1A92063CF98A}"/>
    <cellStyle name="Normal 7 2 9 2 2" xfId="6266" xr:uid="{B217BC1D-A199-4D74-877C-9B993EA3D837}"/>
    <cellStyle name="Normal 7 2 9 3" xfId="6267" xr:uid="{228F48EA-19A1-4E39-9A5A-37D1ECCFA3E4}"/>
    <cellStyle name="Normal 7 20" xfId="11773" xr:uid="{C3C0C41A-377E-42A2-83E1-5F373671ECDD}"/>
    <cellStyle name="Normal 7 20 2" xfId="15974" xr:uid="{3782D93D-1F05-448C-A2D4-8416A57E8878}"/>
    <cellStyle name="Normal 7 3" xfId="6268" xr:uid="{B8222C4A-A449-4FBF-8CFB-404759CEFD08}"/>
    <cellStyle name="Normal 7 3 10" xfId="6269" xr:uid="{937D86FD-3CF8-45D4-9056-2BDB1FEDFCE4}"/>
    <cellStyle name="Normal 7 3 10 2" xfId="6270" xr:uid="{5AE969AB-7899-4A47-8298-E743E00D2889}"/>
    <cellStyle name="Normal 7 3 11" xfId="6271" xr:uid="{39FD1C9D-A0F5-46DB-8099-E6B4FFE6BD5E}"/>
    <cellStyle name="Normal 7 3 2" xfId="6272" xr:uid="{883AEC08-A3F4-48F7-AAA2-56987F942393}"/>
    <cellStyle name="Normal 7 3 2 2" xfId="6273" xr:uid="{8F6AE566-7EFF-45C6-9560-2F0295DA27DE}"/>
    <cellStyle name="Normal 7 3 2 2 2" xfId="6274" xr:uid="{BABAD541-43A0-48D5-A079-4C97B7ED81A1}"/>
    <cellStyle name="Normal 7 3 2 2 2 2" xfId="6275" xr:uid="{5044FDBA-37D7-4AF3-887B-419871693FBE}"/>
    <cellStyle name="Normal 7 3 2 2 2 2 2" xfId="6276" xr:uid="{D9229153-335A-413A-9D5B-59D0ED3C66B8}"/>
    <cellStyle name="Normal 7 3 2 2 2 2 2 2" xfId="6277" xr:uid="{0AF1302A-0B88-4E50-8D90-250BC9A2736A}"/>
    <cellStyle name="Normal 7 3 2 2 2 2 3" xfId="6278" xr:uid="{570F9655-F60A-4792-95E6-CCF8933EBD8D}"/>
    <cellStyle name="Normal 7 3 2 2 2 3" xfId="6279" xr:uid="{4997B0A8-DFE7-48D9-A525-2B591AE162FC}"/>
    <cellStyle name="Normal 7 3 2 2 2 3 2" xfId="6280" xr:uid="{6E65A2BA-2186-41DB-8A02-A1403E2EAC7D}"/>
    <cellStyle name="Normal 7 3 2 2 2 3 2 2" xfId="6281" xr:uid="{603CD832-D8BF-4AAE-9DFB-58E6F46FCB4C}"/>
    <cellStyle name="Normal 7 3 2 2 2 3 3" xfId="6282" xr:uid="{42AA949C-5305-4D7E-A5DE-6681FBD57698}"/>
    <cellStyle name="Normal 7 3 2 2 2 4" xfId="6283" xr:uid="{D37864CB-CD78-498B-8459-2E8A8654CB81}"/>
    <cellStyle name="Normal 7 3 2 2 2 4 2" xfId="6284" xr:uid="{A466EAEC-9B2A-46B4-93AD-AA6DE0818FC4}"/>
    <cellStyle name="Normal 7 3 2 2 2 4 2 2" xfId="6285" xr:uid="{C6D3D8D6-6D5C-4A25-8190-51EE46754247}"/>
    <cellStyle name="Normal 7 3 2 2 2 4 3" xfId="6286" xr:uid="{D308722C-2BA1-41ED-84EC-B89B9C7FF584}"/>
    <cellStyle name="Normal 7 3 2 2 2 5" xfId="6287" xr:uid="{0C2FF48F-FAF3-4B47-8F4B-76A8276AA4D5}"/>
    <cellStyle name="Normal 7 3 2 2 2 5 2" xfId="6288" xr:uid="{3FE9809B-2AC2-4970-8E29-16C15075EBB8}"/>
    <cellStyle name="Normal 7 3 2 2 2 6" xfId="6289" xr:uid="{8FB4634E-8EBD-4947-90BC-A9B093775F06}"/>
    <cellStyle name="Normal 7 3 2 2 3" xfId="6290" xr:uid="{6A2C5382-C547-4EE3-8384-ECC2E996D215}"/>
    <cellStyle name="Normal 7 3 2 2 3 2" xfId="6291" xr:uid="{80128F68-C507-4346-9E93-0A3D02AABB69}"/>
    <cellStyle name="Normal 7 3 2 2 3 2 2" xfId="6292" xr:uid="{19940B3D-33A3-470F-9806-32CA3FA62864}"/>
    <cellStyle name="Normal 7 3 2 2 3 3" xfId="6293" xr:uid="{1456730D-EDDD-4B6B-9ED2-C8ECB1BF80F8}"/>
    <cellStyle name="Normal 7 3 2 2 4" xfId="6294" xr:uid="{50B59D4C-9BE1-44AE-AA49-61034417C25C}"/>
    <cellStyle name="Normal 7 3 2 2 4 2" xfId="6295" xr:uid="{844B8B7C-EB7F-4ED5-AC2B-0EA7652D68D3}"/>
    <cellStyle name="Normal 7 3 2 2 4 2 2" xfId="6296" xr:uid="{62C1AF0D-D49D-49A3-A147-5CA9AC5E9C60}"/>
    <cellStyle name="Normal 7 3 2 2 4 3" xfId="6297" xr:uid="{9263DB97-08EC-4BFE-8EDD-3862BD021DC2}"/>
    <cellStyle name="Normal 7 3 2 2 5" xfId="6298" xr:uid="{E7F8DA43-5325-422B-A465-0583ABB5D311}"/>
    <cellStyle name="Normal 7 3 2 2 5 2" xfId="6299" xr:uid="{6FD1A5E0-A50D-467C-B534-7E26866192DF}"/>
    <cellStyle name="Normal 7 3 2 2 5 2 2" xfId="6300" xr:uid="{CA179832-73D2-4A19-9EC8-2C7DD299A341}"/>
    <cellStyle name="Normal 7 3 2 2 5 3" xfId="6301" xr:uid="{95560FC2-41AB-4FA8-8B03-BFBCEB988DBD}"/>
    <cellStyle name="Normal 7 3 2 2 6" xfId="6302" xr:uid="{C2484273-53D8-4BD0-BE0E-11BBBC05D248}"/>
    <cellStyle name="Normal 7 3 2 2 6 2" xfId="6303" xr:uid="{D878DB02-7D91-47DF-9364-C506DF3B5521}"/>
    <cellStyle name="Normal 7 3 2 2 7" xfId="6304" xr:uid="{9E10479B-AAB4-47EF-AABF-D20A2A174A42}"/>
    <cellStyle name="Normal 7 3 2 3" xfId="6305" xr:uid="{E85B7991-B447-4167-BC15-8B1144508D3F}"/>
    <cellStyle name="Normal 7 3 2 3 2" xfId="6306" xr:uid="{506CF663-6640-46C9-AD15-1908E66CD11B}"/>
    <cellStyle name="Normal 7 3 2 3 2 2" xfId="6307" xr:uid="{28FFCCA5-1512-4C7F-B5BA-B2D89DF7AF46}"/>
    <cellStyle name="Normal 7 3 2 3 2 2 2" xfId="6308" xr:uid="{DF77E94E-1367-4359-9BC2-947199EE5000}"/>
    <cellStyle name="Normal 7 3 2 3 2 3" xfId="6309" xr:uid="{F4CF1BFB-0AC4-4CB1-BB04-35713C33E4AE}"/>
    <cellStyle name="Normal 7 3 2 3 3" xfId="6310" xr:uid="{6ABB66AB-6B58-4A23-8461-09E327F99B0A}"/>
    <cellStyle name="Normal 7 3 2 3 3 2" xfId="6311" xr:uid="{35BFDB63-6BB3-4301-8C20-58ABDDFD0B88}"/>
    <cellStyle name="Normal 7 3 2 3 3 2 2" xfId="6312" xr:uid="{6EBCFE84-1BCF-4297-B662-CBF4E545BD6D}"/>
    <cellStyle name="Normal 7 3 2 3 3 3" xfId="6313" xr:uid="{4538E589-10AA-40AA-A53F-04F2DBE60BC3}"/>
    <cellStyle name="Normal 7 3 2 3 4" xfId="6314" xr:uid="{F6B2FF05-5DCB-482E-B75A-DB1EEC161EDB}"/>
    <cellStyle name="Normal 7 3 2 3 4 2" xfId="6315" xr:uid="{6AB41997-EACC-4D44-B845-4586495042E3}"/>
    <cellStyle name="Normal 7 3 2 3 4 2 2" xfId="6316" xr:uid="{0239AEF2-A1B6-499B-A124-73128B087367}"/>
    <cellStyle name="Normal 7 3 2 3 4 3" xfId="6317" xr:uid="{D415CF90-6020-493E-BD26-FF63AF06930D}"/>
    <cellStyle name="Normal 7 3 2 3 5" xfId="6318" xr:uid="{EE9438B1-E327-4EA0-9859-9D73BF7582AA}"/>
    <cellStyle name="Normal 7 3 2 3 5 2" xfId="6319" xr:uid="{06A5CCE2-7DAD-477B-B3B0-DCF64ED76229}"/>
    <cellStyle name="Normal 7 3 2 3 6" xfId="6320" xr:uid="{8C1F7177-2C2F-45D7-AB67-F9291A13EA72}"/>
    <cellStyle name="Normal 7 3 2 4" xfId="6321" xr:uid="{6763735F-444F-4366-9CA2-72567C510E97}"/>
    <cellStyle name="Normal 7 3 2 4 2" xfId="6322" xr:uid="{8FEB0B3E-406D-418C-94C6-B48BC468DD52}"/>
    <cellStyle name="Normal 7 3 2 4 2 2" xfId="6323" xr:uid="{A253C6FA-959B-4BFB-893E-439E88AC2D2C}"/>
    <cellStyle name="Normal 7 3 2 4 3" xfId="6324" xr:uid="{3EC84CE2-0988-40D1-BA8C-F4611EFE27CE}"/>
    <cellStyle name="Normal 7 3 2 5" xfId="6325" xr:uid="{D997812C-2104-44BA-8A89-1F5D5A882E46}"/>
    <cellStyle name="Normal 7 3 2 5 2" xfId="6326" xr:uid="{5071B39C-F73A-4ED8-B5D3-2206AEC6C76A}"/>
    <cellStyle name="Normal 7 3 2 5 2 2" xfId="6327" xr:uid="{581819F9-A3B8-4D3A-91FE-D384D8F13DA2}"/>
    <cellStyle name="Normal 7 3 2 5 3" xfId="6328" xr:uid="{27970348-2EA3-4F38-B3D4-5405BE6AA848}"/>
    <cellStyle name="Normal 7 3 2 6" xfId="6329" xr:uid="{85E639A9-34A4-48FA-A4FB-91C71BF7871E}"/>
    <cellStyle name="Normal 7 3 2 6 2" xfId="6330" xr:uid="{D194F9B7-86AC-4EAF-9113-13F5C7013FB6}"/>
    <cellStyle name="Normal 7 3 2 6 2 2" xfId="6331" xr:uid="{8489EAD5-F34E-4069-A9C5-A4A4891AABD6}"/>
    <cellStyle name="Normal 7 3 2 6 3" xfId="6332" xr:uid="{F5B8BAF0-F489-44EF-A6DF-C1DA2D71C9F3}"/>
    <cellStyle name="Normal 7 3 2 7" xfId="6333" xr:uid="{E0C5C9A1-F819-49E0-9C26-5EA72D969659}"/>
    <cellStyle name="Normal 7 3 2 7 2" xfId="6334" xr:uid="{74324884-ED4F-49E7-8523-C50810522BFD}"/>
    <cellStyle name="Normal 7 3 2 8" xfId="6335" xr:uid="{0D282561-F90E-447F-AA7B-397A6C0F04D2}"/>
    <cellStyle name="Normal 7 3 3" xfId="6336" xr:uid="{BD023B7D-3508-45C4-BBB4-5E1A54EAF5AB}"/>
    <cellStyle name="Normal 7 3 3 2" xfId="6337" xr:uid="{54079605-7168-4DA6-9394-EEFB34C16610}"/>
    <cellStyle name="Normal 7 3 3 2 2" xfId="6338" xr:uid="{FD9BD0C4-D392-4412-895B-58D0470BC85F}"/>
    <cellStyle name="Normal 7 3 3 2 2 2" xfId="6339" xr:uid="{C0757646-21DD-4D38-97F1-2D51121596EE}"/>
    <cellStyle name="Normal 7 3 3 2 2 2 2" xfId="6340" xr:uid="{54AC772C-3469-42CB-A98C-73D3C5755174}"/>
    <cellStyle name="Normal 7 3 3 2 2 2 2 2" xfId="6341" xr:uid="{D76A180D-C646-4AE1-8DBC-FC2566077C12}"/>
    <cellStyle name="Normal 7 3 3 2 2 2 3" xfId="6342" xr:uid="{A307F5C7-F786-4161-905E-AB2F553F48BA}"/>
    <cellStyle name="Normal 7 3 3 2 2 3" xfId="6343" xr:uid="{9F1921F3-F60A-4FCC-A4CF-9B12DE557DDC}"/>
    <cellStyle name="Normal 7 3 3 2 2 3 2" xfId="6344" xr:uid="{B82637DA-FEEA-4418-B87B-D4B8E86465BC}"/>
    <cellStyle name="Normal 7 3 3 2 2 3 2 2" xfId="6345" xr:uid="{97C58F49-6304-4B86-AA98-616B931CFB25}"/>
    <cellStyle name="Normal 7 3 3 2 2 3 3" xfId="6346" xr:uid="{BD231645-BF3F-4EB9-BFBE-5BC7EEBC53CB}"/>
    <cellStyle name="Normal 7 3 3 2 2 4" xfId="6347" xr:uid="{0CDF5962-D447-4686-B945-B5AFD7E2F0F3}"/>
    <cellStyle name="Normal 7 3 3 2 2 4 2" xfId="6348" xr:uid="{69DF24F5-CBA7-46B8-B8A2-A5DB630FD253}"/>
    <cellStyle name="Normal 7 3 3 2 2 4 2 2" xfId="6349" xr:uid="{F4D7DAE6-3E4F-4979-9F5A-E36F1B3DAF1C}"/>
    <cellStyle name="Normal 7 3 3 2 2 4 3" xfId="6350" xr:uid="{603810EC-1C30-48C3-A199-FED01D0BBAFE}"/>
    <cellStyle name="Normal 7 3 3 2 2 5" xfId="6351" xr:uid="{A312FBE2-A4E8-4607-89A0-D2230BF9611F}"/>
    <cellStyle name="Normal 7 3 3 2 2 5 2" xfId="6352" xr:uid="{A355B540-7D1D-428D-9313-C9E8AE30FE76}"/>
    <cellStyle name="Normal 7 3 3 2 2 6" xfId="6353" xr:uid="{5CFCCCDA-1225-4C14-BEE4-ED51B3CC3957}"/>
    <cellStyle name="Normal 7 3 3 2 3" xfId="6354" xr:uid="{5FDE8E11-E13B-471C-8FC8-66C7860D566F}"/>
    <cellStyle name="Normal 7 3 3 2 3 2" xfId="6355" xr:uid="{AA00869F-AEA3-4899-9C9E-4B07E6D1CD89}"/>
    <cellStyle name="Normal 7 3 3 2 3 2 2" xfId="6356" xr:uid="{9862F162-E48A-4398-807F-7B60C4E78790}"/>
    <cellStyle name="Normal 7 3 3 2 3 3" xfId="6357" xr:uid="{73B0286D-5006-4D80-BF4E-74C50676C2CE}"/>
    <cellStyle name="Normal 7 3 3 2 4" xfId="6358" xr:uid="{F04CBDA4-FC7B-4D76-867C-43C3D1CB2A15}"/>
    <cellStyle name="Normal 7 3 3 2 4 2" xfId="6359" xr:uid="{94CE4254-D8CD-4651-8963-8B11CA7A34A8}"/>
    <cellStyle name="Normal 7 3 3 2 4 2 2" xfId="6360" xr:uid="{30A15346-815E-4E9E-9352-E7266D4FC7F0}"/>
    <cellStyle name="Normal 7 3 3 2 4 3" xfId="6361" xr:uid="{5719A055-EDDB-46D7-92D7-EC860A76BC5D}"/>
    <cellStyle name="Normal 7 3 3 2 5" xfId="6362" xr:uid="{46FA3198-B156-4BC9-99E7-A3C16843EACF}"/>
    <cellStyle name="Normal 7 3 3 2 5 2" xfId="6363" xr:uid="{4539FDD6-9C9C-4BC0-8BC3-302476362AFF}"/>
    <cellStyle name="Normal 7 3 3 2 5 2 2" xfId="6364" xr:uid="{4CA85A79-4E41-4F07-8503-8DDBAC4C940C}"/>
    <cellStyle name="Normal 7 3 3 2 5 3" xfId="6365" xr:uid="{7EA8EEFB-D5C5-439F-854D-CDE485E63041}"/>
    <cellStyle name="Normal 7 3 3 2 6" xfId="6366" xr:uid="{83B4FBE8-17D6-4183-890F-A46420335A47}"/>
    <cellStyle name="Normal 7 3 3 2 6 2" xfId="6367" xr:uid="{6A8F17B7-ADC4-47EC-8583-BD75FDC048DC}"/>
    <cellStyle name="Normal 7 3 3 2 7" xfId="6368" xr:uid="{CC06BF9E-35A1-4F65-8A71-13FABF75EA83}"/>
    <cellStyle name="Normal 7 3 3 3" xfId="6369" xr:uid="{CF2A2DAB-8010-4AE1-A216-49182D6A1C33}"/>
    <cellStyle name="Normal 7 3 3 3 2" xfId="6370" xr:uid="{CAD1F88E-5ADD-49C8-8870-8C7DD7F93C35}"/>
    <cellStyle name="Normal 7 3 3 3 2 2" xfId="6371" xr:uid="{E85657F8-F407-47F1-8098-3F006101CFB6}"/>
    <cellStyle name="Normal 7 3 3 3 2 2 2" xfId="6372" xr:uid="{5234D813-1D7D-4C92-9467-DDA57788A561}"/>
    <cellStyle name="Normal 7 3 3 3 2 3" xfId="6373" xr:uid="{AD808F34-0218-41FC-B569-B24F6E77168F}"/>
    <cellStyle name="Normal 7 3 3 3 3" xfId="6374" xr:uid="{11001742-94AC-4877-BF58-4BB4522A0147}"/>
    <cellStyle name="Normal 7 3 3 3 3 2" xfId="6375" xr:uid="{9433DB43-20F3-4DFD-821E-1DEDC4D3B793}"/>
    <cellStyle name="Normal 7 3 3 3 3 2 2" xfId="6376" xr:uid="{EDD5B4FA-D6B8-4FE6-B384-C045D3C24DD0}"/>
    <cellStyle name="Normal 7 3 3 3 3 3" xfId="6377" xr:uid="{24AC8BB0-3E1E-4FCA-81E6-1EF26CE12385}"/>
    <cellStyle name="Normal 7 3 3 3 4" xfId="6378" xr:uid="{059E0C24-70A9-4391-94F6-4E68B40C1BC7}"/>
    <cellStyle name="Normal 7 3 3 3 4 2" xfId="6379" xr:uid="{86A72B4A-896F-4E18-9C71-B5B25A457F76}"/>
    <cellStyle name="Normal 7 3 3 3 4 2 2" xfId="6380" xr:uid="{1A8AC462-24C9-4326-833E-8B2965CE8089}"/>
    <cellStyle name="Normal 7 3 3 3 4 3" xfId="6381" xr:uid="{03B89198-0CD5-48A6-BAF8-0F080B2DD460}"/>
    <cellStyle name="Normal 7 3 3 3 5" xfId="6382" xr:uid="{2A4C9F43-4D18-4E04-B063-14E8EECF8FFA}"/>
    <cellStyle name="Normal 7 3 3 3 5 2" xfId="6383" xr:uid="{B6CAE5B3-52D4-4467-8F93-923D261854CA}"/>
    <cellStyle name="Normal 7 3 3 3 6" xfId="6384" xr:uid="{A3481DC9-B084-4DAA-A428-9F5F5E8CB2C0}"/>
    <cellStyle name="Normal 7 3 3 4" xfId="6385" xr:uid="{28B6476A-FEF6-4808-BBA3-B6286D661268}"/>
    <cellStyle name="Normal 7 3 3 4 2" xfId="6386" xr:uid="{B1A8D75A-644A-4393-AF30-690729C4F14B}"/>
    <cellStyle name="Normal 7 3 3 4 2 2" xfId="6387" xr:uid="{1E32E31C-FBD0-4F8F-9118-302877AA288B}"/>
    <cellStyle name="Normal 7 3 3 4 3" xfId="6388" xr:uid="{3ED577E8-0518-4623-BB5B-4A0E8F539A49}"/>
    <cellStyle name="Normal 7 3 3 5" xfId="6389" xr:uid="{A9340474-C2AE-4D99-B401-B706AF0C7ED8}"/>
    <cellStyle name="Normal 7 3 3 5 2" xfId="6390" xr:uid="{1EC703D2-0AAE-4A3E-B6B1-4751761BABD6}"/>
    <cellStyle name="Normal 7 3 3 5 2 2" xfId="6391" xr:uid="{81393556-F38D-477F-9496-CF26274EB0B5}"/>
    <cellStyle name="Normal 7 3 3 5 3" xfId="6392" xr:uid="{5988764D-E19D-41CB-8EFA-23E94F527791}"/>
    <cellStyle name="Normal 7 3 3 6" xfId="6393" xr:uid="{06D9A09D-CFBE-4819-B94E-EBE032C696A2}"/>
    <cellStyle name="Normal 7 3 3 6 2" xfId="6394" xr:uid="{1DFF304A-8FFD-49BE-9F8C-CB03EBCB7A7E}"/>
    <cellStyle name="Normal 7 3 3 6 2 2" xfId="6395" xr:uid="{F4690F57-C364-4A68-8185-CB14A2796DC0}"/>
    <cellStyle name="Normal 7 3 3 6 3" xfId="6396" xr:uid="{04522B49-CB92-46CF-A0D8-502F5312F8A1}"/>
    <cellStyle name="Normal 7 3 3 7" xfId="6397" xr:uid="{2E4D5A73-5B1F-4789-A14E-46A34067E16D}"/>
    <cellStyle name="Normal 7 3 3 7 2" xfId="6398" xr:uid="{68AC3A1B-4ADC-47E4-BBD2-2100E5D7B54E}"/>
    <cellStyle name="Normal 7 3 3 8" xfId="6399" xr:uid="{55AE443A-B5AE-4FC3-9954-5C555DF05F8D}"/>
    <cellStyle name="Normal 7 3 4" xfId="6400" xr:uid="{AF0D26B1-CC91-49DB-9484-9FF566A629AE}"/>
    <cellStyle name="Normal 7 3 4 2" xfId="6401" xr:uid="{F33D50ED-1D9B-494E-9E06-9D41A88B6A4B}"/>
    <cellStyle name="Normal 7 3 4 2 2" xfId="6402" xr:uid="{F10CB275-6A13-4B13-A86E-56BAE6C56EA9}"/>
    <cellStyle name="Normal 7 3 4 2 2 2" xfId="6403" xr:uid="{4BFF5248-335D-4A8F-840B-EC0AB65435D4}"/>
    <cellStyle name="Normal 7 3 4 2 2 2 2" xfId="6404" xr:uid="{C35D9B50-63F8-4851-9C11-4CF10D960D4F}"/>
    <cellStyle name="Normal 7 3 4 2 2 3" xfId="6405" xr:uid="{6997FE9E-15C0-4058-880E-8EDCFB089871}"/>
    <cellStyle name="Normal 7 3 4 2 3" xfId="6406" xr:uid="{36BF34E2-45E9-4062-A95E-1952688C0527}"/>
    <cellStyle name="Normal 7 3 4 2 3 2" xfId="6407" xr:uid="{D43624A8-48FC-42E6-9FF3-928C5190CEAA}"/>
    <cellStyle name="Normal 7 3 4 2 3 2 2" xfId="6408" xr:uid="{7051EBAC-5511-426C-8A84-2B46B828C8A5}"/>
    <cellStyle name="Normal 7 3 4 2 3 3" xfId="6409" xr:uid="{8C0322EB-DCB3-4D92-8562-E063666804D7}"/>
    <cellStyle name="Normal 7 3 4 2 4" xfId="6410" xr:uid="{4CFD0B20-D0BC-4B34-BBAB-97A0F741DEB8}"/>
    <cellStyle name="Normal 7 3 4 2 4 2" xfId="6411" xr:uid="{AFEC5996-2AEF-4BFF-AE4F-0539D3AC47AF}"/>
    <cellStyle name="Normal 7 3 4 2 4 2 2" xfId="6412" xr:uid="{6CCE6ECC-663D-4273-AE3A-B62BAA3F2F2C}"/>
    <cellStyle name="Normal 7 3 4 2 4 3" xfId="6413" xr:uid="{E38276DD-F01B-485D-8968-5357B79DDFFC}"/>
    <cellStyle name="Normal 7 3 4 2 5" xfId="6414" xr:uid="{162243E3-E77F-44CA-9DAF-0C27E34513AA}"/>
    <cellStyle name="Normal 7 3 4 2 5 2" xfId="6415" xr:uid="{846E36EB-E916-476F-BFF2-2A973026655D}"/>
    <cellStyle name="Normal 7 3 4 2 6" xfId="6416" xr:uid="{BFE2DE0B-C911-4098-A43E-612E33E38E23}"/>
    <cellStyle name="Normal 7 3 4 3" xfId="6417" xr:uid="{66227FBD-2B67-4F7F-9154-88B501FB772A}"/>
    <cellStyle name="Normal 7 3 4 3 2" xfId="6418" xr:uid="{2DD0A2EF-71E4-4E02-916D-41614C8B6365}"/>
    <cellStyle name="Normal 7 3 4 3 2 2" xfId="6419" xr:uid="{3A202257-65BD-4FDD-AE74-57757FE8A02A}"/>
    <cellStyle name="Normal 7 3 4 3 3" xfId="6420" xr:uid="{F8C7A0FE-E040-4A13-B357-B2F6DF4C6164}"/>
    <cellStyle name="Normal 7 3 4 4" xfId="6421" xr:uid="{837E0E6F-C571-4080-91E4-E2203B22FE73}"/>
    <cellStyle name="Normal 7 3 4 4 2" xfId="6422" xr:uid="{4C540A8F-BE2A-49F7-99B7-D17F788213F7}"/>
    <cellStyle name="Normal 7 3 4 4 2 2" xfId="6423" xr:uid="{63B277FE-911C-4F17-901B-0C92E13C22AC}"/>
    <cellStyle name="Normal 7 3 4 4 3" xfId="6424" xr:uid="{97697E76-1B23-409D-B023-ECCA0B90AF2D}"/>
    <cellStyle name="Normal 7 3 4 5" xfId="6425" xr:uid="{E8A1D9FD-E6BD-4CFB-AED7-F1F40B658F2B}"/>
    <cellStyle name="Normal 7 3 4 5 2" xfId="6426" xr:uid="{38E2CA8C-8BB0-494E-8B16-C056C76DC468}"/>
    <cellStyle name="Normal 7 3 4 5 2 2" xfId="6427" xr:uid="{DC9B21C2-4749-4B16-8A11-0F764E228929}"/>
    <cellStyle name="Normal 7 3 4 5 3" xfId="6428" xr:uid="{090BFAA1-E4D5-459D-9A65-C10FCDE65AF5}"/>
    <cellStyle name="Normal 7 3 4 6" xfId="6429" xr:uid="{62B44398-A3EC-4303-BADC-3E93A7B7EA46}"/>
    <cellStyle name="Normal 7 3 4 6 2" xfId="6430" xr:uid="{13D16585-DE18-43CB-8E57-83E9653E7D91}"/>
    <cellStyle name="Normal 7 3 4 7" xfId="6431" xr:uid="{3707980F-DA3F-494A-96EC-DBB6BA157561}"/>
    <cellStyle name="Normal 7 3 5" xfId="6432" xr:uid="{61C2D2AE-00C2-46D8-B58E-E88C14E40B88}"/>
    <cellStyle name="Normal 7 3 5 2" xfId="6433" xr:uid="{D1308932-473A-449A-BB3E-D2E70FDADFF6}"/>
    <cellStyle name="Normal 7 3 5 2 2" xfId="6434" xr:uid="{4F63FCEE-FA9D-4387-A2BF-39F1914AD9DA}"/>
    <cellStyle name="Normal 7 3 5 2 2 2" xfId="6435" xr:uid="{C4AD425C-BB49-4731-B09C-427DCFA16791}"/>
    <cellStyle name="Normal 7 3 5 2 3" xfId="6436" xr:uid="{30E219EE-26D2-4325-AF70-5FF5ED8AB832}"/>
    <cellStyle name="Normal 7 3 5 3" xfId="6437" xr:uid="{7A364DA0-F7F8-4480-B8E1-BCBC25A29C83}"/>
    <cellStyle name="Normal 7 3 5 3 2" xfId="6438" xr:uid="{F4409600-3C6B-4D6A-9BA5-1BD960D538AD}"/>
    <cellStyle name="Normal 7 3 5 3 2 2" xfId="6439" xr:uid="{72A67114-495E-45E9-B7D5-C2AEE9F47D40}"/>
    <cellStyle name="Normal 7 3 5 3 3" xfId="6440" xr:uid="{5F18526F-4688-4BCD-A751-140CFC1DDDA0}"/>
    <cellStyle name="Normal 7 3 5 4" xfId="6441" xr:uid="{95AECBB2-F366-49D9-A7D5-42AE1653154D}"/>
    <cellStyle name="Normal 7 3 5 4 2" xfId="6442" xr:uid="{1C281A6B-11DF-48B7-9CC5-80BFC07773AB}"/>
    <cellStyle name="Normal 7 3 5 4 2 2" xfId="6443" xr:uid="{F8E24076-FBC7-4109-8562-55914494BFCA}"/>
    <cellStyle name="Normal 7 3 5 4 3" xfId="6444" xr:uid="{A37118F5-6D1B-4FFA-AE01-A00795CA381C}"/>
    <cellStyle name="Normal 7 3 5 5" xfId="6445" xr:uid="{830A66ED-EA36-4A87-AEA0-6D3F6E9C3C16}"/>
    <cellStyle name="Normal 7 3 5 5 2" xfId="6446" xr:uid="{B2F55EB6-ED30-422D-9844-74585E2E2819}"/>
    <cellStyle name="Normal 7 3 5 6" xfId="6447" xr:uid="{60788834-E498-4C0B-8B4F-53C2CA18D927}"/>
    <cellStyle name="Normal 7 3 6" xfId="6448" xr:uid="{932A1167-53F2-4343-B1D3-9E119E4C4006}"/>
    <cellStyle name="Normal 7 3 6 2" xfId="6449" xr:uid="{C0CBF22C-D55E-4ACE-8A57-E829C5255DFF}"/>
    <cellStyle name="Normal 7 3 6 2 2" xfId="6450" xr:uid="{B8BB8FBA-E747-4E36-8AD9-B673C3BA2C0C}"/>
    <cellStyle name="Normal 7 3 6 3" xfId="6451" xr:uid="{52EFE959-E5BC-40FB-B85A-62630A84AFA0}"/>
    <cellStyle name="Normal 7 3 7" xfId="6452" xr:uid="{4E9CB046-E124-4D23-807D-BD3CB1A61047}"/>
    <cellStyle name="Normal 7 3 7 2" xfId="6453" xr:uid="{63BAF79D-5B5B-4DA5-8B6A-91D31A0757B5}"/>
    <cellStyle name="Normal 7 3 7 2 2" xfId="6454" xr:uid="{AA7F5DB6-C2B1-4E67-B37A-272867F90BC0}"/>
    <cellStyle name="Normal 7 3 7 3" xfId="6455" xr:uid="{3F2202EB-7A70-45FA-8827-C375F862A5F8}"/>
    <cellStyle name="Normal 7 3 8" xfId="6456" xr:uid="{CECF5F85-C327-4205-AFDD-4A9F323BC501}"/>
    <cellStyle name="Normal 7 3 8 2" xfId="6457" xr:uid="{E41233F1-99A5-4482-9633-7A842656C83B}"/>
    <cellStyle name="Normal 7 3 8 2 2" xfId="6458" xr:uid="{B819C331-189A-48D7-AEDD-E81145D83D25}"/>
    <cellStyle name="Normal 7 3 8 3" xfId="6459" xr:uid="{91ED5A55-4CDE-48A9-8B32-BD2D6BAA72C8}"/>
    <cellStyle name="Normal 7 3 9" xfId="6460" xr:uid="{5AC4A88E-D5A1-4680-B08B-77EE781281DD}"/>
    <cellStyle name="Normal 7 3 9 2" xfId="6461" xr:uid="{AEC300D5-B6A6-4110-8CAF-6CCDF56B6A81}"/>
    <cellStyle name="Normal 7 3 9 2 2" xfId="6462" xr:uid="{6D9A088E-EA2E-43BC-BFCD-638CE95F9242}"/>
    <cellStyle name="Normal 7 3 9 3" xfId="6463" xr:uid="{CC7745F7-2C0B-4B7A-B17E-4C387F166E98}"/>
    <cellStyle name="Normal 7 4" xfId="6464" xr:uid="{986973B8-F76A-4D24-B317-3F9760576178}"/>
    <cellStyle name="Normal 7 4 2" xfId="6465" xr:uid="{B4BE22EE-46CA-4103-8046-B013613D9CE3}"/>
    <cellStyle name="Normal 7 4 2 2" xfId="6466" xr:uid="{74010500-E7D6-49A1-84B8-BC42A597E5C8}"/>
    <cellStyle name="Normal 7 4 2 2 2" xfId="6467" xr:uid="{2DF069B4-72E7-4488-A290-744C8F990F72}"/>
    <cellStyle name="Normal 7 4 2 2 2 2" xfId="6468" xr:uid="{D0159654-A91B-406C-B749-DCD2B23BA6BC}"/>
    <cellStyle name="Normal 7 4 2 2 2 2 2" xfId="6469" xr:uid="{19FB5B46-8FF6-4FA5-831A-FC3F4DE502F3}"/>
    <cellStyle name="Normal 7 4 2 2 2 3" xfId="6470" xr:uid="{4DBFA84F-EF38-47F4-B9B3-F9954A96110B}"/>
    <cellStyle name="Normal 7 4 2 2 3" xfId="6471" xr:uid="{185D0341-FADD-4B75-B1F5-D265CBF0553E}"/>
    <cellStyle name="Normal 7 4 2 2 3 2" xfId="6472" xr:uid="{6106EF20-F866-4319-A784-8A760AEBBFB1}"/>
    <cellStyle name="Normal 7 4 2 2 3 2 2" xfId="6473" xr:uid="{6E8C6E75-562A-4D73-BDB7-A09951F52D42}"/>
    <cellStyle name="Normal 7 4 2 2 3 3" xfId="6474" xr:uid="{17498900-2D82-48BE-933F-4652B41264D7}"/>
    <cellStyle name="Normal 7 4 2 2 4" xfId="6475" xr:uid="{F95AC60B-3B6E-4BD1-95FD-383CC25EF2D5}"/>
    <cellStyle name="Normal 7 4 2 2 4 2" xfId="6476" xr:uid="{186EF55C-E8A2-49C3-BCC4-FB4878A82B88}"/>
    <cellStyle name="Normal 7 4 2 2 4 2 2" xfId="6477" xr:uid="{BF133AD9-AFA2-4F32-BEC6-EB36438519CE}"/>
    <cellStyle name="Normal 7 4 2 2 4 3" xfId="6478" xr:uid="{450DEA79-5EC3-48CA-AFBD-0953B38D8B15}"/>
    <cellStyle name="Normal 7 4 2 2 5" xfId="6479" xr:uid="{8C77F110-5980-40A7-B647-E63C9F4B738B}"/>
    <cellStyle name="Normal 7 4 2 2 5 2" xfId="6480" xr:uid="{19DCCDC9-F67A-4E2C-B218-DC38FB39CD55}"/>
    <cellStyle name="Normal 7 4 2 2 6" xfId="6481" xr:uid="{596F6913-0182-4A5E-A453-1CF6C9BC892B}"/>
    <cellStyle name="Normal 7 4 2 3" xfId="6482" xr:uid="{A17E2A18-97B0-4C78-B050-98FB7320B914}"/>
    <cellStyle name="Normal 7 4 2 3 2" xfId="6483" xr:uid="{267336F7-02E0-4AAC-994A-203ADCA458EB}"/>
    <cellStyle name="Normal 7 4 2 3 2 2" xfId="6484" xr:uid="{FDAEB7EA-78FA-4A9F-A268-D22549D414D9}"/>
    <cellStyle name="Normal 7 4 2 3 3" xfId="6485" xr:uid="{C8B9C2AB-34FF-4AFF-A5E5-9A9FDBF0ECFD}"/>
    <cellStyle name="Normal 7 4 2 4" xfId="6486" xr:uid="{9AB8D36B-97E3-414F-8E55-162A3184F804}"/>
    <cellStyle name="Normal 7 4 2 4 2" xfId="6487" xr:uid="{EE61C1CB-19F7-40F1-ADF4-D4D8933D6742}"/>
    <cellStyle name="Normal 7 4 2 4 2 2" xfId="6488" xr:uid="{6B400E1F-9C04-4C9A-893C-04051BADD72C}"/>
    <cellStyle name="Normal 7 4 2 4 3" xfId="6489" xr:uid="{14D8AE11-5FF6-49A0-A7FE-8CB6824014F5}"/>
    <cellStyle name="Normal 7 4 2 5" xfId="6490" xr:uid="{28A68F79-B6C5-4A89-813C-570E1872D344}"/>
    <cellStyle name="Normal 7 4 2 5 2" xfId="6491" xr:uid="{6C04E965-D7FD-44BE-8FC5-093FB090A9D3}"/>
    <cellStyle name="Normal 7 4 2 5 2 2" xfId="6492" xr:uid="{00BA4D98-132F-44B7-A49E-BDF1AC49FBD2}"/>
    <cellStyle name="Normal 7 4 2 5 3" xfId="6493" xr:uid="{3CF440ED-AB1F-413B-BCEF-8ECA0481B734}"/>
    <cellStyle name="Normal 7 4 2 6" xfId="6494" xr:uid="{34CB376A-0D77-47B9-BEC7-76B589EFEDB2}"/>
    <cellStyle name="Normal 7 4 2 6 2" xfId="6495" xr:uid="{1A4DA4AD-7605-4CD2-86E7-87509AD81E5D}"/>
    <cellStyle name="Normal 7 4 2 7" xfId="6496" xr:uid="{2AC15D8A-4B0D-45BD-BE4D-A864BB575EA2}"/>
    <cellStyle name="Normal 7 4 3" xfId="6497" xr:uid="{5D5A1DA5-9E1B-4F98-96EC-90F8EF719971}"/>
    <cellStyle name="Normal 7 4 3 2" xfId="6498" xr:uid="{57D0DEDB-1478-4AEC-9669-CDFD1F6E764D}"/>
    <cellStyle name="Normal 7 4 3 2 2" xfId="6499" xr:uid="{70EEBF75-256F-40DF-A3A7-5A162E0AE45E}"/>
    <cellStyle name="Normal 7 4 3 2 2 2" xfId="6500" xr:uid="{2AB0401E-D7D5-4F94-AFE3-F7E7EB639F6B}"/>
    <cellStyle name="Normal 7 4 3 2 3" xfId="6501" xr:uid="{6A719F76-A8DF-48A8-95D2-DB82D277F73D}"/>
    <cellStyle name="Normal 7 4 3 3" xfId="6502" xr:uid="{91D27496-8A70-4215-B695-5082B7781C05}"/>
    <cellStyle name="Normal 7 4 3 3 2" xfId="6503" xr:uid="{35208CDE-FE5B-4918-91E7-9866E3416179}"/>
    <cellStyle name="Normal 7 4 3 3 2 2" xfId="6504" xr:uid="{96BC0765-7F13-4840-933F-751AF6937949}"/>
    <cellStyle name="Normal 7 4 3 3 3" xfId="6505" xr:uid="{2D0F9529-FB6C-49A4-B6C6-10CC71E2CDD0}"/>
    <cellStyle name="Normal 7 4 3 4" xfId="6506" xr:uid="{096FEA94-F97A-49E0-A7E5-661A9574037D}"/>
    <cellStyle name="Normal 7 4 3 4 2" xfId="6507" xr:uid="{3837E336-4C75-43F2-A3D4-F821077D6CFA}"/>
    <cellStyle name="Normal 7 4 3 4 2 2" xfId="6508" xr:uid="{A2750D25-2EB3-41B2-B798-E6DDD0B35D47}"/>
    <cellStyle name="Normal 7 4 3 4 3" xfId="6509" xr:uid="{17ECF3DD-28E7-4588-A0A9-B22F96043026}"/>
    <cellStyle name="Normal 7 4 3 5" xfId="6510" xr:uid="{9F4643F1-305D-473E-997C-70AAAC0D5A52}"/>
    <cellStyle name="Normal 7 4 3 5 2" xfId="6511" xr:uid="{CE781268-CE53-4EDE-9E83-38C669BE8D3C}"/>
    <cellStyle name="Normal 7 4 3 6" xfId="6512" xr:uid="{1AC0FBC9-E5B7-45AD-9817-542233C8B001}"/>
    <cellStyle name="Normal 7 4 4" xfId="6513" xr:uid="{3B022C1E-E857-40A2-A95B-B2D190349B52}"/>
    <cellStyle name="Normal 7 4 4 2" xfId="6514" xr:uid="{17C9E8BA-BDD1-4E65-B87E-7C05D75888D0}"/>
    <cellStyle name="Normal 7 4 4 2 2" xfId="6515" xr:uid="{A837DB9C-EABE-4BA3-9AB8-A12E111E9B04}"/>
    <cellStyle name="Normal 7 4 4 3" xfId="6516" xr:uid="{4CB484FF-382C-4D01-832A-EB42D79B4E58}"/>
    <cellStyle name="Normal 7 4 5" xfId="6517" xr:uid="{379ED6E6-44FD-409E-89E2-70BFBB1E92E8}"/>
    <cellStyle name="Normal 7 4 5 2" xfId="6518" xr:uid="{256DBC26-A3E1-4184-8D20-96F741EC6CA1}"/>
    <cellStyle name="Normal 7 4 5 2 2" xfId="6519" xr:uid="{AE26FC12-3AF8-44B4-9C1E-49C4B9A95077}"/>
    <cellStyle name="Normal 7 4 5 3" xfId="6520" xr:uid="{3BABDC69-CD52-43DF-8729-18BC50724D1F}"/>
    <cellStyle name="Normal 7 4 6" xfId="6521" xr:uid="{255AD9F1-F6D8-4ACA-ADEC-13BBB5874E2A}"/>
    <cellStyle name="Normal 7 4 6 2" xfId="6522" xr:uid="{9C728ADE-B6CC-4D45-B182-52594EBF13EB}"/>
    <cellStyle name="Normal 7 4 6 2 2" xfId="6523" xr:uid="{E18D2A8A-7C80-4FFC-BA79-67CB35293CC5}"/>
    <cellStyle name="Normal 7 4 6 3" xfId="6524" xr:uid="{60EA7DCE-C5BC-4C0D-A486-85771C01B0FC}"/>
    <cellStyle name="Normal 7 4 7" xfId="6525" xr:uid="{42C2A58A-0C99-4BCC-8A87-3A9BA7827532}"/>
    <cellStyle name="Normal 7 4 7 2" xfId="6526" xr:uid="{926C1122-A1A8-43D1-A59A-DCCD1E079B20}"/>
    <cellStyle name="Normal 7 4 8" xfId="6527" xr:uid="{5869D5A0-4063-45C6-A5A4-8EF1220CDDC1}"/>
    <cellStyle name="Normal 7 5" xfId="6528" xr:uid="{629E0AEC-1D33-45DF-9E0A-C12CBC0C367F}"/>
    <cellStyle name="Normal 7 5 2" xfId="6529" xr:uid="{6C3AC478-DC8C-44D0-BDD6-299F9C1E10AA}"/>
    <cellStyle name="Normal 7 5 2 2" xfId="6530" xr:uid="{97881B5A-5525-49C8-94B6-799E3FA531A3}"/>
    <cellStyle name="Normal 7 5 2 2 2" xfId="6531" xr:uid="{17E23807-9475-418B-BAA4-86810AF52550}"/>
    <cellStyle name="Normal 7 5 2 2 2 2" xfId="6532" xr:uid="{BE5747B6-0CA5-4438-999F-75D407856E7E}"/>
    <cellStyle name="Normal 7 5 2 2 2 2 2" xfId="6533" xr:uid="{9CF2A2F8-A4D1-4789-AE23-328BDFA96CE6}"/>
    <cellStyle name="Normal 7 5 2 2 2 3" xfId="6534" xr:uid="{A1F4F568-EAA2-4855-8764-710745784BC2}"/>
    <cellStyle name="Normal 7 5 2 2 3" xfId="6535" xr:uid="{89AB9BD3-5B95-41AC-B53D-259C371A2C42}"/>
    <cellStyle name="Normal 7 5 2 2 3 2" xfId="6536" xr:uid="{C6880350-0F85-4A04-83D2-8CA129DA57DF}"/>
    <cellStyle name="Normal 7 5 2 2 3 2 2" xfId="6537" xr:uid="{21455B28-B579-4255-B6A5-930BE5B4EAED}"/>
    <cellStyle name="Normal 7 5 2 2 3 3" xfId="6538" xr:uid="{70C2A714-9B44-49CA-99B6-9C98DD4D04A3}"/>
    <cellStyle name="Normal 7 5 2 2 4" xfId="6539" xr:uid="{92E09D0B-D0B1-44AA-AA75-0E06271FE4E1}"/>
    <cellStyle name="Normal 7 5 2 2 4 2" xfId="6540" xr:uid="{29D04376-668D-4095-A796-FB1CBB4A0388}"/>
    <cellStyle name="Normal 7 5 2 2 4 2 2" xfId="6541" xr:uid="{B393D552-0223-4F5A-A23F-EAF5A6D07908}"/>
    <cellStyle name="Normal 7 5 2 2 4 3" xfId="6542" xr:uid="{5F05C469-5A56-4414-87D0-B6D104394AA3}"/>
    <cellStyle name="Normal 7 5 2 2 5" xfId="6543" xr:uid="{76704F67-6732-4A75-8590-6BE56DB0911F}"/>
    <cellStyle name="Normal 7 5 2 2 5 2" xfId="6544" xr:uid="{B6F33F0D-B895-4304-8290-E55D1017FD5A}"/>
    <cellStyle name="Normal 7 5 2 2 6" xfId="6545" xr:uid="{54385786-74D3-411D-8C2F-3E0712858FAF}"/>
    <cellStyle name="Normal 7 5 2 3" xfId="6546" xr:uid="{19AF854F-D1A0-4FD5-B630-1006BAAE70EC}"/>
    <cellStyle name="Normal 7 5 2 3 2" xfId="6547" xr:uid="{71601F10-0800-41C9-B4F3-FE080BCAA5F4}"/>
    <cellStyle name="Normal 7 5 2 3 2 2" xfId="6548" xr:uid="{3D63306F-8907-4B5D-9B4B-DE8CC406898D}"/>
    <cellStyle name="Normal 7 5 2 3 3" xfId="6549" xr:uid="{57EF370F-FD66-41DB-9AD9-8D87BAFB6E40}"/>
    <cellStyle name="Normal 7 5 2 4" xfId="6550" xr:uid="{ACEB2309-635E-4D27-BD20-2F8750A75CFE}"/>
    <cellStyle name="Normal 7 5 2 4 2" xfId="6551" xr:uid="{53368395-F28C-4002-A0F5-E3480CA5D03F}"/>
    <cellStyle name="Normal 7 5 2 4 2 2" xfId="6552" xr:uid="{BC641782-601E-456E-BEBD-BF93C48D6D6B}"/>
    <cellStyle name="Normal 7 5 2 4 3" xfId="6553" xr:uid="{A898FBD9-2F8D-4691-B266-EEDB8A1E1E7C}"/>
    <cellStyle name="Normal 7 5 2 5" xfId="6554" xr:uid="{4007B4E4-C5A0-4090-80B0-9011AB577379}"/>
    <cellStyle name="Normal 7 5 2 5 2" xfId="6555" xr:uid="{30E6CA4B-A26F-4CE7-87E7-416D7E2EB933}"/>
    <cellStyle name="Normal 7 5 2 5 2 2" xfId="6556" xr:uid="{7371EBBB-1452-4EEA-BB81-C3E850B075F3}"/>
    <cellStyle name="Normal 7 5 2 5 3" xfId="6557" xr:uid="{81CF26A8-5502-43D4-8EE0-AB9011829E11}"/>
    <cellStyle name="Normal 7 5 2 6" xfId="6558" xr:uid="{EC051F34-09B9-472D-B92D-35EE707DAFCC}"/>
    <cellStyle name="Normal 7 5 2 6 2" xfId="6559" xr:uid="{AE8819DF-2CE2-43FE-A22C-7BE497760DCB}"/>
    <cellStyle name="Normal 7 5 2 7" xfId="6560" xr:uid="{D0C54429-B78F-4E0F-9A45-2BD95EACF3F3}"/>
    <cellStyle name="Normal 7 5 3" xfId="6561" xr:uid="{871DB29C-1D5A-4A0D-9FCA-BF382E2839FB}"/>
    <cellStyle name="Normal 7 5 3 2" xfId="6562" xr:uid="{CBAED79B-EE13-423A-B3EB-12245AA7A58D}"/>
    <cellStyle name="Normal 7 5 3 2 2" xfId="6563" xr:uid="{1E3FF847-68CA-4442-AF7C-8A52C24BE791}"/>
    <cellStyle name="Normal 7 5 3 2 2 2" xfId="6564" xr:uid="{0D2315E4-65DB-45C4-B2A1-608E03C1686D}"/>
    <cellStyle name="Normal 7 5 3 2 3" xfId="6565" xr:uid="{8FD2F61C-37DA-4B32-9F55-477751491B2D}"/>
    <cellStyle name="Normal 7 5 3 3" xfId="6566" xr:uid="{9FC6F898-6FA6-4D68-82E4-A692141A73A2}"/>
    <cellStyle name="Normal 7 5 3 3 2" xfId="6567" xr:uid="{1C0F01F4-796C-401B-A305-31B23B117313}"/>
    <cellStyle name="Normal 7 5 3 3 2 2" xfId="6568" xr:uid="{ECFF665E-0154-4481-B8FB-AEA7C3E4E7AF}"/>
    <cellStyle name="Normal 7 5 3 3 3" xfId="6569" xr:uid="{6075AB15-D099-4D1B-AF89-58CB55B48EC9}"/>
    <cellStyle name="Normal 7 5 3 4" xfId="6570" xr:uid="{9E5A9DEE-DAF3-4823-93BA-94487B32D53F}"/>
    <cellStyle name="Normal 7 5 3 4 2" xfId="6571" xr:uid="{D64495F7-5325-4632-9FC9-D4E550011F6B}"/>
    <cellStyle name="Normal 7 5 3 4 2 2" xfId="6572" xr:uid="{4E292F5B-53B3-4289-8D8C-C19DC8BAE902}"/>
    <cellStyle name="Normal 7 5 3 4 3" xfId="6573" xr:uid="{FA90CE15-4111-4A3B-8D5B-7853F4CDA307}"/>
    <cellStyle name="Normal 7 5 3 5" xfId="6574" xr:uid="{90E219BD-BE64-4A46-AAF3-0EEA046BA2BC}"/>
    <cellStyle name="Normal 7 5 3 5 2" xfId="6575" xr:uid="{94289C58-C439-4744-AA64-0FD025F3E209}"/>
    <cellStyle name="Normal 7 5 3 6" xfId="6576" xr:uid="{D2508F65-6205-464F-9C4F-083E3C60AEF6}"/>
    <cellStyle name="Normal 7 5 4" xfId="6577" xr:uid="{FA74B546-338C-45A1-A379-ED44C4DFEC6D}"/>
    <cellStyle name="Normal 7 5 4 2" xfId="6578" xr:uid="{970599E5-D49B-4E9F-BA45-E3D324B25BAE}"/>
    <cellStyle name="Normal 7 5 4 2 2" xfId="6579" xr:uid="{3503A353-DD05-49AC-B458-756B4E07B708}"/>
    <cellStyle name="Normal 7 5 4 3" xfId="6580" xr:uid="{E95D6D6B-59B3-4FD6-9F31-CCE0FFF8A59B}"/>
    <cellStyle name="Normal 7 5 5" xfId="6581" xr:uid="{6447B80F-9532-4FDB-90AC-ABC8A47E8544}"/>
    <cellStyle name="Normal 7 5 5 2" xfId="6582" xr:uid="{F192CCDF-0440-4F38-8247-691A8FF2F238}"/>
    <cellStyle name="Normal 7 5 5 2 2" xfId="6583" xr:uid="{05F84B46-3846-494C-8C7B-57E33BC22B02}"/>
    <cellStyle name="Normal 7 5 5 3" xfId="6584" xr:uid="{1936D040-1300-4099-AD88-EDDA0F6B82FD}"/>
    <cellStyle name="Normal 7 5 6" xfId="6585" xr:uid="{7C6B1DAB-2B64-4519-AC8C-CC9705C7ADC8}"/>
    <cellStyle name="Normal 7 5 6 2" xfId="6586" xr:uid="{E1C462DB-ACD7-421D-BC50-DC9D895A083E}"/>
    <cellStyle name="Normal 7 5 6 2 2" xfId="6587" xr:uid="{63C6F98B-7F92-43E2-A81C-C8BE9DAA928A}"/>
    <cellStyle name="Normal 7 5 6 3" xfId="6588" xr:uid="{DB4CCF10-D637-4408-BCE8-E6E098AE8345}"/>
    <cellStyle name="Normal 7 5 7" xfId="6589" xr:uid="{27272698-64B2-4868-8410-0CE432CB0B92}"/>
    <cellStyle name="Normal 7 5 7 2" xfId="6590" xr:uid="{F8080660-DE6A-43E5-B635-88C5E8ED9402}"/>
    <cellStyle name="Normal 7 5 8" xfId="6591" xr:uid="{4B4D4ECC-56CF-4D33-8103-E8423672C9E3}"/>
    <cellStyle name="Normal 7 6" xfId="6592" xr:uid="{B9D446B5-64EB-4C47-986D-BAF10D7944A4}"/>
    <cellStyle name="Normal 7 6 2" xfId="6593" xr:uid="{8777480E-9CCF-4C42-B8EF-E97ECB8AEFC2}"/>
    <cellStyle name="Normal 7 6 2 2" xfId="6594" xr:uid="{72586DF2-C642-4C56-A309-E0E5D059C2B9}"/>
    <cellStyle name="Normal 7 6 2 2 2" xfId="6595" xr:uid="{0D61D81D-2CA5-452A-85D8-006BB5333B7D}"/>
    <cellStyle name="Normal 7 6 2 2 2 2" xfId="6596" xr:uid="{F4308CC7-3F0B-423B-A194-7D499859FB9B}"/>
    <cellStyle name="Normal 7 6 2 2 3" xfId="6597" xr:uid="{C3952305-A692-4163-8E45-544F2FF4D4CF}"/>
    <cellStyle name="Normal 7 6 2 3" xfId="6598" xr:uid="{6125E3FD-7BF8-4987-B11D-B287F8105C44}"/>
    <cellStyle name="Normal 7 6 2 3 2" xfId="6599" xr:uid="{19E6634D-F657-4858-9D0A-80F636ED5CC2}"/>
    <cellStyle name="Normal 7 6 2 3 2 2" xfId="6600" xr:uid="{01FFFFAD-EE80-49BF-B02C-BCF1964A30DE}"/>
    <cellStyle name="Normal 7 6 2 3 3" xfId="6601" xr:uid="{008F8DF0-9A57-4FA3-A4E7-9F6D052DF5D9}"/>
    <cellStyle name="Normal 7 6 2 4" xfId="6602" xr:uid="{E0D1D6CB-1CB7-4EB4-B09F-63580D33C7D0}"/>
    <cellStyle name="Normal 7 6 2 4 2" xfId="6603" xr:uid="{589D5CDD-C2B5-43FB-9132-3277090BA728}"/>
    <cellStyle name="Normal 7 6 2 4 2 2" xfId="6604" xr:uid="{710BD2EE-9DE7-4D22-B07A-C80056009D2A}"/>
    <cellStyle name="Normal 7 6 2 4 3" xfId="6605" xr:uid="{0A64D80F-44AD-434B-8EAB-D10FBE990B67}"/>
    <cellStyle name="Normal 7 6 2 5" xfId="6606" xr:uid="{85998DD1-63A4-455E-8AAB-82E8736DE3AF}"/>
    <cellStyle name="Normal 7 6 2 5 2" xfId="6607" xr:uid="{14484DD0-2124-47AC-869D-43B87C9388D6}"/>
    <cellStyle name="Normal 7 6 2 6" xfId="6608" xr:uid="{63833870-E023-4C33-9855-15017A793B53}"/>
    <cellStyle name="Normal 7 6 3" xfId="6609" xr:uid="{34D4B0C3-B7F8-45DC-BBA1-4F7036226938}"/>
    <cellStyle name="Normal 7 6 3 2" xfId="6610" xr:uid="{AC410DC4-41B7-4EEE-A77A-628C46D76DE6}"/>
    <cellStyle name="Normal 7 6 3 2 2" xfId="6611" xr:uid="{9633F9AD-A79E-4A3B-8459-795C798636F9}"/>
    <cellStyle name="Normal 7 6 3 3" xfId="6612" xr:uid="{126E82CC-9AAF-456C-B2CA-A56871F03F85}"/>
    <cellStyle name="Normal 7 6 4" xfId="6613" xr:uid="{C447DBCD-D7CF-410D-883B-1C925C39070F}"/>
    <cellStyle name="Normal 7 6 4 2" xfId="6614" xr:uid="{77C6BE3A-1336-4905-80F2-0F07F4610FB0}"/>
    <cellStyle name="Normal 7 6 4 2 2" xfId="6615" xr:uid="{A6728169-21EB-4A7E-98A3-77E8E5F04A2D}"/>
    <cellStyle name="Normal 7 6 4 3" xfId="6616" xr:uid="{3409FB43-5A08-49E8-98FF-A1DDAB31A236}"/>
    <cellStyle name="Normal 7 6 5" xfId="6617" xr:uid="{FF5FFD2E-1D2D-4CC4-AA28-6C5D1831849A}"/>
    <cellStyle name="Normal 7 6 5 2" xfId="6618" xr:uid="{70E63B5D-8A36-436A-806A-5AB1F8A81D5E}"/>
    <cellStyle name="Normal 7 6 5 2 2" xfId="6619" xr:uid="{65FC7BC9-2082-4E1C-A00A-6E248774EFE1}"/>
    <cellStyle name="Normal 7 6 5 3" xfId="6620" xr:uid="{D046ECB8-19D1-47B0-BCDF-17AD13CF7439}"/>
    <cellStyle name="Normal 7 6 6" xfId="6621" xr:uid="{A7D24650-8316-43AA-BC96-9F75CC37EB64}"/>
    <cellStyle name="Normal 7 6 6 2" xfId="6622" xr:uid="{9756CA2F-A200-4A1C-B5CD-FF1C03AAFD1C}"/>
    <cellStyle name="Normal 7 6 7" xfId="6623" xr:uid="{BB39C600-04C9-43AD-8987-DD93ED228E8C}"/>
    <cellStyle name="Normal 7 7" xfId="6624" xr:uid="{C06B4620-EDB2-4B02-BB23-4FF699C7A0D5}"/>
    <cellStyle name="Normal 7 7 2" xfId="6625" xr:uid="{7BFF71AC-2A89-4AFB-81F5-7888C7F77BB4}"/>
    <cellStyle name="Normal 7 7 2 2" xfId="6626" xr:uid="{D6207B90-8DDC-466E-BCB6-BF08D41A421A}"/>
    <cellStyle name="Normal 7 7 2 2 2" xfId="6627" xr:uid="{0661DAAE-31EC-44E7-92D7-9F75623D9B75}"/>
    <cellStyle name="Normal 7 7 2 3" xfId="6628" xr:uid="{28C386FF-8CD0-45F6-89DC-861DAB09B480}"/>
    <cellStyle name="Normal 7 7 3" xfId="6629" xr:uid="{34890621-89E3-4D4E-8C15-06C9D4A1AF4B}"/>
    <cellStyle name="Normal 7 7 3 2" xfId="6630" xr:uid="{F4EDFA6B-B80C-4C65-A543-CE6D690B371A}"/>
    <cellStyle name="Normal 7 7 3 2 2" xfId="6631" xr:uid="{BB4AA546-191D-4EAE-8105-489F13828557}"/>
    <cellStyle name="Normal 7 7 3 3" xfId="6632" xr:uid="{FA72B409-98F7-49E3-8F52-58953C091136}"/>
    <cellStyle name="Normal 7 7 4" xfId="6633" xr:uid="{06120BBD-C866-49E1-B81C-280B8F7AD732}"/>
    <cellStyle name="Normal 7 7 4 2" xfId="6634" xr:uid="{6DD168EF-64B9-4672-A33B-7C44239620B6}"/>
    <cellStyle name="Normal 7 7 4 2 2" xfId="6635" xr:uid="{D34480C5-D981-444B-8886-558A694FD4C6}"/>
    <cellStyle name="Normal 7 7 4 3" xfId="6636" xr:uid="{D5465798-5507-42EE-808D-7A107B25DB16}"/>
    <cellStyle name="Normal 7 7 5" xfId="6637" xr:uid="{FACF551E-06CC-4A8B-A43B-3D472D0C0320}"/>
    <cellStyle name="Normal 7 7 5 2" xfId="6638" xr:uid="{E36CBD36-2148-4D1B-B3D5-BA57D37B9EB8}"/>
    <cellStyle name="Normal 7 7 6" xfId="6639" xr:uid="{60E7CC93-C8F7-4909-84FD-32ECAB398BAF}"/>
    <cellStyle name="Normal 7 8" xfId="6640" xr:uid="{8836131F-CAC7-47E3-9598-745CC0BC86E3}"/>
    <cellStyle name="Normal 7 8 2" xfId="6641" xr:uid="{B204D1D1-5249-43F9-82FC-C620A2C9CF74}"/>
    <cellStyle name="Normal 7 8 2 2" xfId="6642" xr:uid="{1BF56EC8-BDBF-40E1-BB4F-0871BEEC84C5}"/>
    <cellStyle name="Normal 7 8 3" xfId="6643" xr:uid="{99770CF3-D9AB-4108-B9F1-A343A98192DF}"/>
    <cellStyle name="Normal 7 9" xfId="6644" xr:uid="{B293CBC2-56D7-4726-B0B9-8BB143F161EC}"/>
    <cellStyle name="Normal 7 9 2" xfId="6645" xr:uid="{33D5BDA3-BA19-4816-A60B-53ADD52FCDC4}"/>
    <cellStyle name="Normal 7 9 2 2" xfId="6646" xr:uid="{33BE6211-5631-4FC1-858E-4CF835AF5A53}"/>
    <cellStyle name="Normal 7 9 3" xfId="6647" xr:uid="{57E6B71F-904B-43EA-A73E-F0FA88E9C165}"/>
    <cellStyle name="Normal 70" xfId="7542" xr:uid="{4B99695A-706F-4A4C-A440-600EAD5CF66D}"/>
    <cellStyle name="Normal 71" xfId="7541" xr:uid="{A870335A-2BCA-4624-8C0F-1A8E60D32595}"/>
    <cellStyle name="Normal 71 2" xfId="7742" xr:uid="{B6F8D2C8-1819-4529-898D-D31609CACC7D}"/>
    <cellStyle name="Normal 71 2 2" xfId="8113" xr:uid="{03B8BADA-3B30-4740-B4A7-496548261000}"/>
    <cellStyle name="Normal 71 2 2 2" xfId="8783" xr:uid="{F86B232A-D159-4064-96DC-BD316DE4A422}"/>
    <cellStyle name="Normal 71 2 2 2 2" xfId="10852" xr:uid="{A9DC05B5-0722-452E-A8FE-8CEBFDCC0DC0}"/>
    <cellStyle name="Normal 71 2 2 2 2 2" xfId="15058" xr:uid="{1974EBAA-4678-4B72-8EA8-B4A66BDDFE1A}"/>
    <cellStyle name="Normal 71 2 2 2 3" xfId="13029" xr:uid="{1555E2E8-DEC8-44AD-BC49-991222728F1E}"/>
    <cellStyle name="Normal 71 2 2 3" xfId="10182" xr:uid="{2EF3F4BC-18A8-49CA-A786-F610282B450D}"/>
    <cellStyle name="Normal 71 2 2 3 2" xfId="14388" xr:uid="{FDCD7C22-F251-498E-A8E4-3073EE417904}"/>
    <cellStyle name="Normal 71 2 2 4" xfId="12359" xr:uid="{A1A1AB5B-2FE2-4499-B03F-EF3891A289D2}"/>
    <cellStyle name="Normal 71 2 3" xfId="8449" xr:uid="{98F71DC9-BB79-431F-9093-3FEE80E83236}"/>
    <cellStyle name="Normal 71 2 3 2" xfId="10518" xr:uid="{61B4AA36-3094-4247-B10B-DE26C84C452D}"/>
    <cellStyle name="Normal 71 2 3 2 2" xfId="14724" xr:uid="{70CC801E-A377-40D6-8E3E-006097407317}"/>
    <cellStyle name="Normal 71 2 3 3" xfId="12695" xr:uid="{D7AA2F73-1E9E-4CB5-B21D-E527DC8DA692}"/>
    <cellStyle name="Normal 71 2 4" xfId="9122" xr:uid="{71A1CC48-523F-4267-AC16-80C9A773A9EC}"/>
    <cellStyle name="Normal 71 2 4 2" xfId="11191" xr:uid="{DF5D44A3-835A-4B60-B95D-045874712F34}"/>
    <cellStyle name="Normal 71 2 4 2 2" xfId="15397" xr:uid="{315BB3C0-EDF2-4680-9C6D-D10F045DC54D}"/>
    <cellStyle name="Normal 71 2 4 3" xfId="13368" xr:uid="{38F9C20F-1C8B-497F-8F48-537AE0A0589C}"/>
    <cellStyle name="Normal 71 2 5" xfId="9490" xr:uid="{3C45810A-7A22-443F-A020-7D3C9A356DE8}"/>
    <cellStyle name="Normal 71 2 5 2" xfId="11524" xr:uid="{DB40059E-FFE5-4A83-B15B-9BD223A57DBD}"/>
    <cellStyle name="Normal 71 2 5 2 2" xfId="15730" xr:uid="{531025E2-A9C4-42F1-BB55-8841ABD9D852}"/>
    <cellStyle name="Normal 71 2 5 3" xfId="13701" xr:uid="{850BBB76-3FDA-4760-ABF5-EE0C32F3261A}"/>
    <cellStyle name="Normal 71 2 6" xfId="9848" xr:uid="{71500EC6-3E5B-4832-8A22-D27A7C1B2149}"/>
    <cellStyle name="Normal 71 2 6 2" xfId="14054" xr:uid="{515C011B-DF33-4496-926F-59DB8D5AECFA}"/>
    <cellStyle name="Normal 71 2 7" xfId="12025" xr:uid="{71885643-D4CD-43DE-89DC-8A5632957977}"/>
    <cellStyle name="Normal 71 3" xfId="7950" xr:uid="{BF2DD6B1-5114-4EDB-9141-2A42A4933F8E}"/>
    <cellStyle name="Normal 71 3 2" xfId="8620" xr:uid="{5164A586-AF05-413F-8C67-C22690D21A70}"/>
    <cellStyle name="Normal 71 3 2 2" xfId="10689" xr:uid="{A765C840-4EB4-420F-9FD9-F387DA91E05A}"/>
    <cellStyle name="Normal 71 3 2 2 2" xfId="14895" xr:uid="{77E39670-FDF2-487F-82E9-8933D0C08056}"/>
    <cellStyle name="Normal 71 3 2 3" xfId="12866" xr:uid="{6238F559-7853-41F9-BC0C-23D383FB1383}"/>
    <cellStyle name="Normal 71 3 3" xfId="10019" xr:uid="{BDBC01C3-AF99-4131-9E8E-00944B90C8B8}"/>
    <cellStyle name="Normal 71 3 3 2" xfId="14225" xr:uid="{7648A655-BF74-4BB1-B904-EE633E90A85A}"/>
    <cellStyle name="Normal 71 3 4" xfId="12196" xr:uid="{85E35838-FD78-4990-A7D7-B7C02D13CD76}"/>
    <cellStyle name="Normal 71 4" xfId="8286" xr:uid="{7F37465C-6609-4194-8009-17BEB325B488}"/>
    <cellStyle name="Normal 71 4 2" xfId="10355" xr:uid="{C70B1410-68EC-4AD3-922D-806F33563061}"/>
    <cellStyle name="Normal 71 4 2 2" xfId="14561" xr:uid="{B9425E99-95C6-4067-8BA6-904E20C9FB76}"/>
    <cellStyle name="Normal 71 4 3" xfId="12532" xr:uid="{9C716F90-01F1-4293-A108-68479E580B80}"/>
    <cellStyle name="Normal 71 5" xfId="8959" xr:uid="{693D60D2-B4E6-4874-A2D8-E780A6F7A7D5}"/>
    <cellStyle name="Normal 71 5 2" xfId="11028" xr:uid="{18EE7816-EA49-4183-B2A9-16052C851C85}"/>
    <cellStyle name="Normal 71 5 2 2" xfId="15234" xr:uid="{F03A6F5D-D2DD-4A6A-B64F-F2C777629186}"/>
    <cellStyle name="Normal 71 5 3" xfId="13205" xr:uid="{3C6CB419-5818-4207-A681-1AA32387D011}"/>
    <cellStyle name="Normal 71 6" xfId="9327" xr:uid="{837A079E-EFAD-4451-AEEF-242BE8F37806}"/>
    <cellStyle name="Normal 71 6 2" xfId="11361" xr:uid="{1AC250D7-A4B9-41E3-BCD5-450ACE0C6904}"/>
    <cellStyle name="Normal 71 6 2 2" xfId="15567" xr:uid="{AD832116-DE78-46CB-9B38-1492099D10A6}"/>
    <cellStyle name="Normal 71 6 3" xfId="13538" xr:uid="{57B52FAA-0B0C-49FF-9E27-70096D0351AA}"/>
    <cellStyle name="Normal 71 7" xfId="9685" xr:uid="{CB3C8929-AA63-40B7-8B9B-3BCC430A25BF}"/>
    <cellStyle name="Normal 71 7 2" xfId="13891" xr:uid="{C54C2AA5-9509-4702-8B5D-543F4E41E633}"/>
    <cellStyle name="Normal 71 8" xfId="11862" xr:uid="{CB28B805-C94A-4F0F-9996-ADEF87DF3FE2}"/>
    <cellStyle name="Normal 72" xfId="7584" xr:uid="{83FC5378-EA73-40EC-BE3D-1B88B4F4030A}"/>
    <cellStyle name="Normal 72 2" xfId="7783" xr:uid="{68DB7760-9DE2-4FCD-ABAB-EB87EB83140F}"/>
    <cellStyle name="Normal 72 2 2" xfId="8154" xr:uid="{D67F4DD0-48DE-4A39-88F0-9FCE1820F714}"/>
    <cellStyle name="Normal 72 2 2 2" xfId="8824" xr:uid="{51F2ECAB-81DE-4AB6-9779-79D867485ADB}"/>
    <cellStyle name="Normal 72 2 2 2 2" xfId="10893" xr:uid="{3E39A59E-FCF5-4095-B54A-054EE8F0B1D2}"/>
    <cellStyle name="Normal 72 2 2 2 2 2" xfId="15099" xr:uid="{B4AB56ED-5145-4726-BD30-66E2F9BA7754}"/>
    <cellStyle name="Normal 72 2 2 2 3" xfId="13070" xr:uid="{DDB39E82-30F9-4DF8-AF63-0BB3708860E1}"/>
    <cellStyle name="Normal 72 2 2 3" xfId="10223" xr:uid="{823420F5-33A1-4060-8ACD-C026ED804144}"/>
    <cellStyle name="Normal 72 2 2 3 2" xfId="14429" xr:uid="{52A24703-700B-42DA-AC7D-55D361714531}"/>
    <cellStyle name="Normal 72 2 2 4" xfId="12400" xr:uid="{189727E1-1814-47D0-8F49-5FB559B45ABD}"/>
    <cellStyle name="Normal 72 2 3" xfId="8490" xr:uid="{0E695351-98F7-41C5-A6DD-787D0912C745}"/>
    <cellStyle name="Normal 72 2 3 2" xfId="10559" xr:uid="{8F1C909C-4F24-429D-89CD-CBBFEB426B7A}"/>
    <cellStyle name="Normal 72 2 3 2 2" xfId="14765" xr:uid="{072E196D-807A-4268-B834-91963D86796A}"/>
    <cellStyle name="Normal 72 2 3 3" xfId="12736" xr:uid="{96A342A3-81D3-498C-8B3D-A9F3CAF78CF7}"/>
    <cellStyle name="Normal 72 2 4" xfId="9163" xr:uid="{E5725E38-EEBB-4FFF-9FFE-15304779C978}"/>
    <cellStyle name="Normal 72 2 4 2" xfId="11232" xr:uid="{9D51E1E6-BAB2-479F-BA59-7E67084A8AB5}"/>
    <cellStyle name="Normal 72 2 4 2 2" xfId="15438" xr:uid="{C742A69E-0B39-4782-999D-E48E47ACCDA3}"/>
    <cellStyle name="Normal 72 2 4 3" xfId="13409" xr:uid="{C6E05AB5-56DF-4F02-BDF8-8E8734FFDFD4}"/>
    <cellStyle name="Normal 72 2 5" xfId="9531" xr:uid="{43B116CC-E563-4858-A8AF-ABD02CCE6B0D}"/>
    <cellStyle name="Normal 72 2 5 2" xfId="11565" xr:uid="{2B36E1E6-0087-488C-8BCA-7A551B02EA7C}"/>
    <cellStyle name="Normal 72 2 5 2 2" xfId="15771" xr:uid="{8BF8BEA1-E738-4FCB-AC6B-344D318A1362}"/>
    <cellStyle name="Normal 72 2 5 3" xfId="13742" xr:uid="{9D291EBF-364D-437E-BB5B-D67D02B3B456}"/>
    <cellStyle name="Normal 72 2 6" xfId="9889" xr:uid="{AE880624-0191-4429-BC98-0B41D19C4552}"/>
    <cellStyle name="Normal 72 2 6 2" xfId="14095" xr:uid="{18353FBE-B571-4DE1-83D0-92F1F3E4894E}"/>
    <cellStyle name="Normal 72 2 7" xfId="12066" xr:uid="{8459F01C-4737-4F45-A5CB-5647D8F20759}"/>
    <cellStyle name="Normal 72 3" xfId="7991" xr:uid="{A645F13F-CEE5-4295-A76C-0FEDD69CA041}"/>
    <cellStyle name="Normal 72 3 2" xfId="8661" xr:uid="{EF0563B8-9480-47B5-9D52-FFA8F68BB00F}"/>
    <cellStyle name="Normal 72 3 2 2" xfId="10730" xr:uid="{BA0FE63D-9E77-47BE-9696-38691DC8F3EE}"/>
    <cellStyle name="Normal 72 3 2 2 2" xfId="14936" xr:uid="{92CB6F8A-2807-459A-9521-3213505D5DDB}"/>
    <cellStyle name="Normal 72 3 2 3" xfId="12907" xr:uid="{8CCE19A8-20F2-4E52-BF75-D9275DE039AB}"/>
    <cellStyle name="Normal 72 3 3" xfId="10060" xr:uid="{55215E9A-8672-4397-928D-51B5A4DB32B2}"/>
    <cellStyle name="Normal 72 3 3 2" xfId="14266" xr:uid="{20158423-7A38-4495-992D-F0C7D3D37BB6}"/>
    <cellStyle name="Normal 72 3 4" xfId="12237" xr:uid="{67D42332-4564-41FC-8FD0-0BFB255BF2CC}"/>
    <cellStyle name="Normal 72 4" xfId="8327" xr:uid="{5A3D0123-A46F-42FE-96B9-9FB757580FF4}"/>
    <cellStyle name="Normal 72 4 2" xfId="10396" xr:uid="{2A265E6B-8466-450D-AD53-191F8C8D80BE}"/>
    <cellStyle name="Normal 72 4 2 2" xfId="14602" xr:uid="{1E51C3F0-EFC8-40D6-B2DC-E67E6117FC4A}"/>
    <cellStyle name="Normal 72 4 3" xfId="12573" xr:uid="{D292D098-FF4A-4383-8642-D302574F2B33}"/>
    <cellStyle name="Normal 72 5" xfId="9000" xr:uid="{4CAF02D7-6FC6-452A-9343-DBF23BFD48DE}"/>
    <cellStyle name="Normal 72 5 2" xfId="11069" xr:uid="{402D49B2-578A-47D7-A042-605A4C21C2CE}"/>
    <cellStyle name="Normal 72 5 2 2" xfId="15275" xr:uid="{9CFFA555-5009-4513-AD55-3508F9BBC81C}"/>
    <cellStyle name="Normal 72 5 3" xfId="13246" xr:uid="{AB01E945-A59A-43A3-970C-6BE691CB473C}"/>
    <cellStyle name="Normal 72 6" xfId="9368" xr:uid="{1029EF47-59BD-4883-9C9F-9E1ED8DD9CC3}"/>
    <cellStyle name="Normal 72 6 2" xfId="11402" xr:uid="{C5241778-70A3-49AD-8A30-C69AC65BE1DB}"/>
    <cellStyle name="Normal 72 6 2 2" xfId="15608" xr:uid="{51F43131-B844-4ACC-8B55-59676982B1BD}"/>
    <cellStyle name="Normal 72 6 3" xfId="13579" xr:uid="{5303BBE7-5BE8-46AD-AEA3-E43E0B9266F1}"/>
    <cellStyle name="Normal 72 7" xfId="9726" xr:uid="{ADCACE0B-F32A-42BF-B1A5-B380A5B99023}"/>
    <cellStyle name="Normal 72 7 2" xfId="13932" xr:uid="{5B8DE6F0-06BF-42AB-A425-6E905538B59D}"/>
    <cellStyle name="Normal 72 8" xfId="11903" xr:uid="{A7819C71-9E4A-4C4A-A0B6-7EC969F86F4D}"/>
    <cellStyle name="Normal 73" xfId="7585" xr:uid="{9CC0CE8E-FC1B-4A6F-9998-1E1A7439484A}"/>
    <cellStyle name="Normal 73 2" xfId="7784" xr:uid="{6A64510C-09F4-4B4E-B087-391B9712DC2C}"/>
    <cellStyle name="Normal 73 2 2" xfId="8155" xr:uid="{8A9BE591-A731-4DDD-9614-A1990FD27853}"/>
    <cellStyle name="Normal 73 2 2 2" xfId="8825" xr:uid="{967271E8-CCC5-4DC8-B9D4-8104EE9C6EF7}"/>
    <cellStyle name="Normal 73 2 2 2 2" xfId="10894" xr:uid="{A65D9270-DC60-45DF-B0AD-F7368D06CF3F}"/>
    <cellStyle name="Normal 73 2 2 2 2 2" xfId="15100" xr:uid="{9295E6F0-B238-4D7D-A199-507E90223D69}"/>
    <cellStyle name="Normal 73 2 2 2 3" xfId="13071" xr:uid="{A2606641-2B51-4602-982D-F8D8A5A9BC61}"/>
    <cellStyle name="Normal 73 2 2 3" xfId="10224" xr:uid="{2D23067C-A440-4362-928D-DD0493CAA30A}"/>
    <cellStyle name="Normal 73 2 2 3 2" xfId="14430" xr:uid="{5B8CBF9D-5783-42DC-A3FB-08E55A4818D9}"/>
    <cellStyle name="Normal 73 2 2 4" xfId="12401" xr:uid="{0175A231-84B2-48EA-AFE9-5338CE4E9A1F}"/>
    <cellStyle name="Normal 73 2 3" xfId="8491" xr:uid="{B5FC49D1-9655-4B77-AF3A-9053725CC09B}"/>
    <cellStyle name="Normal 73 2 3 2" xfId="10560" xr:uid="{F1A9B5D5-612C-4C1D-A3E0-14CBC9503530}"/>
    <cellStyle name="Normal 73 2 3 2 2" xfId="14766" xr:uid="{6FFD8716-B015-4783-B132-D49943F6E186}"/>
    <cellStyle name="Normal 73 2 3 3" xfId="12737" xr:uid="{4CEDF0DC-2800-46B9-ACC3-8AFB80DD9456}"/>
    <cellStyle name="Normal 73 2 4" xfId="9164" xr:uid="{47FC0563-66D3-429B-845A-9064EDB36ACD}"/>
    <cellStyle name="Normal 73 2 4 2" xfId="11233" xr:uid="{3A5274F6-5EEB-4C20-BE53-91AE8EE52E3C}"/>
    <cellStyle name="Normal 73 2 4 2 2" xfId="15439" xr:uid="{C09B2199-6642-40B1-9CB2-EA17F06D832C}"/>
    <cellStyle name="Normal 73 2 4 3" xfId="13410" xr:uid="{825A15AF-0EBA-43C1-8002-F14255811032}"/>
    <cellStyle name="Normal 73 2 5" xfId="9532" xr:uid="{5C34B3F0-7231-4DC0-9772-BB8FAD6E91CE}"/>
    <cellStyle name="Normal 73 2 5 2" xfId="11566" xr:uid="{9E921034-D2A9-4CF3-AED4-0934636F8A95}"/>
    <cellStyle name="Normal 73 2 5 2 2" xfId="15772" xr:uid="{99789950-9F95-48F8-A6EA-CF585C6EB035}"/>
    <cellStyle name="Normal 73 2 5 3" xfId="13743" xr:uid="{3BDB99EC-F597-4A7F-8F0A-0C7802972A7A}"/>
    <cellStyle name="Normal 73 2 6" xfId="9890" xr:uid="{8B2E3B36-B6CC-411A-A30F-5E2520EA8484}"/>
    <cellStyle name="Normal 73 2 6 2" xfId="14096" xr:uid="{C84B1ADE-3C7F-4AFE-B065-AB01A34031D1}"/>
    <cellStyle name="Normal 73 2 7" xfId="12067" xr:uid="{3F32FB9F-0AFF-4C07-9271-3FA512B45532}"/>
    <cellStyle name="Normal 73 3" xfId="7992" xr:uid="{774594A1-FCEF-493E-8BD2-652DC2B723C7}"/>
    <cellStyle name="Normal 73 3 2" xfId="8662" xr:uid="{5E9BF047-5A05-495D-920A-830B9F6A6812}"/>
    <cellStyle name="Normal 73 3 2 2" xfId="10731" xr:uid="{69101A7A-3652-4309-8532-B9C4ABE1DE28}"/>
    <cellStyle name="Normal 73 3 2 2 2" xfId="14937" xr:uid="{9E2A87CC-A4C3-422A-A614-42F30E73EEEF}"/>
    <cellStyle name="Normal 73 3 2 3" xfId="12908" xr:uid="{B485B8D2-CD63-4353-BD86-A3BDC03C2E6C}"/>
    <cellStyle name="Normal 73 3 3" xfId="10061" xr:uid="{1D2EDB27-34AB-4EBE-827B-69AA47E3365C}"/>
    <cellStyle name="Normal 73 3 3 2" xfId="14267" xr:uid="{8E2C6BBE-8F1A-4836-8BC5-BE149378F8CC}"/>
    <cellStyle name="Normal 73 3 4" xfId="12238" xr:uid="{0F34419C-3932-47F8-B5D1-F5D92955D62E}"/>
    <cellStyle name="Normal 73 4" xfId="8328" xr:uid="{CDDDCE3C-A287-44D2-A7B4-1A2620CD8D72}"/>
    <cellStyle name="Normal 73 4 2" xfId="10397" xr:uid="{3BBAEFF4-96B2-4D19-8056-EB33C3BBB286}"/>
    <cellStyle name="Normal 73 4 2 2" xfId="14603" xr:uid="{BD3FC61B-FFCD-49FF-8840-1AEE5F89D38C}"/>
    <cellStyle name="Normal 73 4 3" xfId="12574" xr:uid="{6EAAA4D5-D861-4F0C-AD25-BAF9A89023B5}"/>
    <cellStyle name="Normal 73 5" xfId="9001" xr:uid="{A6C61178-2C98-4DDF-B297-26603B3BE21B}"/>
    <cellStyle name="Normal 73 5 2" xfId="11070" xr:uid="{180D1229-4DEC-480C-82CF-11404677ADC3}"/>
    <cellStyle name="Normal 73 5 2 2" xfId="15276" xr:uid="{801362EF-579E-4C04-A3F3-9CBACA321F4C}"/>
    <cellStyle name="Normal 73 5 3" xfId="13247" xr:uid="{EE12DEAC-0A3C-46CF-903A-A155532945C0}"/>
    <cellStyle name="Normal 73 6" xfId="9369" xr:uid="{F0A4ABA4-03E4-49E0-AEF4-3ADB13236F91}"/>
    <cellStyle name="Normal 73 6 2" xfId="11403" xr:uid="{EABF0071-3599-4EA0-AB12-34F14DF28A58}"/>
    <cellStyle name="Normal 73 6 2 2" xfId="15609" xr:uid="{7BDBE001-33EB-49FD-992C-6FFCBEC43F9F}"/>
    <cellStyle name="Normal 73 6 3" xfId="13580" xr:uid="{E74ADFDB-A2CD-4513-87DD-DFCA7186A095}"/>
    <cellStyle name="Normal 73 7" xfId="9727" xr:uid="{53D0478A-0413-4A0B-A428-021B4537BE40}"/>
    <cellStyle name="Normal 73 7 2" xfId="13933" xr:uid="{5E99DEDA-0B90-40D3-BA98-484EEB494116}"/>
    <cellStyle name="Normal 73 8" xfId="11904" xr:uid="{73687163-7699-4FFE-A54A-F66E501C562B}"/>
    <cellStyle name="Normal 74" xfId="7586" xr:uid="{5263A91F-4A60-4268-91CD-8C6C7BF9C09D}"/>
    <cellStyle name="Normal 74 2" xfId="7785" xr:uid="{A9A16B5D-07F7-45D7-A1EB-05F770DCDFD0}"/>
    <cellStyle name="Normal 74 2 2" xfId="8156" xr:uid="{77525296-6474-4E73-9AE4-2FC75D3DC08D}"/>
    <cellStyle name="Normal 74 2 2 2" xfId="8826" xr:uid="{0D7C0262-4B8E-48ED-B8AF-D92428D84264}"/>
    <cellStyle name="Normal 74 2 2 2 2" xfId="10895" xr:uid="{95CDC4F8-5D66-4D2B-932C-3CA0763E57FD}"/>
    <cellStyle name="Normal 74 2 2 2 2 2" xfId="15101" xr:uid="{AE3E0B95-E754-4A49-9544-8B4E6C4F1471}"/>
    <cellStyle name="Normal 74 2 2 2 3" xfId="13072" xr:uid="{BA3AA90E-1287-4AD9-93AF-CA32C3DF90FC}"/>
    <cellStyle name="Normal 74 2 2 3" xfId="10225" xr:uid="{1AD50871-9668-4B06-9052-8C1B42C5A33E}"/>
    <cellStyle name="Normal 74 2 2 3 2" xfId="14431" xr:uid="{E36B2D1F-BCB0-4DA5-90C9-100A80934061}"/>
    <cellStyle name="Normal 74 2 2 4" xfId="12402" xr:uid="{16C02CB7-C49D-4534-96C7-7DC0B910B5C3}"/>
    <cellStyle name="Normal 74 2 3" xfId="8492" xr:uid="{0B5F20D9-8ACB-4B15-80A2-B2745A1C6515}"/>
    <cellStyle name="Normal 74 2 3 2" xfId="10561" xr:uid="{AD9B2132-7B33-4A79-939A-DE0DAA1B5B3F}"/>
    <cellStyle name="Normal 74 2 3 2 2" xfId="14767" xr:uid="{5D0090F3-22B6-477B-A417-9FCD5C9C5A8A}"/>
    <cellStyle name="Normal 74 2 3 3" xfId="12738" xr:uid="{F07FF6C9-2CCF-4F15-AB9C-B6A088EE761B}"/>
    <cellStyle name="Normal 74 2 4" xfId="9165" xr:uid="{72DB1B28-F0BE-4E04-8B9D-817620A6F86A}"/>
    <cellStyle name="Normal 74 2 4 2" xfId="11234" xr:uid="{73F3AD52-5EC9-4FFF-8660-647D89445651}"/>
    <cellStyle name="Normal 74 2 4 2 2" xfId="15440" xr:uid="{F674D9F9-FF75-4EA7-9A4B-AE433E81D728}"/>
    <cellStyle name="Normal 74 2 4 3" xfId="13411" xr:uid="{4C56F443-C3DA-48B3-AD3D-308137CD30F3}"/>
    <cellStyle name="Normal 74 2 5" xfId="9533" xr:uid="{D9AB57D8-BEF8-4157-A753-A02AB499DDC1}"/>
    <cellStyle name="Normal 74 2 5 2" xfId="11567" xr:uid="{773BF5DE-ED9D-47AE-B633-2E54FCB3FB69}"/>
    <cellStyle name="Normal 74 2 5 2 2" xfId="15773" xr:uid="{723F311F-85AB-4CDF-9299-A04542FE80F7}"/>
    <cellStyle name="Normal 74 2 5 3" xfId="13744" xr:uid="{47A2CB41-95A3-4E4B-878B-7B6656DE0ED9}"/>
    <cellStyle name="Normal 74 2 6" xfId="9891" xr:uid="{4BB0EBB9-A34E-48D5-BEEC-2E394DDF2846}"/>
    <cellStyle name="Normal 74 2 6 2" xfId="14097" xr:uid="{A19D7882-64E0-4705-97EC-E6EB2F8044CC}"/>
    <cellStyle name="Normal 74 2 7" xfId="12068" xr:uid="{FABB4B3D-8E93-4C64-B3BB-9BB42FD00922}"/>
    <cellStyle name="Normal 74 3" xfId="7993" xr:uid="{EC986E8A-30C2-4543-B91F-66661BD209FA}"/>
    <cellStyle name="Normal 74 3 2" xfId="8663" xr:uid="{F0F6E06A-709A-4CA8-B93D-17B0EE7A0355}"/>
    <cellStyle name="Normal 74 3 2 2" xfId="10732" xr:uid="{E1EDCE92-7276-4490-851D-0FD36DAD1E38}"/>
    <cellStyle name="Normal 74 3 2 2 2" xfId="14938" xr:uid="{F5AF820F-6E62-4A7E-8FD8-C1F5D15449C0}"/>
    <cellStyle name="Normal 74 3 2 3" xfId="12909" xr:uid="{CF50FF03-D4DB-4EAD-AAD6-E46DD7E26153}"/>
    <cellStyle name="Normal 74 3 3" xfId="10062" xr:uid="{135A4BD5-47CD-48E8-B31C-C0B71EFEA84C}"/>
    <cellStyle name="Normal 74 3 3 2" xfId="14268" xr:uid="{D5BBA45F-248B-4980-BE3F-80E7CB8EBC2A}"/>
    <cellStyle name="Normal 74 3 4" xfId="12239" xr:uid="{099B5325-DEFE-45B2-93AA-6936424A5CA1}"/>
    <cellStyle name="Normal 74 4" xfId="8329" xr:uid="{21039664-F8C7-486A-B329-EF539AD5171C}"/>
    <cellStyle name="Normal 74 4 2" xfId="10398" xr:uid="{731F9DB4-5C41-4F92-B5BC-C329B55BAA46}"/>
    <cellStyle name="Normal 74 4 2 2" xfId="14604" xr:uid="{CA24B7C0-E703-48D7-A3CB-1FDAF9472B6C}"/>
    <cellStyle name="Normal 74 4 3" xfId="12575" xr:uid="{3C477D64-82CB-485B-84B4-A9F7EFBA7D4D}"/>
    <cellStyle name="Normal 74 5" xfId="9002" xr:uid="{D766FE6E-CC39-448A-B581-FC16487EFE3B}"/>
    <cellStyle name="Normal 74 5 2" xfId="11071" xr:uid="{E559E17C-E9F5-4CF0-9037-EF92227F8B73}"/>
    <cellStyle name="Normal 74 5 2 2" xfId="15277" xr:uid="{B26FCD73-F828-4FE7-A61B-CFB4A32AB988}"/>
    <cellStyle name="Normal 74 5 3" xfId="13248" xr:uid="{81CBD5B5-4901-4668-920B-0600F952FD5E}"/>
    <cellStyle name="Normal 74 6" xfId="9370" xr:uid="{F4365BB2-54FD-4E25-9B82-6D40E36C029E}"/>
    <cellStyle name="Normal 74 6 2" xfId="11404" xr:uid="{F1CDAE69-6FDC-4A00-BC71-7BDB48856A2C}"/>
    <cellStyle name="Normal 74 6 2 2" xfId="15610" xr:uid="{B0EB5566-0781-49A0-9190-8216E45A2B49}"/>
    <cellStyle name="Normal 74 6 3" xfId="13581" xr:uid="{7E36D259-A9C7-45CC-8787-A9FF8C949501}"/>
    <cellStyle name="Normal 74 7" xfId="9728" xr:uid="{CD0582B1-FF36-4103-AFBA-3A01530A8D92}"/>
    <cellStyle name="Normal 74 7 2" xfId="13934" xr:uid="{9FA6F8A5-29D6-4A13-9420-8423C08C99FF}"/>
    <cellStyle name="Normal 74 8" xfId="11905" xr:uid="{7ADF88D6-30B6-4DD2-8C90-DAD1C84C36EB}"/>
    <cellStyle name="Normal 75" xfId="7587" xr:uid="{47B4F5BC-C696-402A-B704-5F745FAE76C8}"/>
    <cellStyle name="Normal 75 2" xfId="7786" xr:uid="{044F0110-4C69-4261-A790-45E0DB710A09}"/>
    <cellStyle name="Normal 75 2 2" xfId="8157" xr:uid="{5DC7EE95-180F-49CF-AA08-6C73EAA0158F}"/>
    <cellStyle name="Normal 75 2 2 2" xfId="8827" xr:uid="{9F7B1792-7EC1-42B9-ABC1-806843E180D9}"/>
    <cellStyle name="Normal 75 2 2 2 2" xfId="10896" xr:uid="{F2124065-FA51-423E-B58F-2A14A0D133F9}"/>
    <cellStyle name="Normal 75 2 2 2 2 2" xfId="15102" xr:uid="{0524C3FC-CE92-434C-83B1-68B1106DAEB8}"/>
    <cellStyle name="Normal 75 2 2 2 3" xfId="13073" xr:uid="{61F17787-1FA6-4D62-A916-3F0F1B620BF4}"/>
    <cellStyle name="Normal 75 2 2 3" xfId="10226" xr:uid="{222EE908-EF4E-4283-A10A-0E1A708E144A}"/>
    <cellStyle name="Normal 75 2 2 3 2" xfId="14432" xr:uid="{C059A248-F021-4053-BD9A-1BCC990DA7EE}"/>
    <cellStyle name="Normal 75 2 2 4" xfId="12403" xr:uid="{3B13F1BE-A035-48B4-A77A-3AE320D8F01D}"/>
    <cellStyle name="Normal 75 2 3" xfId="8493" xr:uid="{918A1AE7-1FB8-4E2F-9F87-15DFDBE982D0}"/>
    <cellStyle name="Normal 75 2 3 2" xfId="10562" xr:uid="{37B93FE2-5152-4E1B-BDEE-032D1D2AE3CD}"/>
    <cellStyle name="Normal 75 2 3 2 2" xfId="14768" xr:uid="{CA35E16D-2B83-4D58-A096-33001634E5DD}"/>
    <cellStyle name="Normal 75 2 3 3" xfId="12739" xr:uid="{0E58FE38-E372-4BBA-87DA-DB4D451C3BD0}"/>
    <cellStyle name="Normal 75 2 4" xfId="9166" xr:uid="{7AA9C49E-7E79-4777-B540-55C1C2C1687A}"/>
    <cellStyle name="Normal 75 2 4 2" xfId="11235" xr:uid="{00AF470B-F488-4B9A-909E-25A95F584E15}"/>
    <cellStyle name="Normal 75 2 4 2 2" xfId="15441" xr:uid="{BD3D68F0-A275-4DEE-B84D-474A3FE27E8E}"/>
    <cellStyle name="Normal 75 2 4 3" xfId="13412" xr:uid="{B1228284-DE90-458B-9F94-F17DA4A79173}"/>
    <cellStyle name="Normal 75 2 5" xfId="9534" xr:uid="{3F435F06-A80B-4F90-8B57-6C6AA1C882B2}"/>
    <cellStyle name="Normal 75 2 5 2" xfId="11568" xr:uid="{D136124D-A2D9-4EBA-99BE-DA0670FAC6EF}"/>
    <cellStyle name="Normal 75 2 5 2 2" xfId="15774" xr:uid="{EAB7C6BC-BEBD-4751-8DC7-1915B292D8FC}"/>
    <cellStyle name="Normal 75 2 5 3" xfId="13745" xr:uid="{54F6FC9A-31B6-4729-987B-045617129965}"/>
    <cellStyle name="Normal 75 2 6" xfId="9892" xr:uid="{789D07EB-81DF-4163-B2B2-ED99AC76BB04}"/>
    <cellStyle name="Normal 75 2 6 2" xfId="14098" xr:uid="{10C4CFFE-592F-404F-AD56-2E64F68A5CE7}"/>
    <cellStyle name="Normal 75 2 7" xfId="12069" xr:uid="{93539D87-9EF3-48FF-9501-8F9A1E53DAFC}"/>
    <cellStyle name="Normal 75 3" xfId="7994" xr:uid="{84CBDB4F-9F0F-45DE-A8CA-6B815BCFC3B5}"/>
    <cellStyle name="Normal 75 3 2" xfId="8664" xr:uid="{B3B519BD-6092-453C-9F58-354CB2ECC54E}"/>
    <cellStyle name="Normal 75 3 2 2" xfId="10733" xr:uid="{DF32C7F9-2834-4551-A952-AAA7C8F21097}"/>
    <cellStyle name="Normal 75 3 2 2 2" xfId="14939" xr:uid="{496AC8C2-88F1-41E7-B94C-CCE64C33A7AF}"/>
    <cellStyle name="Normal 75 3 2 3" xfId="12910" xr:uid="{800D5DB8-A9BC-477E-8892-08BABDF4CD28}"/>
    <cellStyle name="Normal 75 3 3" xfId="10063" xr:uid="{4C23603A-5F6F-4E20-A9C1-71C3B19C46E2}"/>
    <cellStyle name="Normal 75 3 3 2" xfId="14269" xr:uid="{154F36F7-C40D-4FF8-9D98-E9C9B942089C}"/>
    <cellStyle name="Normal 75 3 4" xfId="12240" xr:uid="{48E9DE73-805B-4CC9-838F-25EC8E97E93D}"/>
    <cellStyle name="Normal 75 4" xfId="8330" xr:uid="{0B92C71E-854C-41F4-A6EC-1B815B3FB48F}"/>
    <cellStyle name="Normal 75 4 2" xfId="10399" xr:uid="{16E9B096-3EAA-4BD2-9AE3-441912CF0D0A}"/>
    <cellStyle name="Normal 75 4 2 2" xfId="14605" xr:uid="{113E82BF-248F-4470-8B43-2AE73A8E6220}"/>
    <cellStyle name="Normal 75 4 3" xfId="12576" xr:uid="{C5ADD0E4-7083-4DC1-A364-7DF7494B1BF4}"/>
    <cellStyle name="Normal 75 5" xfId="9003" xr:uid="{43F607DF-EBD1-47B4-B741-55BF66B0AA90}"/>
    <cellStyle name="Normal 75 5 2" xfId="11072" xr:uid="{BDAA88E5-886F-4593-B96D-BB5C0C8A153F}"/>
    <cellStyle name="Normal 75 5 2 2" xfId="15278" xr:uid="{E5681DE2-DD05-42B9-946B-ED369E76332D}"/>
    <cellStyle name="Normal 75 5 3" xfId="13249" xr:uid="{09C4DA9E-5DC8-4130-9BB0-DF5600250058}"/>
    <cellStyle name="Normal 75 6" xfId="9371" xr:uid="{68FFCB81-D9C9-4E16-9527-E41EB017D498}"/>
    <cellStyle name="Normal 75 6 2" xfId="11405" xr:uid="{2FE93BC6-DFFA-4E02-B44E-972A4BB6A36C}"/>
    <cellStyle name="Normal 75 6 2 2" xfId="15611" xr:uid="{85950386-E602-49C2-BE68-3649768CCEB4}"/>
    <cellStyle name="Normal 75 6 3" xfId="13582" xr:uid="{F3B43371-937F-443D-8CD8-23DB1D47CFC5}"/>
    <cellStyle name="Normal 75 7" xfId="9729" xr:uid="{B2C01C5F-92A3-40E8-AA2B-FB8B077DEFA2}"/>
    <cellStyle name="Normal 75 7 2" xfId="13935" xr:uid="{CF8A2374-3D58-4AE7-B6EF-0174CAE01A2B}"/>
    <cellStyle name="Normal 75 8" xfId="11906" xr:uid="{39CEF54E-0808-4FE0-A85F-33B2AF66F335}"/>
    <cellStyle name="Normal 76" xfId="7588" xr:uid="{BCA7BBCE-9924-4E45-86A0-D8FF88B36D91}"/>
    <cellStyle name="Normal 76 2" xfId="7787" xr:uid="{8EFBBDB3-548A-4C12-BD00-D7D310EB14F0}"/>
    <cellStyle name="Normal 76 2 2" xfId="8158" xr:uid="{574E03A8-BA8A-40CF-A470-16664C308729}"/>
    <cellStyle name="Normal 76 2 2 2" xfId="8828" xr:uid="{91D44936-82BC-4170-93DA-A788D31BA37C}"/>
    <cellStyle name="Normal 76 2 2 2 2" xfId="10897" xr:uid="{1A941C8A-4E40-4A46-AD50-F0B1595057AA}"/>
    <cellStyle name="Normal 76 2 2 2 2 2" xfId="15103" xr:uid="{BDDCB6FA-DC9E-44B5-9D89-172B705CB7F5}"/>
    <cellStyle name="Normal 76 2 2 2 3" xfId="13074" xr:uid="{1D076CD2-531C-4EB3-BA09-62CB499FD358}"/>
    <cellStyle name="Normal 76 2 2 3" xfId="10227" xr:uid="{8B0B973C-D091-4FE4-9B1C-292B4F800F90}"/>
    <cellStyle name="Normal 76 2 2 3 2" xfId="14433" xr:uid="{943866FB-5319-4C96-A024-734890B41DC8}"/>
    <cellStyle name="Normal 76 2 2 4" xfId="12404" xr:uid="{B51127E8-DA04-4950-8446-8FE176562CE3}"/>
    <cellStyle name="Normal 76 2 3" xfId="8494" xr:uid="{21ED3992-8F31-4E35-A307-065644588070}"/>
    <cellStyle name="Normal 76 2 3 2" xfId="10563" xr:uid="{69330CB1-7976-46DD-A2A8-4882F33E77A9}"/>
    <cellStyle name="Normal 76 2 3 2 2" xfId="14769" xr:uid="{E99C86BE-BC5B-4193-89F9-FE20441A9928}"/>
    <cellStyle name="Normal 76 2 3 3" xfId="12740" xr:uid="{616241E2-7C71-4908-A392-01D374EEB244}"/>
    <cellStyle name="Normal 76 2 4" xfId="9167" xr:uid="{D1A9B823-4E50-4E05-AD85-E684BA8DD8AF}"/>
    <cellStyle name="Normal 76 2 4 2" xfId="11236" xr:uid="{FCD86074-5E36-4BD9-AF10-ABD519254490}"/>
    <cellStyle name="Normal 76 2 4 2 2" xfId="15442" xr:uid="{7F3194B2-F816-4151-A710-5F2BC9002807}"/>
    <cellStyle name="Normal 76 2 4 3" xfId="13413" xr:uid="{11272CC8-D41C-49F4-AEB7-3736F6920F6B}"/>
    <cellStyle name="Normal 76 2 5" xfId="9535" xr:uid="{0B2B8BA2-512C-40EA-BF43-63AE3612BD22}"/>
    <cellStyle name="Normal 76 2 5 2" xfId="11569" xr:uid="{2F7C05E8-AF5A-4B56-9395-FFE78AA0AB30}"/>
    <cellStyle name="Normal 76 2 5 2 2" xfId="15775" xr:uid="{D94C4F9F-5C3E-497C-BC4E-93D1AC780596}"/>
    <cellStyle name="Normal 76 2 5 3" xfId="13746" xr:uid="{5BE5B2B7-B78A-464A-9CF0-F7A95BB1EDA8}"/>
    <cellStyle name="Normal 76 2 6" xfId="9893" xr:uid="{847496E3-5387-4966-B8A1-04668ACDA2E8}"/>
    <cellStyle name="Normal 76 2 6 2" xfId="14099" xr:uid="{A89B9E55-3B93-4125-8B71-FA3B0051F017}"/>
    <cellStyle name="Normal 76 2 7" xfId="12070" xr:uid="{5D92BB2D-11ED-403D-969B-95AD27AD050C}"/>
    <cellStyle name="Normal 76 3" xfId="7995" xr:uid="{7D5EF40E-5659-4DE2-B483-22573BD271A6}"/>
    <cellStyle name="Normal 76 3 2" xfId="8665" xr:uid="{458E5067-E366-4B18-B25F-9CF7DB626CD3}"/>
    <cellStyle name="Normal 76 3 2 2" xfId="10734" xr:uid="{17071DD9-304F-46F2-BC34-E53EE252E3F6}"/>
    <cellStyle name="Normal 76 3 2 2 2" xfId="14940" xr:uid="{7791B74F-0948-43F6-A30B-CD71EBB9CBB1}"/>
    <cellStyle name="Normal 76 3 2 3" xfId="12911" xr:uid="{B095FB91-D54E-42B9-AB91-5393354AFA39}"/>
    <cellStyle name="Normal 76 3 3" xfId="10064" xr:uid="{15E0D533-A175-4E75-92C7-76E3D64ECFB8}"/>
    <cellStyle name="Normal 76 3 3 2" xfId="14270" xr:uid="{21BE2841-41FA-44C9-8539-71371CECC222}"/>
    <cellStyle name="Normal 76 3 4" xfId="12241" xr:uid="{C4B9FBC6-9FEA-4BD2-A990-0AE95264AEE9}"/>
    <cellStyle name="Normal 76 4" xfId="8331" xr:uid="{37EFC66F-EED6-4DDA-922A-429905AC4ADB}"/>
    <cellStyle name="Normal 76 4 2" xfId="10400" xr:uid="{E61F12FC-1874-49E5-8746-1BF25D7B940F}"/>
    <cellStyle name="Normal 76 4 2 2" xfId="14606" xr:uid="{523FF02C-8BD8-448B-8601-DADC172103AD}"/>
    <cellStyle name="Normal 76 4 3" xfId="12577" xr:uid="{27DBC3E1-146C-4C29-86C6-9BF84BADE1F0}"/>
    <cellStyle name="Normal 76 5" xfId="9004" xr:uid="{F93FD52F-04F9-4D64-89F9-153B37AC16AC}"/>
    <cellStyle name="Normal 76 5 2" xfId="11073" xr:uid="{0B1AF4D2-ED97-4FA2-8633-74BA19C9B760}"/>
    <cellStyle name="Normal 76 5 2 2" xfId="15279" xr:uid="{920963FD-CBCD-4629-B224-341BEF4DB241}"/>
    <cellStyle name="Normal 76 5 3" xfId="13250" xr:uid="{A9BCDFB5-B49A-4A0A-81F4-4BD76387E62F}"/>
    <cellStyle name="Normal 76 6" xfId="9372" xr:uid="{8939D4D3-28A6-4543-BBA2-C6C70D06573A}"/>
    <cellStyle name="Normal 76 6 2" xfId="11406" xr:uid="{303BFA82-9AB4-427E-B95B-9694B200C561}"/>
    <cellStyle name="Normal 76 6 2 2" xfId="15612" xr:uid="{D3734854-9C45-4AC9-B245-680E541C295D}"/>
    <cellStyle name="Normal 76 6 3" xfId="13583" xr:uid="{D4B12FE7-2B72-4435-A576-47FAE9180F33}"/>
    <cellStyle name="Normal 76 7" xfId="9730" xr:uid="{96DA727B-A032-4AFC-8AE5-BCAA50869D37}"/>
    <cellStyle name="Normal 76 7 2" xfId="13936" xr:uid="{AF56C932-73AF-4846-B4C3-991F78846557}"/>
    <cellStyle name="Normal 76 8" xfId="11907" xr:uid="{DD6A05B8-E260-45AF-838A-3C2FAC180896}"/>
    <cellStyle name="Normal 77" xfId="7589" xr:uid="{61541B5D-65CA-4026-AD3C-BD80734B8591}"/>
    <cellStyle name="Normal 77 2" xfId="7788" xr:uid="{9F1BBEC6-D36E-4C34-A865-FFB0C826EF60}"/>
    <cellStyle name="Normal 77 2 2" xfId="8159" xr:uid="{1DCBB11B-282E-4435-8351-7D2E95B85E84}"/>
    <cellStyle name="Normal 77 2 2 2" xfId="8829" xr:uid="{75A4C1DB-816C-461F-9AD2-30B38A5EC7B2}"/>
    <cellStyle name="Normal 77 2 2 2 2" xfId="10898" xr:uid="{4350DC22-7164-486C-855D-9591B2EFAE7C}"/>
    <cellStyle name="Normal 77 2 2 2 2 2" xfId="15104" xr:uid="{9541CD7D-4F5D-4264-A717-DA48372B5B60}"/>
    <cellStyle name="Normal 77 2 2 2 3" xfId="13075" xr:uid="{2D824012-84FA-4566-BB2E-BB0A061675F7}"/>
    <cellStyle name="Normal 77 2 2 3" xfId="10228" xr:uid="{44852D0C-16A3-4591-B680-F09DC055ED80}"/>
    <cellStyle name="Normal 77 2 2 3 2" xfId="14434" xr:uid="{72B3C7D5-3412-4246-80B4-4C7277522B7D}"/>
    <cellStyle name="Normal 77 2 2 4" xfId="12405" xr:uid="{074CF777-395D-4103-A25D-4DB58F55D1B9}"/>
    <cellStyle name="Normal 77 2 3" xfId="8495" xr:uid="{6BBF1178-1E68-4539-A9B3-18E75448E0B7}"/>
    <cellStyle name="Normal 77 2 3 2" xfId="10564" xr:uid="{3D1914E2-87B8-4AFA-9E2A-90146915DE50}"/>
    <cellStyle name="Normal 77 2 3 2 2" xfId="14770" xr:uid="{753CB564-7533-457F-A726-BB5F228CD813}"/>
    <cellStyle name="Normal 77 2 3 3" xfId="12741" xr:uid="{80A28329-1B81-4D6B-A41E-1A03C4968D41}"/>
    <cellStyle name="Normal 77 2 4" xfId="9168" xr:uid="{3B618BE7-7606-426D-8237-8FD8FBE02296}"/>
    <cellStyle name="Normal 77 2 4 2" xfId="11237" xr:uid="{24B72D4F-AEF3-4718-A819-CEC8918E2339}"/>
    <cellStyle name="Normal 77 2 4 2 2" xfId="15443" xr:uid="{32433660-1AB6-4FDC-B7E3-99F5CA1A0C3C}"/>
    <cellStyle name="Normal 77 2 4 3" xfId="13414" xr:uid="{8336D2DB-2048-4529-A64E-98F002D412B9}"/>
    <cellStyle name="Normal 77 2 5" xfId="9536" xr:uid="{E84C2944-A92C-408B-B6CE-C27C9C09B185}"/>
    <cellStyle name="Normal 77 2 5 2" xfId="11570" xr:uid="{069692AE-884C-431A-9116-027B36527247}"/>
    <cellStyle name="Normal 77 2 5 2 2" xfId="15776" xr:uid="{4B2F5F13-ED18-4674-8AFF-4082ACF8CFEC}"/>
    <cellStyle name="Normal 77 2 5 3" xfId="13747" xr:uid="{7B0E83E6-A15E-4889-ABA1-83958693C519}"/>
    <cellStyle name="Normal 77 2 6" xfId="9894" xr:uid="{13FD453A-5BFA-4465-9787-14CAB0F0EE93}"/>
    <cellStyle name="Normal 77 2 6 2" xfId="14100" xr:uid="{1C57C76A-17DD-4F4C-9150-FD5317A1D765}"/>
    <cellStyle name="Normal 77 2 7" xfId="12071" xr:uid="{9C32A27E-9571-44D6-8170-D7B50FFF3565}"/>
    <cellStyle name="Normal 77 3" xfId="7996" xr:uid="{CCC3DFFC-7CC2-4BB7-9D13-84D78F82781E}"/>
    <cellStyle name="Normal 77 3 2" xfId="8666" xr:uid="{9BF9C16C-F0BE-446D-869C-BC25D127FE24}"/>
    <cellStyle name="Normal 77 3 2 2" xfId="10735" xr:uid="{1E19BDC4-DC08-447F-8684-2821882704E0}"/>
    <cellStyle name="Normal 77 3 2 2 2" xfId="14941" xr:uid="{E3735207-BC39-462D-8AD6-ADD06F615CBF}"/>
    <cellStyle name="Normal 77 3 2 3" xfId="12912" xr:uid="{35844CAD-273D-4A50-8E72-EBA858BF127F}"/>
    <cellStyle name="Normal 77 3 3" xfId="10065" xr:uid="{36E20C91-507F-4AB7-9887-D30D6F849137}"/>
    <cellStyle name="Normal 77 3 3 2" xfId="14271" xr:uid="{2C765BFD-4EC2-45D0-96C4-24CB873F780A}"/>
    <cellStyle name="Normal 77 3 4" xfId="12242" xr:uid="{EF5016A7-B4A5-4D97-ACDB-15A4983F495D}"/>
    <cellStyle name="Normal 77 4" xfId="8332" xr:uid="{7BC88E68-B2F8-4D26-93C5-3019D1DD76B5}"/>
    <cellStyle name="Normal 77 4 2" xfId="10401" xr:uid="{D57FED72-6AB1-4A6A-A696-4E5FF50261B7}"/>
    <cellStyle name="Normal 77 4 2 2" xfId="14607" xr:uid="{11263B34-814B-4642-B2DE-44278F42A903}"/>
    <cellStyle name="Normal 77 4 3" xfId="12578" xr:uid="{0E65002A-6947-45B4-930D-E6F0138FF4F7}"/>
    <cellStyle name="Normal 77 5" xfId="9005" xr:uid="{3B49B168-DB11-41B4-BCFE-2A23D27B3F58}"/>
    <cellStyle name="Normal 77 5 2" xfId="11074" xr:uid="{2810A0A3-15EF-4A13-A1E7-856150DAA271}"/>
    <cellStyle name="Normal 77 5 2 2" xfId="15280" xr:uid="{604BE539-31C8-40F5-9EDD-3BC55159DA8D}"/>
    <cellStyle name="Normal 77 5 3" xfId="13251" xr:uid="{F749D205-0288-4574-8041-47CF239D89CB}"/>
    <cellStyle name="Normal 77 6" xfId="9373" xr:uid="{B7D7784B-2789-42C9-A1F3-F1E5E394D2CD}"/>
    <cellStyle name="Normal 77 6 2" xfId="11407" xr:uid="{94D1532D-161F-44B8-8D57-BBB41CE19830}"/>
    <cellStyle name="Normal 77 6 2 2" xfId="15613" xr:uid="{468BC323-99A1-44C2-A14F-0CBF4D4B7843}"/>
    <cellStyle name="Normal 77 6 3" xfId="13584" xr:uid="{31AA624E-1B94-47AD-AF66-8693C223DEE4}"/>
    <cellStyle name="Normal 77 7" xfId="9731" xr:uid="{AAEF00BD-DAB2-464C-9F0D-143A5C52DDF4}"/>
    <cellStyle name="Normal 77 7 2" xfId="13937" xr:uid="{D11B5031-342E-4EFD-8983-39C6EAA3D067}"/>
    <cellStyle name="Normal 77 8" xfId="11908" xr:uid="{1096CCAB-E3BA-4066-873D-8914D4DC427C}"/>
    <cellStyle name="Normal 78" xfId="7590" xr:uid="{FD1B3BF2-0DF5-4BE6-B3F7-6E694C6D557E}"/>
    <cellStyle name="Normal 78 2" xfId="7789" xr:uid="{E800E560-05FE-4DB6-A973-66F1D8B8F80B}"/>
    <cellStyle name="Normal 78 2 2" xfId="8160" xr:uid="{263DE9EA-A2D1-41DF-BF2F-EE5522AD8DC5}"/>
    <cellStyle name="Normal 78 2 2 2" xfId="8830" xr:uid="{2E84D423-8FD6-4AE3-A456-F4F6EE312945}"/>
    <cellStyle name="Normal 78 2 2 2 2" xfId="10899" xr:uid="{83780898-224C-48B9-9CF2-B1C8C379629D}"/>
    <cellStyle name="Normal 78 2 2 2 2 2" xfId="15105" xr:uid="{CB71D4D9-A296-4C50-837B-6CC399263991}"/>
    <cellStyle name="Normal 78 2 2 2 3" xfId="13076" xr:uid="{776520F9-17CE-474A-8E54-2C362A23DAB4}"/>
    <cellStyle name="Normal 78 2 2 3" xfId="10229" xr:uid="{FC66859C-DF85-4FA4-96C2-0DBEB95F4A72}"/>
    <cellStyle name="Normal 78 2 2 3 2" xfId="14435" xr:uid="{B5977FBD-9B26-4FB1-AC64-D1728474826C}"/>
    <cellStyle name="Normal 78 2 2 4" xfId="12406" xr:uid="{84F5AC80-29E5-4EF1-9005-FBEF45278826}"/>
    <cellStyle name="Normal 78 2 3" xfId="8496" xr:uid="{E1F6FF4D-98AC-4B09-9059-900AD7A62071}"/>
    <cellStyle name="Normal 78 2 3 2" xfId="10565" xr:uid="{556A6F72-B4D8-4498-B07A-B22864CFF9D2}"/>
    <cellStyle name="Normal 78 2 3 2 2" xfId="14771" xr:uid="{A447880F-DB64-4C8A-8989-9448B9F91DDB}"/>
    <cellStyle name="Normal 78 2 3 3" xfId="12742" xr:uid="{87E26532-36E3-4262-9DC0-FEF0A3252D01}"/>
    <cellStyle name="Normal 78 2 4" xfId="9169" xr:uid="{789F8303-E86F-483D-A923-5E9C50BB2B90}"/>
    <cellStyle name="Normal 78 2 4 2" xfId="11238" xr:uid="{3602D7F1-FE7F-44B4-920F-442AD57513AE}"/>
    <cellStyle name="Normal 78 2 4 2 2" xfId="15444" xr:uid="{537E5B26-0C98-4069-90BE-58678DB51D90}"/>
    <cellStyle name="Normal 78 2 4 3" xfId="13415" xr:uid="{029DA8B5-7F0D-4025-B641-10D8BC5120C9}"/>
    <cellStyle name="Normal 78 2 5" xfId="9537" xr:uid="{3572DF0D-E6D1-439C-A5F4-E7349A97A242}"/>
    <cellStyle name="Normal 78 2 5 2" xfId="11571" xr:uid="{E1550561-B42B-4F04-ADD7-9C4D5F611DDE}"/>
    <cellStyle name="Normal 78 2 5 2 2" xfId="15777" xr:uid="{A1F0F26F-69C3-4CD9-BC16-C91EA47B1C91}"/>
    <cellStyle name="Normal 78 2 5 3" xfId="13748" xr:uid="{88006D85-37CE-4160-ACF5-E28B8C22A2FF}"/>
    <cellStyle name="Normal 78 2 6" xfId="9895" xr:uid="{6C496B6F-2AF0-40BC-8A40-8A57772D5A31}"/>
    <cellStyle name="Normal 78 2 6 2" xfId="14101" xr:uid="{9AA7CFA7-B2B2-495B-907C-B6EDC28D6E53}"/>
    <cellStyle name="Normal 78 2 7" xfId="12072" xr:uid="{19826AEC-CB32-4E74-840B-7B32B01B319D}"/>
    <cellStyle name="Normal 78 3" xfId="7997" xr:uid="{DF9546F1-2D33-425F-9263-60824996EB87}"/>
    <cellStyle name="Normal 78 3 2" xfId="8667" xr:uid="{972E14F2-7531-44BD-B053-47920AD55EEE}"/>
    <cellStyle name="Normal 78 3 2 2" xfId="10736" xr:uid="{B5E66D82-41D7-4D07-89BF-826C7B1B8FD2}"/>
    <cellStyle name="Normal 78 3 2 2 2" xfId="14942" xr:uid="{5CA461E5-18D0-470B-9702-86A80FC2B1BC}"/>
    <cellStyle name="Normal 78 3 2 3" xfId="12913" xr:uid="{A9F5511A-A96A-4756-AB3D-21F668860CCA}"/>
    <cellStyle name="Normal 78 3 3" xfId="10066" xr:uid="{21794ED1-2EDE-494E-9994-5210F6D2F383}"/>
    <cellStyle name="Normal 78 3 3 2" xfId="14272" xr:uid="{58331435-F9E8-459D-A651-43CD568F583D}"/>
    <cellStyle name="Normal 78 3 4" xfId="12243" xr:uid="{8B0E4D5B-EE1C-4F42-96DE-4299022E8AD5}"/>
    <cellStyle name="Normal 78 4" xfId="8333" xr:uid="{28B0951B-727D-4401-82DB-C45769993869}"/>
    <cellStyle name="Normal 78 4 2" xfId="10402" xr:uid="{174B98B7-C12B-4C5B-A1CB-8C02746D3D86}"/>
    <cellStyle name="Normal 78 4 2 2" xfId="14608" xr:uid="{959446D2-D3EE-4EE0-B9D5-D6416C417C4C}"/>
    <cellStyle name="Normal 78 4 3" xfId="12579" xr:uid="{120403CB-7DA6-450B-83AE-8397A8B628BB}"/>
    <cellStyle name="Normal 78 5" xfId="9006" xr:uid="{91363B2D-AC29-455F-A9B9-52EA85A9ED4C}"/>
    <cellStyle name="Normal 78 5 2" xfId="11075" xr:uid="{757EA8B2-5058-4A54-BF40-03466D107BEE}"/>
    <cellStyle name="Normal 78 5 2 2" xfId="15281" xr:uid="{C9AFC6B8-613D-4449-805C-B0F206EA2D59}"/>
    <cellStyle name="Normal 78 5 3" xfId="13252" xr:uid="{B4785529-08E9-4092-8EEF-6DC422442A5F}"/>
    <cellStyle name="Normal 78 6" xfId="9374" xr:uid="{C3B8C053-8D55-4C47-884F-1E2B6889C327}"/>
    <cellStyle name="Normal 78 6 2" xfId="11408" xr:uid="{91930BAD-AE24-40E6-A7B7-513EDEDC9F2E}"/>
    <cellStyle name="Normal 78 6 2 2" xfId="15614" xr:uid="{83B10EB2-B7AD-4CE1-9F95-4C7A37AAAB5B}"/>
    <cellStyle name="Normal 78 6 3" xfId="13585" xr:uid="{C5F8FF92-3B6C-4923-BE3D-BAD95D2763A7}"/>
    <cellStyle name="Normal 78 7" xfId="9732" xr:uid="{4A9549F0-1DC4-4EE8-91C6-23D3E76D2DFF}"/>
    <cellStyle name="Normal 78 7 2" xfId="13938" xr:uid="{00E95FDD-F60B-44AD-8AF4-D4A227974AE9}"/>
    <cellStyle name="Normal 78 8" xfId="11909" xr:uid="{C8A77839-09A3-4F96-B4C4-AEF20AA3541D}"/>
    <cellStyle name="Normal 79" xfId="7591" xr:uid="{0C2C4696-E49B-4D56-9175-F5B0C06614F1}"/>
    <cellStyle name="Normal 79 2" xfId="7790" xr:uid="{B8276234-6B61-44D0-92B2-2401BE1F8C46}"/>
    <cellStyle name="Normal 79 2 2" xfId="8161" xr:uid="{5FE9E87F-EE6E-4290-836E-DC82B3A2F5D4}"/>
    <cellStyle name="Normal 79 2 2 2" xfId="8831" xr:uid="{677BEBD0-8AB9-443A-A666-AE286115D6A4}"/>
    <cellStyle name="Normal 79 2 2 2 2" xfId="10900" xr:uid="{7546B266-47B5-4D69-B43B-ABCCD5923BD3}"/>
    <cellStyle name="Normal 79 2 2 2 2 2" xfId="15106" xr:uid="{17D065D6-4539-4A8B-AB3E-2BB7198DE361}"/>
    <cellStyle name="Normal 79 2 2 2 3" xfId="13077" xr:uid="{4BE23AB1-CE4D-4F73-AD8C-F5983E830ACB}"/>
    <cellStyle name="Normal 79 2 2 3" xfId="10230" xr:uid="{197CE720-7EDE-493D-BE4C-A81EB9115F88}"/>
    <cellStyle name="Normal 79 2 2 3 2" xfId="14436" xr:uid="{11FE8F8A-6119-4D2D-8D81-A7BFB8C4597D}"/>
    <cellStyle name="Normal 79 2 2 4" xfId="12407" xr:uid="{D10AE420-3A14-4506-B678-57AE74D6C549}"/>
    <cellStyle name="Normal 79 2 3" xfId="8497" xr:uid="{B6E13018-DA65-46D9-AC09-EC41676D4DF4}"/>
    <cellStyle name="Normal 79 2 3 2" xfId="10566" xr:uid="{DE2BEF07-E22A-492E-91E9-820545CD7D7F}"/>
    <cellStyle name="Normal 79 2 3 2 2" xfId="14772" xr:uid="{47120824-B316-451D-8566-23BA1EE1641F}"/>
    <cellStyle name="Normal 79 2 3 3" xfId="12743" xr:uid="{FE0C07FE-99BC-4D84-AD58-BC5962C5499B}"/>
    <cellStyle name="Normal 79 2 4" xfId="9170" xr:uid="{1CEC7E50-422F-4EFF-AC02-AF2388410A91}"/>
    <cellStyle name="Normal 79 2 4 2" xfId="11239" xr:uid="{58DD72AF-9C2B-4C28-B000-D87BB2592F12}"/>
    <cellStyle name="Normal 79 2 4 2 2" xfId="15445" xr:uid="{691AD5E0-BD66-4D23-B717-098935A12B23}"/>
    <cellStyle name="Normal 79 2 4 3" xfId="13416" xr:uid="{3761044A-BBE0-4909-B0A5-C9275C5D6210}"/>
    <cellStyle name="Normal 79 2 5" xfId="9538" xr:uid="{669CDEB3-6CE3-46C3-8C67-516B6C640AEE}"/>
    <cellStyle name="Normal 79 2 5 2" xfId="11572" xr:uid="{DB984FE6-22F8-4EFF-9D9F-0369087EFA7E}"/>
    <cellStyle name="Normal 79 2 5 2 2" xfId="15778" xr:uid="{30EA487B-BCE8-418E-9487-0B9FA4C96E4B}"/>
    <cellStyle name="Normal 79 2 5 3" xfId="13749" xr:uid="{CA0ECF49-A4BB-4E20-853C-E550CA03A16F}"/>
    <cellStyle name="Normal 79 2 6" xfId="9896" xr:uid="{B0BEEBD1-8E12-4B6A-8250-C3D24A3ABF5D}"/>
    <cellStyle name="Normal 79 2 6 2" xfId="14102" xr:uid="{1D109748-78AA-4439-9D9B-2F8330F80909}"/>
    <cellStyle name="Normal 79 2 7" xfId="12073" xr:uid="{F91E5650-8F2C-4741-BA43-5920F1D5C550}"/>
    <cellStyle name="Normal 79 3" xfId="7998" xr:uid="{40E7DA28-B786-4E88-822E-C5A20733028D}"/>
    <cellStyle name="Normal 79 3 2" xfId="8668" xr:uid="{04FB3E8D-2E6F-4B7C-8B48-7AD7EBB0042E}"/>
    <cellStyle name="Normal 79 3 2 2" xfId="10737" xr:uid="{581ACBAE-10F3-475B-B516-9B2AD2B5BC6B}"/>
    <cellStyle name="Normal 79 3 2 2 2" xfId="14943" xr:uid="{8C18C00C-AD26-45F8-A010-88E646EEC5A6}"/>
    <cellStyle name="Normal 79 3 2 3" xfId="12914" xr:uid="{F98966A0-718E-4CE6-8653-C827801A1856}"/>
    <cellStyle name="Normal 79 3 3" xfId="10067" xr:uid="{A6527077-7F35-4493-95C8-0EFB2B067E2E}"/>
    <cellStyle name="Normal 79 3 3 2" xfId="14273" xr:uid="{3D52678E-4766-44D2-95B2-1D7AADF7EE3A}"/>
    <cellStyle name="Normal 79 3 4" xfId="12244" xr:uid="{48C2E51F-551F-4320-B93D-8D3A365667B3}"/>
    <cellStyle name="Normal 79 4" xfId="8334" xr:uid="{3C3F5405-3755-459A-90E9-A26390B19956}"/>
    <cellStyle name="Normal 79 4 2" xfId="10403" xr:uid="{80554353-C32C-4B08-A4BB-9C296A878C55}"/>
    <cellStyle name="Normal 79 4 2 2" xfId="14609" xr:uid="{4ACEB3E0-F886-4568-9FC1-D5A0865E629A}"/>
    <cellStyle name="Normal 79 4 3" xfId="12580" xr:uid="{22295B08-2FF0-4ED2-9A11-62857046D504}"/>
    <cellStyle name="Normal 79 5" xfId="9007" xr:uid="{42511134-BCEA-4BFA-8343-FA15C2EAA9F9}"/>
    <cellStyle name="Normal 79 5 2" xfId="11076" xr:uid="{69791238-8AAE-4243-A110-AC12051A031F}"/>
    <cellStyle name="Normal 79 5 2 2" xfId="15282" xr:uid="{F5DF5099-15C6-4959-9405-4D3842D7B721}"/>
    <cellStyle name="Normal 79 5 3" xfId="13253" xr:uid="{DC9F642E-1FD5-4156-9B71-94F40F72C8BA}"/>
    <cellStyle name="Normal 79 6" xfId="9375" xr:uid="{D66DB572-C739-4811-A563-801D57320601}"/>
    <cellStyle name="Normal 79 6 2" xfId="11409" xr:uid="{E9D6EF04-7E3A-43F6-AB89-77CD63BA1628}"/>
    <cellStyle name="Normal 79 6 2 2" xfId="15615" xr:uid="{63E4F898-2717-4A33-A2EB-A1FD2D7E7B46}"/>
    <cellStyle name="Normal 79 6 3" xfId="13586" xr:uid="{875ED6E0-6503-4242-8AAB-4EEEF0137598}"/>
    <cellStyle name="Normal 79 7" xfId="9733" xr:uid="{FF0C77C4-CADD-4F36-927D-7347E5241610}"/>
    <cellStyle name="Normal 79 7 2" xfId="13939" xr:uid="{B5224E03-4B5B-4A6D-ADD7-73413C18061D}"/>
    <cellStyle name="Normal 79 8" xfId="11910" xr:uid="{E78F4CE1-822C-45B8-974E-6949749658C8}"/>
    <cellStyle name="Normal 8" xfId="6648" xr:uid="{7AED9C08-3D30-4D60-9967-4580C788AA6F}"/>
    <cellStyle name="Normal 8 10" xfId="6649" xr:uid="{BDCD53C6-8680-48C3-88BD-953FE2AF1213}"/>
    <cellStyle name="Normal 8 10 2" xfId="6650" xr:uid="{0EA4A9E0-220B-4BC2-BF20-503D5AA4A0BF}"/>
    <cellStyle name="Normal 8 10 2 2" xfId="6651" xr:uid="{73E40A8A-1E0C-435A-8A17-A6ED05A0C218}"/>
    <cellStyle name="Normal 8 10 3" xfId="6652" xr:uid="{34864FFE-BBE5-4F3D-914C-CBB02D502D49}"/>
    <cellStyle name="Normal 8 11" xfId="6653" xr:uid="{E2816EB4-A39D-4E8A-9CBF-A9174D062BF6}"/>
    <cellStyle name="Normal 8 11 2" xfId="6654" xr:uid="{303782ED-FE6A-4BBE-A852-2B932E4E289A}"/>
    <cellStyle name="Normal 8 11 2 2" xfId="6655" xr:uid="{C39C07E5-32A0-455D-BA55-120200C809F5}"/>
    <cellStyle name="Normal 8 11 3" xfId="6656" xr:uid="{64176434-FA0D-412B-BD7E-E49756D3B358}"/>
    <cellStyle name="Normal 8 12" xfId="6657" xr:uid="{F611EDAA-9CF6-415E-A021-D253807637A4}"/>
    <cellStyle name="Normal 8 12 2" xfId="6658" xr:uid="{9CA46C79-8E75-4248-BFA3-8B96A5CE5B38}"/>
    <cellStyle name="Normal 8 12 2 2" xfId="6659" xr:uid="{CE91B208-74DE-42F3-BCCE-36FC03AB2262}"/>
    <cellStyle name="Normal 8 12 3" xfId="6660" xr:uid="{BB094484-415E-4A4E-85CD-5342DC0CAACB}"/>
    <cellStyle name="Normal 8 13" xfId="6661" xr:uid="{D15D4CE1-914E-4EFD-AE22-17105501566D}"/>
    <cellStyle name="Normal 8 13 2" xfId="6662" xr:uid="{CB133D46-5887-46C7-B973-AF9381DCA2F1}"/>
    <cellStyle name="Normal 8 14" xfId="6663" xr:uid="{CA9C6ED5-DE0E-458E-88F6-D0643BF3CC3E}"/>
    <cellStyle name="Normal 8 2" xfId="6664" xr:uid="{CAEEDCC2-35C6-4B12-926B-86CBA82A056A}"/>
    <cellStyle name="Normal 8 2 10" xfId="6665" xr:uid="{2987CEA3-9A96-40DF-A1ED-4E786663F10B}"/>
    <cellStyle name="Normal 8 2 10 2" xfId="6666" xr:uid="{C32DCF15-5503-4521-B2D5-D93EC114E854}"/>
    <cellStyle name="Normal 8 2 10 2 2" xfId="6667" xr:uid="{E3696309-F49E-4786-B4FD-FE335978EB0E}"/>
    <cellStyle name="Normal 8 2 10 3" xfId="6668" xr:uid="{0F7EF167-67DD-4257-8E6B-F90FF8176B98}"/>
    <cellStyle name="Normal 8 2 11" xfId="6669" xr:uid="{6378A5A9-88E4-4147-972A-EC297EF3FFBD}"/>
    <cellStyle name="Normal 8 2 11 2" xfId="6670" xr:uid="{6366B291-1330-47AD-BAB3-2F13888F9A1D}"/>
    <cellStyle name="Normal 8 2 11 2 2" xfId="6671" xr:uid="{5E5D897F-CEBA-48B8-924E-C6A090B3F833}"/>
    <cellStyle name="Normal 8 2 11 3" xfId="6672" xr:uid="{8FDDE557-2FBD-494A-86AD-86A413283CF7}"/>
    <cellStyle name="Normal 8 2 12" xfId="6673" xr:uid="{7331CD96-4D52-43FD-94FA-C07575C11B13}"/>
    <cellStyle name="Normal 8 2 12 2" xfId="6674" xr:uid="{D343F012-388C-424A-9348-67841A3A2343}"/>
    <cellStyle name="Normal 8 2 13" xfId="6675" xr:uid="{D05EAA05-FCCF-4835-BC92-23EBB055387F}"/>
    <cellStyle name="Normal 8 2 2" xfId="6676" xr:uid="{18C9079D-AADA-4805-84E9-DCACB4F267E7}"/>
    <cellStyle name="Normal 8 2 2 10" xfId="6677" xr:uid="{45099BF1-FD0A-4071-AB29-50E86A2100ED}"/>
    <cellStyle name="Normal 8 2 2 10 2" xfId="6678" xr:uid="{9B1F5BBA-D20B-4039-8895-2461D3DCF171}"/>
    <cellStyle name="Normal 8 2 2 11" xfId="6679" xr:uid="{C726EEFF-C34D-47FD-AD61-6B457489DB5F}"/>
    <cellStyle name="Normal 8 2 2 2" xfId="6680" xr:uid="{F0E972A4-AF14-4C22-A95E-FD38531618E0}"/>
    <cellStyle name="Normal 8 2 2 2 2" xfId="6681" xr:uid="{74F103B7-CA19-4874-9984-F21E4E56E00C}"/>
    <cellStyle name="Normal 8 2 2 2 2 2" xfId="6682" xr:uid="{940E281F-C67D-4375-9D38-D23B204DEDD5}"/>
    <cellStyle name="Normal 8 2 2 2 2 2 2" xfId="6683" xr:uid="{2CD4D6D2-EAA9-4F0B-B454-9914A3DB7ECD}"/>
    <cellStyle name="Normal 8 2 2 2 2 2 2 2" xfId="6684" xr:uid="{927F1DA9-9B1F-4199-9D52-82BEDB5804B1}"/>
    <cellStyle name="Normal 8 2 2 2 2 2 2 2 2" xfId="6685" xr:uid="{2EAABA49-225F-4A93-8B85-A734275A5F1F}"/>
    <cellStyle name="Normal 8 2 2 2 2 2 2 3" xfId="6686" xr:uid="{8E56F1EA-C18C-4004-A124-DD89122733DF}"/>
    <cellStyle name="Normal 8 2 2 2 2 2 3" xfId="6687" xr:uid="{106A4ED4-06EB-43B4-86A5-77C1E43E1B4D}"/>
    <cellStyle name="Normal 8 2 2 2 2 2 3 2" xfId="6688" xr:uid="{4B9F0914-563D-4C16-B2B0-AE64A7AFACB8}"/>
    <cellStyle name="Normal 8 2 2 2 2 2 3 2 2" xfId="6689" xr:uid="{0E5546DD-4289-4256-A79C-D2BBAED45692}"/>
    <cellStyle name="Normal 8 2 2 2 2 2 3 3" xfId="6690" xr:uid="{F6DFC9D2-5AAA-4544-B3F0-D2D8E37551A5}"/>
    <cellStyle name="Normal 8 2 2 2 2 2 4" xfId="6691" xr:uid="{BA2B5ED7-50AD-4D07-A2B3-FEEE8400661C}"/>
    <cellStyle name="Normal 8 2 2 2 2 2 4 2" xfId="6692" xr:uid="{62ABD5D7-50C7-44DC-ACF3-D9EC0ED68AD6}"/>
    <cellStyle name="Normal 8 2 2 2 2 2 4 2 2" xfId="6693" xr:uid="{85516E31-2F88-4D62-838C-02BFCC108589}"/>
    <cellStyle name="Normal 8 2 2 2 2 2 4 3" xfId="6694" xr:uid="{C1526109-8274-4DA8-AA1D-FA1B1890EEC5}"/>
    <cellStyle name="Normal 8 2 2 2 2 2 5" xfId="6695" xr:uid="{535D21BE-3FAC-4B49-A1D8-B8710DAE61DE}"/>
    <cellStyle name="Normal 8 2 2 2 2 2 5 2" xfId="6696" xr:uid="{1D4A9BE2-E283-4CBC-BC41-40FF0528C667}"/>
    <cellStyle name="Normal 8 2 2 2 2 2 6" xfId="6697" xr:uid="{B3ABBF04-8CE0-4251-A4C5-14A87BD6641D}"/>
    <cellStyle name="Normal 8 2 2 2 2 3" xfId="6698" xr:uid="{2C829862-47ED-4356-BFA1-79E2B89F20BF}"/>
    <cellStyle name="Normal 8 2 2 2 2 3 2" xfId="6699" xr:uid="{D821D927-43BB-4B6F-AE72-3C53EB6469A1}"/>
    <cellStyle name="Normal 8 2 2 2 2 3 2 2" xfId="6700" xr:uid="{D62838A9-D86B-4F97-9F2B-CED0504FB3A7}"/>
    <cellStyle name="Normal 8 2 2 2 2 3 3" xfId="6701" xr:uid="{52C344FA-8B37-469E-BD9D-5BEE7350879E}"/>
    <cellStyle name="Normal 8 2 2 2 2 4" xfId="6702" xr:uid="{CFF5F6BD-8F0B-4D17-A150-4B9D3EBA958B}"/>
    <cellStyle name="Normal 8 2 2 2 2 4 2" xfId="6703" xr:uid="{A77D7814-10E4-4CF3-BD3F-B8342A6D517E}"/>
    <cellStyle name="Normal 8 2 2 2 2 4 2 2" xfId="6704" xr:uid="{364458D1-38AF-411C-A8FA-C0A12988E3C2}"/>
    <cellStyle name="Normal 8 2 2 2 2 4 3" xfId="6705" xr:uid="{860BF319-086F-4E27-8B25-59C1EA5824A8}"/>
    <cellStyle name="Normal 8 2 2 2 2 5" xfId="6706" xr:uid="{E1B10101-2645-4B80-841F-23E3CBBBB842}"/>
    <cellStyle name="Normal 8 2 2 2 2 5 2" xfId="6707" xr:uid="{85DB4E27-43B9-4453-A230-A4995A66280E}"/>
    <cellStyle name="Normal 8 2 2 2 2 5 2 2" xfId="6708" xr:uid="{E06F7815-D68A-458B-BCE7-E0385E07CBBC}"/>
    <cellStyle name="Normal 8 2 2 2 2 5 3" xfId="6709" xr:uid="{E7E34B18-A74A-40CD-938F-428A6E5434B2}"/>
    <cellStyle name="Normal 8 2 2 2 2 6" xfId="6710" xr:uid="{8841FA88-1319-44A4-800F-D9B2025D9381}"/>
    <cellStyle name="Normal 8 2 2 2 2 6 2" xfId="6711" xr:uid="{64CD9F73-989D-4550-BD60-5ED9968400B3}"/>
    <cellStyle name="Normal 8 2 2 2 2 7" xfId="6712" xr:uid="{ECD3B763-28DF-4FF3-A9F0-25D5273F2C6B}"/>
    <cellStyle name="Normal 8 2 2 2 3" xfId="6713" xr:uid="{1F656973-D106-47E1-918D-748858EEA1A1}"/>
    <cellStyle name="Normal 8 2 2 2 3 2" xfId="6714" xr:uid="{F6A7A41A-2725-4EE1-829F-F3038E7D475A}"/>
    <cellStyle name="Normal 8 2 2 2 3 2 2" xfId="6715" xr:uid="{4F2A9474-9E29-40EB-B0DC-B3F1A3E2C58F}"/>
    <cellStyle name="Normal 8 2 2 2 3 2 2 2" xfId="6716" xr:uid="{A8E13140-5B9D-4BA9-9BF6-1E3EE131A8E0}"/>
    <cellStyle name="Normal 8 2 2 2 3 2 3" xfId="6717" xr:uid="{E0E2BFE6-FDD7-4763-BF53-3B2869D01ACA}"/>
    <cellStyle name="Normal 8 2 2 2 3 3" xfId="6718" xr:uid="{04A203EE-D1B5-4EB4-BBE9-27DD56D962B4}"/>
    <cellStyle name="Normal 8 2 2 2 3 3 2" xfId="6719" xr:uid="{9C497AAE-AB8E-4F5D-8FA3-6AE5B9058F16}"/>
    <cellStyle name="Normal 8 2 2 2 3 3 2 2" xfId="6720" xr:uid="{D30428F6-3FD6-4353-95EF-5E4AFEFB27B3}"/>
    <cellStyle name="Normal 8 2 2 2 3 3 3" xfId="6721" xr:uid="{27CAF8BE-9AE1-447A-8D5D-59D4E2470F70}"/>
    <cellStyle name="Normal 8 2 2 2 3 4" xfId="6722" xr:uid="{6E026B96-F46D-4552-B1D3-08F4BF785B32}"/>
    <cellStyle name="Normal 8 2 2 2 3 4 2" xfId="6723" xr:uid="{AAA8B40C-AF84-4030-BF17-137320B11217}"/>
    <cellStyle name="Normal 8 2 2 2 3 4 2 2" xfId="6724" xr:uid="{520EB0DC-E20E-4043-8A68-5DA3E67B6A0D}"/>
    <cellStyle name="Normal 8 2 2 2 3 4 3" xfId="6725" xr:uid="{B39C9208-8D12-4986-9A71-D6E80D800377}"/>
    <cellStyle name="Normal 8 2 2 2 3 5" xfId="6726" xr:uid="{4108D6A3-E630-4B7F-9B75-E7998C6EC639}"/>
    <cellStyle name="Normal 8 2 2 2 3 5 2" xfId="6727" xr:uid="{7CCE704C-56B7-4A24-839B-2A281911BD65}"/>
    <cellStyle name="Normal 8 2 2 2 3 6" xfId="6728" xr:uid="{85AF544A-3F5F-4C65-A2A7-FB9D0E48AB85}"/>
    <cellStyle name="Normal 8 2 2 2 4" xfId="6729" xr:uid="{367A2D25-36A3-4463-ADB0-85C3EAFF3A73}"/>
    <cellStyle name="Normal 8 2 2 2 4 2" xfId="6730" xr:uid="{48928DE8-6C58-4AB1-B6C4-8E74171385D5}"/>
    <cellStyle name="Normal 8 2 2 2 4 2 2" xfId="6731" xr:uid="{E068E2E9-806D-4406-B6E9-55C2E964A013}"/>
    <cellStyle name="Normal 8 2 2 2 4 3" xfId="6732" xr:uid="{FC66AFB3-EB98-430F-B3DE-E13E08CA2B40}"/>
    <cellStyle name="Normal 8 2 2 2 5" xfId="6733" xr:uid="{A4C89E04-F95C-4F51-A091-26A07AF211C6}"/>
    <cellStyle name="Normal 8 2 2 2 5 2" xfId="6734" xr:uid="{3DCF30BC-47FF-41B3-96BB-400C0E2B33DA}"/>
    <cellStyle name="Normal 8 2 2 2 5 2 2" xfId="6735" xr:uid="{0DDB2236-7740-40EE-8BE4-E8ECDD57FC38}"/>
    <cellStyle name="Normal 8 2 2 2 5 3" xfId="6736" xr:uid="{E1047934-1C3C-4A59-BE04-E572EFE787A1}"/>
    <cellStyle name="Normal 8 2 2 2 6" xfId="6737" xr:uid="{C131A00C-112B-4449-8F4C-7547CAB34E1E}"/>
    <cellStyle name="Normal 8 2 2 2 6 2" xfId="6738" xr:uid="{A92DCABC-ED91-480D-A929-63DEEBDD0377}"/>
    <cellStyle name="Normal 8 2 2 2 6 2 2" xfId="6739" xr:uid="{BDCFEFA9-F4FD-4C65-AE7B-D49CE2796031}"/>
    <cellStyle name="Normal 8 2 2 2 6 3" xfId="6740" xr:uid="{B1A126FC-AA0D-4428-A344-102A21EB9745}"/>
    <cellStyle name="Normal 8 2 2 2 7" xfId="6741" xr:uid="{C85E8902-23C2-4E2A-97E6-E44FA3E87C63}"/>
    <cellStyle name="Normal 8 2 2 2 7 2" xfId="6742" xr:uid="{2018F043-F0FD-4C46-986F-A05C230F1B08}"/>
    <cellStyle name="Normal 8 2 2 2 8" xfId="6743" xr:uid="{71D1821C-C2CD-4247-BE21-26AB57F2A865}"/>
    <cellStyle name="Normal 8 2 2 3" xfId="6744" xr:uid="{951CA785-0BCB-44FB-909A-78B6CF7FFD2B}"/>
    <cellStyle name="Normal 8 2 2 3 2" xfId="6745" xr:uid="{C68D5AA7-00B1-4599-9B9F-FF9FD7001ACD}"/>
    <cellStyle name="Normal 8 2 2 3 2 2" xfId="6746" xr:uid="{B3468BC1-F6A8-43CB-A943-862468FE6E0B}"/>
    <cellStyle name="Normal 8 2 2 3 2 2 2" xfId="6747" xr:uid="{D0EC547A-C518-4F6D-B924-3FA41849A82E}"/>
    <cellStyle name="Normal 8 2 2 3 2 2 2 2" xfId="6748" xr:uid="{8FBEF318-7D88-423C-8F24-2FB7511BAA0E}"/>
    <cellStyle name="Normal 8 2 2 3 2 2 2 2 2" xfId="6749" xr:uid="{BE58DA15-CA2E-482A-9C5D-505409BBEAFB}"/>
    <cellStyle name="Normal 8 2 2 3 2 2 2 3" xfId="6750" xr:uid="{3DFC5C01-2526-497E-9714-DF2D7926256E}"/>
    <cellStyle name="Normal 8 2 2 3 2 2 3" xfId="6751" xr:uid="{6A2F221B-9BB5-4711-9919-2C29B011EEFF}"/>
    <cellStyle name="Normal 8 2 2 3 2 2 3 2" xfId="6752" xr:uid="{44F1A234-3686-45E6-9185-28D3F186405B}"/>
    <cellStyle name="Normal 8 2 2 3 2 2 3 2 2" xfId="6753" xr:uid="{1CE8E136-1C73-4DE8-B65B-D3718E0CD20B}"/>
    <cellStyle name="Normal 8 2 2 3 2 2 3 3" xfId="6754" xr:uid="{24342150-EC98-4B8A-B5DC-B8E978597CA5}"/>
    <cellStyle name="Normal 8 2 2 3 2 2 4" xfId="6755" xr:uid="{EA602C30-142C-42D9-A6EC-03A36E7B8960}"/>
    <cellStyle name="Normal 8 2 2 3 2 2 4 2" xfId="6756" xr:uid="{ACCCBEA4-6E67-4FDD-B180-39190AB8E974}"/>
    <cellStyle name="Normal 8 2 2 3 2 2 4 2 2" xfId="6757" xr:uid="{5221746C-970C-4BBA-BA8D-FEB5B3FA4415}"/>
    <cellStyle name="Normal 8 2 2 3 2 2 4 3" xfId="6758" xr:uid="{10B0A218-38A0-4CAC-9A8F-7858183E0A15}"/>
    <cellStyle name="Normal 8 2 2 3 2 2 5" xfId="6759" xr:uid="{518A4429-5F3C-44B5-A7A7-6C7DE35D273E}"/>
    <cellStyle name="Normal 8 2 2 3 2 2 5 2" xfId="6760" xr:uid="{AA622C08-FA50-43DC-BAC6-E5A36284C1DB}"/>
    <cellStyle name="Normal 8 2 2 3 2 2 6" xfId="6761" xr:uid="{EBE15B81-C60A-414E-9E35-CFF8E43E8FEF}"/>
    <cellStyle name="Normal 8 2 2 3 2 3" xfId="6762" xr:uid="{79E29F2C-3A2C-4B15-B329-6DA4979930C2}"/>
    <cellStyle name="Normal 8 2 2 3 2 3 2" xfId="6763" xr:uid="{EA8A2651-1677-4FF3-A061-691670FD0CBD}"/>
    <cellStyle name="Normal 8 2 2 3 2 3 2 2" xfId="6764" xr:uid="{00298576-DBC6-4365-8330-9A4160EB503E}"/>
    <cellStyle name="Normal 8 2 2 3 2 3 3" xfId="6765" xr:uid="{73FF6E5E-2888-4180-BE4E-0FC8877E8622}"/>
    <cellStyle name="Normal 8 2 2 3 2 4" xfId="6766" xr:uid="{4BFCE1C3-3B4B-4107-B567-751E7BC979DE}"/>
    <cellStyle name="Normal 8 2 2 3 2 4 2" xfId="6767" xr:uid="{7EB97885-4DD2-4586-9AAC-32D291C59ACE}"/>
    <cellStyle name="Normal 8 2 2 3 2 4 2 2" xfId="6768" xr:uid="{0DBB8E05-37AF-4CA0-B60C-E2C50875D20F}"/>
    <cellStyle name="Normal 8 2 2 3 2 4 3" xfId="6769" xr:uid="{D6FC75EC-172C-4E02-8F73-C63DF420EBCE}"/>
    <cellStyle name="Normal 8 2 2 3 2 5" xfId="6770" xr:uid="{D61784F5-D403-42C7-AF8E-A8F81C716C92}"/>
    <cellStyle name="Normal 8 2 2 3 2 5 2" xfId="6771" xr:uid="{356A5CA3-7971-4D2E-B744-19E57A09975C}"/>
    <cellStyle name="Normal 8 2 2 3 2 5 2 2" xfId="6772" xr:uid="{09499DEF-107A-4E46-A04B-0C225F5942B4}"/>
    <cellStyle name="Normal 8 2 2 3 2 5 3" xfId="6773" xr:uid="{7C2EE1DD-8B97-421F-A3F2-A833929A3A39}"/>
    <cellStyle name="Normal 8 2 2 3 2 6" xfId="6774" xr:uid="{3F6A5D73-2478-48FE-8D1B-59D6C627E39A}"/>
    <cellStyle name="Normal 8 2 2 3 2 6 2" xfId="6775" xr:uid="{06BC0EFE-B160-4BF1-B23E-B6728145CFBA}"/>
    <cellStyle name="Normal 8 2 2 3 2 7" xfId="6776" xr:uid="{D6792919-5579-4E91-90FC-B01A3BEAA2E9}"/>
    <cellStyle name="Normal 8 2 2 3 3" xfId="6777" xr:uid="{A2D90706-F8E6-457A-BBB4-172287BE8044}"/>
    <cellStyle name="Normal 8 2 2 3 3 2" xfId="6778" xr:uid="{9DE091ED-E301-49F9-B716-DA007EC7A0C9}"/>
    <cellStyle name="Normal 8 2 2 3 3 2 2" xfId="6779" xr:uid="{30C32CE4-0043-4939-A4C0-7D644AECC838}"/>
    <cellStyle name="Normal 8 2 2 3 3 2 2 2" xfId="6780" xr:uid="{F0956E2C-6FFD-4A2E-89FB-DCE865DB58B8}"/>
    <cellStyle name="Normal 8 2 2 3 3 2 3" xfId="6781" xr:uid="{E76D5155-25C5-4AB2-B738-C50DF4B55B56}"/>
    <cellStyle name="Normal 8 2 2 3 3 3" xfId="6782" xr:uid="{9B9C4947-2A96-4E82-AD8C-E5D52B7B2162}"/>
    <cellStyle name="Normal 8 2 2 3 3 3 2" xfId="6783" xr:uid="{2533AD75-3E39-43D2-84B6-2EE41269DE95}"/>
    <cellStyle name="Normal 8 2 2 3 3 3 2 2" xfId="6784" xr:uid="{B88883DB-2A04-40C8-AEC5-30A125B95395}"/>
    <cellStyle name="Normal 8 2 2 3 3 3 3" xfId="6785" xr:uid="{2A4F7349-5062-4ED5-AAFD-6E3BEB8D3BA3}"/>
    <cellStyle name="Normal 8 2 2 3 3 4" xfId="6786" xr:uid="{722C498E-35A0-493B-B0C3-36ADF7CB84BC}"/>
    <cellStyle name="Normal 8 2 2 3 3 4 2" xfId="6787" xr:uid="{053010FE-C781-4E8C-9D01-C640111EF1AA}"/>
    <cellStyle name="Normal 8 2 2 3 3 4 2 2" xfId="6788" xr:uid="{A44193B6-BCBD-4AAC-BC20-847D5AC75C76}"/>
    <cellStyle name="Normal 8 2 2 3 3 4 3" xfId="6789" xr:uid="{4EF70767-8F85-4F18-A494-8488A0FDEFFC}"/>
    <cellStyle name="Normal 8 2 2 3 3 5" xfId="6790" xr:uid="{9F433DC3-1F43-411B-A1A3-E65A83A7EEAD}"/>
    <cellStyle name="Normal 8 2 2 3 3 5 2" xfId="6791" xr:uid="{72C4AFD6-10CF-4600-9C09-A19628B1BDE7}"/>
    <cellStyle name="Normal 8 2 2 3 3 6" xfId="6792" xr:uid="{56C2B88A-3913-4E43-8A91-ECD895190C75}"/>
    <cellStyle name="Normal 8 2 2 3 4" xfId="6793" xr:uid="{EEEF629C-EF1E-40F8-9DA4-CFCF4798ECBC}"/>
    <cellStyle name="Normal 8 2 2 3 4 2" xfId="6794" xr:uid="{FB9B338A-8025-4ACC-BF30-21ECC5CB1EA2}"/>
    <cellStyle name="Normal 8 2 2 3 4 2 2" xfId="6795" xr:uid="{981371FF-BDEF-415F-944F-046BA7E03DF2}"/>
    <cellStyle name="Normal 8 2 2 3 4 3" xfId="6796" xr:uid="{7C5167E8-4611-46C0-BFF3-83AAF663E167}"/>
    <cellStyle name="Normal 8 2 2 3 5" xfId="6797" xr:uid="{79D833D8-33FC-40C2-B4CD-2519A4CCEA89}"/>
    <cellStyle name="Normal 8 2 2 3 5 2" xfId="6798" xr:uid="{E0B214E4-1FEB-4EE3-81C1-60C22233F535}"/>
    <cellStyle name="Normal 8 2 2 3 5 2 2" xfId="6799" xr:uid="{01CBA318-82C1-4C79-8414-2A5D8F285EC1}"/>
    <cellStyle name="Normal 8 2 2 3 5 3" xfId="6800" xr:uid="{B42DD0D3-64CC-44EA-B730-E3F2BDD4564C}"/>
    <cellStyle name="Normal 8 2 2 3 6" xfId="6801" xr:uid="{AFCD46D9-782F-4C45-AE93-F1BD21141FD3}"/>
    <cellStyle name="Normal 8 2 2 3 6 2" xfId="6802" xr:uid="{B5E23E4D-A491-41F4-BA23-180E2E724BCA}"/>
    <cellStyle name="Normal 8 2 2 3 6 2 2" xfId="6803" xr:uid="{25074911-8F1F-44AC-AD75-20A91B712929}"/>
    <cellStyle name="Normal 8 2 2 3 6 3" xfId="6804" xr:uid="{B537E23D-AA08-47E7-9AB8-2B09DFA051F7}"/>
    <cellStyle name="Normal 8 2 2 3 7" xfId="6805" xr:uid="{781F5CAF-8D2A-4467-9803-5E84AA4DD78A}"/>
    <cellStyle name="Normal 8 2 2 3 7 2" xfId="6806" xr:uid="{9235FB5D-4FC7-4BB0-8BDD-275972F71EBE}"/>
    <cellStyle name="Normal 8 2 2 3 8" xfId="6807" xr:uid="{6A5A651E-6BAB-4517-883D-8F6EB1658BE6}"/>
    <cellStyle name="Normal 8 2 2 4" xfId="6808" xr:uid="{1B31BB91-8E8F-4455-9CC3-8336DD862F16}"/>
    <cellStyle name="Normal 8 2 2 4 2" xfId="6809" xr:uid="{E9A8327D-5D41-43F3-943C-7EA8FAA249C1}"/>
    <cellStyle name="Normal 8 2 2 4 2 2" xfId="6810" xr:uid="{9B34B773-CC2E-4A0B-A343-D646154547C4}"/>
    <cellStyle name="Normal 8 2 2 4 2 2 2" xfId="6811" xr:uid="{EE009606-6567-499E-A249-7ED01A94A264}"/>
    <cellStyle name="Normal 8 2 2 4 2 2 2 2" xfId="6812" xr:uid="{61C00189-1A63-4C25-9153-71D5A7BEFE3D}"/>
    <cellStyle name="Normal 8 2 2 4 2 2 3" xfId="6813" xr:uid="{A18A23D3-C28D-44CB-A77E-0E1CBE4C9F1D}"/>
    <cellStyle name="Normal 8 2 2 4 2 3" xfId="6814" xr:uid="{0DE48EEB-57BB-48E6-9B27-FA0E604A4451}"/>
    <cellStyle name="Normal 8 2 2 4 2 3 2" xfId="6815" xr:uid="{FF35098C-C915-491C-BF91-E685B12A9FBA}"/>
    <cellStyle name="Normal 8 2 2 4 2 3 2 2" xfId="6816" xr:uid="{F154EE89-109D-482F-BA45-756049547FD5}"/>
    <cellStyle name="Normal 8 2 2 4 2 3 3" xfId="6817" xr:uid="{113C700E-3A97-431B-B9FD-8535A2F372F4}"/>
    <cellStyle name="Normal 8 2 2 4 2 4" xfId="6818" xr:uid="{D31E5C7D-BDD2-425A-A283-F5DA47B588CB}"/>
    <cellStyle name="Normal 8 2 2 4 2 4 2" xfId="6819" xr:uid="{CFE2F5F2-9D99-4979-AF2A-3947A427064B}"/>
    <cellStyle name="Normal 8 2 2 4 2 4 2 2" xfId="6820" xr:uid="{11D41116-CC03-46FD-ACF8-5E20AB1B0EA9}"/>
    <cellStyle name="Normal 8 2 2 4 2 4 3" xfId="6821" xr:uid="{F5506DF3-DBA6-420C-9F30-E0209709DCB0}"/>
    <cellStyle name="Normal 8 2 2 4 2 5" xfId="6822" xr:uid="{0971A537-6492-460F-A0BC-EA77F0CE1ABB}"/>
    <cellStyle name="Normal 8 2 2 4 2 5 2" xfId="6823" xr:uid="{7E7F5602-196D-420F-BF31-4380617BD059}"/>
    <cellStyle name="Normal 8 2 2 4 2 6" xfId="6824" xr:uid="{D24EF8D8-A0E0-4C28-9191-383474E2C427}"/>
    <cellStyle name="Normal 8 2 2 4 3" xfId="6825" xr:uid="{3AB2EB89-05E3-4C27-8E32-92C60889D615}"/>
    <cellStyle name="Normal 8 2 2 4 3 2" xfId="6826" xr:uid="{E88EFD1E-7D02-45DD-83B5-55CC036ED031}"/>
    <cellStyle name="Normal 8 2 2 4 3 2 2" xfId="6827" xr:uid="{B56E46CA-4E0D-46DA-8009-1BDA6B604613}"/>
    <cellStyle name="Normal 8 2 2 4 3 3" xfId="6828" xr:uid="{652BBEAE-CE4D-49CA-A95F-3512191A9613}"/>
    <cellStyle name="Normal 8 2 2 4 4" xfId="6829" xr:uid="{19818CDD-88D5-4AF1-B694-438404B1D50D}"/>
    <cellStyle name="Normal 8 2 2 4 4 2" xfId="6830" xr:uid="{3C2B729D-BCEA-4731-9D20-CAE2C2E5734D}"/>
    <cellStyle name="Normal 8 2 2 4 4 2 2" xfId="6831" xr:uid="{CE72F558-E857-49C2-8578-042AA5A97C07}"/>
    <cellStyle name="Normal 8 2 2 4 4 3" xfId="6832" xr:uid="{F12614B0-70B9-44CD-9E99-867EB0B28788}"/>
    <cellStyle name="Normal 8 2 2 4 5" xfId="6833" xr:uid="{74D49819-BCAF-451B-939D-E2DAA216FC96}"/>
    <cellStyle name="Normal 8 2 2 4 5 2" xfId="6834" xr:uid="{491C3FF6-C8EA-4B99-8ADD-0BC818084813}"/>
    <cellStyle name="Normal 8 2 2 4 5 2 2" xfId="6835" xr:uid="{48B29140-4119-450E-9C82-312F12095FBF}"/>
    <cellStyle name="Normal 8 2 2 4 5 3" xfId="6836" xr:uid="{389AD241-6BD8-4FBB-AB9E-29BC2E488DB7}"/>
    <cellStyle name="Normal 8 2 2 4 6" xfId="6837" xr:uid="{C57EF305-79CF-41C1-8F73-283B7AB5EFC6}"/>
    <cellStyle name="Normal 8 2 2 4 6 2" xfId="6838" xr:uid="{3C115214-4B2E-437C-87CE-BC229E9C5AB5}"/>
    <cellStyle name="Normal 8 2 2 4 7" xfId="6839" xr:uid="{36A0AA19-2516-4CCF-89F7-525AC3C8AF37}"/>
    <cellStyle name="Normal 8 2 2 5" xfId="6840" xr:uid="{00AC1F72-C8DE-4BE8-9CC7-B0C19758AE8F}"/>
    <cellStyle name="Normal 8 2 2 5 2" xfId="6841" xr:uid="{3F179144-1259-4015-93B8-EE2AA7E3ECA2}"/>
    <cellStyle name="Normal 8 2 2 5 2 2" xfId="6842" xr:uid="{5075A554-F921-4707-B5FC-3510C8E3FC2F}"/>
    <cellStyle name="Normal 8 2 2 5 2 2 2" xfId="6843" xr:uid="{F28B621A-4BD7-4CAB-9E5E-117FAD6539DC}"/>
    <cellStyle name="Normal 8 2 2 5 2 3" xfId="6844" xr:uid="{D0D488DE-ACFE-49E9-BF1D-E33A437BD8C3}"/>
    <cellStyle name="Normal 8 2 2 5 3" xfId="6845" xr:uid="{1BBB1633-1F2B-4D48-A8E3-B540FAD61080}"/>
    <cellStyle name="Normal 8 2 2 5 3 2" xfId="6846" xr:uid="{015A091C-6BC5-4590-A62B-4D7F66EFC578}"/>
    <cellStyle name="Normal 8 2 2 5 3 2 2" xfId="6847" xr:uid="{693DEC40-832D-4121-B887-30DA1CD433F2}"/>
    <cellStyle name="Normal 8 2 2 5 3 3" xfId="6848" xr:uid="{2EEFE28D-F74F-4D16-B86F-4954A71FEAAD}"/>
    <cellStyle name="Normal 8 2 2 5 4" xfId="6849" xr:uid="{785FE939-90FC-46B5-B384-D9337AEC466B}"/>
    <cellStyle name="Normal 8 2 2 5 4 2" xfId="6850" xr:uid="{2E03BB78-E1D9-4D7B-B405-991A652CE51B}"/>
    <cellStyle name="Normal 8 2 2 5 4 2 2" xfId="6851" xr:uid="{2ED410C0-DD77-4F27-958C-47AE0EA050C0}"/>
    <cellStyle name="Normal 8 2 2 5 4 3" xfId="6852" xr:uid="{6EB8E85B-D328-4830-9CE8-CE5E58A2B0A6}"/>
    <cellStyle name="Normal 8 2 2 5 5" xfId="6853" xr:uid="{0F5303F9-9EB5-4004-A004-54FA3F3BD889}"/>
    <cellStyle name="Normal 8 2 2 5 5 2" xfId="6854" xr:uid="{E42300BF-C810-4A6F-B6BA-515DB0E69068}"/>
    <cellStyle name="Normal 8 2 2 5 6" xfId="6855" xr:uid="{07BD0A33-8884-4E58-B5C5-CDF39C4174AA}"/>
    <cellStyle name="Normal 8 2 2 6" xfId="6856" xr:uid="{4C147840-FE33-4D8B-82DE-5C7BBA730A4C}"/>
    <cellStyle name="Normal 8 2 2 6 2" xfId="6857" xr:uid="{65730379-B0F3-4376-8F66-0799B4C7F59E}"/>
    <cellStyle name="Normal 8 2 2 6 2 2" xfId="6858" xr:uid="{BC243F1D-802C-4B24-AD67-132AE83B9B5D}"/>
    <cellStyle name="Normal 8 2 2 6 3" xfId="6859" xr:uid="{23634183-B849-4CB4-BE7E-E9CD24BA227F}"/>
    <cellStyle name="Normal 8 2 2 7" xfId="6860" xr:uid="{B5E7D717-468D-4178-AEE4-18DBC2470401}"/>
    <cellStyle name="Normal 8 2 2 7 2" xfId="6861" xr:uid="{9BA6E52F-6859-46A9-967E-304395EDA028}"/>
    <cellStyle name="Normal 8 2 2 7 2 2" xfId="6862" xr:uid="{5D0D5DB3-4BF8-47C8-A6C0-151DEC37C133}"/>
    <cellStyle name="Normal 8 2 2 7 3" xfId="6863" xr:uid="{6419865E-325E-4625-8209-296CF5446BED}"/>
    <cellStyle name="Normal 8 2 2 8" xfId="6864" xr:uid="{9043F25B-2076-48AA-97BB-A50D7D3959B1}"/>
    <cellStyle name="Normal 8 2 2 8 2" xfId="6865" xr:uid="{81618886-3B1C-4070-870E-3E7791A9F55F}"/>
    <cellStyle name="Normal 8 2 2 8 2 2" xfId="6866" xr:uid="{F444CC47-84AB-4D61-93A6-30FC7DE55F47}"/>
    <cellStyle name="Normal 8 2 2 8 3" xfId="6867" xr:uid="{7657C24D-EF21-4231-A9A4-F1121071E526}"/>
    <cellStyle name="Normal 8 2 2 9" xfId="6868" xr:uid="{A314C0C6-81FB-4285-8F0A-48C9459DDEB3}"/>
    <cellStyle name="Normal 8 2 2 9 2" xfId="6869" xr:uid="{AC7D8022-CCBE-4BEF-BBB5-173431C072A7}"/>
    <cellStyle name="Normal 8 2 2 9 2 2" xfId="6870" xr:uid="{3D65A1F2-710D-4F60-BB3E-F6708EEF534A}"/>
    <cellStyle name="Normal 8 2 2 9 3" xfId="6871" xr:uid="{E5920374-9714-48B5-A582-DE93797D97D4}"/>
    <cellStyle name="Normal 8 2 3" xfId="6872" xr:uid="{9F668C91-61AD-4452-8426-D1D0C37678AD}"/>
    <cellStyle name="Normal 8 2 3 2" xfId="6873" xr:uid="{6C632A0D-43ED-4E4D-941E-3319F6B2E256}"/>
    <cellStyle name="Normal 8 2 3 2 2" xfId="6874" xr:uid="{936220B9-C72A-4D70-9351-37E56AB53C19}"/>
    <cellStyle name="Normal 8 2 3 2 2 2" xfId="6875" xr:uid="{18843486-1514-40F6-A8AC-95E49AAACCB6}"/>
    <cellStyle name="Normal 8 2 3 2 2 2 2" xfId="6876" xr:uid="{28950E60-54FF-4758-84CE-A3DBB762E027}"/>
    <cellStyle name="Normal 8 2 3 2 2 2 2 2" xfId="6877" xr:uid="{C8BC3502-973F-446B-867B-22F05C8A2515}"/>
    <cellStyle name="Normal 8 2 3 2 2 2 3" xfId="6878" xr:uid="{10391B9A-31E1-4EE8-B06B-3F9C3E2525B2}"/>
    <cellStyle name="Normal 8 2 3 2 2 3" xfId="6879" xr:uid="{007DD809-C8FC-415D-9D90-2EEE44DBB39C}"/>
    <cellStyle name="Normal 8 2 3 2 2 3 2" xfId="6880" xr:uid="{C207A47D-8DEE-4DAC-A270-57BB3A67D5D6}"/>
    <cellStyle name="Normal 8 2 3 2 2 3 2 2" xfId="6881" xr:uid="{9CC0A0BB-D97F-4F41-8764-BD5F61491792}"/>
    <cellStyle name="Normal 8 2 3 2 2 3 3" xfId="6882" xr:uid="{5FA383A1-F1CE-4117-AB3F-A457A322D740}"/>
    <cellStyle name="Normal 8 2 3 2 2 4" xfId="6883" xr:uid="{38F41900-91A5-4DDA-8C6A-DFC0EE708E9D}"/>
    <cellStyle name="Normal 8 2 3 2 2 4 2" xfId="6884" xr:uid="{735E778B-2214-401F-AA44-91C103F8FDCE}"/>
    <cellStyle name="Normal 8 2 3 2 2 4 2 2" xfId="6885" xr:uid="{865C7BD0-4891-4535-8DA7-3E4CF813149E}"/>
    <cellStyle name="Normal 8 2 3 2 2 4 3" xfId="6886" xr:uid="{19A71E65-5EC5-4DCB-B860-08858FC15520}"/>
    <cellStyle name="Normal 8 2 3 2 2 5" xfId="6887" xr:uid="{AE44E5A2-A36C-4006-AB21-270C9C5B42B7}"/>
    <cellStyle name="Normal 8 2 3 2 2 5 2" xfId="6888" xr:uid="{DC9A0549-5EFC-476C-B5D2-CF5FE0A0D488}"/>
    <cellStyle name="Normal 8 2 3 2 2 6" xfId="6889" xr:uid="{5F95C742-BC83-4769-A976-3501F6C591B3}"/>
    <cellStyle name="Normal 8 2 3 2 3" xfId="6890" xr:uid="{771BD3D1-7803-4D75-80D2-4BCD08DA9514}"/>
    <cellStyle name="Normal 8 2 3 2 3 2" xfId="6891" xr:uid="{3F66EB4D-89F3-446F-9543-4F829A4A22B6}"/>
    <cellStyle name="Normal 8 2 3 2 3 2 2" xfId="6892" xr:uid="{2BD787C3-B640-4A62-B078-812BA4BACDE9}"/>
    <cellStyle name="Normal 8 2 3 2 3 3" xfId="6893" xr:uid="{804440D9-0E02-448D-AC14-3C102E1549E3}"/>
    <cellStyle name="Normal 8 2 3 2 4" xfId="6894" xr:uid="{F4114FB4-C4C8-4EFE-8EF9-AC4F9EDA65BB}"/>
    <cellStyle name="Normal 8 2 3 2 4 2" xfId="6895" xr:uid="{9B120FEB-912D-4CDD-B6E1-3F4087F4CC33}"/>
    <cellStyle name="Normal 8 2 3 2 4 2 2" xfId="6896" xr:uid="{0ECA426E-6DC3-4A2B-AD77-E4076CC13C33}"/>
    <cellStyle name="Normal 8 2 3 2 4 3" xfId="6897" xr:uid="{12A7A2AF-309C-4163-9A54-918C92DCF669}"/>
    <cellStyle name="Normal 8 2 3 2 5" xfId="6898" xr:uid="{BEDEC9A0-4BCC-41B4-8A25-0E137D667EEC}"/>
    <cellStyle name="Normal 8 2 3 2 5 2" xfId="6899" xr:uid="{9718613F-047D-48A9-A226-2B4204966C77}"/>
    <cellStyle name="Normal 8 2 3 2 5 2 2" xfId="6900" xr:uid="{166FAFCD-5BE8-425C-9171-BEDADF9216EB}"/>
    <cellStyle name="Normal 8 2 3 2 5 3" xfId="6901" xr:uid="{AEFC978B-2249-422E-AF44-999B409C5F70}"/>
    <cellStyle name="Normal 8 2 3 2 6" xfId="6902" xr:uid="{BDE0D9D5-7F92-4196-850D-54B582A07016}"/>
    <cellStyle name="Normal 8 2 3 2 6 2" xfId="6903" xr:uid="{01399C06-BCF4-4E98-AE83-23E2EDD20551}"/>
    <cellStyle name="Normal 8 2 3 2 7" xfId="6904" xr:uid="{534A4C87-BA9F-4051-A1D2-11991FE39F1B}"/>
    <cellStyle name="Normal 8 2 3 3" xfId="6905" xr:uid="{34400B7F-7C56-45C8-9D7F-689E2E22050D}"/>
    <cellStyle name="Normal 8 2 3 3 2" xfId="6906" xr:uid="{D1C4CA2F-C15C-499A-8A66-4731F8138FB8}"/>
    <cellStyle name="Normal 8 2 3 3 2 2" xfId="6907" xr:uid="{DF797E50-CFBB-40C4-8C64-624D3AD962BD}"/>
    <cellStyle name="Normal 8 2 3 3 2 2 2" xfId="6908" xr:uid="{E61202E6-FBBA-42DE-9CBD-9F36FF4B11FB}"/>
    <cellStyle name="Normal 8 2 3 3 2 3" xfId="6909" xr:uid="{38C80377-EB45-4F55-9CD7-E1EE19A77E12}"/>
    <cellStyle name="Normal 8 2 3 3 3" xfId="6910" xr:uid="{A80AC802-0D97-4B03-836A-4A07DB660F02}"/>
    <cellStyle name="Normal 8 2 3 3 3 2" xfId="6911" xr:uid="{2269B986-60B3-437A-BF85-728F3553C561}"/>
    <cellStyle name="Normal 8 2 3 3 3 2 2" xfId="6912" xr:uid="{2390967B-B0BB-4846-8461-DFA735D47BA8}"/>
    <cellStyle name="Normal 8 2 3 3 3 3" xfId="6913" xr:uid="{194489EE-AD1C-4737-B926-BC2B4A5E1B98}"/>
    <cellStyle name="Normal 8 2 3 3 4" xfId="6914" xr:uid="{BE44855A-6A35-4FB2-AF52-E3D31C28FA05}"/>
    <cellStyle name="Normal 8 2 3 3 4 2" xfId="6915" xr:uid="{B519287A-4111-4EFE-97EF-82FAE51E7C6D}"/>
    <cellStyle name="Normal 8 2 3 3 4 2 2" xfId="6916" xr:uid="{0D631850-1CBF-489A-90A9-57275E6DA56B}"/>
    <cellStyle name="Normal 8 2 3 3 4 3" xfId="6917" xr:uid="{5FB29F2E-4E07-4112-BC67-A9757E88FAF7}"/>
    <cellStyle name="Normal 8 2 3 3 5" xfId="6918" xr:uid="{2AD61C0A-944E-433E-80D4-2F8BA37DF2FF}"/>
    <cellStyle name="Normal 8 2 3 3 5 2" xfId="6919" xr:uid="{917F667C-F82D-4190-920C-162A870E66E0}"/>
    <cellStyle name="Normal 8 2 3 3 6" xfId="6920" xr:uid="{7D74CBF8-056E-4E87-A6ED-E11ACFEA0ED0}"/>
    <cellStyle name="Normal 8 2 3 4" xfId="6921" xr:uid="{869D8C4D-445D-4532-814F-294F2E02895B}"/>
    <cellStyle name="Normal 8 2 3 4 2" xfId="6922" xr:uid="{FD821660-C1D6-4CF3-9C6F-BF3B84A8F825}"/>
    <cellStyle name="Normal 8 2 3 4 2 2" xfId="6923" xr:uid="{741CA83F-B081-4E47-8279-6F85781D60FD}"/>
    <cellStyle name="Normal 8 2 3 4 3" xfId="6924" xr:uid="{6AC9DC47-67E8-48F4-8860-7FC08EFA66A2}"/>
    <cellStyle name="Normal 8 2 3 5" xfId="6925" xr:uid="{99D80726-2D58-4516-BA05-63D2C4822EFB}"/>
    <cellStyle name="Normal 8 2 3 5 2" xfId="6926" xr:uid="{EB456A31-5B8C-45BD-BE59-ACBC7A9C7398}"/>
    <cellStyle name="Normal 8 2 3 5 2 2" xfId="6927" xr:uid="{B2856F6B-AF51-4F8B-B6C2-522CF8A6EE03}"/>
    <cellStyle name="Normal 8 2 3 5 3" xfId="6928" xr:uid="{A2E4177B-F907-4286-B37E-C22585FDD558}"/>
    <cellStyle name="Normal 8 2 3 6" xfId="6929" xr:uid="{C44E0F88-1E49-44E6-9DAF-45A047BD6248}"/>
    <cellStyle name="Normal 8 2 3 6 2" xfId="6930" xr:uid="{1B9C986D-4831-431C-8504-997EAE5F977B}"/>
    <cellStyle name="Normal 8 2 3 6 2 2" xfId="6931" xr:uid="{4718675F-AD76-4EBC-93B3-7D2E99CE47E3}"/>
    <cellStyle name="Normal 8 2 3 6 3" xfId="6932" xr:uid="{D463B27F-915D-472E-A8AF-157C0F9AE77B}"/>
    <cellStyle name="Normal 8 2 3 7" xfId="6933" xr:uid="{46ACB192-B16E-474E-988B-048A4B131CB3}"/>
    <cellStyle name="Normal 8 2 3 7 2" xfId="6934" xr:uid="{C1B7865C-41D7-41B1-BD41-E960361C6411}"/>
    <cellStyle name="Normal 8 2 3 8" xfId="6935" xr:uid="{676824B1-9A1E-4B01-89FA-D77D1600BDF9}"/>
    <cellStyle name="Normal 8 2 4" xfId="6936" xr:uid="{2C1B7CC1-BC0F-47E6-B147-1A366B8936A6}"/>
    <cellStyle name="Normal 8 2 4 2" xfId="6937" xr:uid="{F8D46F53-CF76-45B3-A80B-EFF52BA8F3AB}"/>
    <cellStyle name="Normal 8 2 4 2 2" xfId="6938" xr:uid="{B511E544-1DC4-452E-B297-0CA297DF2C0F}"/>
    <cellStyle name="Normal 8 2 4 2 2 2" xfId="6939" xr:uid="{12A21380-F224-4273-A9D0-AF3C9EACD374}"/>
    <cellStyle name="Normal 8 2 4 2 2 2 2" xfId="6940" xr:uid="{00864A48-2CE5-4AC1-84AA-BA065B21EEB8}"/>
    <cellStyle name="Normal 8 2 4 2 2 2 2 2" xfId="6941" xr:uid="{3BC0D106-B1B6-43A3-9CB5-17344958A474}"/>
    <cellStyle name="Normal 8 2 4 2 2 2 3" xfId="6942" xr:uid="{164115C5-D36E-4DEE-873A-C520AD1D6710}"/>
    <cellStyle name="Normal 8 2 4 2 2 3" xfId="6943" xr:uid="{718C3122-AAE7-4F7A-B51F-54A3EC795B8A}"/>
    <cellStyle name="Normal 8 2 4 2 2 3 2" xfId="6944" xr:uid="{A4B0ED5A-34CA-42A0-8C7B-7E4FC256BEA8}"/>
    <cellStyle name="Normal 8 2 4 2 2 3 2 2" xfId="6945" xr:uid="{7C030028-72D6-429D-BE28-892D9F71AF3A}"/>
    <cellStyle name="Normal 8 2 4 2 2 3 3" xfId="6946" xr:uid="{0E43FF71-828E-4E8F-86E0-698F5EF2A901}"/>
    <cellStyle name="Normal 8 2 4 2 2 4" xfId="6947" xr:uid="{EA021E13-F1CB-4810-92EA-CDE6335BB415}"/>
    <cellStyle name="Normal 8 2 4 2 2 4 2" xfId="6948" xr:uid="{57705CE5-C1ED-40D1-9770-3533137CB8E4}"/>
    <cellStyle name="Normal 8 2 4 2 2 4 2 2" xfId="6949" xr:uid="{4B5CD70C-819C-48C7-B464-B308D282B6B3}"/>
    <cellStyle name="Normal 8 2 4 2 2 4 3" xfId="6950" xr:uid="{E05625D8-85C5-4636-8B47-74AEF5B83BE9}"/>
    <cellStyle name="Normal 8 2 4 2 2 5" xfId="6951" xr:uid="{92D6ACAB-2340-4725-83E2-74457265EAEE}"/>
    <cellStyle name="Normal 8 2 4 2 2 5 2" xfId="6952" xr:uid="{31033E50-651D-4110-AF04-2DB071AC3334}"/>
    <cellStyle name="Normal 8 2 4 2 2 6" xfId="6953" xr:uid="{B7E53243-FC17-4EB5-8E4F-A0DD7FEC7B68}"/>
    <cellStyle name="Normal 8 2 4 2 3" xfId="6954" xr:uid="{2996208F-A096-4F24-84C7-2E6C44C06382}"/>
    <cellStyle name="Normal 8 2 4 2 3 2" xfId="6955" xr:uid="{064BC1BC-CAEA-4A82-A112-0E7A6AF07054}"/>
    <cellStyle name="Normal 8 2 4 2 3 2 2" xfId="6956" xr:uid="{E9938EB0-1FCF-4EF2-85E0-CB5C71107070}"/>
    <cellStyle name="Normal 8 2 4 2 3 3" xfId="6957" xr:uid="{93493A56-2E8A-49B6-A6F1-866622069ECE}"/>
    <cellStyle name="Normal 8 2 4 2 4" xfId="6958" xr:uid="{9A75FE3C-5345-484F-A8BE-5198B1425CA8}"/>
    <cellStyle name="Normal 8 2 4 2 4 2" xfId="6959" xr:uid="{95960D76-D46F-4891-936D-07FF11C925AA}"/>
    <cellStyle name="Normal 8 2 4 2 4 2 2" xfId="6960" xr:uid="{048BFEB2-A8E4-40A7-8A67-1B2BDCDB6BAE}"/>
    <cellStyle name="Normal 8 2 4 2 4 3" xfId="6961" xr:uid="{C66D7ED9-FEE1-43A0-97EA-8E4F996914A1}"/>
    <cellStyle name="Normal 8 2 4 2 5" xfId="6962" xr:uid="{2F947D1D-F45A-4745-ACB8-E948DADA1352}"/>
    <cellStyle name="Normal 8 2 4 2 5 2" xfId="6963" xr:uid="{735424CC-23DE-4879-889B-9D1B0EA5D23D}"/>
    <cellStyle name="Normal 8 2 4 2 5 2 2" xfId="6964" xr:uid="{8CF590A0-3382-453F-8557-A1FCAF3B4ACF}"/>
    <cellStyle name="Normal 8 2 4 2 5 3" xfId="6965" xr:uid="{E9F3B56D-F069-46C2-99A0-53BB961C2BA6}"/>
    <cellStyle name="Normal 8 2 4 2 6" xfId="6966" xr:uid="{9AE3569E-C6F2-443E-8550-09CBF26E0BC0}"/>
    <cellStyle name="Normal 8 2 4 2 6 2" xfId="6967" xr:uid="{6401BAD2-00E2-47CD-9643-6871CFC0C221}"/>
    <cellStyle name="Normal 8 2 4 2 7" xfId="6968" xr:uid="{37F906AD-A608-4427-9278-8765DB2061C9}"/>
    <cellStyle name="Normal 8 2 4 3" xfId="6969" xr:uid="{E07FF04A-347E-4AE5-9049-C913CEDEE713}"/>
    <cellStyle name="Normal 8 2 4 3 2" xfId="6970" xr:uid="{4B723621-7478-4AC3-9996-599AD0171DA6}"/>
    <cellStyle name="Normal 8 2 4 3 2 2" xfId="6971" xr:uid="{64806070-2F5A-402D-8855-FC0D489F668F}"/>
    <cellStyle name="Normal 8 2 4 3 2 2 2" xfId="6972" xr:uid="{6C718A6C-72B6-4ED3-986B-BC05AF7B50AE}"/>
    <cellStyle name="Normal 8 2 4 3 2 3" xfId="6973" xr:uid="{147527A0-B10A-4F00-80A3-91F380DA0330}"/>
    <cellStyle name="Normal 8 2 4 3 3" xfId="6974" xr:uid="{1D065DF8-DA77-499C-82E6-1793D41D2F65}"/>
    <cellStyle name="Normal 8 2 4 3 3 2" xfId="6975" xr:uid="{31842BCE-EE5F-47B1-91E0-40174D528D75}"/>
    <cellStyle name="Normal 8 2 4 3 3 2 2" xfId="6976" xr:uid="{1EDC9AB9-9E03-4E2C-A598-C51FBB51F6E0}"/>
    <cellStyle name="Normal 8 2 4 3 3 3" xfId="6977" xr:uid="{D447712E-3D2C-4C36-8DCE-AA6845C83535}"/>
    <cellStyle name="Normal 8 2 4 3 4" xfId="6978" xr:uid="{7B799584-2A2D-4ED7-904D-E3A71D81C1C2}"/>
    <cellStyle name="Normal 8 2 4 3 4 2" xfId="6979" xr:uid="{3CD68E05-8A58-4C20-9A6C-F6CBE02D726C}"/>
    <cellStyle name="Normal 8 2 4 3 4 2 2" xfId="6980" xr:uid="{DDD51F96-E9BA-4131-90C9-7C1432062D61}"/>
    <cellStyle name="Normal 8 2 4 3 4 3" xfId="6981" xr:uid="{CD7FF672-5559-4018-B32A-284864D6DC2A}"/>
    <cellStyle name="Normal 8 2 4 3 5" xfId="6982" xr:uid="{D15FB612-BB8C-4AB5-8B6C-32287ACE4878}"/>
    <cellStyle name="Normal 8 2 4 3 5 2" xfId="6983" xr:uid="{CF9D550B-E7F4-4BE4-A0EF-B7D81AD259D6}"/>
    <cellStyle name="Normal 8 2 4 3 6" xfId="6984" xr:uid="{995B25C1-E70E-4A22-A585-0816F0D532BD}"/>
    <cellStyle name="Normal 8 2 4 4" xfId="6985" xr:uid="{7004CB2B-4907-42EE-BEE4-69AE0E7DC22D}"/>
    <cellStyle name="Normal 8 2 4 4 2" xfId="6986" xr:uid="{AB56FF42-9DBD-4454-875D-FD9AB132D332}"/>
    <cellStyle name="Normal 8 2 4 4 2 2" xfId="6987" xr:uid="{7454C377-CFBC-49A1-B394-BF184BFF5CC4}"/>
    <cellStyle name="Normal 8 2 4 4 3" xfId="6988" xr:uid="{56A5571C-F730-40A0-9DE5-C7AC9D46A9FA}"/>
    <cellStyle name="Normal 8 2 4 5" xfId="6989" xr:uid="{AF8D1054-CD1E-4EA4-81C2-EE59E30BA3E1}"/>
    <cellStyle name="Normal 8 2 4 5 2" xfId="6990" xr:uid="{46E6A377-0C94-4030-B1C2-1B873A79B2D4}"/>
    <cellStyle name="Normal 8 2 4 5 2 2" xfId="6991" xr:uid="{C4976332-73B3-4447-9CEF-AE1568F209C4}"/>
    <cellStyle name="Normal 8 2 4 5 3" xfId="6992" xr:uid="{83A17EF0-87EE-4EEF-B8BA-E44952F29FC5}"/>
    <cellStyle name="Normal 8 2 4 6" xfId="6993" xr:uid="{998D73C3-BD48-4861-9069-F090F8B3B365}"/>
    <cellStyle name="Normal 8 2 4 6 2" xfId="6994" xr:uid="{1FB237F4-E52F-479F-A743-30F2014C2C31}"/>
    <cellStyle name="Normal 8 2 4 6 2 2" xfId="6995" xr:uid="{A11F5B4D-AE6A-48D4-8A56-58E828BFBDC4}"/>
    <cellStyle name="Normal 8 2 4 6 3" xfId="6996" xr:uid="{F6732731-D762-408F-8AA1-0094B7A4404D}"/>
    <cellStyle name="Normal 8 2 4 7" xfId="6997" xr:uid="{A550A4BE-B11B-4E4A-9E68-F5BD99CAB764}"/>
    <cellStyle name="Normal 8 2 4 7 2" xfId="6998" xr:uid="{A6A36872-17B3-4DFC-8772-04F64869C976}"/>
    <cellStyle name="Normal 8 2 4 8" xfId="6999" xr:uid="{BD7F2A42-F9F6-4ADE-BECF-B3852FA62F69}"/>
    <cellStyle name="Normal 8 2 5" xfId="7000" xr:uid="{391684C1-F734-481E-B89D-94A6236F1796}"/>
    <cellStyle name="Normal 8 2 5 2" xfId="7001" xr:uid="{EA1071B6-1BD9-447E-9582-7BEA19DC7901}"/>
    <cellStyle name="Normal 8 2 5 2 2" xfId="7002" xr:uid="{C0FBD055-6128-4A8A-89CC-B76B496AA793}"/>
    <cellStyle name="Normal 8 2 5 2 2 2" xfId="7003" xr:uid="{A5620D27-CEC2-40EB-8436-353E8B6110A4}"/>
    <cellStyle name="Normal 8 2 5 2 2 2 2" xfId="7004" xr:uid="{55A7849B-A5D9-4F62-B238-A7CD54229F27}"/>
    <cellStyle name="Normal 8 2 5 2 2 3" xfId="7005" xr:uid="{E1B6D7AB-2125-4150-9C5D-E4617696D161}"/>
    <cellStyle name="Normal 8 2 5 2 3" xfId="7006" xr:uid="{9B70C24D-37E9-45AA-A07C-8CE142FBB5DB}"/>
    <cellStyle name="Normal 8 2 5 2 3 2" xfId="7007" xr:uid="{549D7792-6DE3-4F94-92AD-A43C73453D41}"/>
    <cellStyle name="Normal 8 2 5 2 3 2 2" xfId="7008" xr:uid="{D97C5CBF-098C-404F-A3C3-BB96F508CA90}"/>
    <cellStyle name="Normal 8 2 5 2 3 3" xfId="7009" xr:uid="{CB68A866-DE12-4232-AC29-30A672FE94A2}"/>
    <cellStyle name="Normal 8 2 5 2 4" xfId="7010" xr:uid="{881C5996-CB5E-4DA6-B5AC-771060FF5A63}"/>
    <cellStyle name="Normal 8 2 5 2 4 2" xfId="7011" xr:uid="{D0D7FE92-37BA-45E0-824D-F9E2A63F2522}"/>
    <cellStyle name="Normal 8 2 5 2 4 2 2" xfId="7012" xr:uid="{F8A0F607-E837-48D9-BA56-B4C724E21AED}"/>
    <cellStyle name="Normal 8 2 5 2 4 3" xfId="7013" xr:uid="{A674FD22-14A8-41EC-B28D-05A6A9B02055}"/>
    <cellStyle name="Normal 8 2 5 2 5" xfId="7014" xr:uid="{2682D8A9-9344-46B0-85B9-38AB791F0628}"/>
    <cellStyle name="Normal 8 2 5 2 5 2" xfId="7015" xr:uid="{921B904B-9C8E-4706-873F-EFE52A257A8E}"/>
    <cellStyle name="Normal 8 2 5 2 6" xfId="7016" xr:uid="{81D4E489-2785-4733-8319-AE9902DD7BA9}"/>
    <cellStyle name="Normal 8 2 5 3" xfId="7017" xr:uid="{169D8500-1802-4F8E-ABED-48D356D893CA}"/>
    <cellStyle name="Normal 8 2 5 3 2" xfId="7018" xr:uid="{E774B81A-A67B-4AD3-B0C4-A8FBEF0F37A2}"/>
    <cellStyle name="Normal 8 2 5 3 2 2" xfId="7019" xr:uid="{CC571B17-D99E-4BB4-BB59-8A7C7B9C7B99}"/>
    <cellStyle name="Normal 8 2 5 3 3" xfId="7020" xr:uid="{BA99E4C8-AC9C-4128-8B93-2170FB54112F}"/>
    <cellStyle name="Normal 8 2 5 4" xfId="7021" xr:uid="{F3472092-D10E-4493-A4AD-32CCCED66333}"/>
    <cellStyle name="Normal 8 2 5 4 2" xfId="7022" xr:uid="{32856DE6-7F92-4BFF-8C5E-02E324571DB3}"/>
    <cellStyle name="Normal 8 2 5 4 2 2" xfId="7023" xr:uid="{19AD73FB-1BCA-456A-9CA4-938B0E1C52BD}"/>
    <cellStyle name="Normal 8 2 5 4 3" xfId="7024" xr:uid="{2B1A4B46-2060-4ADB-B11A-B59FDE6CF877}"/>
    <cellStyle name="Normal 8 2 5 5" xfId="7025" xr:uid="{85BF689F-3D32-49F7-A612-6107857EA8B3}"/>
    <cellStyle name="Normal 8 2 5 5 2" xfId="7026" xr:uid="{5E0BAE65-0461-4786-8970-EC804FBA101C}"/>
    <cellStyle name="Normal 8 2 5 5 2 2" xfId="7027" xr:uid="{249F5CFA-9E29-4514-82F6-CBD95E8B69A9}"/>
    <cellStyle name="Normal 8 2 5 5 3" xfId="7028" xr:uid="{1A2D53C6-72BA-4F2B-ADD1-E5A193FEED57}"/>
    <cellStyle name="Normal 8 2 5 6" xfId="7029" xr:uid="{A680A7C5-D467-49DC-A02B-2D09A180EC1B}"/>
    <cellStyle name="Normal 8 2 5 6 2" xfId="7030" xr:uid="{0102D445-9DDC-47D9-821F-1F9EC6343B10}"/>
    <cellStyle name="Normal 8 2 5 7" xfId="7031" xr:uid="{5DEED5D8-62E1-484A-A82E-FA4F64C817AC}"/>
    <cellStyle name="Normal 8 2 6" xfId="7032" xr:uid="{3360DFFE-4C1C-4109-9A4B-673A5F185923}"/>
    <cellStyle name="Normal 8 2 6 2" xfId="7033" xr:uid="{DB5939C8-75F4-44A5-A9E6-7984E854CA89}"/>
    <cellStyle name="Normal 8 2 6 2 2" xfId="7034" xr:uid="{9E11F690-D803-48C9-9937-A06D5D35D075}"/>
    <cellStyle name="Normal 8 2 6 2 2 2" xfId="7035" xr:uid="{017B8062-2E38-4BC9-909F-AF9BAFF177FA}"/>
    <cellStyle name="Normal 8 2 6 2 3" xfId="7036" xr:uid="{3157C5DE-E117-431A-8461-83DFA81B6A2D}"/>
    <cellStyle name="Normal 8 2 6 3" xfId="7037" xr:uid="{868839ED-319C-4AB7-BA3A-5C09DB4C700F}"/>
    <cellStyle name="Normal 8 2 6 3 2" xfId="7038" xr:uid="{48B1EC71-31C6-41C1-A77A-15C8E11F6763}"/>
    <cellStyle name="Normal 8 2 6 3 2 2" xfId="7039" xr:uid="{3E4F7491-4F8B-478F-96FD-84512901C31E}"/>
    <cellStyle name="Normal 8 2 6 3 3" xfId="7040" xr:uid="{E2571251-099B-4898-8A1D-B1DAC6CA1C2E}"/>
    <cellStyle name="Normal 8 2 6 4" xfId="7041" xr:uid="{98C795A6-88CF-425F-A70F-0D5B358FDA20}"/>
    <cellStyle name="Normal 8 2 6 4 2" xfId="7042" xr:uid="{7ED0239A-B536-48DB-AEF9-510D56878DB0}"/>
    <cellStyle name="Normal 8 2 6 4 2 2" xfId="7043" xr:uid="{AAC83B02-1586-4D42-BB35-E345E37BB808}"/>
    <cellStyle name="Normal 8 2 6 4 3" xfId="7044" xr:uid="{00EE754D-ABCF-41A5-9C7E-41A3B5B67EFE}"/>
    <cellStyle name="Normal 8 2 6 5" xfId="7045" xr:uid="{48C25531-5F23-4452-A027-98BE563C76E6}"/>
    <cellStyle name="Normal 8 2 6 5 2" xfId="7046" xr:uid="{276784BA-4354-4F5D-80EF-9F86C7AFCC6E}"/>
    <cellStyle name="Normal 8 2 6 6" xfId="7047" xr:uid="{223F847F-5099-4404-8F11-32DB52532E3C}"/>
    <cellStyle name="Normal 8 2 7" xfId="7048" xr:uid="{D69AB05C-59BA-4698-BEEA-A0364D703C54}"/>
    <cellStyle name="Normal 8 2 7 2" xfId="7049" xr:uid="{0F4AD5FF-41A0-4377-9BB4-87D2A37FE255}"/>
    <cellStyle name="Normal 8 2 7 2 2" xfId="7050" xr:uid="{E6B09B7F-30D8-47B0-9FFD-FD0CAA15A0E5}"/>
    <cellStyle name="Normal 8 2 7 3" xfId="7051" xr:uid="{D15A75C4-B66D-4C6A-B4AC-9E4367E414FC}"/>
    <cellStyle name="Normal 8 2 8" xfId="7052" xr:uid="{28343659-D057-42F3-9F9E-779AEDEF57EC}"/>
    <cellStyle name="Normal 8 2 8 2" xfId="7053" xr:uid="{4CDBD0CF-2E4C-4EB2-B153-8F73F03656F4}"/>
    <cellStyle name="Normal 8 2 8 2 2" xfId="7054" xr:uid="{FE33F71B-7362-4557-9CB8-902C862DB541}"/>
    <cellStyle name="Normal 8 2 8 3" xfId="7055" xr:uid="{720B8C44-6A14-45F9-95DA-C578BB119388}"/>
    <cellStyle name="Normal 8 2 9" xfId="7056" xr:uid="{E0E6F25E-D092-4551-8A8E-A2D99EE2CD5F}"/>
    <cellStyle name="Normal 8 2 9 2" xfId="7057" xr:uid="{B61CF0A5-4185-438C-B2E7-94EE22BBC9B0}"/>
    <cellStyle name="Normal 8 2 9 2 2" xfId="7058" xr:uid="{04FA8EF0-12A2-497F-8E4D-1F6120B882C2}"/>
    <cellStyle name="Normal 8 2 9 3" xfId="7059" xr:uid="{1203F247-01DA-4258-8183-CDF33AFFBFDD}"/>
    <cellStyle name="Normal 8 3" xfId="7060" xr:uid="{09A88927-AE0E-4FB3-B21C-9E805B9DB977}"/>
    <cellStyle name="Normal 8 3 10" xfId="7061" xr:uid="{7A1CCD06-EC93-47E2-80E2-689114DB3DAC}"/>
    <cellStyle name="Normal 8 3 10 2" xfId="7062" xr:uid="{0AE4D774-5BBA-4137-95EA-E157EF0A10CB}"/>
    <cellStyle name="Normal 8 3 11" xfId="7063" xr:uid="{1F866CBB-D3BB-47F9-8F6F-AE64C92A16CE}"/>
    <cellStyle name="Normal 8 3 2" xfId="7064" xr:uid="{F290E845-CF85-4F70-8A98-702DC88B3867}"/>
    <cellStyle name="Normal 8 3 2 2" xfId="7065" xr:uid="{EE0E2B1F-81B6-44DD-9136-9AFB2F9AD88A}"/>
    <cellStyle name="Normal 8 3 2 2 2" xfId="7066" xr:uid="{050FEA31-6E67-42EF-B965-9E0C4C81A497}"/>
    <cellStyle name="Normal 8 3 2 2 2 2" xfId="7067" xr:uid="{491FBD6A-A5E6-413A-B014-A99720D59B33}"/>
    <cellStyle name="Normal 8 3 2 2 2 2 2" xfId="7068" xr:uid="{4CC7AF05-5B86-4D0C-A1B5-192711EAC77D}"/>
    <cellStyle name="Normal 8 3 2 2 2 2 2 2" xfId="7069" xr:uid="{429A5537-BE79-4C97-8C73-6C3A072C5E2D}"/>
    <cellStyle name="Normal 8 3 2 2 2 2 3" xfId="7070" xr:uid="{60510124-003B-4293-AA26-74AAC8C88F11}"/>
    <cellStyle name="Normal 8 3 2 2 2 3" xfId="7071" xr:uid="{EA7E6774-1610-4EF3-8465-7F13CFA83786}"/>
    <cellStyle name="Normal 8 3 2 2 2 3 2" xfId="7072" xr:uid="{898E36F5-7C49-4946-A27E-E6D6CC66D294}"/>
    <cellStyle name="Normal 8 3 2 2 2 3 2 2" xfId="7073" xr:uid="{02C8D81A-5CA0-4C35-9220-562A92099F95}"/>
    <cellStyle name="Normal 8 3 2 2 2 3 3" xfId="7074" xr:uid="{4D6A1DA2-7C1F-44B8-A37E-D70C203F3D41}"/>
    <cellStyle name="Normal 8 3 2 2 2 4" xfId="7075" xr:uid="{AD4007E6-1B15-451F-831F-C9512DD64E3C}"/>
    <cellStyle name="Normal 8 3 2 2 2 4 2" xfId="7076" xr:uid="{BE0F5A2D-B8EC-453E-A0F6-56EB1BB29CA5}"/>
    <cellStyle name="Normal 8 3 2 2 2 4 2 2" xfId="7077" xr:uid="{D8EEFFF7-9D14-48A4-8669-BA4A55F50C88}"/>
    <cellStyle name="Normal 8 3 2 2 2 4 3" xfId="7078" xr:uid="{920C5335-3D1F-4AC6-A570-1A65CAE5C9DA}"/>
    <cellStyle name="Normal 8 3 2 2 2 5" xfId="7079" xr:uid="{C7871502-E6AD-4A87-BEFD-B24FC63A3B48}"/>
    <cellStyle name="Normal 8 3 2 2 2 5 2" xfId="7080" xr:uid="{900561E9-1198-4D92-A802-0FF541009C08}"/>
    <cellStyle name="Normal 8 3 2 2 2 6" xfId="7081" xr:uid="{5F9680FB-263B-480F-9035-DF46A9E90960}"/>
    <cellStyle name="Normal 8 3 2 2 3" xfId="7082" xr:uid="{CB1E1B80-E607-420A-98C2-2456CF26BE77}"/>
    <cellStyle name="Normal 8 3 2 2 3 2" xfId="7083" xr:uid="{C2D113EA-E9F8-4C91-80B2-42CD6729FD14}"/>
    <cellStyle name="Normal 8 3 2 2 3 2 2" xfId="7084" xr:uid="{0D6F491F-EA3A-4EB7-ACB2-4811141BA81A}"/>
    <cellStyle name="Normal 8 3 2 2 3 3" xfId="7085" xr:uid="{B9682EB5-ABAF-4FDD-8239-3F89684DB6A8}"/>
    <cellStyle name="Normal 8 3 2 2 4" xfId="7086" xr:uid="{DBAED917-59E0-477C-99AA-51488D9D582A}"/>
    <cellStyle name="Normal 8 3 2 2 4 2" xfId="7087" xr:uid="{BD547ED6-483C-41A4-B807-BD8193E62511}"/>
    <cellStyle name="Normal 8 3 2 2 4 2 2" xfId="7088" xr:uid="{7DDA3035-C9E7-40FD-8D3B-A79F99EE0631}"/>
    <cellStyle name="Normal 8 3 2 2 4 3" xfId="7089" xr:uid="{1671F644-7757-47A4-91E9-FE3126F76A4E}"/>
    <cellStyle name="Normal 8 3 2 2 5" xfId="7090" xr:uid="{FCB2C7CA-9612-4ACD-8543-BA868B534321}"/>
    <cellStyle name="Normal 8 3 2 2 5 2" xfId="7091" xr:uid="{A7EBB546-7C2F-446E-ACD1-8C3340044E5A}"/>
    <cellStyle name="Normal 8 3 2 2 5 2 2" xfId="7092" xr:uid="{0782AB36-B7F1-4E49-9E5C-CEB6C34FF41B}"/>
    <cellStyle name="Normal 8 3 2 2 5 3" xfId="7093" xr:uid="{C67F6587-C61A-41FC-A1EE-5A1F2FE621F6}"/>
    <cellStyle name="Normal 8 3 2 2 6" xfId="7094" xr:uid="{F2B7FAFB-1DA1-48A4-A12C-FD4EF616A050}"/>
    <cellStyle name="Normal 8 3 2 2 6 2" xfId="7095" xr:uid="{4F3BF116-48E0-4F29-83B9-7C89617374BF}"/>
    <cellStyle name="Normal 8 3 2 2 7" xfId="7096" xr:uid="{3409D8AC-38EC-4B7C-8CE4-FC3898949003}"/>
    <cellStyle name="Normal 8 3 2 3" xfId="7097" xr:uid="{038AD264-D083-4FB8-8A8C-54033CA977F2}"/>
    <cellStyle name="Normal 8 3 2 3 2" xfId="7098" xr:uid="{E71AD925-D52B-44F5-BACA-2D3028C0D765}"/>
    <cellStyle name="Normal 8 3 2 3 2 2" xfId="7099" xr:uid="{778019CF-28AA-4CAB-A4FC-73439EA121A6}"/>
    <cellStyle name="Normal 8 3 2 3 2 2 2" xfId="7100" xr:uid="{52E57230-AAC4-4259-8569-61352B2DC1AB}"/>
    <cellStyle name="Normal 8 3 2 3 2 3" xfId="7101" xr:uid="{0614B224-DB08-407F-A0B8-BD7DAC1FC681}"/>
    <cellStyle name="Normal 8 3 2 3 3" xfId="7102" xr:uid="{C33F882C-AC08-4E9C-AD3B-1A1F0ACD4EA4}"/>
    <cellStyle name="Normal 8 3 2 3 3 2" xfId="7103" xr:uid="{FA588F70-7977-4B13-B70A-1889200808D7}"/>
    <cellStyle name="Normal 8 3 2 3 3 2 2" xfId="7104" xr:uid="{5F1044A3-AEF9-4755-9FDD-59F2EB1BACB9}"/>
    <cellStyle name="Normal 8 3 2 3 3 3" xfId="7105" xr:uid="{F1F910D5-81AC-4D9B-A170-54EAB6019B6B}"/>
    <cellStyle name="Normal 8 3 2 3 4" xfId="7106" xr:uid="{7701CA3C-B9AA-4BAD-B41E-316A82CB2AB1}"/>
    <cellStyle name="Normal 8 3 2 3 4 2" xfId="7107" xr:uid="{67C396A5-19A6-4E65-92BE-5EFB74323A20}"/>
    <cellStyle name="Normal 8 3 2 3 4 2 2" xfId="7108" xr:uid="{E75D7098-3EDF-4F79-8BB8-69795EFC93E1}"/>
    <cellStyle name="Normal 8 3 2 3 4 3" xfId="7109" xr:uid="{F7835C70-EAF8-4967-A8BB-90B63BDCC660}"/>
    <cellStyle name="Normal 8 3 2 3 5" xfId="7110" xr:uid="{B0E3B904-ECFE-4C1B-ACFA-9B9F56750B8A}"/>
    <cellStyle name="Normal 8 3 2 3 5 2" xfId="7111" xr:uid="{90C24B31-06CD-42EC-829D-D4DCED25B689}"/>
    <cellStyle name="Normal 8 3 2 3 6" xfId="7112" xr:uid="{D8097AAB-7BE1-48BD-B82E-5B29C49447A3}"/>
    <cellStyle name="Normal 8 3 2 4" xfId="7113" xr:uid="{CB072545-4205-4F2C-8994-0C48AD5404AF}"/>
    <cellStyle name="Normal 8 3 2 4 2" xfId="7114" xr:uid="{4322C986-4C22-4A2E-8FF4-8D2056F9037B}"/>
    <cellStyle name="Normal 8 3 2 4 2 2" xfId="7115" xr:uid="{DF9FC845-18EE-48CE-B76D-A1CBF8ECDF18}"/>
    <cellStyle name="Normal 8 3 2 4 3" xfId="7116" xr:uid="{BF5AED94-4214-4546-915A-8EDB8BE67999}"/>
    <cellStyle name="Normal 8 3 2 5" xfId="7117" xr:uid="{7C611D6F-DFE1-4BF8-BE7D-C73EBE9D858E}"/>
    <cellStyle name="Normal 8 3 2 5 2" xfId="7118" xr:uid="{B5877569-926F-4954-852F-F19049C28996}"/>
    <cellStyle name="Normal 8 3 2 5 2 2" xfId="7119" xr:uid="{019FF4AB-636F-4480-8949-A1EA6723DDCC}"/>
    <cellStyle name="Normal 8 3 2 5 3" xfId="7120" xr:uid="{BD4817F8-4681-49C8-95FC-5B7539EB61E5}"/>
    <cellStyle name="Normal 8 3 2 6" xfId="7121" xr:uid="{807BCB9A-EF63-478F-A5FD-FAC48DF5426B}"/>
    <cellStyle name="Normal 8 3 2 6 2" xfId="7122" xr:uid="{65B9D4DD-DDC2-460A-B630-26F92CA5677C}"/>
    <cellStyle name="Normal 8 3 2 6 2 2" xfId="7123" xr:uid="{0334B0BD-DD13-476B-B0CB-D61623D2DC45}"/>
    <cellStyle name="Normal 8 3 2 6 3" xfId="7124" xr:uid="{DF60ECF7-B635-481A-BE3C-04FAC70A8912}"/>
    <cellStyle name="Normal 8 3 2 7" xfId="7125" xr:uid="{9F0ED557-3C6A-4851-AC56-427D8E109CDB}"/>
    <cellStyle name="Normal 8 3 2 7 2" xfId="7126" xr:uid="{9004D7A8-0110-4CF5-8FCA-BCFEB64DAEDE}"/>
    <cellStyle name="Normal 8 3 2 8" xfId="7127" xr:uid="{2A9F8D98-8D54-418C-A878-9BED75D79402}"/>
    <cellStyle name="Normal 8 3 3" xfId="7128" xr:uid="{7B8BE3E8-B5C0-4F32-973F-B530EAAC0218}"/>
    <cellStyle name="Normal 8 3 3 2" xfId="7129" xr:uid="{1400BF97-9AA7-4C10-8A2D-ABF88EC98399}"/>
    <cellStyle name="Normal 8 3 3 2 2" xfId="7130" xr:uid="{37513198-425D-4C41-A724-354DA6440A51}"/>
    <cellStyle name="Normal 8 3 3 2 2 2" xfId="7131" xr:uid="{5BF0C737-AA4B-45EE-B8B7-D7555DD15434}"/>
    <cellStyle name="Normal 8 3 3 2 2 2 2" xfId="7132" xr:uid="{6A8E3205-CA84-487F-B18B-1850670B1EAA}"/>
    <cellStyle name="Normal 8 3 3 2 2 2 2 2" xfId="7133" xr:uid="{357EE378-1556-4492-8CE6-04D28A3FE436}"/>
    <cellStyle name="Normal 8 3 3 2 2 2 3" xfId="7134" xr:uid="{E4445F9D-EE36-4057-91AE-CDC0A89F1922}"/>
    <cellStyle name="Normal 8 3 3 2 2 3" xfId="7135" xr:uid="{9796048E-41BF-47FB-BADF-5BE699986CB2}"/>
    <cellStyle name="Normal 8 3 3 2 2 3 2" xfId="7136" xr:uid="{A4531A8B-4D59-46F7-8D75-90D9977AE232}"/>
    <cellStyle name="Normal 8 3 3 2 2 3 2 2" xfId="7137" xr:uid="{C255B696-7274-44B0-BBD7-DA9346BC019B}"/>
    <cellStyle name="Normal 8 3 3 2 2 3 3" xfId="7138" xr:uid="{FEEED85E-0E14-4FAD-B63F-CCD2E9799B63}"/>
    <cellStyle name="Normal 8 3 3 2 2 4" xfId="7139" xr:uid="{01063D99-A79F-4D04-90F9-9CCC7B4CC82D}"/>
    <cellStyle name="Normal 8 3 3 2 2 4 2" xfId="7140" xr:uid="{3ED791E5-C7CB-4153-B7EC-C715A2BC5E67}"/>
    <cellStyle name="Normal 8 3 3 2 2 4 2 2" xfId="7141" xr:uid="{3498C429-DDEF-4F30-96F5-FE25428CFF3F}"/>
    <cellStyle name="Normal 8 3 3 2 2 4 3" xfId="7142" xr:uid="{763E8775-F7BE-4757-BF66-DBC608C252B5}"/>
    <cellStyle name="Normal 8 3 3 2 2 5" xfId="7143" xr:uid="{26BE0149-07B0-43EA-9F52-7CD770BD1EB7}"/>
    <cellStyle name="Normal 8 3 3 2 2 5 2" xfId="7144" xr:uid="{B8DCB538-E004-48E6-83AC-A3DEC4B38E6D}"/>
    <cellStyle name="Normal 8 3 3 2 2 6" xfId="7145" xr:uid="{AF4BD04C-833E-455C-A6E8-EF2C088270D3}"/>
    <cellStyle name="Normal 8 3 3 2 3" xfId="7146" xr:uid="{E5F4574E-DEBE-405F-B805-949FF56761D4}"/>
    <cellStyle name="Normal 8 3 3 2 3 2" xfId="7147" xr:uid="{FB5394E1-AA72-48C8-BBDA-667C11560DBF}"/>
    <cellStyle name="Normal 8 3 3 2 3 2 2" xfId="7148" xr:uid="{10C22A37-D8AF-4485-BBCC-D15915847366}"/>
    <cellStyle name="Normal 8 3 3 2 3 3" xfId="7149" xr:uid="{2FDE7B53-36C1-489A-BEA8-C0EC2AD18141}"/>
    <cellStyle name="Normal 8 3 3 2 4" xfId="7150" xr:uid="{66159C81-C31E-43E9-B36C-62054D9A982A}"/>
    <cellStyle name="Normal 8 3 3 2 4 2" xfId="7151" xr:uid="{8398A2EF-3A64-4E98-8C82-0264D99BD5E4}"/>
    <cellStyle name="Normal 8 3 3 2 4 2 2" xfId="7152" xr:uid="{77C726D9-6182-4447-8EC9-7CE63BC48D4E}"/>
    <cellStyle name="Normal 8 3 3 2 4 3" xfId="7153" xr:uid="{3D4CBB18-3770-4E29-98ED-2211D1F429CE}"/>
    <cellStyle name="Normal 8 3 3 2 5" xfId="7154" xr:uid="{415C5E15-6D5E-434E-9BFC-CEDEDE7B6D8A}"/>
    <cellStyle name="Normal 8 3 3 2 5 2" xfId="7155" xr:uid="{D17C7D23-40A3-4CFC-89A0-8A481F66625A}"/>
    <cellStyle name="Normal 8 3 3 2 5 2 2" xfId="7156" xr:uid="{2C997BEF-B42B-4FA5-AC7E-29E4887F97E6}"/>
    <cellStyle name="Normal 8 3 3 2 5 3" xfId="7157" xr:uid="{EF9B9020-6171-4805-BD18-DD19D2B05BAF}"/>
    <cellStyle name="Normal 8 3 3 2 6" xfId="7158" xr:uid="{3D6CE6F3-2FAF-4EA5-AA20-D627448D3D65}"/>
    <cellStyle name="Normal 8 3 3 2 6 2" xfId="7159" xr:uid="{E6A21206-80D5-45CD-8F8A-BFBD8FAAD14D}"/>
    <cellStyle name="Normal 8 3 3 2 7" xfId="7160" xr:uid="{EC06B297-1260-4FA6-B0F0-C1365ADBCA7F}"/>
    <cellStyle name="Normal 8 3 3 3" xfId="7161" xr:uid="{520CC9EA-13FE-4AA4-ADBE-E522DF63E488}"/>
    <cellStyle name="Normal 8 3 3 3 2" xfId="7162" xr:uid="{4EA677C2-33D5-45D5-A2BD-ACACEE797804}"/>
    <cellStyle name="Normal 8 3 3 3 2 2" xfId="7163" xr:uid="{89F152A7-3B4D-4C19-932F-80B4126D0C06}"/>
    <cellStyle name="Normal 8 3 3 3 2 2 2" xfId="7164" xr:uid="{506D712A-6433-47CE-B3D2-50AFFD1C8EF5}"/>
    <cellStyle name="Normal 8 3 3 3 2 3" xfId="7165" xr:uid="{7D980D3E-E58E-4165-A3C7-1E177B6E06DC}"/>
    <cellStyle name="Normal 8 3 3 3 3" xfId="7166" xr:uid="{D0D58F72-EF78-4034-8BFA-E3BF71DCCF8C}"/>
    <cellStyle name="Normal 8 3 3 3 3 2" xfId="7167" xr:uid="{455C4380-E517-4B27-A41C-4F806AC299C8}"/>
    <cellStyle name="Normal 8 3 3 3 3 2 2" xfId="7168" xr:uid="{8DB9F02B-2297-4837-8DE3-B6619A169D65}"/>
    <cellStyle name="Normal 8 3 3 3 3 3" xfId="7169" xr:uid="{E8842EFA-BEE6-4E8F-BC23-4E6E82F4DCF6}"/>
    <cellStyle name="Normal 8 3 3 3 4" xfId="7170" xr:uid="{784DE9D0-1910-4F73-9B03-4785BEF483FC}"/>
    <cellStyle name="Normal 8 3 3 3 4 2" xfId="7171" xr:uid="{35F991B0-C1C7-4EC5-AC8C-5EDB92E78614}"/>
    <cellStyle name="Normal 8 3 3 3 4 2 2" xfId="7172" xr:uid="{5D1B5935-9B92-470B-8D56-C412B753C4B6}"/>
    <cellStyle name="Normal 8 3 3 3 4 3" xfId="7173" xr:uid="{3A39329A-A883-4A61-8B64-08846B58A8E6}"/>
    <cellStyle name="Normal 8 3 3 3 5" xfId="7174" xr:uid="{5EB1F058-1092-4124-8EA7-64F613FF6E36}"/>
    <cellStyle name="Normal 8 3 3 3 5 2" xfId="7175" xr:uid="{2FC2C0B6-A164-4DB2-B53B-BD6E2BCFCF28}"/>
    <cellStyle name="Normal 8 3 3 3 6" xfId="7176" xr:uid="{95368D89-4FE5-4D50-BC46-AC01381E4518}"/>
    <cellStyle name="Normal 8 3 3 4" xfId="7177" xr:uid="{F2472099-B129-499C-9118-63842136BFB0}"/>
    <cellStyle name="Normal 8 3 3 4 2" xfId="7178" xr:uid="{70A4A889-492D-4A03-814E-36A7423AF5D2}"/>
    <cellStyle name="Normal 8 3 3 4 2 2" xfId="7179" xr:uid="{B21547ED-A7E4-4887-95FD-4C7D18694867}"/>
    <cellStyle name="Normal 8 3 3 4 3" xfId="7180" xr:uid="{31697431-1489-4D64-894E-7983B994A876}"/>
    <cellStyle name="Normal 8 3 3 5" xfId="7181" xr:uid="{1271D3DE-AA86-4A0C-8ECC-252DCA470B63}"/>
    <cellStyle name="Normal 8 3 3 5 2" xfId="7182" xr:uid="{6FBF6333-2FF8-4524-AB8D-9B59A93BF42E}"/>
    <cellStyle name="Normal 8 3 3 5 2 2" xfId="7183" xr:uid="{63FA0C31-802A-460C-A48A-86B01C2A5341}"/>
    <cellStyle name="Normal 8 3 3 5 3" xfId="7184" xr:uid="{50E60307-94BF-4B18-8127-87267C100D81}"/>
    <cellStyle name="Normal 8 3 3 6" xfId="7185" xr:uid="{75F52CA3-2724-4140-8970-AF82D8901C6B}"/>
    <cellStyle name="Normal 8 3 3 6 2" xfId="7186" xr:uid="{36F4C042-FF04-43D0-B55A-498A5EA096EB}"/>
    <cellStyle name="Normal 8 3 3 6 2 2" xfId="7187" xr:uid="{D717BB38-0CD5-44CA-8C57-1370DABF36BA}"/>
    <cellStyle name="Normal 8 3 3 6 3" xfId="7188" xr:uid="{1182DDCC-865B-439C-9441-63A2AE105E2D}"/>
    <cellStyle name="Normal 8 3 3 7" xfId="7189" xr:uid="{2EA7D8AA-D4C7-45A8-B413-2CD9BD1A94A6}"/>
    <cellStyle name="Normal 8 3 3 7 2" xfId="7190" xr:uid="{B5F3D78F-B647-479A-829F-7D6E50E36420}"/>
    <cellStyle name="Normal 8 3 3 8" xfId="7191" xr:uid="{B6448618-B889-4981-AF08-D5F4A40F642A}"/>
    <cellStyle name="Normal 8 3 4" xfId="7192" xr:uid="{7BCA9731-CD29-4C0D-AEC9-0A02CFC0B018}"/>
    <cellStyle name="Normal 8 3 4 2" xfId="7193" xr:uid="{B8A4C4E4-B93F-4E68-82EE-4BC11FEF10EE}"/>
    <cellStyle name="Normal 8 3 4 2 2" xfId="7194" xr:uid="{8ACB1549-4599-485C-9B94-358A3EFD1FF9}"/>
    <cellStyle name="Normal 8 3 4 2 2 2" xfId="7195" xr:uid="{C2BC8F25-9F48-4EBB-83BA-A788E5786643}"/>
    <cellStyle name="Normal 8 3 4 2 2 2 2" xfId="7196" xr:uid="{0308926A-4461-40D5-8587-31BF602B8E43}"/>
    <cellStyle name="Normal 8 3 4 2 2 3" xfId="7197" xr:uid="{5C484E89-4D47-4A90-8305-ECB56D96F0F2}"/>
    <cellStyle name="Normal 8 3 4 2 3" xfId="7198" xr:uid="{C986AA77-937D-4F93-9498-CA324B6EB37A}"/>
    <cellStyle name="Normal 8 3 4 2 3 2" xfId="7199" xr:uid="{44EEEB4D-F8AB-4875-BDCF-D3078B46ABB3}"/>
    <cellStyle name="Normal 8 3 4 2 3 2 2" xfId="7200" xr:uid="{A017E77A-0F3E-4203-A279-0D80264F4CF6}"/>
    <cellStyle name="Normal 8 3 4 2 3 3" xfId="7201" xr:uid="{2E3CED40-ACFA-4C50-BC4A-ADEF883B3E0F}"/>
    <cellStyle name="Normal 8 3 4 2 4" xfId="7202" xr:uid="{E623E6BB-3888-4FA6-9202-13A23C613267}"/>
    <cellStyle name="Normal 8 3 4 2 4 2" xfId="7203" xr:uid="{41A0A886-F0DA-42BC-BA06-662EAB84B285}"/>
    <cellStyle name="Normal 8 3 4 2 4 2 2" xfId="7204" xr:uid="{30DA4226-219D-4092-A66D-032E7A59A437}"/>
    <cellStyle name="Normal 8 3 4 2 4 3" xfId="7205" xr:uid="{50CDF763-0146-49E9-AD26-9E240E2BA33E}"/>
    <cellStyle name="Normal 8 3 4 2 5" xfId="7206" xr:uid="{817223BD-0CC7-4646-86E0-AC79FF664554}"/>
    <cellStyle name="Normal 8 3 4 2 5 2" xfId="7207" xr:uid="{09624A07-FEFD-4474-BC7D-EB798F48ABD9}"/>
    <cellStyle name="Normal 8 3 4 2 6" xfId="7208" xr:uid="{80B6ADA1-C18A-4353-88B3-96AE71D767E0}"/>
    <cellStyle name="Normal 8 3 4 3" xfId="7209" xr:uid="{53FAB04A-8476-4144-A6D3-D9CDB33551B9}"/>
    <cellStyle name="Normal 8 3 4 3 2" xfId="7210" xr:uid="{19ECE78C-5789-4104-9FF5-E673FED6554C}"/>
    <cellStyle name="Normal 8 3 4 3 2 2" xfId="7211" xr:uid="{2C1EA2B0-EDF6-48AC-A938-DB49EF77116F}"/>
    <cellStyle name="Normal 8 3 4 3 3" xfId="7212" xr:uid="{031B88D7-5639-4D20-A335-A189680E6B74}"/>
    <cellStyle name="Normal 8 3 4 4" xfId="7213" xr:uid="{664DC7A0-98EC-4BEF-BEEA-4BFE288CD40C}"/>
    <cellStyle name="Normal 8 3 4 4 2" xfId="7214" xr:uid="{88937643-6D28-4221-BF3C-27F9ACBCC442}"/>
    <cellStyle name="Normal 8 3 4 4 2 2" xfId="7215" xr:uid="{7B3977D1-E811-4413-9979-AFE03DC997AA}"/>
    <cellStyle name="Normal 8 3 4 4 3" xfId="7216" xr:uid="{26E79B24-EAB4-4377-9F80-6322E3074DA8}"/>
    <cellStyle name="Normal 8 3 4 5" xfId="7217" xr:uid="{2DF15CFF-5B11-4D69-A014-735C6DF95010}"/>
    <cellStyle name="Normal 8 3 4 5 2" xfId="7218" xr:uid="{7942205B-7FC4-4792-A902-DAD9045B2EAD}"/>
    <cellStyle name="Normal 8 3 4 5 2 2" xfId="7219" xr:uid="{C84E649F-BFC1-4545-AD05-A37E85BB9A3A}"/>
    <cellStyle name="Normal 8 3 4 5 3" xfId="7220" xr:uid="{75E8A82F-3087-488B-A316-612F195C82CF}"/>
    <cellStyle name="Normal 8 3 4 6" xfId="7221" xr:uid="{727D268D-D94C-489D-943A-EB59C02FF8CF}"/>
    <cellStyle name="Normal 8 3 4 6 2" xfId="7222" xr:uid="{DF197DAC-DDBD-4E63-B565-0A713F423337}"/>
    <cellStyle name="Normal 8 3 4 7" xfId="7223" xr:uid="{B0023195-7F4C-492B-B4A9-6665BCBEC62B}"/>
    <cellStyle name="Normal 8 3 5" xfId="7224" xr:uid="{B418A8BB-8FF4-4861-8130-E9E72C44ACBC}"/>
    <cellStyle name="Normal 8 3 5 2" xfId="7225" xr:uid="{20B8B1B7-ADD7-43D5-AEA9-6B790E9E07A0}"/>
    <cellStyle name="Normal 8 3 5 2 2" xfId="7226" xr:uid="{3534C344-1638-4FFF-9042-26708BC54310}"/>
    <cellStyle name="Normal 8 3 5 2 2 2" xfId="7227" xr:uid="{8925B9B9-58A3-4100-80E7-55968B71F5C9}"/>
    <cellStyle name="Normal 8 3 5 2 3" xfId="7228" xr:uid="{CE622C5B-6664-49D8-A02D-5DE782E1C83F}"/>
    <cellStyle name="Normal 8 3 5 3" xfId="7229" xr:uid="{DB58E3D2-9D99-4C73-BFF1-E8E4B6482EAF}"/>
    <cellStyle name="Normal 8 3 5 3 2" xfId="7230" xr:uid="{BEB95F3E-C4F1-47B8-B01C-2097D0D81A66}"/>
    <cellStyle name="Normal 8 3 5 3 2 2" xfId="7231" xr:uid="{431555B6-8A2B-4A21-8E2F-281831BAB15F}"/>
    <cellStyle name="Normal 8 3 5 3 3" xfId="7232" xr:uid="{2D826505-5A2E-460E-B80F-B78F9A9EFFF3}"/>
    <cellStyle name="Normal 8 3 5 4" xfId="7233" xr:uid="{BAFF9E0C-8537-4AAE-85B6-FB521F46B3D2}"/>
    <cellStyle name="Normal 8 3 5 4 2" xfId="7234" xr:uid="{65A2DA0D-2930-43D8-8B00-5578B37DA761}"/>
    <cellStyle name="Normal 8 3 5 4 2 2" xfId="7235" xr:uid="{D928BBEF-8C50-49E3-954E-FD00DFBD4C76}"/>
    <cellStyle name="Normal 8 3 5 4 3" xfId="7236" xr:uid="{D5770733-83DD-4B71-BEBC-11D2872222F0}"/>
    <cellStyle name="Normal 8 3 5 5" xfId="7237" xr:uid="{AC474926-2EE5-488D-8735-44E9DA9AC563}"/>
    <cellStyle name="Normal 8 3 5 5 2" xfId="7238" xr:uid="{4A26D414-BE5A-43DE-BCD1-36C1FECC4AC2}"/>
    <cellStyle name="Normal 8 3 5 6" xfId="7239" xr:uid="{235C69DC-7836-4B05-8666-620FF9476378}"/>
    <cellStyle name="Normal 8 3 6" xfId="7240" xr:uid="{0C5236DC-4165-4E82-878D-31089FCEAD29}"/>
    <cellStyle name="Normal 8 3 6 2" xfId="7241" xr:uid="{B5054114-2778-464B-8234-3D6B60425597}"/>
    <cellStyle name="Normal 8 3 6 2 2" xfId="7242" xr:uid="{B4A1BEE3-C974-4F48-A0A7-42BBC1D9B76E}"/>
    <cellStyle name="Normal 8 3 6 3" xfId="7243" xr:uid="{830E1D84-E4FF-43EE-A971-FEDE5CC42959}"/>
    <cellStyle name="Normal 8 3 7" xfId="7244" xr:uid="{4511C59C-B860-4260-9FF3-D603C400675E}"/>
    <cellStyle name="Normal 8 3 7 2" xfId="7245" xr:uid="{BD597AC1-79D0-4060-8AAA-E1A6473237B4}"/>
    <cellStyle name="Normal 8 3 7 2 2" xfId="7246" xr:uid="{1648DD9B-2E45-47BA-8612-8466E84CA72E}"/>
    <cellStyle name="Normal 8 3 7 3" xfId="7247" xr:uid="{6F58B0A2-A76F-4539-8338-112454976DD1}"/>
    <cellStyle name="Normal 8 3 8" xfId="7248" xr:uid="{7608DD47-6158-4625-8A8C-DE5E2FF3B82D}"/>
    <cellStyle name="Normal 8 3 8 2" xfId="7249" xr:uid="{3EE699B5-9CCC-4405-AC83-978FA8159021}"/>
    <cellStyle name="Normal 8 3 8 2 2" xfId="7250" xr:uid="{C0A7B8EF-E920-454F-AA9C-0A13941817D1}"/>
    <cellStyle name="Normal 8 3 8 3" xfId="7251" xr:uid="{ACDD3F08-16E9-4C67-ACEE-095CAA8FAE4F}"/>
    <cellStyle name="Normal 8 3 9" xfId="7252" xr:uid="{EF61A382-8B9E-4A51-AAD3-965EF75F807A}"/>
    <cellStyle name="Normal 8 3 9 2" xfId="7253" xr:uid="{36E1DA93-68AF-42F6-BFF6-9D690F07F411}"/>
    <cellStyle name="Normal 8 3 9 2 2" xfId="7254" xr:uid="{1E4DB098-92DF-470E-A2E5-09A7EED839B1}"/>
    <cellStyle name="Normal 8 3 9 3" xfId="7255" xr:uid="{79147691-F406-4CB0-AAB9-3379D5CF8DE5}"/>
    <cellStyle name="Normal 8 4" xfId="7256" xr:uid="{C9477BFC-7FAA-4F99-BCF1-834A8399A6B0}"/>
    <cellStyle name="Normal 8 4 2" xfId="7257" xr:uid="{76324C21-BA6F-482B-8AC5-3BF70A5C0C0A}"/>
    <cellStyle name="Normal 8 4 2 2" xfId="7258" xr:uid="{6E1EC9CF-DF6D-45A8-9D61-7040F7AF523F}"/>
    <cellStyle name="Normal 8 4 2 2 2" xfId="7259" xr:uid="{FF07B09A-E846-4C88-9E2F-827B0F696DD6}"/>
    <cellStyle name="Normal 8 4 2 2 2 2" xfId="7260" xr:uid="{D8A70E00-1A12-41F5-9335-08F5524FA6FF}"/>
    <cellStyle name="Normal 8 4 2 2 2 2 2" xfId="7261" xr:uid="{FC253AF7-9548-49EB-86BC-30F8D7144741}"/>
    <cellStyle name="Normal 8 4 2 2 2 3" xfId="7262" xr:uid="{4576E813-CCB8-472F-8545-04E11A03E690}"/>
    <cellStyle name="Normal 8 4 2 2 3" xfId="7263" xr:uid="{D661EA41-954B-49F6-80BF-36F776A2405C}"/>
    <cellStyle name="Normal 8 4 2 2 3 2" xfId="7264" xr:uid="{ED93B299-EB67-4F7D-8738-6A8F81C7576F}"/>
    <cellStyle name="Normal 8 4 2 2 3 2 2" xfId="7265" xr:uid="{06620A0A-D126-4AF0-BC93-4EEFC1110368}"/>
    <cellStyle name="Normal 8 4 2 2 3 3" xfId="7266" xr:uid="{163A5254-5D5A-4B91-AEF3-BC35BED74A2A}"/>
    <cellStyle name="Normal 8 4 2 2 4" xfId="7267" xr:uid="{B13535ED-DE34-4742-B6A2-36FB8ADEE4CA}"/>
    <cellStyle name="Normal 8 4 2 2 4 2" xfId="7268" xr:uid="{425BF18D-E571-4071-921C-BB1E08BD6BCD}"/>
    <cellStyle name="Normal 8 4 2 2 4 2 2" xfId="7269" xr:uid="{616188AA-A370-439F-A0BF-03542C9EF49F}"/>
    <cellStyle name="Normal 8 4 2 2 4 3" xfId="7270" xr:uid="{9DF2EAB7-6A97-476A-B3FC-2F0C15F85873}"/>
    <cellStyle name="Normal 8 4 2 2 5" xfId="7271" xr:uid="{FC0A848B-2BD1-4889-9519-47ED49DA112D}"/>
    <cellStyle name="Normal 8 4 2 2 5 2" xfId="7272" xr:uid="{45415E18-30FA-42B8-9819-DF3A7F07BE39}"/>
    <cellStyle name="Normal 8 4 2 2 6" xfId="7273" xr:uid="{75874753-0305-4EF6-8172-7F5A62CA8146}"/>
    <cellStyle name="Normal 8 4 2 3" xfId="7274" xr:uid="{33F0F3FB-B399-4C12-8106-8A75CF220D42}"/>
    <cellStyle name="Normal 8 4 2 3 2" xfId="7275" xr:uid="{9DD0D48C-1997-496E-BD9D-D9C2577E3216}"/>
    <cellStyle name="Normal 8 4 2 3 2 2" xfId="7276" xr:uid="{5D90C85D-3B79-43F1-A203-E0E00E265627}"/>
    <cellStyle name="Normal 8 4 2 3 3" xfId="7277" xr:uid="{1DA8B61C-CDE7-4FA4-97B5-80900945E129}"/>
    <cellStyle name="Normal 8 4 2 4" xfId="7278" xr:uid="{E5F63AB6-3558-4AE3-A13D-4DB6248FBC04}"/>
    <cellStyle name="Normal 8 4 2 4 2" xfId="7279" xr:uid="{322F73C4-57A2-4F1A-BF99-38CCA7C4A4FF}"/>
    <cellStyle name="Normal 8 4 2 4 2 2" xfId="7280" xr:uid="{1BCE38E0-CFD8-492D-BA1E-CEB68E912CB1}"/>
    <cellStyle name="Normal 8 4 2 4 3" xfId="7281" xr:uid="{5880807A-B315-4996-A9C7-28E31844B556}"/>
    <cellStyle name="Normal 8 4 2 5" xfId="7282" xr:uid="{AA74FA42-9F83-4D1A-A68B-9931BA59E545}"/>
    <cellStyle name="Normal 8 4 2 5 2" xfId="7283" xr:uid="{E4D274E2-F3AE-4BFD-A313-67E4CFB8E62B}"/>
    <cellStyle name="Normal 8 4 2 5 2 2" xfId="7284" xr:uid="{12E6F93A-DA67-40DC-8625-8DACBF825356}"/>
    <cellStyle name="Normal 8 4 2 5 3" xfId="7285" xr:uid="{33D54408-2461-4611-8797-2250E959B1FB}"/>
    <cellStyle name="Normal 8 4 2 6" xfId="7286" xr:uid="{2E91C3F9-2C42-4375-9D34-661B6127B86D}"/>
    <cellStyle name="Normal 8 4 2 6 2" xfId="7287" xr:uid="{87AEB9C8-BC23-403A-BF6C-2A7374909815}"/>
    <cellStyle name="Normal 8 4 2 7" xfId="7288" xr:uid="{F98E1FF4-DBB7-44CA-B3B6-B7A47AE9C51C}"/>
    <cellStyle name="Normal 8 4 3" xfId="7289" xr:uid="{A16809E7-D90B-4370-9E22-5C9E08716C4F}"/>
    <cellStyle name="Normal 8 4 3 2" xfId="7290" xr:uid="{E94DE465-CD45-4A1D-B95C-4BCBAE7496EF}"/>
    <cellStyle name="Normal 8 4 3 2 2" xfId="7291" xr:uid="{2543D0AD-959C-4026-A37E-76122CC25390}"/>
    <cellStyle name="Normal 8 4 3 2 2 2" xfId="7292" xr:uid="{593E822B-DC89-4161-8EC5-6CD523957148}"/>
    <cellStyle name="Normal 8 4 3 2 3" xfId="7293" xr:uid="{5AD03590-B5EB-4AC3-AA40-01F96CD98D51}"/>
    <cellStyle name="Normal 8 4 3 3" xfId="7294" xr:uid="{9BBC5CB6-62EA-428D-9EE4-F8BF042AD3BC}"/>
    <cellStyle name="Normal 8 4 3 3 2" xfId="7295" xr:uid="{80E60A0D-020F-4D0D-A0BE-B5DA3EDB69FE}"/>
    <cellStyle name="Normal 8 4 3 3 2 2" xfId="7296" xr:uid="{A9240FFD-91F7-45C1-A9CA-DBE3CEDD6A74}"/>
    <cellStyle name="Normal 8 4 3 3 3" xfId="7297" xr:uid="{DC057B05-6585-47F2-BFC5-30BFD6CE9B5A}"/>
    <cellStyle name="Normal 8 4 3 4" xfId="7298" xr:uid="{F4381441-7724-42F0-BA6C-5192FDC4FD0E}"/>
    <cellStyle name="Normal 8 4 3 4 2" xfId="7299" xr:uid="{21D0B7BC-B749-4F32-BECF-14A5F5689886}"/>
    <cellStyle name="Normal 8 4 3 4 2 2" xfId="7300" xr:uid="{441B73FD-DD48-48E1-A22C-02E3D9B3737F}"/>
    <cellStyle name="Normal 8 4 3 4 3" xfId="7301" xr:uid="{E7854373-6A5B-442C-B51C-EE2665D73765}"/>
    <cellStyle name="Normal 8 4 3 5" xfId="7302" xr:uid="{B826241C-E684-4287-ACB8-A919D5F15355}"/>
    <cellStyle name="Normal 8 4 3 5 2" xfId="7303" xr:uid="{E2604E0B-8E12-42C2-A8E9-884026D4FCDE}"/>
    <cellStyle name="Normal 8 4 3 6" xfId="7304" xr:uid="{C94F94EB-2E15-499E-B769-EBBCD5993A2D}"/>
    <cellStyle name="Normal 8 4 4" xfId="7305" xr:uid="{ED08E7F6-1F85-4A34-A808-FBCF4C7776E1}"/>
    <cellStyle name="Normal 8 4 4 2" xfId="7306" xr:uid="{F68EC70F-2FAD-4A30-AE72-F4A23A645555}"/>
    <cellStyle name="Normal 8 4 4 2 2" xfId="7307" xr:uid="{304BB30B-C072-42C3-B078-A11CA7721933}"/>
    <cellStyle name="Normal 8 4 4 3" xfId="7308" xr:uid="{B2EF77C4-BC55-46B9-9891-5B0A206CD104}"/>
    <cellStyle name="Normal 8 4 5" xfId="7309" xr:uid="{C223FB8A-17AF-4B81-98FC-74CEDC26F932}"/>
    <cellStyle name="Normal 8 4 5 2" xfId="7310" xr:uid="{8109F5F7-7BB4-4A9F-84FB-B37FDEE29C44}"/>
    <cellStyle name="Normal 8 4 5 2 2" xfId="7311" xr:uid="{78E30297-6F7E-4D5B-A29B-A0218C59EAD9}"/>
    <cellStyle name="Normal 8 4 5 3" xfId="7312" xr:uid="{0B9988F8-D572-4F18-B303-67D168D01516}"/>
    <cellStyle name="Normal 8 4 6" xfId="7313" xr:uid="{CD59CEAA-0660-4B06-9D00-0FF33C5DEA9B}"/>
    <cellStyle name="Normal 8 4 6 2" xfId="7314" xr:uid="{F1BFF020-0AF6-48C7-AC81-084D2939A35B}"/>
    <cellStyle name="Normal 8 4 6 2 2" xfId="7315" xr:uid="{88662C17-A0CD-4C40-B814-0EC05CA1C72F}"/>
    <cellStyle name="Normal 8 4 6 3" xfId="7316" xr:uid="{1986BD9C-6805-40D2-AF99-8F19EB96E04E}"/>
    <cellStyle name="Normal 8 4 7" xfId="7317" xr:uid="{14B27AF8-E347-453B-B152-DDF7BF52C150}"/>
    <cellStyle name="Normal 8 4 7 2" xfId="7318" xr:uid="{B99F1561-DA54-4D33-8BC2-D73D612AA7A5}"/>
    <cellStyle name="Normal 8 4 8" xfId="7319" xr:uid="{1668F43F-4D35-416E-AA0C-EB64B684EFE1}"/>
    <cellStyle name="Normal 8 5" xfId="7320" xr:uid="{527BFCF1-02ED-4B51-B903-6B3DCC0A4A61}"/>
    <cellStyle name="Normal 8 5 2" xfId="7321" xr:uid="{FF9DB8EA-46A9-45E6-A50A-50CBCC5801CE}"/>
    <cellStyle name="Normal 8 5 2 2" xfId="7322" xr:uid="{DF008E0B-5A71-4203-8D8C-95541C065E00}"/>
    <cellStyle name="Normal 8 5 2 2 2" xfId="7323" xr:uid="{F19A79AD-500A-43AE-B573-25A54249B4EC}"/>
    <cellStyle name="Normal 8 5 2 2 2 2" xfId="7324" xr:uid="{2C7262F0-605E-4AA6-84D4-4CD274A97580}"/>
    <cellStyle name="Normal 8 5 2 2 2 2 2" xfId="7325" xr:uid="{BEF424B7-4713-420D-8129-12D275FAE127}"/>
    <cellStyle name="Normal 8 5 2 2 2 3" xfId="7326" xr:uid="{65C7E6D6-E39B-48D7-B7D3-844EF107C169}"/>
    <cellStyle name="Normal 8 5 2 2 3" xfId="7327" xr:uid="{944B3AB0-C331-4844-BF94-71D0E388AF65}"/>
    <cellStyle name="Normal 8 5 2 2 3 2" xfId="7328" xr:uid="{7518D1B6-FCA4-4E77-9DE4-D1F3AA66A53C}"/>
    <cellStyle name="Normal 8 5 2 2 3 2 2" xfId="7329" xr:uid="{6C33C6C0-C70F-403B-89C4-17A99BE7903A}"/>
    <cellStyle name="Normal 8 5 2 2 3 3" xfId="7330" xr:uid="{D10F3657-B0A6-4F7F-9F5C-7305B2F1B536}"/>
    <cellStyle name="Normal 8 5 2 2 4" xfId="7331" xr:uid="{20C8835C-E008-4A6C-A449-7EBAA55E3BFD}"/>
    <cellStyle name="Normal 8 5 2 2 4 2" xfId="7332" xr:uid="{4C603148-F50D-41EA-9DA9-06454192D0BC}"/>
    <cellStyle name="Normal 8 5 2 2 4 2 2" xfId="7333" xr:uid="{2E40FB91-D8FA-45DF-833E-1A5A1A5B1E21}"/>
    <cellStyle name="Normal 8 5 2 2 4 3" xfId="7334" xr:uid="{E10A12BD-0CEA-4B66-AEA3-3A050726F830}"/>
    <cellStyle name="Normal 8 5 2 2 5" xfId="7335" xr:uid="{20EA449E-BECA-4829-8E4D-26445EA47D5E}"/>
    <cellStyle name="Normal 8 5 2 2 5 2" xfId="7336" xr:uid="{6050B818-D8C0-4AE6-8519-A94DDA1A72BF}"/>
    <cellStyle name="Normal 8 5 2 2 6" xfId="7337" xr:uid="{EEF6A619-7DC6-4C70-B7C1-6E00DA5F9D1B}"/>
    <cellStyle name="Normal 8 5 2 3" xfId="7338" xr:uid="{1C0DAAAF-9997-4DB5-B190-DDFC3EFE426F}"/>
    <cellStyle name="Normal 8 5 2 3 2" xfId="7339" xr:uid="{1A09F1D7-316D-4848-9152-06EC1EF964ED}"/>
    <cellStyle name="Normal 8 5 2 3 2 2" xfId="7340" xr:uid="{6CCF5B77-6EFA-4796-8085-66801CE39700}"/>
    <cellStyle name="Normal 8 5 2 3 3" xfId="7341" xr:uid="{5E965B58-57F3-4023-B92E-481647390F71}"/>
    <cellStyle name="Normal 8 5 2 4" xfId="7342" xr:uid="{F889D085-2F22-4DCE-ABBB-DD6C0A3EB291}"/>
    <cellStyle name="Normal 8 5 2 4 2" xfId="7343" xr:uid="{DB0E384A-B254-48CB-98A4-9AF03906C76F}"/>
    <cellStyle name="Normal 8 5 2 4 2 2" xfId="7344" xr:uid="{5647DD30-11D0-4BF3-AB18-CC4B549F33CB}"/>
    <cellStyle name="Normal 8 5 2 4 3" xfId="7345" xr:uid="{8248A80E-F12B-42CA-92C6-75D79A0607CA}"/>
    <cellStyle name="Normal 8 5 2 5" xfId="7346" xr:uid="{891CED11-8EFB-4788-9300-BCF01BDB227C}"/>
    <cellStyle name="Normal 8 5 2 5 2" xfId="7347" xr:uid="{F20E5DA7-9DAC-46F2-B9AD-4AB6E2BBCEF9}"/>
    <cellStyle name="Normal 8 5 2 5 2 2" xfId="7348" xr:uid="{7B275452-15DA-4788-87B0-317684D566CC}"/>
    <cellStyle name="Normal 8 5 2 5 3" xfId="7349" xr:uid="{8DFC5C4A-0215-452E-8A0D-DC62FECAFA01}"/>
    <cellStyle name="Normal 8 5 2 6" xfId="7350" xr:uid="{FB94087D-48F5-4C82-936E-FE960E489426}"/>
    <cellStyle name="Normal 8 5 2 6 2" xfId="7351" xr:uid="{CD4D591F-C8A8-449E-A362-4F122AAA8209}"/>
    <cellStyle name="Normal 8 5 2 7" xfId="7352" xr:uid="{51CE459D-8D34-4012-8246-4B7349503C96}"/>
    <cellStyle name="Normal 8 5 3" xfId="7353" xr:uid="{7A15F4BE-72F8-4683-B3E6-2EAC08ECA9CF}"/>
    <cellStyle name="Normal 8 5 3 2" xfId="7354" xr:uid="{F3FD2983-A6E4-434A-9244-100E81080ABB}"/>
    <cellStyle name="Normal 8 5 3 2 2" xfId="7355" xr:uid="{19C6B039-03A4-4102-AADB-C8473C5CFEB4}"/>
    <cellStyle name="Normal 8 5 3 2 2 2" xfId="7356" xr:uid="{AEE7D889-B634-473B-B90B-C63984CFD182}"/>
    <cellStyle name="Normal 8 5 3 2 3" xfId="7357" xr:uid="{536C5F7E-44C9-4C89-9017-7545D629DD62}"/>
    <cellStyle name="Normal 8 5 3 3" xfId="7358" xr:uid="{123367F7-0C0D-47F7-A191-9F4E51A5398F}"/>
    <cellStyle name="Normal 8 5 3 3 2" xfId="7359" xr:uid="{A379B388-C8FB-4975-9A9F-668F564073CF}"/>
    <cellStyle name="Normal 8 5 3 3 2 2" xfId="7360" xr:uid="{55378385-671E-4629-A3BC-3CC6A61D560A}"/>
    <cellStyle name="Normal 8 5 3 3 3" xfId="7361" xr:uid="{EF53E78B-80F0-41E2-9C09-5AF999703E89}"/>
    <cellStyle name="Normal 8 5 3 4" xfId="7362" xr:uid="{03321319-9C79-44C4-AD56-D727FEB03101}"/>
    <cellStyle name="Normal 8 5 3 4 2" xfId="7363" xr:uid="{1B2AF2DD-F628-4AB4-9568-23BBC0EF0258}"/>
    <cellStyle name="Normal 8 5 3 4 2 2" xfId="7364" xr:uid="{C538B0AB-9964-4A76-8559-8E6D480E5D5B}"/>
    <cellStyle name="Normal 8 5 3 4 3" xfId="7365" xr:uid="{0B0D96BB-339C-4147-B407-C61AE9ADD25E}"/>
    <cellStyle name="Normal 8 5 3 5" xfId="7366" xr:uid="{10E84E3E-4077-43D1-AD52-FD2EAD34238B}"/>
    <cellStyle name="Normal 8 5 3 5 2" xfId="7367" xr:uid="{16E666C1-F0E2-4D01-911C-1521465F0706}"/>
    <cellStyle name="Normal 8 5 3 6" xfId="7368" xr:uid="{5F643C44-D823-47B5-8E66-C73966015A00}"/>
    <cellStyle name="Normal 8 5 4" xfId="7369" xr:uid="{0DC8C108-CC43-4AA2-B24D-5D692A6A2153}"/>
    <cellStyle name="Normal 8 5 4 2" xfId="7370" xr:uid="{31C4626F-1CE5-48C3-8D91-FE8892703CDA}"/>
    <cellStyle name="Normal 8 5 4 2 2" xfId="7371" xr:uid="{BA0FD536-B8C3-4F42-87B5-E59FCDD68F86}"/>
    <cellStyle name="Normal 8 5 4 3" xfId="7372" xr:uid="{85B80B05-424F-4C35-8868-6EC5A1C21039}"/>
    <cellStyle name="Normal 8 5 5" xfId="7373" xr:uid="{1F77DEFB-CA45-4885-87E5-06D6A5BFE91B}"/>
    <cellStyle name="Normal 8 5 5 2" xfId="7374" xr:uid="{396DA1CD-25C9-41BC-B7D8-C53F9D91A19A}"/>
    <cellStyle name="Normal 8 5 5 2 2" xfId="7375" xr:uid="{58435F85-30CC-4431-AAE2-5F1EA4397095}"/>
    <cellStyle name="Normal 8 5 5 3" xfId="7376" xr:uid="{41A101C2-3932-42BC-9B8D-939F8EDD1303}"/>
    <cellStyle name="Normal 8 5 6" xfId="7377" xr:uid="{CB197666-3CDD-47C8-B63A-1C4748C9B3D1}"/>
    <cellStyle name="Normal 8 5 6 2" xfId="7378" xr:uid="{AE45A36F-6F1D-4EE7-9BAD-048DEAA1A67A}"/>
    <cellStyle name="Normal 8 5 6 2 2" xfId="7379" xr:uid="{D9511B69-02AA-4EC8-B5B5-EEAA7EDCA49A}"/>
    <cellStyle name="Normal 8 5 6 3" xfId="7380" xr:uid="{5F1AB469-7454-4D80-A7F3-6A15470F53DA}"/>
    <cellStyle name="Normal 8 5 7" xfId="7381" xr:uid="{2005F488-7075-4A6B-ABC9-F485A7270D2F}"/>
    <cellStyle name="Normal 8 5 7 2" xfId="7382" xr:uid="{6B167E6D-3685-4F4F-8BF9-3D0F24A1399D}"/>
    <cellStyle name="Normal 8 5 8" xfId="7383" xr:uid="{7255E181-4E33-47E9-B087-19CB84100170}"/>
    <cellStyle name="Normal 8 6" xfId="7384" xr:uid="{2D907833-DA93-4690-B77A-0A531369537D}"/>
    <cellStyle name="Normal 8 6 2" xfId="7385" xr:uid="{FAAA05F7-C4D0-40F3-9CF4-42875101D20F}"/>
    <cellStyle name="Normal 8 6 2 2" xfId="7386" xr:uid="{E87754E9-8B20-42B2-BCAA-6E04CBB85474}"/>
    <cellStyle name="Normal 8 6 2 2 2" xfId="7387" xr:uid="{84E6BEE7-7A7C-4076-8BAF-48DE06657695}"/>
    <cellStyle name="Normal 8 6 2 2 2 2" xfId="7388" xr:uid="{9DB64EE5-894E-4589-8941-35E7C8335609}"/>
    <cellStyle name="Normal 8 6 2 2 3" xfId="7389" xr:uid="{C99000A4-FDE4-465A-B273-70711610182E}"/>
    <cellStyle name="Normal 8 6 2 3" xfId="7390" xr:uid="{C8493572-EDD9-4D4C-8034-92F6C5EAE98C}"/>
    <cellStyle name="Normal 8 6 2 3 2" xfId="7391" xr:uid="{F5CF75F2-530A-4FF6-9554-A9CDD3F472EB}"/>
    <cellStyle name="Normal 8 6 2 3 2 2" xfId="7392" xr:uid="{158D4D79-EEF1-43B2-861D-FBE42EA4D002}"/>
    <cellStyle name="Normal 8 6 2 3 3" xfId="7393" xr:uid="{FECF9381-045F-4F9F-8734-BEF5A0328C84}"/>
    <cellStyle name="Normal 8 6 2 4" xfId="7394" xr:uid="{EE4C7093-67AE-43EB-B505-721A2220A83B}"/>
    <cellStyle name="Normal 8 6 2 4 2" xfId="7395" xr:uid="{8AB104C5-D562-4CA2-99C9-1E12110AEB14}"/>
    <cellStyle name="Normal 8 6 2 4 2 2" xfId="7396" xr:uid="{3DC2A93E-8A66-4C12-BB87-A5577AF339BF}"/>
    <cellStyle name="Normal 8 6 2 4 3" xfId="7397" xr:uid="{58AFFA85-5FF2-4408-8953-EC6423BFFE03}"/>
    <cellStyle name="Normal 8 6 2 5" xfId="7398" xr:uid="{6F1ED937-4E32-46D4-B754-9E21AE7B78A7}"/>
    <cellStyle name="Normal 8 6 2 5 2" xfId="7399" xr:uid="{1BA65846-364C-4C33-B01C-6B2E0BBD3A97}"/>
    <cellStyle name="Normal 8 6 2 6" xfId="7400" xr:uid="{6567167E-7AEE-4807-A2C9-9BC8F65CE2D2}"/>
    <cellStyle name="Normal 8 6 3" xfId="7401" xr:uid="{F9A76712-5E14-4F54-B183-D0421707F0F6}"/>
    <cellStyle name="Normal 8 6 3 2" xfId="7402" xr:uid="{C927703B-E7E4-47F0-B87F-CC4B52740058}"/>
    <cellStyle name="Normal 8 6 3 2 2" xfId="7403" xr:uid="{A628DFE4-E75E-4BAD-9E83-D89383EA656C}"/>
    <cellStyle name="Normal 8 6 3 3" xfId="7404" xr:uid="{349A089F-FAB7-4477-9D1A-1AB428C72337}"/>
    <cellStyle name="Normal 8 6 4" xfId="7405" xr:uid="{41700613-DC62-44E2-AC80-09F78E7B426C}"/>
    <cellStyle name="Normal 8 6 4 2" xfId="7406" xr:uid="{2669E639-F826-48AA-B4D2-6D3BD54E14AD}"/>
    <cellStyle name="Normal 8 6 4 2 2" xfId="7407" xr:uid="{664A2C4F-C50F-4481-9F16-BDA6FCFA24AF}"/>
    <cellStyle name="Normal 8 6 4 3" xfId="7408" xr:uid="{EC910328-2105-4F09-8326-758E64FCE593}"/>
    <cellStyle name="Normal 8 6 5" xfId="7409" xr:uid="{F25E609A-C007-414A-8225-E28E4FBF5A69}"/>
    <cellStyle name="Normal 8 6 5 2" xfId="7410" xr:uid="{30C51CD2-92EC-4E47-BFBD-DF9212A33886}"/>
    <cellStyle name="Normal 8 6 5 2 2" xfId="7411" xr:uid="{7AFE8195-7D0F-4471-B49D-528B9A8090DE}"/>
    <cellStyle name="Normal 8 6 5 3" xfId="7412" xr:uid="{C6C4B665-5CB3-4C7A-A2ED-A5AB09B608FD}"/>
    <cellStyle name="Normal 8 6 6" xfId="7413" xr:uid="{2DEBD96B-A347-4ED6-9537-2D23BC0A96C9}"/>
    <cellStyle name="Normal 8 6 6 2" xfId="7414" xr:uid="{7995CFE3-14B3-4392-8816-16CDC16B757B}"/>
    <cellStyle name="Normal 8 6 7" xfId="7415" xr:uid="{7C8F62C7-52E7-4192-B583-CAAB2CD1D18A}"/>
    <cellStyle name="Normal 8 7" xfId="7416" xr:uid="{965309E1-1112-46A3-9F76-B2DC36BA10A7}"/>
    <cellStyle name="Normal 8 7 2" xfId="7417" xr:uid="{69032C32-3756-4B54-A853-6D349DA9EC0E}"/>
    <cellStyle name="Normal 8 7 2 2" xfId="7418" xr:uid="{EB403645-1415-4331-93E7-9A4EF8993B81}"/>
    <cellStyle name="Normal 8 7 2 2 2" xfId="7419" xr:uid="{4EEA2466-6384-47AE-92EA-2464E3876C66}"/>
    <cellStyle name="Normal 8 7 2 3" xfId="7420" xr:uid="{AC1C9B1B-3BE2-48ED-8DFD-92C4C7942146}"/>
    <cellStyle name="Normal 8 7 3" xfId="7421" xr:uid="{F6DE83B3-9E98-4C0B-B23B-037AD135A530}"/>
    <cellStyle name="Normal 8 7 3 2" xfId="7422" xr:uid="{8C3D9A00-DAA5-4269-9A52-5469E443342D}"/>
    <cellStyle name="Normal 8 7 3 2 2" xfId="7423" xr:uid="{4E0EA6ED-22CE-4EB6-B586-3AAA1801DA86}"/>
    <cellStyle name="Normal 8 7 3 3" xfId="7424" xr:uid="{9B90AFE6-30E0-4988-B063-0AB3551454F0}"/>
    <cellStyle name="Normal 8 7 4" xfId="7425" xr:uid="{F53A3A84-271E-419F-A928-B16324A05578}"/>
    <cellStyle name="Normal 8 7 4 2" xfId="7426" xr:uid="{31CFA1EB-CC53-4C0A-919C-1084CFA5709F}"/>
    <cellStyle name="Normal 8 7 4 2 2" xfId="7427" xr:uid="{033B178A-05F8-4549-881F-BA06EC49D37B}"/>
    <cellStyle name="Normal 8 7 4 3" xfId="7428" xr:uid="{54F1CCFF-BF54-4D9D-962A-BF347B3CA931}"/>
    <cellStyle name="Normal 8 7 5" xfId="7429" xr:uid="{1BAF9E44-DAE3-4D52-9A40-F2F85CF556D9}"/>
    <cellStyle name="Normal 8 7 5 2" xfId="7430" xr:uid="{DD91FAB5-0EAB-4A28-9C9B-498CD27404CA}"/>
    <cellStyle name="Normal 8 7 6" xfId="7431" xr:uid="{9BFAB6B6-609B-4A1C-92C1-D6298EFACA31}"/>
    <cellStyle name="Normal 8 8" xfId="7432" xr:uid="{4CD3E3E8-8B31-4F31-B03C-A77BFCAD6A56}"/>
    <cellStyle name="Normal 8 8 2" xfId="7433" xr:uid="{FF0DF2D2-91EA-42B7-AFEB-53EA018DD09D}"/>
    <cellStyle name="Normal 8 8 2 2" xfId="7434" xr:uid="{2B9E6796-88DA-400E-814D-0E9230FFB1C8}"/>
    <cellStyle name="Normal 8 8 3" xfId="7435" xr:uid="{D408AB3E-55B7-40DB-9DDC-AF2B7EEA8F60}"/>
    <cellStyle name="Normal 8 9" xfId="7436" xr:uid="{04461B91-5A6D-4A8B-A995-FB51E4608BBB}"/>
    <cellStyle name="Normal 8 9 2" xfId="7437" xr:uid="{CE609559-306E-48A0-9A61-33709AD9322B}"/>
    <cellStyle name="Normal 8 9 2 2" xfId="7438" xr:uid="{DD6E36E6-0614-4CBF-B0B3-6B415B4965F3}"/>
    <cellStyle name="Normal 8 9 3" xfId="7439" xr:uid="{3540FDEB-8864-4B61-8FD9-17706AC111B3}"/>
    <cellStyle name="Normal 80" xfId="7592" xr:uid="{95691D00-3CA8-40F7-9167-3301E6F52837}"/>
    <cellStyle name="Normal 80 2" xfId="7791" xr:uid="{E5B914CB-DCAC-4F18-B14F-2261B66612BA}"/>
    <cellStyle name="Normal 80 2 2" xfId="8162" xr:uid="{F6F8A039-9D74-46B3-B4E4-94691DAF06CE}"/>
    <cellStyle name="Normal 80 2 2 2" xfId="8832" xr:uid="{9C52F2A4-E975-452B-AFCA-21B406676FFE}"/>
    <cellStyle name="Normal 80 2 2 2 2" xfId="10901" xr:uid="{F9B1E731-CFC1-45CD-88E0-F363D7BBEE73}"/>
    <cellStyle name="Normal 80 2 2 2 2 2" xfId="15107" xr:uid="{AB7D50E3-BCC4-41B0-AC3B-612FD6766DC1}"/>
    <cellStyle name="Normal 80 2 2 2 3" xfId="13078" xr:uid="{B415608B-4491-47A9-A217-987E0643F251}"/>
    <cellStyle name="Normal 80 2 2 3" xfId="10231" xr:uid="{362E7D50-3176-483E-9D10-4941BCA49021}"/>
    <cellStyle name="Normal 80 2 2 3 2" xfId="14437" xr:uid="{49432688-55B0-4C18-9898-FE4AE5BFB939}"/>
    <cellStyle name="Normal 80 2 2 4" xfId="12408" xr:uid="{0622EC18-B26D-4CDC-9BCB-C1F92CF331D9}"/>
    <cellStyle name="Normal 80 2 3" xfId="8498" xr:uid="{10D41D93-534E-4A8F-8559-C5D591A5B1F3}"/>
    <cellStyle name="Normal 80 2 3 2" xfId="10567" xr:uid="{CBF34726-C192-47E7-86B7-93D4293AFFF0}"/>
    <cellStyle name="Normal 80 2 3 2 2" xfId="14773" xr:uid="{64E8607B-337C-4E55-BB73-10EBD4644388}"/>
    <cellStyle name="Normal 80 2 3 3" xfId="12744" xr:uid="{D5568D5E-587F-481D-8EEC-FC1F6EF532C5}"/>
    <cellStyle name="Normal 80 2 4" xfId="9171" xr:uid="{49217919-2B15-47D5-A5E7-3E4885DD215A}"/>
    <cellStyle name="Normal 80 2 4 2" xfId="11240" xr:uid="{3C09D753-8C6F-4031-9116-BB7F6A049DCB}"/>
    <cellStyle name="Normal 80 2 4 2 2" xfId="15446" xr:uid="{54E639C5-BC54-4945-B575-F7ABE3B9C40C}"/>
    <cellStyle name="Normal 80 2 4 3" xfId="13417" xr:uid="{6BB8A813-398F-43E9-8E4E-895A1ADC0272}"/>
    <cellStyle name="Normal 80 2 5" xfId="9539" xr:uid="{4C44BDF7-0D27-4273-8255-967220CA7977}"/>
    <cellStyle name="Normal 80 2 5 2" xfId="11573" xr:uid="{C536CA01-7F4E-4F70-963F-FCB6038FE6B2}"/>
    <cellStyle name="Normal 80 2 5 2 2" xfId="15779" xr:uid="{01087FE0-B03F-4FEB-9868-A93048624FCF}"/>
    <cellStyle name="Normal 80 2 5 3" xfId="13750" xr:uid="{49E3D5C4-E4D1-45E0-A153-F5754CBF2C32}"/>
    <cellStyle name="Normal 80 2 6" xfId="9897" xr:uid="{FE1A733E-8A40-443A-899C-DAB4DE67879B}"/>
    <cellStyle name="Normal 80 2 6 2" xfId="14103" xr:uid="{5627FE5D-B67A-4F4A-93F4-66390C520B09}"/>
    <cellStyle name="Normal 80 2 7" xfId="12074" xr:uid="{A293EC80-9A99-4AA1-A11A-DC9FD173CF0B}"/>
    <cellStyle name="Normal 80 3" xfId="7999" xr:uid="{BEE3D942-783E-45EE-BB86-9992AA8F68F9}"/>
    <cellStyle name="Normal 80 3 2" xfId="8669" xr:uid="{717E0923-F4A7-490F-A6D3-7CA97FF5675E}"/>
    <cellStyle name="Normal 80 3 2 2" xfId="10738" xr:uid="{14B7F652-7824-48EB-981E-E8A9A25F7695}"/>
    <cellStyle name="Normal 80 3 2 2 2" xfId="14944" xr:uid="{85F10C2F-353D-4A3A-97B7-AB3C09F71AF9}"/>
    <cellStyle name="Normal 80 3 2 3" xfId="12915" xr:uid="{4CBB155D-1FE6-444F-A542-229F14B84439}"/>
    <cellStyle name="Normal 80 3 3" xfId="10068" xr:uid="{D716C0D9-1583-4DDC-B40E-A03A81E5B458}"/>
    <cellStyle name="Normal 80 3 3 2" xfId="14274" xr:uid="{A71E7287-627A-489A-9FC2-A1CFF8B0D7D4}"/>
    <cellStyle name="Normal 80 3 4" xfId="12245" xr:uid="{CCB22566-3632-4176-8D4B-62461A2AC736}"/>
    <cellStyle name="Normal 80 4" xfId="8335" xr:uid="{9773A580-76E4-4D94-8F60-8A1CB34BB6DF}"/>
    <cellStyle name="Normal 80 4 2" xfId="10404" xr:uid="{AF6F9068-D041-44E9-BEA3-DD183F19D578}"/>
    <cellStyle name="Normal 80 4 2 2" xfId="14610" xr:uid="{2A076820-D4BB-4D87-8AB4-E54E8F47FED5}"/>
    <cellStyle name="Normal 80 4 3" xfId="12581" xr:uid="{0798B6B2-0888-45D6-BAD7-52D81F9635CF}"/>
    <cellStyle name="Normal 80 5" xfId="9008" xr:uid="{4EA6686B-C188-4D5C-85BB-55BA7E1C6D2A}"/>
    <cellStyle name="Normal 80 5 2" xfId="11077" xr:uid="{350308CD-8D80-4079-B020-0722A1583751}"/>
    <cellStyle name="Normal 80 5 2 2" xfId="15283" xr:uid="{66D01CEA-FED1-42A0-96E5-CC6152747B9C}"/>
    <cellStyle name="Normal 80 5 3" xfId="13254" xr:uid="{585ACCA2-A678-4FE6-9D41-2AA1C4FD7CEF}"/>
    <cellStyle name="Normal 80 6" xfId="9376" xr:uid="{C7A5FB88-E6B1-4604-9C58-61E359F97DFE}"/>
    <cellStyle name="Normal 80 6 2" xfId="11410" xr:uid="{14BEF15A-C656-4941-8D1A-44D872CDFEE6}"/>
    <cellStyle name="Normal 80 6 2 2" xfId="15616" xr:uid="{C7E7F0B5-D7FC-4350-AF1B-E83E869F536C}"/>
    <cellStyle name="Normal 80 6 3" xfId="13587" xr:uid="{9D03FF74-A5FB-4D03-989D-8D3AAFE7E45F}"/>
    <cellStyle name="Normal 80 7" xfId="9734" xr:uid="{6B8A0F3F-8015-45CF-AAB3-937EF50AC5BE}"/>
    <cellStyle name="Normal 80 7 2" xfId="13940" xr:uid="{C0B11DA6-B33B-4AA5-B54D-279AEE34F597}"/>
    <cellStyle name="Normal 80 8" xfId="11911" xr:uid="{AE007AD1-FB66-427C-AF90-72B60429D8CC}"/>
    <cellStyle name="Normal 81" xfId="7593" xr:uid="{DD60136E-DC9E-4524-8627-E5EF6D9126FC}"/>
    <cellStyle name="Normal 81 2" xfId="7792" xr:uid="{255434B9-8736-45B3-AD92-25422C1481B6}"/>
    <cellStyle name="Normal 81 2 2" xfId="8163" xr:uid="{A6B59808-7D2E-4F98-9738-D6A4720B1E19}"/>
    <cellStyle name="Normal 81 2 2 2" xfId="8833" xr:uid="{D1D9B191-74FB-4D1F-B1C3-FC4A31AFE6BA}"/>
    <cellStyle name="Normal 81 2 2 2 2" xfId="10902" xr:uid="{219BC26C-0F47-462E-9421-7396F8BDAC81}"/>
    <cellStyle name="Normal 81 2 2 2 2 2" xfId="15108" xr:uid="{0932DADF-AD82-4603-BE8B-7D854E0D4EFC}"/>
    <cellStyle name="Normal 81 2 2 2 3" xfId="13079" xr:uid="{8E7E44BF-1D33-413C-8286-68CF1C7EA175}"/>
    <cellStyle name="Normal 81 2 2 3" xfId="10232" xr:uid="{5880FC9D-8ED2-4FEC-A1FB-55C07E213EC0}"/>
    <cellStyle name="Normal 81 2 2 3 2" xfId="14438" xr:uid="{AFE254D5-F9B0-43A7-82F5-E2968EA68CBC}"/>
    <cellStyle name="Normal 81 2 2 4" xfId="12409" xr:uid="{3F434D52-478E-4B79-B414-1B24CF8FB11E}"/>
    <cellStyle name="Normal 81 2 3" xfId="8499" xr:uid="{426812BD-9B16-4D96-88B4-83018C87CA90}"/>
    <cellStyle name="Normal 81 2 3 2" xfId="10568" xr:uid="{8BFAFA92-4DA6-4556-8AA3-902700BD28E6}"/>
    <cellStyle name="Normal 81 2 3 2 2" xfId="14774" xr:uid="{90D15804-4206-4B70-A634-F5CA762B6D50}"/>
    <cellStyle name="Normal 81 2 3 3" xfId="12745" xr:uid="{B3099B15-744F-4746-A051-8EBE32585484}"/>
    <cellStyle name="Normal 81 2 4" xfId="9172" xr:uid="{78F60C3E-B3B5-430D-A8BB-40A278713AAA}"/>
    <cellStyle name="Normal 81 2 4 2" xfId="11241" xr:uid="{34B4896C-23DE-467D-854F-767E608E8355}"/>
    <cellStyle name="Normal 81 2 4 2 2" xfId="15447" xr:uid="{1D53B54C-CD9B-4EE1-8CAB-4CB33D936924}"/>
    <cellStyle name="Normal 81 2 4 3" xfId="13418" xr:uid="{1C2A689F-DD53-47BD-8F63-3C4AC2E95AFC}"/>
    <cellStyle name="Normal 81 2 5" xfId="9540" xr:uid="{4CB57972-412A-45C3-A07F-F4AF89CCF4FD}"/>
    <cellStyle name="Normal 81 2 5 2" xfId="11574" xr:uid="{2E974042-6C2C-4FC7-9F3B-841DC9A79C6D}"/>
    <cellStyle name="Normal 81 2 5 2 2" xfId="15780" xr:uid="{36AFB086-8663-4DD7-8831-FC028DA98FE9}"/>
    <cellStyle name="Normal 81 2 5 3" xfId="13751" xr:uid="{1E00E6B8-B2D2-4318-B0A0-3AA13D5ACF65}"/>
    <cellStyle name="Normal 81 2 6" xfId="9898" xr:uid="{0C653439-30A9-45CA-8C6C-A06125110F0C}"/>
    <cellStyle name="Normal 81 2 6 2" xfId="14104" xr:uid="{C11E2785-6E19-4A70-B118-F2A73E7B97E1}"/>
    <cellStyle name="Normal 81 2 7" xfId="12075" xr:uid="{FF8DA034-F273-46DC-A7A9-B6C0EF7DFE19}"/>
    <cellStyle name="Normal 81 3" xfId="8000" xr:uid="{4C9B63F0-288F-446D-83CF-9A443627D4C8}"/>
    <cellStyle name="Normal 81 3 2" xfId="8670" xr:uid="{A6260E50-4225-42E3-A15B-7D1645F8455D}"/>
    <cellStyle name="Normal 81 3 2 2" xfId="10739" xr:uid="{E4D8B934-80CF-42D1-8B1D-82903D48E14B}"/>
    <cellStyle name="Normal 81 3 2 2 2" xfId="14945" xr:uid="{30A0DDF1-F8DC-480B-A9AE-B828F2D18964}"/>
    <cellStyle name="Normal 81 3 2 3" xfId="12916" xr:uid="{221E0832-03AD-41ED-997B-6635BF19D8E6}"/>
    <cellStyle name="Normal 81 3 3" xfId="10069" xr:uid="{F36CADC6-79E5-4BBC-BF90-98B97605DF32}"/>
    <cellStyle name="Normal 81 3 3 2" xfId="14275" xr:uid="{D70F01D6-D189-476C-A7B2-E99B4877187A}"/>
    <cellStyle name="Normal 81 3 4" xfId="12246" xr:uid="{548A7094-8A63-4CDB-9171-D369152C23EC}"/>
    <cellStyle name="Normal 81 4" xfId="8336" xr:uid="{4B3B8CEB-F2C7-4EA5-A835-DED360673D28}"/>
    <cellStyle name="Normal 81 4 2" xfId="10405" xr:uid="{B133C773-827A-4EA4-853D-B6BAED65A411}"/>
    <cellStyle name="Normal 81 4 2 2" xfId="14611" xr:uid="{5718119F-CFD0-4D5E-B43C-F268AA8049DC}"/>
    <cellStyle name="Normal 81 4 3" xfId="12582" xr:uid="{C2196910-F0A9-4C11-AEC2-9AE9FFEE0E24}"/>
    <cellStyle name="Normal 81 5" xfId="9009" xr:uid="{BD07C6C4-3731-4CAC-BAA5-EFCCEA963BFA}"/>
    <cellStyle name="Normal 81 5 2" xfId="11078" xr:uid="{51D3B942-F2E0-4052-A34D-3ABC19724FF0}"/>
    <cellStyle name="Normal 81 5 2 2" xfId="15284" xr:uid="{D9BCB0F8-658A-4171-BEE6-4935A7A22C07}"/>
    <cellStyle name="Normal 81 5 3" xfId="13255" xr:uid="{E3C251CD-517E-4845-878F-FCD57BD03263}"/>
    <cellStyle name="Normal 81 6" xfId="9377" xr:uid="{86873294-60C4-4876-BCB6-F548E0D8DAA3}"/>
    <cellStyle name="Normal 81 6 2" xfId="11411" xr:uid="{DFD4B883-1272-4C6D-A190-306C9AAF67B8}"/>
    <cellStyle name="Normal 81 6 2 2" xfId="15617" xr:uid="{39F9F70D-EA0F-46FD-9C32-BDF55774A1C2}"/>
    <cellStyle name="Normal 81 6 3" xfId="13588" xr:uid="{D56E1507-DCD0-4819-A7D2-E6419FABCD4E}"/>
    <cellStyle name="Normal 81 7" xfId="9735" xr:uid="{5DADCF40-447B-4B87-A23F-FE6EB671386E}"/>
    <cellStyle name="Normal 81 7 2" xfId="13941" xr:uid="{7FEA5873-749E-41E4-B8AC-4637E0EC3849}"/>
    <cellStyle name="Normal 81 8" xfId="11912" xr:uid="{5EF740EA-A937-43C0-ADA3-A2A6785AD83C}"/>
    <cellStyle name="Normal 82" xfId="7594" xr:uid="{EFBF5D94-6175-4413-B831-E0FDEAADB798}"/>
    <cellStyle name="Normal 82 2" xfId="7793" xr:uid="{421D7679-485E-4B1E-A5F3-7F1CA0AD776E}"/>
    <cellStyle name="Normal 82 2 2" xfId="8164" xr:uid="{2E4A1FE8-3CEC-4B1B-B947-898282584956}"/>
    <cellStyle name="Normal 82 2 2 2" xfId="8834" xr:uid="{E5A5541D-DB0D-4DA0-AC8F-9BE5618A6D21}"/>
    <cellStyle name="Normal 82 2 2 2 2" xfId="10903" xr:uid="{6D2E82CE-4F7E-48CB-838F-F961B6003795}"/>
    <cellStyle name="Normal 82 2 2 2 2 2" xfId="15109" xr:uid="{CDF8645E-0B14-45AC-AAAE-1AC3E0D65951}"/>
    <cellStyle name="Normal 82 2 2 2 3" xfId="13080" xr:uid="{74A4E050-390A-4FFF-8F44-FEB953B2DC92}"/>
    <cellStyle name="Normal 82 2 2 3" xfId="10233" xr:uid="{82E325B4-31E8-43FD-96E6-69F6C2596BF1}"/>
    <cellStyle name="Normal 82 2 2 3 2" xfId="14439" xr:uid="{21B1624C-B0BC-423D-BD1E-AC985B5365E5}"/>
    <cellStyle name="Normal 82 2 2 4" xfId="12410" xr:uid="{511D2B2E-91C3-4758-9DAB-091613246C6A}"/>
    <cellStyle name="Normal 82 2 3" xfId="8500" xr:uid="{CC162667-456C-43ED-98AD-38438A150A8E}"/>
    <cellStyle name="Normal 82 2 3 2" xfId="10569" xr:uid="{219FEB79-4603-4008-AA5E-515D7461F01C}"/>
    <cellStyle name="Normal 82 2 3 2 2" xfId="14775" xr:uid="{FF0F52F8-86F4-4522-B27A-473847B71866}"/>
    <cellStyle name="Normal 82 2 3 3" xfId="12746" xr:uid="{952C5653-4EFA-4A2F-936A-AE5E2EA3497E}"/>
    <cellStyle name="Normal 82 2 4" xfId="9173" xr:uid="{F394EB80-114A-4D11-AE24-E887BA48BA41}"/>
    <cellStyle name="Normal 82 2 4 2" xfId="11242" xr:uid="{82D2E313-001A-457E-8B7D-090EC020C068}"/>
    <cellStyle name="Normal 82 2 4 2 2" xfId="15448" xr:uid="{30AC108A-E772-4C3A-AD3D-BAD913D3489D}"/>
    <cellStyle name="Normal 82 2 4 3" xfId="13419" xr:uid="{9DF32F1C-B924-4377-A3FF-7A1544BAC158}"/>
    <cellStyle name="Normal 82 2 5" xfId="9541" xr:uid="{DDFFA620-DC0E-47FC-B135-D54E9411704D}"/>
    <cellStyle name="Normal 82 2 5 2" xfId="11575" xr:uid="{8014C16F-50A1-4E30-9F56-18C50B368245}"/>
    <cellStyle name="Normal 82 2 5 2 2" xfId="15781" xr:uid="{C88C4BBE-02B5-4C45-9574-F208E76CC93A}"/>
    <cellStyle name="Normal 82 2 5 3" xfId="13752" xr:uid="{B404D8E4-6148-4303-A814-15D38AB2A23B}"/>
    <cellStyle name="Normal 82 2 6" xfId="9899" xr:uid="{345AF54E-4B16-42F5-A06C-FA079E1318A9}"/>
    <cellStyle name="Normal 82 2 6 2" xfId="14105" xr:uid="{D120E045-84D5-447F-9F43-930284655B42}"/>
    <cellStyle name="Normal 82 2 7" xfId="12076" xr:uid="{4CA1CD2A-2D26-443D-83EB-94943C0BF33C}"/>
    <cellStyle name="Normal 82 3" xfId="8001" xr:uid="{30492D45-2857-4AA4-B114-E0E7A2327F4D}"/>
    <cellStyle name="Normal 82 3 2" xfId="8671" xr:uid="{4E5557E4-28AE-46D8-8576-3D57B2BF60E5}"/>
    <cellStyle name="Normal 82 3 2 2" xfId="10740" xr:uid="{F4F498A5-B765-4181-8E99-6FE2AD39EAAC}"/>
    <cellStyle name="Normal 82 3 2 2 2" xfId="14946" xr:uid="{B567CBB1-E009-48BA-A2C6-050A65505B0B}"/>
    <cellStyle name="Normal 82 3 2 3" xfId="12917" xr:uid="{A41E511D-B08B-48AC-BF30-CDCE9116CB62}"/>
    <cellStyle name="Normal 82 3 3" xfId="10070" xr:uid="{7562B30E-0CBE-47CE-B476-AEB6B1C1DB31}"/>
    <cellStyle name="Normal 82 3 3 2" xfId="14276" xr:uid="{552F0822-8390-4F02-84FE-BA148EEADAED}"/>
    <cellStyle name="Normal 82 3 4" xfId="12247" xr:uid="{E75AB1F9-50D3-4AA2-8A63-5103BC40AAA3}"/>
    <cellStyle name="Normal 82 4" xfId="8337" xr:uid="{C2469444-A87F-45E5-82CD-2A8809EFEF6C}"/>
    <cellStyle name="Normal 82 4 2" xfId="10406" xr:uid="{89B3828D-184D-425D-9B15-48BDFFF107A3}"/>
    <cellStyle name="Normal 82 4 2 2" xfId="14612" xr:uid="{45C8F287-72A6-4B99-98AE-87051348B724}"/>
    <cellStyle name="Normal 82 4 3" xfId="12583" xr:uid="{52D3CE9B-9972-4198-9B89-948C715003AD}"/>
    <cellStyle name="Normal 82 5" xfId="9010" xr:uid="{958B48D4-3AA0-48F8-8BFA-DC0A790FC9A1}"/>
    <cellStyle name="Normal 82 5 2" xfId="11079" xr:uid="{65A2EA01-9032-4348-B6C9-4FDCCD7D1DD0}"/>
    <cellStyle name="Normal 82 5 2 2" xfId="15285" xr:uid="{D14760F6-278C-452D-B5B6-445E1558425C}"/>
    <cellStyle name="Normal 82 5 3" xfId="13256" xr:uid="{766EAC98-AD61-413F-B281-3DBFEEEA63CA}"/>
    <cellStyle name="Normal 82 6" xfId="9378" xr:uid="{38B6FF3C-90C8-4B25-8D28-1BB47676BFE6}"/>
    <cellStyle name="Normal 82 6 2" xfId="11412" xr:uid="{7316898F-9E26-47F8-AC88-2F9DBCE32DDE}"/>
    <cellStyle name="Normal 82 6 2 2" xfId="15618" xr:uid="{0B3B81E5-6305-4B7C-A719-9312FF56D382}"/>
    <cellStyle name="Normal 82 6 3" xfId="13589" xr:uid="{523DAAB2-805B-4F33-8C14-EC442A3E4572}"/>
    <cellStyle name="Normal 82 7" xfId="9736" xr:uid="{2BB5F5A9-0068-4822-BD43-D29C9E166BC0}"/>
    <cellStyle name="Normal 82 7 2" xfId="13942" xr:uid="{5B5EEFBB-504B-4970-8A2F-E1BFBD49705C}"/>
    <cellStyle name="Normal 82 8" xfId="11913" xr:uid="{B5949FD8-E3F3-43F9-97E7-2BFE0F6AED1D}"/>
    <cellStyle name="Normal 83" xfId="7595" xr:uid="{BBDCF209-EE58-470B-BC4F-76443D120F16}"/>
    <cellStyle name="Normal 83 2" xfId="7794" xr:uid="{87D74568-AECC-4776-B33C-16A7D320D868}"/>
    <cellStyle name="Normal 83 2 2" xfId="8165" xr:uid="{1E7575D8-90D3-4C09-A6E5-0BBB9DBAC163}"/>
    <cellStyle name="Normal 83 2 2 2" xfId="8835" xr:uid="{F27495BA-D79A-46CD-A55F-B5202C6B9134}"/>
    <cellStyle name="Normal 83 2 2 2 2" xfId="10904" xr:uid="{889DA32C-34E2-4ADC-A489-1846A2102141}"/>
    <cellStyle name="Normal 83 2 2 2 2 2" xfId="15110" xr:uid="{484084F0-60D0-4551-9AB3-861AD745BA36}"/>
    <cellStyle name="Normal 83 2 2 2 3" xfId="13081" xr:uid="{A5650082-E881-49A4-8F92-CED6E8A7CF2D}"/>
    <cellStyle name="Normal 83 2 2 3" xfId="10234" xr:uid="{EC2F7FD3-78E4-4C0D-A4B4-1BA7755F63A9}"/>
    <cellStyle name="Normal 83 2 2 3 2" xfId="14440" xr:uid="{120D43FA-71AC-486D-8B32-71800A20F559}"/>
    <cellStyle name="Normal 83 2 2 4" xfId="12411" xr:uid="{D6A1BB74-28EB-44E3-9194-CDFE6AD91888}"/>
    <cellStyle name="Normal 83 2 3" xfId="8501" xr:uid="{94C5FB9B-C474-486D-8ADC-7DA05AF08A5D}"/>
    <cellStyle name="Normal 83 2 3 2" xfId="10570" xr:uid="{B293E3AF-EC65-4C03-B6D0-789A857D3D8B}"/>
    <cellStyle name="Normal 83 2 3 2 2" xfId="14776" xr:uid="{1C8DB131-F0D0-4671-AFCB-5B448F91732A}"/>
    <cellStyle name="Normal 83 2 3 3" xfId="12747" xr:uid="{1242A4C2-7925-4A65-B3EA-F5E4103FF992}"/>
    <cellStyle name="Normal 83 2 4" xfId="9174" xr:uid="{D8820746-C84B-41FB-8130-B6B14F6C21C4}"/>
    <cellStyle name="Normal 83 2 4 2" xfId="11243" xr:uid="{594E0A83-FD73-4C59-B32D-8BCF0FCB8FA9}"/>
    <cellStyle name="Normal 83 2 4 2 2" xfId="15449" xr:uid="{19A12152-3ACE-47EE-B088-B1CDEFE72AD3}"/>
    <cellStyle name="Normal 83 2 4 3" xfId="13420" xr:uid="{51900AC3-C3A2-44E6-A243-0989AE538B34}"/>
    <cellStyle name="Normal 83 2 5" xfId="9542" xr:uid="{DD8A5969-A43F-4F71-8939-7A7F1C88D5D2}"/>
    <cellStyle name="Normal 83 2 5 2" xfId="11576" xr:uid="{B3C01EB9-87DB-4372-8A63-E0D94EAA42C2}"/>
    <cellStyle name="Normal 83 2 5 2 2" xfId="15782" xr:uid="{B6165999-5D3E-4AA2-B11F-B88A6D0E2EF0}"/>
    <cellStyle name="Normal 83 2 5 3" xfId="13753" xr:uid="{67686B99-3C4B-4DDC-A87E-9CEA1003E3C2}"/>
    <cellStyle name="Normal 83 2 6" xfId="9900" xr:uid="{024E77D8-0B66-4396-AC05-B334B123F08E}"/>
    <cellStyle name="Normal 83 2 6 2" xfId="14106" xr:uid="{1B1DCEC6-2FB5-4AE0-835B-6343FE04F6A8}"/>
    <cellStyle name="Normal 83 2 7" xfId="12077" xr:uid="{4DD840AA-CF4D-4733-B537-BDC104FE63AE}"/>
    <cellStyle name="Normal 83 3" xfId="8002" xr:uid="{9D1B2288-EFBC-46B7-AB7D-DAC175531CE8}"/>
    <cellStyle name="Normal 83 3 2" xfId="8672" xr:uid="{533BA562-AC65-4695-988C-C5CF681C8A63}"/>
    <cellStyle name="Normal 83 3 2 2" xfId="10741" xr:uid="{CD288AB5-637D-4D95-8911-776CF81C293D}"/>
    <cellStyle name="Normal 83 3 2 2 2" xfId="14947" xr:uid="{FFC096FA-023E-4A2D-BB50-F17FF56A05B7}"/>
    <cellStyle name="Normal 83 3 2 3" xfId="12918" xr:uid="{4D9FE2F2-580B-49D9-B011-45E41260BEFF}"/>
    <cellStyle name="Normal 83 3 3" xfId="10071" xr:uid="{8B3F5BA1-99CA-4589-A1C4-4817289B440A}"/>
    <cellStyle name="Normal 83 3 3 2" xfId="14277" xr:uid="{6961F04E-347C-4B48-AF63-00A0919C1243}"/>
    <cellStyle name="Normal 83 3 4" xfId="12248" xr:uid="{6254AC75-0B6E-4D3B-9F5B-89A30E639FE8}"/>
    <cellStyle name="Normal 83 4" xfId="8338" xr:uid="{86A93FC3-1527-43C4-9D50-AEF08F743E78}"/>
    <cellStyle name="Normal 83 4 2" xfId="10407" xr:uid="{E3C28EB7-E314-4E97-A7AA-5752BD9D7FD4}"/>
    <cellStyle name="Normal 83 4 2 2" xfId="14613" xr:uid="{93C7230D-B759-4691-92F9-E5EABC11CF5C}"/>
    <cellStyle name="Normal 83 4 3" xfId="12584" xr:uid="{03E33D77-27F6-49FE-ACC5-71C2CB044D73}"/>
    <cellStyle name="Normal 83 5" xfId="9011" xr:uid="{6B958AC9-C035-4449-B4CC-46566EB1049D}"/>
    <cellStyle name="Normal 83 5 2" xfId="11080" xr:uid="{F82D6B9F-1E1F-4981-A47A-1C082045165A}"/>
    <cellStyle name="Normal 83 5 2 2" xfId="15286" xr:uid="{3BC32E40-6F7A-4D6D-9410-5563F2BF3306}"/>
    <cellStyle name="Normal 83 5 3" xfId="13257" xr:uid="{B4448631-8642-4575-BEDB-59B0EC9C792C}"/>
    <cellStyle name="Normal 83 6" xfId="9379" xr:uid="{566243D7-5B34-424D-BF1A-45536BF4C1BC}"/>
    <cellStyle name="Normal 83 6 2" xfId="11413" xr:uid="{DE2FCFD2-E324-427E-8CAE-3A11B76A7A41}"/>
    <cellStyle name="Normal 83 6 2 2" xfId="15619" xr:uid="{A5D75239-B0CD-4BCB-AA86-174786BEA1F9}"/>
    <cellStyle name="Normal 83 6 3" xfId="13590" xr:uid="{E997FA63-3A13-4EDC-B137-6045921179AC}"/>
    <cellStyle name="Normal 83 7" xfId="9737" xr:uid="{B74F334E-D860-463E-8C4F-E392513AF7C2}"/>
    <cellStyle name="Normal 83 7 2" xfId="13943" xr:uid="{AFE5CBE1-851A-4B25-807B-627784AEC046}"/>
    <cellStyle name="Normal 83 8" xfId="11914" xr:uid="{0CC5C6F8-F58B-4C02-8A43-6A4488FDB931}"/>
    <cellStyle name="Normal 84" xfId="7596" xr:uid="{577E1C23-FD02-40BA-9853-D03FABDA8577}"/>
    <cellStyle name="Normal 84 2" xfId="7795" xr:uid="{14F1F1C0-FC7E-4235-A52D-D637BF7D5346}"/>
    <cellStyle name="Normal 84 2 2" xfId="8166" xr:uid="{BCE1B0D5-7FD8-4865-B4CA-D4B687613EF9}"/>
    <cellStyle name="Normal 84 2 2 2" xfId="8836" xr:uid="{3BCD6F00-FFC9-41F1-A2F6-0D58501EBE45}"/>
    <cellStyle name="Normal 84 2 2 2 2" xfId="10905" xr:uid="{1E025324-CDF3-4560-9D9C-B0CD98CE816E}"/>
    <cellStyle name="Normal 84 2 2 2 2 2" xfId="15111" xr:uid="{9A1ACCDD-B975-4019-9F4C-9C1DA451B9DE}"/>
    <cellStyle name="Normal 84 2 2 2 3" xfId="13082" xr:uid="{4D7DC179-45C2-40E3-802B-83DA76E3B48E}"/>
    <cellStyle name="Normal 84 2 2 3" xfId="10235" xr:uid="{AFFD0C91-F43C-4B95-8E52-957E4C6BACC4}"/>
    <cellStyle name="Normal 84 2 2 3 2" xfId="14441" xr:uid="{C8001558-C15B-4DD1-9D45-C1DAC16E8781}"/>
    <cellStyle name="Normal 84 2 2 4" xfId="12412" xr:uid="{5DE6E824-686D-43A6-B4BD-674759AF0EBC}"/>
    <cellStyle name="Normal 84 2 3" xfId="8502" xr:uid="{B3432796-DC7E-4C32-ADF0-59F85DB37019}"/>
    <cellStyle name="Normal 84 2 3 2" xfId="10571" xr:uid="{ED3C5AA5-824C-48F9-87D4-1C0098FB9C42}"/>
    <cellStyle name="Normal 84 2 3 2 2" xfId="14777" xr:uid="{EE2426C9-107D-4159-87A1-A86D146FBE78}"/>
    <cellStyle name="Normal 84 2 3 3" xfId="12748" xr:uid="{81575C8A-B2AC-48BB-A86F-B0760205FE3C}"/>
    <cellStyle name="Normal 84 2 4" xfId="9175" xr:uid="{FC7FB96A-3D42-46CD-A42C-A15255A7C422}"/>
    <cellStyle name="Normal 84 2 4 2" xfId="11244" xr:uid="{469B0904-E83B-4DB3-BFB7-4A7027201389}"/>
    <cellStyle name="Normal 84 2 4 2 2" xfId="15450" xr:uid="{38C00960-CFBE-4F85-BCEF-FF297F95FBCB}"/>
    <cellStyle name="Normal 84 2 4 3" xfId="13421" xr:uid="{EFFFFCE3-4E8F-41EC-AFC9-1418D785D76F}"/>
    <cellStyle name="Normal 84 2 5" xfId="9543" xr:uid="{5CE5A63A-CAF8-480D-8E39-4B6FC9D5CEB4}"/>
    <cellStyle name="Normal 84 2 5 2" xfId="11577" xr:uid="{292C61D6-D230-45DB-B225-7EF8D41B5BF8}"/>
    <cellStyle name="Normal 84 2 5 2 2" xfId="15783" xr:uid="{14CE2E5E-D16C-44BC-B90C-A1BF835E9C8D}"/>
    <cellStyle name="Normal 84 2 5 3" xfId="13754" xr:uid="{03030263-9EF5-404E-976A-ED2822AA9F94}"/>
    <cellStyle name="Normal 84 2 6" xfId="9901" xr:uid="{81302E97-898F-44DA-A08B-8A4918975E4D}"/>
    <cellStyle name="Normal 84 2 6 2" xfId="14107" xr:uid="{F6D7AD4F-18B4-40BD-A0B6-3651785E98EE}"/>
    <cellStyle name="Normal 84 2 7" xfId="12078" xr:uid="{E5307E2C-7FB6-4F50-81E9-51906E756160}"/>
    <cellStyle name="Normal 84 3" xfId="8003" xr:uid="{B30D0B1E-C9B2-4372-BD5E-6874C2CF2761}"/>
    <cellStyle name="Normal 84 3 2" xfId="8673" xr:uid="{9012E3A3-26DD-4041-AF81-8C9E90B9930A}"/>
    <cellStyle name="Normal 84 3 2 2" xfId="10742" xr:uid="{F5026D2F-C2AD-4555-9AC5-B59DDBE502F8}"/>
    <cellStyle name="Normal 84 3 2 2 2" xfId="14948" xr:uid="{13D48E7D-0920-4331-BF47-00C7BD1B3328}"/>
    <cellStyle name="Normal 84 3 2 3" xfId="12919" xr:uid="{50FE22BA-18EC-4C33-95CB-501DA73FCF94}"/>
    <cellStyle name="Normal 84 3 3" xfId="10072" xr:uid="{FC080BA8-0166-46B0-B5B6-F4452C649D8D}"/>
    <cellStyle name="Normal 84 3 3 2" xfId="14278" xr:uid="{4E33F4BF-6BD4-4F7D-A618-9C2C506D6EC2}"/>
    <cellStyle name="Normal 84 3 4" xfId="12249" xr:uid="{5C6E2790-B911-4F1B-A2C4-3FFA1A7DC473}"/>
    <cellStyle name="Normal 84 4" xfId="8339" xr:uid="{6C40A9F1-E27B-40E6-B02A-EB89616B7224}"/>
    <cellStyle name="Normal 84 4 2" xfId="10408" xr:uid="{8282C70D-173C-434D-B9A6-EE6756646F08}"/>
    <cellStyle name="Normal 84 4 2 2" xfId="14614" xr:uid="{28B15FD8-F8D2-4A5A-8952-D73E15B388D4}"/>
    <cellStyle name="Normal 84 4 3" xfId="12585" xr:uid="{7C0A3F3F-1710-4EA4-AE43-B003EFAE0B83}"/>
    <cellStyle name="Normal 84 5" xfId="9012" xr:uid="{0B91902C-D319-4274-9F09-574CB100D070}"/>
    <cellStyle name="Normal 84 5 2" xfId="11081" xr:uid="{FBD2B8C2-A3D3-494A-8749-A847E98D5FF7}"/>
    <cellStyle name="Normal 84 5 2 2" xfId="15287" xr:uid="{550ECAE9-2358-4416-8FBC-446AA594B783}"/>
    <cellStyle name="Normal 84 5 3" xfId="13258" xr:uid="{6DCB8C6E-3004-4C36-97A2-4744CF807F45}"/>
    <cellStyle name="Normal 84 6" xfId="9380" xr:uid="{EAF0FCA4-0E0E-449B-99D8-E6D2A4D68947}"/>
    <cellStyle name="Normal 84 6 2" xfId="11414" xr:uid="{51806683-CFAC-4B8B-AD11-2A5D57E4E685}"/>
    <cellStyle name="Normal 84 6 2 2" xfId="15620" xr:uid="{01563CC9-8EA2-4DB8-81F4-3B39FBD9B603}"/>
    <cellStyle name="Normal 84 6 3" xfId="13591" xr:uid="{7CB85DE1-8722-4008-A49F-0862364807C7}"/>
    <cellStyle name="Normal 84 7" xfId="9738" xr:uid="{2307FBF5-777B-4401-9A7C-B542C9C0380B}"/>
    <cellStyle name="Normal 84 7 2" xfId="13944" xr:uid="{347E6C3D-9271-4FCB-B21B-E34193D5CF6F}"/>
    <cellStyle name="Normal 84 8" xfId="11915" xr:uid="{FBE73721-1674-40E1-AE7B-E5DC9E538515}"/>
    <cellStyle name="Normal 85" xfId="7597" xr:uid="{BC9F4475-D802-4AC1-A533-2D679B65BDC2}"/>
    <cellStyle name="Normal 85 2" xfId="7796" xr:uid="{35B629C6-EBF9-4768-9C60-22C3FDBDB6B9}"/>
    <cellStyle name="Normal 85 2 2" xfId="8167" xr:uid="{AB14E815-AED0-4750-8B3A-C9CA580425A3}"/>
    <cellStyle name="Normal 85 2 2 2" xfId="8837" xr:uid="{6542A0C8-2D3F-45E9-86EA-D777106DF60A}"/>
    <cellStyle name="Normal 85 2 2 2 2" xfId="10906" xr:uid="{A60B0F4F-B0A3-49CF-B447-4A9E6E7F2A6F}"/>
    <cellStyle name="Normal 85 2 2 2 2 2" xfId="15112" xr:uid="{21D018A2-45E0-40A6-9E4E-120FBA6282E2}"/>
    <cellStyle name="Normal 85 2 2 2 3" xfId="13083" xr:uid="{E3383DF2-77EC-41B3-9FC4-466D44E78D4E}"/>
    <cellStyle name="Normal 85 2 2 3" xfId="10236" xr:uid="{8ED52593-5B19-453F-9DA0-57860317F520}"/>
    <cellStyle name="Normal 85 2 2 3 2" xfId="14442" xr:uid="{65FD2813-AB80-4CEB-87C3-6511B50F6259}"/>
    <cellStyle name="Normal 85 2 2 4" xfId="12413" xr:uid="{9DF5B051-6351-461C-9B2A-5A2F7520DF7B}"/>
    <cellStyle name="Normal 85 2 3" xfId="8503" xr:uid="{E158E04F-7856-42BB-A394-97E834606C8B}"/>
    <cellStyle name="Normal 85 2 3 2" xfId="10572" xr:uid="{8626E836-CD72-4E44-9488-2400A02071B4}"/>
    <cellStyle name="Normal 85 2 3 2 2" xfId="14778" xr:uid="{F27501F2-C7FF-4E8B-928E-D918FDA0CFD5}"/>
    <cellStyle name="Normal 85 2 3 3" xfId="12749" xr:uid="{691BAD75-9F3F-4D80-B253-6924AD3E71C5}"/>
    <cellStyle name="Normal 85 2 4" xfId="9176" xr:uid="{A4E49068-1043-4B4B-86B5-2D11C59BAF98}"/>
    <cellStyle name="Normal 85 2 4 2" xfId="11245" xr:uid="{5D0C50C9-8DA2-4D26-9D06-3D173A957D08}"/>
    <cellStyle name="Normal 85 2 4 2 2" xfId="15451" xr:uid="{F788724B-D338-495F-8E95-8A0D8AE79DF8}"/>
    <cellStyle name="Normal 85 2 4 3" xfId="13422" xr:uid="{22141DB2-7F6F-4DFD-B766-825F6E9F3278}"/>
    <cellStyle name="Normal 85 2 5" xfId="9544" xr:uid="{AA446D6B-AA13-4B78-A229-F81800680DB4}"/>
    <cellStyle name="Normal 85 2 5 2" xfId="11578" xr:uid="{F2E34983-B6C9-452A-AC9C-B05684564905}"/>
    <cellStyle name="Normal 85 2 5 2 2" xfId="15784" xr:uid="{0FA966DB-DF5E-4970-AF03-C08421687A39}"/>
    <cellStyle name="Normal 85 2 5 3" xfId="13755" xr:uid="{732064B1-4182-4D04-A74C-A5B54BB26339}"/>
    <cellStyle name="Normal 85 2 6" xfId="9902" xr:uid="{3CC03B66-7F83-4CE6-A41C-24CBF69BAF03}"/>
    <cellStyle name="Normal 85 2 6 2" xfId="14108" xr:uid="{2EBDDD83-6835-4207-BA22-C9C3FD747A59}"/>
    <cellStyle name="Normal 85 2 7" xfId="12079" xr:uid="{88EC0D70-A0F0-4CF3-9F18-6EB0635CC3FA}"/>
    <cellStyle name="Normal 85 3" xfId="8004" xr:uid="{C72EE581-9BAD-40E1-819E-87C2B1608DB2}"/>
    <cellStyle name="Normal 85 3 2" xfId="8674" xr:uid="{BC6731C6-B4C2-4900-804A-CF03494B8FA2}"/>
    <cellStyle name="Normal 85 3 2 2" xfId="10743" xr:uid="{7CA7FE8B-B7B2-48B7-B652-86E9BDB40D38}"/>
    <cellStyle name="Normal 85 3 2 2 2" xfId="14949" xr:uid="{C5071A32-6028-403D-9C19-950E9842FAD2}"/>
    <cellStyle name="Normal 85 3 2 3" xfId="12920" xr:uid="{B86FCA37-FDDC-4426-A8BD-6D629B74615B}"/>
    <cellStyle name="Normal 85 3 3" xfId="10073" xr:uid="{6E5196A0-5610-4BC6-975F-100FD80FBEA4}"/>
    <cellStyle name="Normal 85 3 3 2" xfId="14279" xr:uid="{FB327FE0-5630-48AD-A027-B2FAED9CE8E6}"/>
    <cellStyle name="Normal 85 3 4" xfId="12250" xr:uid="{5833658F-C107-4D90-B801-53F2A78A690A}"/>
    <cellStyle name="Normal 85 4" xfId="8340" xr:uid="{D574CF4C-76B6-4024-B244-DEEA56E24CA7}"/>
    <cellStyle name="Normal 85 4 2" xfId="10409" xr:uid="{4ED904B7-4A88-41AF-A534-275AFB6CB336}"/>
    <cellStyle name="Normal 85 4 2 2" xfId="14615" xr:uid="{C1EC533B-27B1-49A1-9730-337C63EA2536}"/>
    <cellStyle name="Normal 85 4 3" xfId="12586" xr:uid="{52AF111B-DCAB-4432-8637-D93394E4441E}"/>
    <cellStyle name="Normal 85 5" xfId="9013" xr:uid="{E7CB3B3A-5216-4BC6-A0D0-529384C1A666}"/>
    <cellStyle name="Normal 85 5 2" xfId="11082" xr:uid="{A56052B2-FC08-46E5-AF7E-A20FB6594A6E}"/>
    <cellStyle name="Normal 85 5 2 2" xfId="15288" xr:uid="{770A12E0-0DD2-4AEB-AA21-227163FE2292}"/>
    <cellStyle name="Normal 85 5 3" xfId="13259" xr:uid="{A0E770CA-A0E5-4C1D-9F47-22377B6CA02F}"/>
    <cellStyle name="Normal 85 6" xfId="9381" xr:uid="{E50212F6-4444-4ED8-A228-59A9F9740001}"/>
    <cellStyle name="Normal 85 6 2" xfId="11415" xr:uid="{70503CE8-A463-440A-83D1-C299539B7A86}"/>
    <cellStyle name="Normal 85 6 2 2" xfId="15621" xr:uid="{8C2C263D-C5EE-42F5-9DA9-9DEDA756BDF3}"/>
    <cellStyle name="Normal 85 6 3" xfId="13592" xr:uid="{8BFC43C3-5081-4780-A925-6D261423616A}"/>
    <cellStyle name="Normal 85 7" xfId="9739" xr:uid="{50F363C5-AE42-4A96-BC93-58517B884DBC}"/>
    <cellStyle name="Normal 85 7 2" xfId="13945" xr:uid="{6E98E1F9-C02B-4342-B3B8-988D1B08ADB3}"/>
    <cellStyle name="Normal 85 8" xfId="11916" xr:uid="{6C904627-AD2A-4EAD-A15A-A8009EBA88D8}"/>
    <cellStyle name="Normal 86" xfId="7598" xr:uid="{0EA00787-E315-4EF5-AB6A-5232E67C08E5}"/>
    <cellStyle name="Normal 86 2" xfId="7797" xr:uid="{ED34CCA6-4281-4E01-A339-5201880AC55A}"/>
    <cellStyle name="Normal 86 2 2" xfId="8168" xr:uid="{8E3E57EC-45F4-4E18-948C-7EACE02295F7}"/>
    <cellStyle name="Normal 86 2 2 2" xfId="8838" xr:uid="{86D632D6-1CDE-404D-A638-BD695F6FCEC2}"/>
    <cellStyle name="Normal 86 2 2 2 2" xfId="10907" xr:uid="{E29EDF90-DCB3-4384-AC96-2F0B1FEC37BF}"/>
    <cellStyle name="Normal 86 2 2 2 2 2" xfId="15113" xr:uid="{885FA57F-2F8B-464B-A33D-FFB2220FB093}"/>
    <cellStyle name="Normal 86 2 2 2 3" xfId="13084" xr:uid="{399A1D87-3588-486E-9FC6-895B6DF4946B}"/>
    <cellStyle name="Normal 86 2 2 3" xfId="10237" xr:uid="{636B5525-071D-4BCF-A81E-5FD609534DE6}"/>
    <cellStyle name="Normal 86 2 2 3 2" xfId="14443" xr:uid="{684A1835-E12D-420E-8100-F1A4EF8305F2}"/>
    <cellStyle name="Normal 86 2 2 4" xfId="12414" xr:uid="{E44BF389-19E2-4B09-93AF-E8A39CA7B661}"/>
    <cellStyle name="Normal 86 2 3" xfId="8504" xr:uid="{3FDC45A1-A727-4DDA-913D-5D554E44FE55}"/>
    <cellStyle name="Normal 86 2 3 2" xfId="10573" xr:uid="{0D80E7CB-4391-4A04-9BF4-C30F26E1ED35}"/>
    <cellStyle name="Normal 86 2 3 2 2" xfId="14779" xr:uid="{F2AAAF60-4B83-4B32-825E-2585782F175F}"/>
    <cellStyle name="Normal 86 2 3 3" xfId="12750" xr:uid="{7B764855-4432-46FE-A442-4A64CBE96E02}"/>
    <cellStyle name="Normal 86 2 4" xfId="9177" xr:uid="{0A34F7D9-E673-417E-B011-B52CBD64C099}"/>
    <cellStyle name="Normal 86 2 4 2" xfId="11246" xr:uid="{2B60920F-B663-466D-B48C-2B4421CE2E14}"/>
    <cellStyle name="Normal 86 2 4 2 2" xfId="15452" xr:uid="{BEFDC0EE-0713-4127-91CE-AAFC08BA490D}"/>
    <cellStyle name="Normal 86 2 4 3" xfId="13423" xr:uid="{EE7D0223-BABC-44B9-9612-3727CCE9F802}"/>
    <cellStyle name="Normal 86 2 5" xfId="9545" xr:uid="{024773FB-7F41-45C1-AFF7-1B06B965EB3D}"/>
    <cellStyle name="Normal 86 2 5 2" xfId="11579" xr:uid="{C8921F7B-5615-48AF-8DA7-BE892A210F93}"/>
    <cellStyle name="Normal 86 2 5 2 2" xfId="15785" xr:uid="{D2F3D599-BAFF-4F45-9DA0-FFD80ECD2672}"/>
    <cellStyle name="Normal 86 2 5 3" xfId="13756" xr:uid="{A0914243-1943-4DBF-A8CC-5CF256A456F9}"/>
    <cellStyle name="Normal 86 2 6" xfId="9903" xr:uid="{C53A3362-3C2A-48AD-9D73-C08378AF496A}"/>
    <cellStyle name="Normal 86 2 6 2" xfId="14109" xr:uid="{ED7CFA14-DCDA-4C0A-BB07-C197BCB824AC}"/>
    <cellStyle name="Normal 86 2 7" xfId="12080" xr:uid="{2AC7F409-4EB6-4B05-936D-7EAACAA8D1B1}"/>
    <cellStyle name="Normal 86 3" xfId="8005" xr:uid="{C3F13345-AB3C-4E07-A57B-4D574B0E0A93}"/>
    <cellStyle name="Normal 86 3 2" xfId="8675" xr:uid="{A3839656-AE56-479D-97A6-9F9A884B5E6D}"/>
    <cellStyle name="Normal 86 3 2 2" xfId="10744" xr:uid="{251805CE-045B-4781-8877-F6644B9B6DAD}"/>
    <cellStyle name="Normal 86 3 2 2 2" xfId="14950" xr:uid="{1E6883C7-1D8D-4F1D-ADEC-E30B7D601884}"/>
    <cellStyle name="Normal 86 3 2 3" xfId="12921" xr:uid="{94137750-0C10-4CF5-8F1E-0B45150FC41F}"/>
    <cellStyle name="Normal 86 3 3" xfId="10074" xr:uid="{7A37020D-4C13-4BEF-83D0-9404DDA9867E}"/>
    <cellStyle name="Normal 86 3 3 2" xfId="14280" xr:uid="{5F7A91BE-B9DF-4FE2-929F-7A258A5CF1AB}"/>
    <cellStyle name="Normal 86 3 4" xfId="12251" xr:uid="{463A3F9E-15C4-4119-A65D-BBF86769E45B}"/>
    <cellStyle name="Normal 86 4" xfId="8341" xr:uid="{E69E3A2E-AFC1-496C-B7B8-DB6E18A0A14A}"/>
    <cellStyle name="Normal 86 4 2" xfId="10410" xr:uid="{EF60428F-5353-464E-B87B-4CBA06C883A5}"/>
    <cellStyle name="Normal 86 4 2 2" xfId="14616" xr:uid="{0C85711B-C7CA-4466-A189-654D45FA8955}"/>
    <cellStyle name="Normal 86 4 3" xfId="12587" xr:uid="{EF457D72-2C3F-4614-A6B2-DB0863556387}"/>
    <cellStyle name="Normal 86 5" xfId="9014" xr:uid="{0B28305F-FD84-45C3-9B1C-9365AFA19E55}"/>
    <cellStyle name="Normal 86 5 2" xfId="11083" xr:uid="{4EF347D0-3E2F-4989-BF57-9DA01F89E92A}"/>
    <cellStyle name="Normal 86 5 2 2" xfId="15289" xr:uid="{9A819F09-26C5-48DD-99AB-BEE204DCAC07}"/>
    <cellStyle name="Normal 86 5 3" xfId="13260" xr:uid="{FF6E6BCA-CB7E-4715-B856-CFCE03EA5F7B}"/>
    <cellStyle name="Normal 86 6" xfId="9382" xr:uid="{8E68E503-CE4B-4452-98FC-8EE8E968B4EB}"/>
    <cellStyle name="Normal 86 6 2" xfId="11416" xr:uid="{8AED2EA9-E62D-451D-B034-B3DD245F138F}"/>
    <cellStyle name="Normal 86 6 2 2" xfId="15622" xr:uid="{840B7BEF-86C3-42A8-BA39-55AB150E568A}"/>
    <cellStyle name="Normal 86 6 3" xfId="13593" xr:uid="{FCFC7CF0-A77A-4372-B941-826384BBFB2D}"/>
    <cellStyle name="Normal 86 7" xfId="9740" xr:uid="{306768AF-FE18-471A-A177-E9C13035DB47}"/>
    <cellStyle name="Normal 86 7 2" xfId="13946" xr:uid="{F12FD1BA-AF09-4AAA-80DE-CF7A28E58225}"/>
    <cellStyle name="Normal 86 8" xfId="11917" xr:uid="{69A373F0-771B-4F5A-9CB3-1FD0D6B885A2}"/>
    <cellStyle name="Normal 87" xfId="7599" xr:uid="{A00D23BC-8620-4AD5-AFF4-4272747C8910}"/>
    <cellStyle name="Normal 87 2" xfId="7798" xr:uid="{6B26C020-3E56-4EE1-8D08-B0DE7812FC88}"/>
    <cellStyle name="Normal 87 2 2" xfId="8169" xr:uid="{408230D7-AA91-4140-9A67-7034FDA03253}"/>
    <cellStyle name="Normal 87 2 2 2" xfId="8839" xr:uid="{CAFB32B2-3F6C-4E4C-AD13-39A9C52DDC96}"/>
    <cellStyle name="Normal 87 2 2 2 2" xfId="10908" xr:uid="{03A013A7-8A36-4CE8-9CB9-C76E933F8042}"/>
    <cellStyle name="Normal 87 2 2 2 2 2" xfId="15114" xr:uid="{62A51164-A260-4A57-856F-D7DA37F969F4}"/>
    <cellStyle name="Normal 87 2 2 2 3" xfId="13085" xr:uid="{5544DE6D-9336-4210-82F8-8B3F402CF701}"/>
    <cellStyle name="Normal 87 2 2 3" xfId="10238" xr:uid="{BA59EF37-04E4-4B7B-8E30-CDC2EBCE1C8A}"/>
    <cellStyle name="Normal 87 2 2 3 2" xfId="14444" xr:uid="{866E95D9-074D-4AC2-9E93-558ADDBB2515}"/>
    <cellStyle name="Normal 87 2 2 4" xfId="12415" xr:uid="{A6921EF4-2724-4480-9416-3796F8AAEEC3}"/>
    <cellStyle name="Normal 87 2 3" xfId="8505" xr:uid="{6AB379FE-3686-48CA-ADE2-EFC27789C066}"/>
    <cellStyle name="Normal 87 2 3 2" xfId="10574" xr:uid="{6BB41910-FBA6-4063-92CF-C8941139C709}"/>
    <cellStyle name="Normal 87 2 3 2 2" xfId="14780" xr:uid="{CE8C5B7D-86DD-4BC7-84FB-5B7203FEC7C1}"/>
    <cellStyle name="Normal 87 2 3 3" xfId="12751" xr:uid="{3A49AE37-801B-4F00-88A0-CDF2C4870666}"/>
    <cellStyle name="Normal 87 2 4" xfId="9178" xr:uid="{CCDBEC1C-D168-4A32-B60A-148E8D62CB4E}"/>
    <cellStyle name="Normal 87 2 4 2" xfId="11247" xr:uid="{3D23DAB2-BEDB-4F31-AA72-B9EFCBD45AB9}"/>
    <cellStyle name="Normal 87 2 4 2 2" xfId="15453" xr:uid="{0379FE72-1477-4D43-9EF9-1FC6BBC53237}"/>
    <cellStyle name="Normal 87 2 4 3" xfId="13424" xr:uid="{CDA08845-FA66-4130-918D-D62E8DC522E6}"/>
    <cellStyle name="Normal 87 2 5" xfId="9546" xr:uid="{48489DF4-F64A-4162-864E-A907C090686D}"/>
    <cellStyle name="Normal 87 2 5 2" xfId="11580" xr:uid="{8F66CE3C-B633-4293-AB9C-575E1264705C}"/>
    <cellStyle name="Normal 87 2 5 2 2" xfId="15786" xr:uid="{AC89B2B6-0A0E-4049-870D-86D5EF45B986}"/>
    <cellStyle name="Normal 87 2 5 3" xfId="13757" xr:uid="{E2D8BA43-03C6-4581-8549-3C317BC67AB4}"/>
    <cellStyle name="Normal 87 2 6" xfId="9904" xr:uid="{C300A254-0794-4552-BBF8-916DEBDB1349}"/>
    <cellStyle name="Normal 87 2 6 2" xfId="14110" xr:uid="{B1955E2A-AF33-4C7C-86BA-7EE6FCDCD930}"/>
    <cellStyle name="Normal 87 2 7" xfId="12081" xr:uid="{0DB17DAF-FE7E-4766-AF66-94B53AA140A6}"/>
    <cellStyle name="Normal 87 3" xfId="8006" xr:uid="{44D2082D-C0B7-4CE3-B9BA-792584D5BA28}"/>
    <cellStyle name="Normal 87 3 2" xfId="8676" xr:uid="{266A5C08-DD73-4428-AB3E-BBEB3B14DA9F}"/>
    <cellStyle name="Normal 87 3 2 2" xfId="10745" xr:uid="{CB7CED3B-F41E-4B68-95D3-7C823456B0FC}"/>
    <cellStyle name="Normal 87 3 2 2 2" xfId="14951" xr:uid="{D9AF2EE0-5035-4504-9562-ACC8F28AA4D7}"/>
    <cellStyle name="Normal 87 3 2 3" xfId="12922" xr:uid="{E3E37578-395E-4E21-A63A-880771915BE6}"/>
    <cellStyle name="Normal 87 3 3" xfId="10075" xr:uid="{0E65AD2B-A2C3-46DB-B433-41F74A2C0FF4}"/>
    <cellStyle name="Normal 87 3 3 2" xfId="14281" xr:uid="{B1199B6C-B6E4-47AA-A9A5-68C273916174}"/>
    <cellStyle name="Normal 87 3 4" xfId="12252" xr:uid="{E1DB3FD1-67CE-4B60-A540-33CD0C17C45A}"/>
    <cellStyle name="Normal 87 4" xfId="8342" xr:uid="{F8C2834C-961A-452E-AEAD-033738B76327}"/>
    <cellStyle name="Normal 87 4 2" xfId="10411" xr:uid="{F10BE24F-5AE2-46B2-9E6E-AB8B6D1168EA}"/>
    <cellStyle name="Normal 87 4 2 2" xfId="14617" xr:uid="{2FCAF4C5-0E6C-41E8-8A6C-36140FA749EA}"/>
    <cellStyle name="Normal 87 4 3" xfId="12588" xr:uid="{2D1A3690-102E-4508-8D3A-E8B79163E1C1}"/>
    <cellStyle name="Normal 87 5" xfId="9015" xr:uid="{35CF7001-C7C2-4C3A-B982-C3DB38A6A484}"/>
    <cellStyle name="Normal 87 5 2" xfId="11084" xr:uid="{712B8785-9197-45B3-AF57-902438D02A75}"/>
    <cellStyle name="Normal 87 5 2 2" xfId="15290" xr:uid="{59E33547-83B2-41AE-AC97-A1A3F7374003}"/>
    <cellStyle name="Normal 87 5 3" xfId="13261" xr:uid="{A45A4AAB-B70C-4160-88BF-FFE23E41A5FC}"/>
    <cellStyle name="Normal 87 6" xfId="9383" xr:uid="{FEE0EFD7-A9EF-4C60-AA04-43632CA66437}"/>
    <cellStyle name="Normal 87 6 2" xfId="11417" xr:uid="{5B81B554-2571-45D5-9297-D81FAF5D3201}"/>
    <cellStyle name="Normal 87 6 2 2" xfId="15623" xr:uid="{97E1D152-3739-447E-9C87-749F674D45D9}"/>
    <cellStyle name="Normal 87 6 3" xfId="13594" xr:uid="{BD9280BA-B1BB-46F4-8214-B136D502A70E}"/>
    <cellStyle name="Normal 87 7" xfId="9741" xr:uid="{2E389361-F3A8-42B3-8876-6952A472E267}"/>
    <cellStyle name="Normal 87 7 2" xfId="13947" xr:uid="{3B4E0833-4066-47F7-99D9-8DDAD5F0638C}"/>
    <cellStyle name="Normal 87 8" xfId="11918" xr:uid="{9A3A7AC1-92DE-4A42-8CD3-45A5B3181EE8}"/>
    <cellStyle name="Normal 88" xfId="7600" xr:uid="{EDBD9606-13CC-4113-A78D-7F4B856260ED}"/>
    <cellStyle name="Normal 88 2" xfId="7799" xr:uid="{9D4BCFD8-3710-485C-BAF7-40B9444930D4}"/>
    <cellStyle name="Normal 88 2 2" xfId="8170" xr:uid="{C402FD9C-5478-4D4E-8D43-F24F12BA81FA}"/>
    <cellStyle name="Normal 88 2 2 2" xfId="8840" xr:uid="{29D2A2C6-EA44-4A02-AAAC-7B1505ACD8BB}"/>
    <cellStyle name="Normal 88 2 2 2 2" xfId="10909" xr:uid="{D452AECB-D0BC-48B7-85A8-1904F9E35AF5}"/>
    <cellStyle name="Normal 88 2 2 2 2 2" xfId="15115" xr:uid="{66D79B33-793B-4803-ADAD-6E98EB243DE5}"/>
    <cellStyle name="Normal 88 2 2 2 3" xfId="13086" xr:uid="{AE0FF1A7-5969-459E-8A73-7207027CE417}"/>
    <cellStyle name="Normal 88 2 2 3" xfId="10239" xr:uid="{CA5475C7-0CD0-4285-95CE-621AE5200ECF}"/>
    <cellStyle name="Normal 88 2 2 3 2" xfId="14445" xr:uid="{D60B72EB-9C2D-4820-85B1-4490243CC0BB}"/>
    <cellStyle name="Normal 88 2 2 4" xfId="12416" xr:uid="{06178DF0-0A3F-4668-A6C8-A321B7DE3FF1}"/>
    <cellStyle name="Normal 88 2 3" xfId="8506" xr:uid="{45DC10A5-7478-4C80-B615-4CC8181EBC94}"/>
    <cellStyle name="Normal 88 2 3 2" xfId="10575" xr:uid="{E22AC839-7E8A-4010-8300-E26A5BCE1BA6}"/>
    <cellStyle name="Normal 88 2 3 2 2" xfId="14781" xr:uid="{93E958D7-EFBE-4455-BE07-415B81C5B776}"/>
    <cellStyle name="Normal 88 2 3 3" xfId="12752" xr:uid="{0A217A2A-F798-418A-80CE-AB30FD2B7AEB}"/>
    <cellStyle name="Normal 88 2 4" xfId="9179" xr:uid="{ABA8172F-B7D2-4F0D-A3F4-801276A8EC19}"/>
    <cellStyle name="Normal 88 2 4 2" xfId="11248" xr:uid="{FFB3B9C6-1758-4141-BAB9-E99FB054BAB0}"/>
    <cellStyle name="Normal 88 2 4 2 2" xfId="15454" xr:uid="{2DE17DDF-9C91-41F4-B873-0E3BB7F99974}"/>
    <cellStyle name="Normal 88 2 4 3" xfId="13425" xr:uid="{19C717A4-5D10-4091-96C1-8FD4D324546E}"/>
    <cellStyle name="Normal 88 2 5" xfId="9547" xr:uid="{3A29B39B-14BE-4E46-89A9-8442B8283DB5}"/>
    <cellStyle name="Normal 88 2 5 2" xfId="11581" xr:uid="{2BF72039-E89F-43CC-99A2-1F711E97542E}"/>
    <cellStyle name="Normal 88 2 5 2 2" xfId="15787" xr:uid="{78FFE94E-7128-4DC8-84FB-FA633F0BFCA1}"/>
    <cellStyle name="Normal 88 2 5 3" xfId="13758" xr:uid="{B8909D8D-F9A2-425D-92BF-07A50C83ED61}"/>
    <cellStyle name="Normal 88 2 6" xfId="9905" xr:uid="{0D861283-8DFA-4D9A-AB0F-08BDD6F15FF6}"/>
    <cellStyle name="Normal 88 2 6 2" xfId="14111" xr:uid="{22740F81-E337-4BBA-9D53-87C57A98DA80}"/>
    <cellStyle name="Normal 88 2 7" xfId="12082" xr:uid="{006065E1-16DA-44DC-8BEE-B7F081E784BA}"/>
    <cellStyle name="Normal 88 3" xfId="8007" xr:uid="{D58CFBDD-61BE-47D4-95F9-11498B0CC442}"/>
    <cellStyle name="Normal 88 3 2" xfId="8677" xr:uid="{6CF102ED-36B7-49C1-9D26-A23641F3274A}"/>
    <cellStyle name="Normal 88 3 2 2" xfId="10746" xr:uid="{0B62CDE0-8E4B-4811-B499-9DE551E0AD6A}"/>
    <cellStyle name="Normal 88 3 2 2 2" xfId="14952" xr:uid="{81DF0066-4652-45AC-BD30-9BB5AEAA1F98}"/>
    <cellStyle name="Normal 88 3 2 3" xfId="12923" xr:uid="{E2BA94BA-EE00-4F92-8F80-1D213657442B}"/>
    <cellStyle name="Normal 88 3 3" xfId="10076" xr:uid="{63C9B7E9-EF52-463E-9BD2-D975BA8A0C8C}"/>
    <cellStyle name="Normal 88 3 3 2" xfId="14282" xr:uid="{3A6351F3-61DC-4EF5-BFDC-041DC26F805B}"/>
    <cellStyle name="Normal 88 3 4" xfId="12253" xr:uid="{2BB2EF65-01D3-465F-9DCC-74507B23F657}"/>
    <cellStyle name="Normal 88 4" xfId="8343" xr:uid="{E2D57F29-8408-4C19-BCA6-EB5FF6AD6E30}"/>
    <cellStyle name="Normal 88 4 2" xfId="10412" xr:uid="{46A0590D-BD0E-497D-B64E-DC7E0F433A00}"/>
    <cellStyle name="Normal 88 4 2 2" xfId="14618" xr:uid="{32CBB15B-9E6F-4CF8-BEF0-4B2570120EC6}"/>
    <cellStyle name="Normal 88 4 3" xfId="12589" xr:uid="{FB9C59F0-4530-4855-9FD7-4A0A66CD921F}"/>
    <cellStyle name="Normal 88 5" xfId="9016" xr:uid="{BD5DF9CA-146E-4DCD-996D-4EC825F705FD}"/>
    <cellStyle name="Normal 88 5 2" xfId="11085" xr:uid="{D1E500CF-453B-4629-A088-9FED4F9FC86C}"/>
    <cellStyle name="Normal 88 5 2 2" xfId="15291" xr:uid="{77824BF3-F2E2-44EE-91FA-09F6F10BED34}"/>
    <cellStyle name="Normal 88 5 3" xfId="13262" xr:uid="{58DE6F4D-EC73-4D6A-92C7-CD6481C6154D}"/>
    <cellStyle name="Normal 88 6" xfId="9384" xr:uid="{1F5CEE13-8F2F-44A2-8255-2EF75144E436}"/>
    <cellStyle name="Normal 88 6 2" xfId="11418" xr:uid="{79A6ED2E-F33B-42E3-BDB7-B4CF5ACECEF0}"/>
    <cellStyle name="Normal 88 6 2 2" xfId="15624" xr:uid="{354B2683-9C9A-4549-97C3-630B02843C4E}"/>
    <cellStyle name="Normal 88 6 3" xfId="13595" xr:uid="{D0C401A5-DFD9-4DB9-B81A-A8297AE98D2B}"/>
    <cellStyle name="Normal 88 7" xfId="9742" xr:uid="{7A5524CD-DF77-4781-BE38-302EFD1E660E}"/>
    <cellStyle name="Normal 88 7 2" xfId="13948" xr:uid="{6C4C52AA-D981-4A27-8C65-5AC6965C44C4}"/>
    <cellStyle name="Normal 88 8" xfId="11919" xr:uid="{055120E5-4808-4BED-A7B0-975202F71732}"/>
    <cellStyle name="Normal 89" xfId="7601" xr:uid="{EA177E67-BDCF-4A14-934E-1683B5E4843A}"/>
    <cellStyle name="Normal 89 2" xfId="7800" xr:uid="{C632EBA9-4087-44AA-9D28-D74C801BAAEA}"/>
    <cellStyle name="Normal 89 2 2" xfId="8171" xr:uid="{1647ACDA-F549-40A5-AB7C-3DBBF385CB18}"/>
    <cellStyle name="Normal 89 2 2 2" xfId="8841" xr:uid="{A7E6A620-13A1-4AEE-ABD8-777698509930}"/>
    <cellStyle name="Normal 89 2 2 2 2" xfId="10910" xr:uid="{397EA516-9F11-4473-BAA2-BD07C1579419}"/>
    <cellStyle name="Normal 89 2 2 2 2 2" xfId="15116" xr:uid="{7F376E89-8A7F-4CB3-B341-4220DE43040B}"/>
    <cellStyle name="Normal 89 2 2 2 3" xfId="13087" xr:uid="{BB2162A7-BFA3-43D3-9D56-4A398653706B}"/>
    <cellStyle name="Normal 89 2 2 3" xfId="10240" xr:uid="{EF16CD76-158C-43F7-AED2-025714F2C80F}"/>
    <cellStyle name="Normal 89 2 2 3 2" xfId="14446" xr:uid="{F58D165B-8781-45B9-AD65-4C7A5FF7FE45}"/>
    <cellStyle name="Normal 89 2 2 4" xfId="12417" xr:uid="{63E918AA-9910-4A36-A730-855E2A84D863}"/>
    <cellStyle name="Normal 89 2 3" xfId="8507" xr:uid="{2A307F8F-C5E2-41BE-AA29-B94F42B23F3C}"/>
    <cellStyle name="Normal 89 2 3 2" xfId="10576" xr:uid="{AD6CE0C6-78A4-4950-BFD6-D1DB20E08BA6}"/>
    <cellStyle name="Normal 89 2 3 2 2" xfId="14782" xr:uid="{DC22726A-858F-4180-8916-6A297CF1C5DC}"/>
    <cellStyle name="Normal 89 2 3 3" xfId="12753" xr:uid="{03E17D67-0197-4501-9D7F-018D1C6E3764}"/>
    <cellStyle name="Normal 89 2 4" xfId="9180" xr:uid="{BEA0048C-F7E3-4121-BED5-AB701A141FFB}"/>
    <cellStyle name="Normal 89 2 4 2" xfId="11249" xr:uid="{116C850E-B7CD-4714-9132-F9B0C97475A0}"/>
    <cellStyle name="Normal 89 2 4 2 2" xfId="15455" xr:uid="{8D370BB4-D86B-4368-B5AF-35F51435246E}"/>
    <cellStyle name="Normal 89 2 4 3" xfId="13426" xr:uid="{586B5A20-42BD-4911-8996-46856031756A}"/>
    <cellStyle name="Normal 89 2 5" xfId="9548" xr:uid="{30684268-F7B0-43E1-96E4-1F73187B31E3}"/>
    <cellStyle name="Normal 89 2 5 2" xfId="11582" xr:uid="{03015A80-25A4-4E26-BA71-F117B1457E3C}"/>
    <cellStyle name="Normal 89 2 5 2 2" xfId="15788" xr:uid="{2C0862DE-E495-41B4-9A78-183E407B3918}"/>
    <cellStyle name="Normal 89 2 5 3" xfId="13759" xr:uid="{B792C200-11B9-4AC5-B395-AADE7CA30882}"/>
    <cellStyle name="Normal 89 2 6" xfId="9906" xr:uid="{D52345AB-F5C5-4602-99E4-C980C0BBA06C}"/>
    <cellStyle name="Normal 89 2 6 2" xfId="14112" xr:uid="{709690D9-A9B9-4139-98A5-2175AFEB31CC}"/>
    <cellStyle name="Normal 89 2 7" xfId="12083" xr:uid="{3744F0BF-7194-4D70-A208-00A50399B819}"/>
    <cellStyle name="Normal 89 3" xfId="8008" xr:uid="{E1589353-E86C-4E30-9D96-3A7D11DC84FE}"/>
    <cellStyle name="Normal 89 3 2" xfId="8678" xr:uid="{1DA5262A-DF27-4574-A20F-C1E51B6F80F3}"/>
    <cellStyle name="Normal 89 3 2 2" xfId="10747" xr:uid="{674D81D3-1DE0-442E-BD95-64B9CA5E04C5}"/>
    <cellStyle name="Normal 89 3 2 2 2" xfId="14953" xr:uid="{B94A56EA-9229-4099-8745-C7507C827E74}"/>
    <cellStyle name="Normal 89 3 2 3" xfId="12924" xr:uid="{0EA1E728-503C-4F07-A557-0F89E072CDE9}"/>
    <cellStyle name="Normal 89 3 3" xfId="10077" xr:uid="{371A6944-A942-40A9-970D-4EC2A09AD869}"/>
    <cellStyle name="Normal 89 3 3 2" xfId="14283" xr:uid="{6DC2E636-539F-4C34-9F03-94B3CDC62E37}"/>
    <cellStyle name="Normal 89 3 4" xfId="12254" xr:uid="{13F22BE4-70A6-466B-A4B2-B413141DC376}"/>
    <cellStyle name="Normal 89 4" xfId="8344" xr:uid="{A04C2541-4D96-4F99-9C3B-3535F15508C7}"/>
    <cellStyle name="Normal 89 4 2" xfId="10413" xr:uid="{5ACDB488-E5C6-476E-A737-8F2D5AE376EF}"/>
    <cellStyle name="Normal 89 4 2 2" xfId="14619" xr:uid="{849A069D-DDEC-4F05-AB29-6C3E4A2C5BC3}"/>
    <cellStyle name="Normal 89 4 3" xfId="12590" xr:uid="{1C54683D-38CA-45C2-B60E-7AF11906EBDE}"/>
    <cellStyle name="Normal 89 5" xfId="9017" xr:uid="{18B832E3-8C6E-47AC-A54C-27DAD6659E8F}"/>
    <cellStyle name="Normal 89 5 2" xfId="11086" xr:uid="{9AAF34BE-6AF6-4341-9975-6D6985AB90B1}"/>
    <cellStyle name="Normal 89 5 2 2" xfId="15292" xr:uid="{7819118A-F5BE-48C9-ACD9-9AC7F769DFDD}"/>
    <cellStyle name="Normal 89 5 3" xfId="13263" xr:uid="{6F938E52-EC59-4A4C-9718-CA604CAC8A67}"/>
    <cellStyle name="Normal 89 6" xfId="9385" xr:uid="{873EFDBE-93B6-48DF-9403-7EF55A95D12F}"/>
    <cellStyle name="Normal 89 6 2" xfId="11419" xr:uid="{A92CD444-F82C-4420-AB73-29AB64F66673}"/>
    <cellStyle name="Normal 89 6 2 2" xfId="15625" xr:uid="{036E8535-5988-443A-BC6C-522DFAFB4652}"/>
    <cellStyle name="Normal 89 6 3" xfId="13596" xr:uid="{0F170DC8-A124-41E1-A669-F71F7E2309FF}"/>
    <cellStyle name="Normal 89 7" xfId="9743" xr:uid="{C229772F-D370-42CB-9544-F2A6433217A5}"/>
    <cellStyle name="Normal 89 7 2" xfId="13949" xr:uid="{2A08C8DF-1ECD-4A57-A286-1CE9BB9B1AAC}"/>
    <cellStyle name="Normal 89 8" xfId="11920" xr:uid="{97DE82D1-4D1B-4AA9-AED0-B12D4E0EF7C3}"/>
    <cellStyle name="Normal 9" xfId="7440" xr:uid="{54CB79B6-2F21-44E4-ADD0-7AD29DE788B6}"/>
    <cellStyle name="Normal 90" xfId="7602" xr:uid="{61067A38-46C7-4EBE-A516-80FE46F9B806}"/>
    <cellStyle name="Normal 90 2" xfId="7801" xr:uid="{BE8F90D9-C77F-4979-9FB5-277D15FA6D9F}"/>
    <cellStyle name="Normal 90 2 2" xfId="8172" xr:uid="{DA224163-A4E9-43DB-960E-09D449C333D1}"/>
    <cellStyle name="Normal 90 2 2 2" xfId="8842" xr:uid="{95EDEC32-16C9-47C3-B725-843E7B0C524B}"/>
    <cellStyle name="Normal 90 2 2 2 2" xfId="10911" xr:uid="{E7DC816B-D1A1-4C63-B3A5-37FD28896828}"/>
    <cellStyle name="Normal 90 2 2 2 2 2" xfId="15117" xr:uid="{615736E9-CFB7-4336-B60E-6A4FFDEB3868}"/>
    <cellStyle name="Normal 90 2 2 2 3" xfId="13088" xr:uid="{A6DE84F6-A553-4F1B-A832-B51D8D349C2D}"/>
    <cellStyle name="Normal 90 2 2 3" xfId="10241" xr:uid="{3BCD7D6A-29EA-4F20-81B6-3B4B80758B46}"/>
    <cellStyle name="Normal 90 2 2 3 2" xfId="14447" xr:uid="{8456B99B-EE27-4670-A144-6019A49DE6CC}"/>
    <cellStyle name="Normal 90 2 2 4" xfId="12418" xr:uid="{FCD083EF-7841-4891-876F-412CCD5AD08E}"/>
    <cellStyle name="Normal 90 2 3" xfId="8508" xr:uid="{B79C922E-9D88-4266-9D11-7FD132D2CE1B}"/>
    <cellStyle name="Normal 90 2 3 2" xfId="10577" xr:uid="{FDFC5601-17FD-4B40-82FD-7490883B7B67}"/>
    <cellStyle name="Normal 90 2 3 2 2" xfId="14783" xr:uid="{D52779E2-0DEC-4667-B149-5896A0F52447}"/>
    <cellStyle name="Normal 90 2 3 3" xfId="12754" xr:uid="{E3AFA904-3609-4677-9958-BB0FB0D79968}"/>
    <cellStyle name="Normal 90 2 4" xfId="9181" xr:uid="{DF76904B-ECF6-453E-97AE-2B67613250FB}"/>
    <cellStyle name="Normal 90 2 4 2" xfId="11250" xr:uid="{832FEB88-7C7C-499D-B4DD-3F50C2B2B04C}"/>
    <cellStyle name="Normal 90 2 4 2 2" xfId="15456" xr:uid="{7EF30E64-10B7-4B68-8FE5-E3ADFD44E081}"/>
    <cellStyle name="Normal 90 2 4 3" xfId="13427" xr:uid="{54ABE905-A057-4BFB-8CF1-C132791F01A9}"/>
    <cellStyle name="Normal 90 2 5" xfId="9549" xr:uid="{6440F936-2909-4413-882B-78998CD88974}"/>
    <cellStyle name="Normal 90 2 5 2" xfId="11583" xr:uid="{59796C28-779D-40E1-94E9-C9C4410C9763}"/>
    <cellStyle name="Normal 90 2 5 2 2" xfId="15789" xr:uid="{B314A94A-6681-41B1-A1BF-33F85EC5CCBE}"/>
    <cellStyle name="Normal 90 2 5 3" xfId="13760" xr:uid="{5BB44CB9-D992-41B6-B0F8-851D7F6442A0}"/>
    <cellStyle name="Normal 90 2 6" xfId="9907" xr:uid="{3A168E96-1406-4307-A0A5-83695DF63B1C}"/>
    <cellStyle name="Normal 90 2 6 2" xfId="14113" xr:uid="{7B33ACE9-3259-43AE-8B02-3AD98260D0A9}"/>
    <cellStyle name="Normal 90 2 7" xfId="12084" xr:uid="{A18CAE08-746E-4E98-8AE1-2C4C7D5A94EC}"/>
    <cellStyle name="Normal 90 3" xfId="8009" xr:uid="{A38D5EBF-6019-4ECA-BA33-25AF62F8D3F3}"/>
    <cellStyle name="Normal 90 3 2" xfId="8679" xr:uid="{1D41D736-809A-4CD0-B490-6A20D34CA8F4}"/>
    <cellStyle name="Normal 90 3 2 2" xfId="10748" xr:uid="{328DCC8E-C37A-43A4-A275-0867204D8F34}"/>
    <cellStyle name="Normal 90 3 2 2 2" xfId="14954" xr:uid="{B572A194-6554-4470-B63A-8935ADDED485}"/>
    <cellStyle name="Normal 90 3 2 3" xfId="12925" xr:uid="{A23DA382-BD3C-4DE0-9814-075DA4176C39}"/>
    <cellStyle name="Normal 90 3 3" xfId="10078" xr:uid="{53264E01-C13B-48DD-8F39-549DB7C0E52D}"/>
    <cellStyle name="Normal 90 3 3 2" xfId="14284" xr:uid="{BF664E55-86D8-485F-BC5C-D2C95C7B1F63}"/>
    <cellStyle name="Normal 90 3 4" xfId="12255" xr:uid="{3EB0AC92-5620-45AD-82C4-209AC50F95B8}"/>
    <cellStyle name="Normal 90 4" xfId="8345" xr:uid="{D72B1522-6740-46A7-96EA-3B0F32238B3C}"/>
    <cellStyle name="Normal 90 4 2" xfId="10414" xr:uid="{E929EA02-F480-43F5-8FAA-0475556C79E4}"/>
    <cellStyle name="Normal 90 4 2 2" xfId="14620" xr:uid="{34E6042E-CFDE-46A7-8D56-7E508359B160}"/>
    <cellStyle name="Normal 90 4 3" xfId="12591" xr:uid="{9469E699-A005-441E-972E-94CE28884AA3}"/>
    <cellStyle name="Normal 90 5" xfId="9018" xr:uid="{05D46259-8EA7-458E-A606-793700497D92}"/>
    <cellStyle name="Normal 90 5 2" xfId="11087" xr:uid="{A84DFFF4-3FD2-4B88-B444-9D955A6286A8}"/>
    <cellStyle name="Normal 90 5 2 2" xfId="15293" xr:uid="{8E5310B7-07EE-4CD4-A4C7-FB6FF0A315DF}"/>
    <cellStyle name="Normal 90 5 3" xfId="13264" xr:uid="{BD18FF45-8851-4C71-A5B7-5A30B0F8E524}"/>
    <cellStyle name="Normal 90 6" xfId="9386" xr:uid="{CA4B3605-852A-4400-93C9-B8E88898FD49}"/>
    <cellStyle name="Normal 90 6 2" xfId="11420" xr:uid="{38F0576E-FB1A-479F-93E8-DB96AC8C8040}"/>
    <cellStyle name="Normal 90 6 2 2" xfId="15626" xr:uid="{8A2632BD-98C9-4BC5-9A3F-87B4092A9DC9}"/>
    <cellStyle name="Normal 90 6 3" xfId="13597" xr:uid="{C8B43350-5BCB-4CB4-B91A-9D933D40C367}"/>
    <cellStyle name="Normal 90 7" xfId="9744" xr:uid="{11A47450-7FD4-4599-BEDD-558CDB95116D}"/>
    <cellStyle name="Normal 90 7 2" xfId="13950" xr:uid="{E658AF63-3E03-4349-B53B-44B7DA7E59FA}"/>
    <cellStyle name="Normal 90 8" xfId="11921" xr:uid="{02BF84F2-AC08-4F0A-8201-BF847ED31F74}"/>
    <cellStyle name="Normal 91" xfId="7603" xr:uid="{5C1CC974-C2E5-45D4-A72A-1974E8F10D1E}"/>
    <cellStyle name="Normal 91 2" xfId="7802" xr:uid="{372C51F6-5164-4CB2-9146-152B28EC33EA}"/>
    <cellStyle name="Normal 91 2 2" xfId="8173" xr:uid="{D123C1BA-92BB-4161-8B08-618A1B186406}"/>
    <cellStyle name="Normal 91 2 2 2" xfId="8843" xr:uid="{55E71067-2EF6-47FE-B2E3-231F34828739}"/>
    <cellStyle name="Normal 91 2 2 2 2" xfId="10912" xr:uid="{0A480D5D-7AE5-4113-9C51-7E831D9878D1}"/>
    <cellStyle name="Normal 91 2 2 2 2 2" xfId="15118" xr:uid="{FDBBF600-2A36-4D0C-A68B-D45466EB00FE}"/>
    <cellStyle name="Normal 91 2 2 2 3" xfId="13089" xr:uid="{C8D692A8-98C6-43F3-8443-B0E7E5292F8A}"/>
    <cellStyle name="Normal 91 2 2 3" xfId="10242" xr:uid="{D33F7694-AB67-41C0-A4E6-83CBC512128F}"/>
    <cellStyle name="Normal 91 2 2 3 2" xfId="14448" xr:uid="{3AE9D880-481B-4CA8-B131-501A641D7FEB}"/>
    <cellStyle name="Normal 91 2 2 4" xfId="12419" xr:uid="{0CE6AD02-2B5D-43A3-94C5-923609DE5CB6}"/>
    <cellStyle name="Normal 91 2 3" xfId="8509" xr:uid="{58B548A6-7182-4740-B210-C0DCCF4D4C68}"/>
    <cellStyle name="Normal 91 2 3 2" xfId="10578" xr:uid="{B4F34394-CF20-498A-BAB1-35636E2674E0}"/>
    <cellStyle name="Normal 91 2 3 2 2" xfId="14784" xr:uid="{49798220-C05E-4299-A1F1-03582A859769}"/>
    <cellStyle name="Normal 91 2 3 3" xfId="12755" xr:uid="{6C2AC41C-B7D3-4E78-AA46-994EDBA9295B}"/>
    <cellStyle name="Normal 91 2 4" xfId="9182" xr:uid="{A72B2843-4CB6-4854-97D6-05922C8DEC6B}"/>
    <cellStyle name="Normal 91 2 4 2" xfId="11251" xr:uid="{8E10C873-C086-43E1-8CC4-087C7FC5F940}"/>
    <cellStyle name="Normal 91 2 4 2 2" xfId="15457" xr:uid="{C1452D57-2640-4813-B406-469309779406}"/>
    <cellStyle name="Normal 91 2 4 3" xfId="13428" xr:uid="{A88E195E-6E55-4BB9-B049-5DF1D1E46AC7}"/>
    <cellStyle name="Normal 91 2 5" xfId="9550" xr:uid="{933877F4-748D-420B-8B90-5053FC0A692C}"/>
    <cellStyle name="Normal 91 2 5 2" xfId="11584" xr:uid="{47DA98C3-4915-4812-84DF-4B72E03A7C4D}"/>
    <cellStyle name="Normal 91 2 5 2 2" xfId="15790" xr:uid="{4653DD2E-AA10-40A1-8916-6CB64E76FC02}"/>
    <cellStyle name="Normal 91 2 5 3" xfId="13761" xr:uid="{ED47A58A-318F-42EE-96A9-ECF9139E259C}"/>
    <cellStyle name="Normal 91 2 6" xfId="9908" xr:uid="{9A401DC4-A63E-485C-9A8E-0AF1B71945CA}"/>
    <cellStyle name="Normal 91 2 6 2" xfId="14114" xr:uid="{5ACDBAC6-3527-4C99-89D0-0FC81D768C7B}"/>
    <cellStyle name="Normal 91 2 7" xfId="12085" xr:uid="{CC2C6ADB-67A1-468F-B578-E36C7A5C629B}"/>
    <cellStyle name="Normal 91 3" xfId="8010" xr:uid="{7C547D14-3EC1-49DF-BA74-3071852B5558}"/>
    <cellStyle name="Normal 91 3 2" xfId="8680" xr:uid="{2DEF0AEB-66C9-4DD1-BA5C-9B30D3E32047}"/>
    <cellStyle name="Normal 91 3 2 2" xfId="10749" xr:uid="{32D6B17A-FED1-4C7A-A5E1-87E49188B9A7}"/>
    <cellStyle name="Normal 91 3 2 2 2" xfId="14955" xr:uid="{53F5444D-01BF-4CC4-8980-507A403C9A8F}"/>
    <cellStyle name="Normal 91 3 2 3" xfId="12926" xr:uid="{DB553515-C907-4C97-B6A1-F8AB8D52039D}"/>
    <cellStyle name="Normal 91 3 3" xfId="10079" xr:uid="{B2CCD6B8-3C46-454E-955C-000D7B3BC65B}"/>
    <cellStyle name="Normal 91 3 3 2" xfId="14285" xr:uid="{3ED2DCBF-E8B2-4AF6-BAA5-604619B05990}"/>
    <cellStyle name="Normal 91 3 4" xfId="12256" xr:uid="{526055D7-2E11-40F2-8ABC-936248CF4708}"/>
    <cellStyle name="Normal 91 4" xfId="8346" xr:uid="{DE1D1DE3-B523-4B1D-8D08-4D08BEC7A879}"/>
    <cellStyle name="Normal 91 4 2" xfId="10415" xr:uid="{B6AFCEB7-2C0A-44B0-84B8-0DBEE6DB9BE7}"/>
    <cellStyle name="Normal 91 4 2 2" xfId="14621" xr:uid="{BFE4390E-E042-458F-9F2F-BB8064D10E80}"/>
    <cellStyle name="Normal 91 4 3" xfId="12592" xr:uid="{870D9AB3-D74E-478E-B8AD-279A5AB0C1E3}"/>
    <cellStyle name="Normal 91 5" xfId="9019" xr:uid="{9D667ACE-DE47-415D-92CF-0E9FD2F8865D}"/>
    <cellStyle name="Normal 91 5 2" xfId="11088" xr:uid="{93C60257-EDC8-4EB0-99B9-32C0EE166689}"/>
    <cellStyle name="Normal 91 5 2 2" xfId="15294" xr:uid="{BC5F1D03-0C0C-49B7-9279-91A1E0E60505}"/>
    <cellStyle name="Normal 91 5 3" xfId="13265" xr:uid="{9E418822-166A-4742-B798-1BC34A78F599}"/>
    <cellStyle name="Normal 91 6" xfId="9387" xr:uid="{5FED09D4-8945-4F86-95B5-F77D3BD77EBA}"/>
    <cellStyle name="Normal 91 6 2" xfId="11421" xr:uid="{48DB77EE-15D2-41C4-9439-2482EA07F803}"/>
    <cellStyle name="Normal 91 6 2 2" xfId="15627" xr:uid="{C8A5C765-173F-45F4-9C04-737E4CD2637B}"/>
    <cellStyle name="Normal 91 6 3" xfId="13598" xr:uid="{84892170-DD82-4924-876D-182B334AF304}"/>
    <cellStyle name="Normal 91 7" xfId="9745" xr:uid="{2DC07D0F-97E0-4A57-9428-9AFA608ECF96}"/>
    <cellStyle name="Normal 91 7 2" xfId="13951" xr:uid="{2E6E413C-C649-4B1A-9E99-3D6A1AA27082}"/>
    <cellStyle name="Normal 91 8" xfId="11922" xr:uid="{40A3239E-13A6-4549-88E1-BB523267241F}"/>
    <cellStyle name="Normal 92" xfId="7604" xr:uid="{C02EC60D-5E84-4626-B952-5DFA0AE129C5}"/>
    <cellStyle name="Normal 92 2" xfId="7803" xr:uid="{D792DF5F-C840-4239-A99B-C00F893E82DF}"/>
    <cellStyle name="Normal 92 2 2" xfId="8174" xr:uid="{C3506C50-15B2-45B9-99F4-D78CDC15BC35}"/>
    <cellStyle name="Normal 92 2 2 2" xfId="8844" xr:uid="{9BEAB4EA-222B-4FC1-8582-D2AF35E02836}"/>
    <cellStyle name="Normal 92 2 2 2 2" xfId="10913" xr:uid="{C7476AAB-6D14-4A3E-A001-B93DF8AB3E3A}"/>
    <cellStyle name="Normal 92 2 2 2 2 2" xfId="15119" xr:uid="{28CB1473-4220-4DFD-9B9C-FC47E80C9F7C}"/>
    <cellStyle name="Normal 92 2 2 2 3" xfId="13090" xr:uid="{CFE80E2F-B1E9-49C6-A89E-CED4B82B43E9}"/>
    <cellStyle name="Normal 92 2 2 3" xfId="10243" xr:uid="{331D1F32-D0A5-47A1-9E9C-99F7FBC3A624}"/>
    <cellStyle name="Normal 92 2 2 3 2" xfId="14449" xr:uid="{061C65D3-66C6-45E8-976E-D7FC8A5DF9E3}"/>
    <cellStyle name="Normal 92 2 2 4" xfId="12420" xr:uid="{5A783777-FAD4-4109-BF8C-7D624E3F0D48}"/>
    <cellStyle name="Normal 92 2 3" xfId="8510" xr:uid="{7A8DB060-BAA0-4FCA-8D6F-D82991417835}"/>
    <cellStyle name="Normal 92 2 3 2" xfId="10579" xr:uid="{34F17EDA-4D89-4545-846A-9E73F3D0FA96}"/>
    <cellStyle name="Normal 92 2 3 2 2" xfId="14785" xr:uid="{E06DDF11-E407-47D3-AD46-3D053D2D7576}"/>
    <cellStyle name="Normal 92 2 3 3" xfId="12756" xr:uid="{2FCA0600-8FFE-4D44-B395-16A708FD49D6}"/>
    <cellStyle name="Normal 92 2 4" xfId="9183" xr:uid="{A1D6F8F4-4ED7-4F3C-98F1-719E906DBE13}"/>
    <cellStyle name="Normal 92 2 4 2" xfId="11252" xr:uid="{1E03CAB2-B13C-48DE-B339-C61D7AA34F30}"/>
    <cellStyle name="Normal 92 2 4 2 2" xfId="15458" xr:uid="{FD381522-2B53-43E6-AE05-339A6043B1C6}"/>
    <cellStyle name="Normal 92 2 4 3" xfId="13429" xr:uid="{7D1974F2-9E7B-42D4-8A96-0F53055C19DD}"/>
    <cellStyle name="Normal 92 2 5" xfId="9551" xr:uid="{3D16CE9C-9A4E-4862-A44A-A58F632CA2DD}"/>
    <cellStyle name="Normal 92 2 5 2" xfId="11585" xr:uid="{E085D54B-BD43-4B74-98FD-B396FB579BAB}"/>
    <cellStyle name="Normal 92 2 5 2 2" xfId="15791" xr:uid="{D88C7E1D-9E48-43CD-83E9-3387AFA7DFB6}"/>
    <cellStyle name="Normal 92 2 5 3" xfId="13762" xr:uid="{60693D48-3F3F-491F-93AB-63D631758F8C}"/>
    <cellStyle name="Normal 92 2 6" xfId="9909" xr:uid="{C9A5BC61-41B3-4A97-9A46-E68F4C543BFF}"/>
    <cellStyle name="Normal 92 2 6 2" xfId="14115" xr:uid="{DE1FF724-139C-4124-8EEC-07A82B2D06EA}"/>
    <cellStyle name="Normal 92 2 7" xfId="12086" xr:uid="{4EFC16EA-C67F-4D5C-9F33-8F70A7B0433F}"/>
    <cellStyle name="Normal 92 3" xfId="8011" xr:uid="{8F3DD34B-8BC8-4BEA-B3A8-52A858CA2D4A}"/>
    <cellStyle name="Normal 92 3 2" xfId="8681" xr:uid="{53094A53-A360-48CC-9B71-9A57D0F0751D}"/>
    <cellStyle name="Normal 92 3 2 2" xfId="10750" xr:uid="{53656F79-F49F-4319-AB2D-ED6D12853002}"/>
    <cellStyle name="Normal 92 3 2 2 2" xfId="14956" xr:uid="{4D998F1E-8F9E-4C01-BEF7-93DCC142C929}"/>
    <cellStyle name="Normal 92 3 2 3" xfId="12927" xr:uid="{BA9235D9-2E2C-4C32-AF16-4F1B0333D831}"/>
    <cellStyle name="Normal 92 3 3" xfId="10080" xr:uid="{ADB5CB5E-01CA-4C81-A5BC-E4425918A64B}"/>
    <cellStyle name="Normal 92 3 3 2" xfId="14286" xr:uid="{C9788A41-290E-40D4-8F98-BC74A7B655B8}"/>
    <cellStyle name="Normal 92 3 4" xfId="12257" xr:uid="{F81CEDA1-D393-4113-9122-103E8A13B709}"/>
    <cellStyle name="Normal 92 4" xfId="8347" xr:uid="{76445F82-F194-4BFD-B87A-CAFCE1FC2344}"/>
    <cellStyle name="Normal 92 4 2" xfId="10416" xr:uid="{4B4D3FC0-9C69-4C61-830A-13EF25C11BCB}"/>
    <cellStyle name="Normal 92 4 2 2" xfId="14622" xr:uid="{45C01B0A-40BE-4F4E-8F5F-DCD56113A3DE}"/>
    <cellStyle name="Normal 92 4 3" xfId="12593" xr:uid="{EFE74CA4-826E-4B01-8F86-6B5E3348DD96}"/>
    <cellStyle name="Normal 92 5" xfId="9020" xr:uid="{CE8723F0-FE24-4ABF-9AE5-C550D3ADAF74}"/>
    <cellStyle name="Normal 92 5 2" xfId="11089" xr:uid="{590D6D5C-061A-4DCF-99DE-7C2E4020F7C2}"/>
    <cellStyle name="Normal 92 5 2 2" xfId="15295" xr:uid="{D6912707-F814-4AA0-900E-AD264E47FCAE}"/>
    <cellStyle name="Normal 92 5 3" xfId="13266" xr:uid="{909CB4CF-F29C-44DD-86CA-53616B1267BD}"/>
    <cellStyle name="Normal 92 6" xfId="9388" xr:uid="{66B208B3-F3BB-4DF3-9A31-91A274FC97E5}"/>
    <cellStyle name="Normal 92 6 2" xfId="11422" xr:uid="{73629EC9-756C-47F0-9BF9-B4800E09D92A}"/>
    <cellStyle name="Normal 92 6 2 2" xfId="15628" xr:uid="{34F3F559-0B6C-47E3-BF7F-82B692BB00EB}"/>
    <cellStyle name="Normal 92 6 3" xfId="13599" xr:uid="{E7794816-0703-49F3-AEB3-B849AFD169A6}"/>
    <cellStyle name="Normal 92 7" xfId="9746" xr:uid="{D7D57F85-A162-4957-BA3C-4A625575243D}"/>
    <cellStyle name="Normal 92 7 2" xfId="13952" xr:uid="{DF39ABD8-BBD0-41F5-B966-86046BF03DC5}"/>
    <cellStyle name="Normal 92 8" xfId="11923" xr:uid="{219FD92F-EB06-457D-8F63-ED75FC9EC8C1}"/>
    <cellStyle name="Normal 93" xfId="7605" xr:uid="{0B5EAAB0-40DE-4A8C-9C04-CF114119A8C8}"/>
    <cellStyle name="Normal 93 2" xfId="7804" xr:uid="{3F224C4F-F49A-481B-8B8B-4686BF4930C6}"/>
    <cellStyle name="Normal 93 2 2" xfId="8175" xr:uid="{1470E6C2-A914-4948-B83A-7564CC4D5C08}"/>
    <cellStyle name="Normal 93 2 2 2" xfId="8845" xr:uid="{E76F50CE-9BBD-4209-9CF7-B1681B16E1C1}"/>
    <cellStyle name="Normal 93 2 2 2 2" xfId="10914" xr:uid="{AC70D81F-322A-4436-949D-5C73E9248480}"/>
    <cellStyle name="Normal 93 2 2 2 2 2" xfId="15120" xr:uid="{ED4E21FC-86B3-4268-B90D-28126559FAC3}"/>
    <cellStyle name="Normal 93 2 2 2 3" xfId="13091" xr:uid="{6C2E6155-011C-4ABF-AFDB-1A90BE2F5EF8}"/>
    <cellStyle name="Normal 93 2 2 3" xfId="10244" xr:uid="{AAEFB3DB-7101-4869-A2DE-524D110BEC5B}"/>
    <cellStyle name="Normal 93 2 2 3 2" xfId="14450" xr:uid="{92CB6CD2-6500-4195-B93C-48A0859C1E1E}"/>
    <cellStyle name="Normal 93 2 2 4" xfId="12421" xr:uid="{EA0D7317-472A-42DE-BF6F-D63B3BD0E696}"/>
    <cellStyle name="Normal 93 2 3" xfId="8511" xr:uid="{B806A95E-63DE-406D-A3B9-C3DB8D855902}"/>
    <cellStyle name="Normal 93 2 3 2" xfId="10580" xr:uid="{B6C6300A-2718-412F-A2C8-CCED579A7A16}"/>
    <cellStyle name="Normal 93 2 3 2 2" xfId="14786" xr:uid="{E8D2A82D-AEE4-4B29-9D85-A40BE36C07EB}"/>
    <cellStyle name="Normal 93 2 3 3" xfId="12757" xr:uid="{DBE559EC-4231-4DFC-BB17-0A3B6F57EF1C}"/>
    <cellStyle name="Normal 93 2 4" xfId="9184" xr:uid="{7723D027-354D-499F-A8E5-6D46A33EB92C}"/>
    <cellStyle name="Normal 93 2 4 2" xfId="11253" xr:uid="{3B633AA6-CB9B-4394-B1EC-7617EC8B63C4}"/>
    <cellStyle name="Normal 93 2 4 2 2" xfId="15459" xr:uid="{0A6A3974-D02D-4C4E-BF45-C99CB84942C6}"/>
    <cellStyle name="Normal 93 2 4 3" xfId="13430" xr:uid="{E8DABE24-4FD9-4D04-B108-FD10838F54B9}"/>
    <cellStyle name="Normal 93 2 5" xfId="9552" xr:uid="{0C1D4F53-2175-4B31-8A5B-341485614262}"/>
    <cellStyle name="Normal 93 2 5 2" xfId="11586" xr:uid="{D0002A9B-B7A6-4A29-B67C-1E4694EBFA2D}"/>
    <cellStyle name="Normal 93 2 5 2 2" xfId="15792" xr:uid="{3A9A2B8E-E337-4018-8D6F-B613BB4A986A}"/>
    <cellStyle name="Normal 93 2 5 3" xfId="13763" xr:uid="{2CCCF251-F1AD-42A0-8264-A117BEF00316}"/>
    <cellStyle name="Normal 93 2 6" xfId="9910" xr:uid="{0C4504A3-C4C8-4A6F-AAF2-56C2C6C2AA42}"/>
    <cellStyle name="Normal 93 2 6 2" xfId="14116" xr:uid="{DF9EB952-E365-4637-9BB1-A12CEE7DF922}"/>
    <cellStyle name="Normal 93 2 7" xfId="12087" xr:uid="{B3005F96-90F6-4913-AA74-4F33C75259FC}"/>
    <cellStyle name="Normal 93 3" xfId="8012" xr:uid="{7834320C-5EA0-4BA2-B20F-CC67809B8F2D}"/>
    <cellStyle name="Normal 93 3 2" xfId="8682" xr:uid="{10330B60-F353-4927-BB6B-698E7A3091CC}"/>
    <cellStyle name="Normal 93 3 2 2" xfId="10751" xr:uid="{2944E27F-41D3-4A63-861B-0BD83C809918}"/>
    <cellStyle name="Normal 93 3 2 2 2" xfId="14957" xr:uid="{7762CBC3-854D-497C-BD4A-405CBA332C4D}"/>
    <cellStyle name="Normal 93 3 2 3" xfId="12928" xr:uid="{54A0351F-C9E4-468A-85EF-8749F9ECDF93}"/>
    <cellStyle name="Normal 93 3 3" xfId="10081" xr:uid="{D0D3A607-C3CB-4B88-B135-0C49FDF453B7}"/>
    <cellStyle name="Normal 93 3 3 2" xfId="14287" xr:uid="{AC629AC9-3185-400E-81F1-F7C6727F63F8}"/>
    <cellStyle name="Normal 93 3 4" xfId="12258" xr:uid="{C6F494F5-75D1-4904-9C3C-1F90E7D64ABC}"/>
    <cellStyle name="Normal 93 4" xfId="8348" xr:uid="{FD714033-C359-4D76-9727-09061A035D41}"/>
    <cellStyle name="Normal 93 4 2" xfId="10417" xr:uid="{24455CBB-FFA2-41AE-A06D-D4B8B0293E88}"/>
    <cellStyle name="Normal 93 4 2 2" xfId="14623" xr:uid="{576DEDBD-F153-4CF8-A3E0-34265443869F}"/>
    <cellStyle name="Normal 93 4 3" xfId="12594" xr:uid="{B296E168-E356-432E-8B52-4B35A415BECF}"/>
    <cellStyle name="Normal 93 5" xfId="9021" xr:uid="{3F4BA022-19EC-4F1E-BA09-84A4D6D7D2C9}"/>
    <cellStyle name="Normal 93 5 2" xfId="11090" xr:uid="{ACC0054A-EEBA-4D0F-9B79-EC567D359136}"/>
    <cellStyle name="Normal 93 5 2 2" xfId="15296" xr:uid="{58030EF9-377D-41BC-9892-E020E52C4781}"/>
    <cellStyle name="Normal 93 5 3" xfId="13267" xr:uid="{1B46985A-790F-4E2D-B2F0-53A6E67E7E29}"/>
    <cellStyle name="Normal 93 6" xfId="9389" xr:uid="{350D8495-172A-4990-AE16-2828D8BAD7D3}"/>
    <cellStyle name="Normal 93 6 2" xfId="11423" xr:uid="{0418C0D3-BB18-4E2E-82F0-6B87B2456C88}"/>
    <cellStyle name="Normal 93 6 2 2" xfId="15629" xr:uid="{0EA5AD2A-E006-45E8-9A0E-FECBD732DD82}"/>
    <cellStyle name="Normal 93 6 3" xfId="13600" xr:uid="{A5A5C4BF-9010-4D9B-B460-DCFEFD8693DE}"/>
    <cellStyle name="Normal 93 7" xfId="9747" xr:uid="{54C5FA5F-B49F-42B9-B846-AFF9481799BF}"/>
    <cellStyle name="Normal 93 7 2" xfId="13953" xr:uid="{70C702DE-7309-4C64-B1EB-6E675F3AEE05}"/>
    <cellStyle name="Normal 93 8" xfId="11924" xr:uid="{973B34BA-CB11-4B82-B9E8-92FDD1AA7A4D}"/>
    <cellStyle name="Normal 94" xfId="7606" xr:uid="{19D64E15-7896-45FF-82D3-29F3C91DE400}"/>
    <cellStyle name="Normal 94 2" xfId="7805" xr:uid="{C01B7DA0-F616-4DD5-BBEB-9C3C8D29715B}"/>
    <cellStyle name="Normal 94 2 2" xfId="8176" xr:uid="{13CFB3BF-B499-48F5-AACB-2B5355BF0E46}"/>
    <cellStyle name="Normal 94 2 2 2" xfId="8846" xr:uid="{0A334A3D-3DAC-4633-AE5B-13F5D980A6B6}"/>
    <cellStyle name="Normal 94 2 2 2 2" xfId="10915" xr:uid="{721D0310-25A0-4D53-A840-2AD5A776C545}"/>
    <cellStyle name="Normal 94 2 2 2 2 2" xfId="15121" xr:uid="{08D2C7EE-09D2-4E2E-B9F4-D8DAA47E7653}"/>
    <cellStyle name="Normal 94 2 2 2 3" xfId="13092" xr:uid="{6EA22766-DA99-467B-818A-41F3EF7DCA05}"/>
    <cellStyle name="Normal 94 2 2 3" xfId="10245" xr:uid="{C6DC65E3-96ED-4127-BAEE-0CC30281A9EA}"/>
    <cellStyle name="Normal 94 2 2 3 2" xfId="14451" xr:uid="{F6033E09-1BC5-4A87-A67B-30793E1D2117}"/>
    <cellStyle name="Normal 94 2 2 4" xfId="12422" xr:uid="{96D90A7A-BCB8-4F56-9EEE-E5A731391D70}"/>
    <cellStyle name="Normal 94 2 3" xfId="8512" xr:uid="{E155BBC3-997A-46F0-A2A0-D89E97A1AF16}"/>
    <cellStyle name="Normal 94 2 3 2" xfId="10581" xr:uid="{682E9A77-B775-4CE2-BF02-DA759EFC9C28}"/>
    <cellStyle name="Normal 94 2 3 2 2" xfId="14787" xr:uid="{9538F441-0E36-4B5D-8203-755630888610}"/>
    <cellStyle name="Normal 94 2 3 3" xfId="12758" xr:uid="{BF4690D8-E50F-4678-87B3-A798B0BD407A}"/>
    <cellStyle name="Normal 94 2 4" xfId="9185" xr:uid="{CC33C54A-13FD-4E0A-A14F-F7C3E5F5D5D8}"/>
    <cellStyle name="Normal 94 2 4 2" xfId="11254" xr:uid="{DAEE36D5-63E8-4B9D-8B5E-44439EF9336B}"/>
    <cellStyle name="Normal 94 2 4 2 2" xfId="15460" xr:uid="{E81A6E22-82C2-466B-AC8E-7674E9AE5A15}"/>
    <cellStyle name="Normal 94 2 4 3" xfId="13431" xr:uid="{8CA964A0-D76F-4F5B-BB31-FA75E6D35DBF}"/>
    <cellStyle name="Normal 94 2 5" xfId="9553" xr:uid="{F3543F71-5E1D-4C30-A50A-639FC477D572}"/>
    <cellStyle name="Normal 94 2 5 2" xfId="11587" xr:uid="{B75F09AE-4158-4FF2-AD68-C39F32A588F4}"/>
    <cellStyle name="Normal 94 2 5 2 2" xfId="15793" xr:uid="{645431A6-8A4B-4C71-BE9B-B3A8C80A8B5A}"/>
    <cellStyle name="Normal 94 2 5 3" xfId="13764" xr:uid="{529B695E-39B2-427E-B2D4-AB79C51B312E}"/>
    <cellStyle name="Normal 94 2 6" xfId="9911" xr:uid="{9E7A8A53-BE4E-4443-9FFC-D2064C6B1000}"/>
    <cellStyle name="Normal 94 2 6 2" xfId="14117" xr:uid="{7B55EB64-EA13-45BD-BC20-9CD274B8147E}"/>
    <cellStyle name="Normal 94 2 7" xfId="12088" xr:uid="{B9DD036A-D8DF-4F39-A32C-537C832961E0}"/>
    <cellStyle name="Normal 94 3" xfId="8013" xr:uid="{0C979992-51B7-400F-8F7D-2F0EAE03CE98}"/>
    <cellStyle name="Normal 94 3 2" xfId="8683" xr:uid="{A05CE883-D4A2-49F7-83AC-AF59E6192FF9}"/>
    <cellStyle name="Normal 94 3 2 2" xfId="10752" xr:uid="{DE522936-67CB-4917-8237-BE408CE780F9}"/>
    <cellStyle name="Normal 94 3 2 2 2" xfId="14958" xr:uid="{343D279F-B606-4192-9D0F-C876A7A26D1B}"/>
    <cellStyle name="Normal 94 3 2 3" xfId="12929" xr:uid="{DF417339-D5BA-40EB-A9E9-689AA850117E}"/>
    <cellStyle name="Normal 94 3 3" xfId="10082" xr:uid="{439716A8-328F-4EE5-806D-F4D59E79C3BE}"/>
    <cellStyle name="Normal 94 3 3 2" xfId="14288" xr:uid="{BD4B0A2A-8147-447D-9AAB-ECDDAF1C3ABC}"/>
    <cellStyle name="Normal 94 3 4" xfId="12259" xr:uid="{5E68AC97-1717-4999-85B6-93E7194FAE5E}"/>
    <cellStyle name="Normal 94 4" xfId="8349" xr:uid="{3455DE18-531F-45EF-AE33-BAC757314B5A}"/>
    <cellStyle name="Normal 94 4 2" xfId="10418" xr:uid="{4B02A491-1EDF-4DFE-89D3-CDB9A2417430}"/>
    <cellStyle name="Normal 94 4 2 2" xfId="14624" xr:uid="{A3582474-C7A5-4FC7-AB20-84A6DB99E127}"/>
    <cellStyle name="Normal 94 4 3" xfId="12595" xr:uid="{C473C3D3-988B-4654-B8A9-ADAC853429F0}"/>
    <cellStyle name="Normal 94 5" xfId="9022" xr:uid="{CF696440-7285-4B39-A8C3-E6C060FD216F}"/>
    <cellStyle name="Normal 94 5 2" xfId="11091" xr:uid="{C6A61A92-6114-4B85-B7C2-553676D55D8E}"/>
    <cellStyle name="Normal 94 5 2 2" xfId="15297" xr:uid="{36E9105A-F6C6-4A07-8C39-CD0B963EA1BA}"/>
    <cellStyle name="Normal 94 5 3" xfId="13268" xr:uid="{0ACB7699-5553-4096-B313-7DB143456DA9}"/>
    <cellStyle name="Normal 94 6" xfId="9390" xr:uid="{DEDA2632-C215-4864-858B-C6121328C7E8}"/>
    <cellStyle name="Normal 94 6 2" xfId="11424" xr:uid="{1AB079D1-571B-4773-8DB3-DB8C11261290}"/>
    <cellStyle name="Normal 94 6 2 2" xfId="15630" xr:uid="{E5F6EDAE-3A82-468B-9668-BA4941352EBF}"/>
    <cellStyle name="Normal 94 6 3" xfId="13601" xr:uid="{0FCA9158-49DC-4F34-B80C-A635FF50F032}"/>
    <cellStyle name="Normal 94 7" xfId="9748" xr:uid="{F4122A6B-DE36-46CA-B2E7-40DBCCF0EC9C}"/>
    <cellStyle name="Normal 94 7 2" xfId="13954" xr:uid="{3AA38FE6-FB18-41EE-A70C-A13919711087}"/>
    <cellStyle name="Normal 94 8" xfId="11925" xr:uid="{476AEA1A-B6B3-47C9-B919-6FBEA4E0EED1}"/>
    <cellStyle name="Normal 95" xfId="7607" xr:uid="{E055AC29-E63B-4F98-B956-125CA6C05D25}"/>
    <cellStyle name="Normal 95 2" xfId="7806" xr:uid="{E1FD7264-378A-44CC-B029-6B9DFF31AF5E}"/>
    <cellStyle name="Normal 95 2 2" xfId="8177" xr:uid="{111EC38A-8CED-4A9A-B262-6FE7C591497F}"/>
    <cellStyle name="Normal 95 2 2 2" xfId="8847" xr:uid="{AB8F2453-4360-4C3D-9FDE-EFBC8A072499}"/>
    <cellStyle name="Normal 95 2 2 2 2" xfId="10916" xr:uid="{DA677426-34B9-45AF-A2B0-45BE6BFD732F}"/>
    <cellStyle name="Normal 95 2 2 2 2 2" xfId="15122" xr:uid="{C5EA1A32-E53C-47D1-AF1C-FC774FC6F605}"/>
    <cellStyle name="Normal 95 2 2 2 3" xfId="13093" xr:uid="{AA2A63A5-B6D9-45EE-9BDB-8E24547FFAB9}"/>
    <cellStyle name="Normal 95 2 2 3" xfId="10246" xr:uid="{F4623868-D818-48A9-A01B-AF2F69D287E1}"/>
    <cellStyle name="Normal 95 2 2 3 2" xfId="14452" xr:uid="{473547D0-04E2-4B28-B755-10BEC5F3EDE1}"/>
    <cellStyle name="Normal 95 2 2 4" xfId="12423" xr:uid="{951FAEEF-8D3E-4911-BBE2-4400BE79D4BD}"/>
    <cellStyle name="Normal 95 2 3" xfId="8513" xr:uid="{D5493EE7-9D10-4002-A832-E23F93F95E2F}"/>
    <cellStyle name="Normal 95 2 3 2" xfId="10582" xr:uid="{4A52DE1F-86E4-42F8-BADB-A04747D993BB}"/>
    <cellStyle name="Normal 95 2 3 2 2" xfId="14788" xr:uid="{93E88293-85F5-47BA-88DA-6B12F45441C9}"/>
    <cellStyle name="Normal 95 2 3 3" xfId="12759" xr:uid="{C315D24A-4C49-4BFC-97B5-74ADBC3BA6FA}"/>
    <cellStyle name="Normal 95 2 4" xfId="9186" xr:uid="{484149AD-9A21-449C-9219-A10CF907BCF8}"/>
    <cellStyle name="Normal 95 2 4 2" xfId="11255" xr:uid="{FA9FB092-4E22-468A-94B7-F3804A5E2B95}"/>
    <cellStyle name="Normal 95 2 4 2 2" xfId="15461" xr:uid="{C855904D-A923-408E-B975-E2DE8794B2F1}"/>
    <cellStyle name="Normal 95 2 4 3" xfId="13432" xr:uid="{996A936F-3D07-48E5-A6F6-381504272633}"/>
    <cellStyle name="Normal 95 2 5" xfId="9554" xr:uid="{21D61BD2-884F-4D52-A629-2F44701381F9}"/>
    <cellStyle name="Normal 95 2 5 2" xfId="11588" xr:uid="{5E4AC85E-4963-47E0-A1C4-1EDFB8C2C263}"/>
    <cellStyle name="Normal 95 2 5 2 2" xfId="15794" xr:uid="{D27C60AA-8B7C-4726-8B82-636D17752511}"/>
    <cellStyle name="Normal 95 2 5 3" xfId="13765" xr:uid="{4C7F9FDB-FEBB-483C-964D-069771D327F6}"/>
    <cellStyle name="Normal 95 2 6" xfId="9912" xr:uid="{153BAE57-2ABF-4D0B-95F0-C86018ADC76E}"/>
    <cellStyle name="Normal 95 2 6 2" xfId="14118" xr:uid="{DC5BB84C-B7E4-4CE2-9CEF-85B799710908}"/>
    <cellStyle name="Normal 95 2 7" xfId="12089" xr:uid="{0074A152-CEF2-40D3-A0B6-6B1F8FAAC7FE}"/>
    <cellStyle name="Normal 95 3" xfId="8014" xr:uid="{877D1E69-7AD5-44B9-B449-4772B4907C71}"/>
    <cellStyle name="Normal 95 3 2" xfId="8684" xr:uid="{6B277A24-BB86-4104-8FBC-A92023334E8F}"/>
    <cellStyle name="Normal 95 3 2 2" xfId="10753" xr:uid="{26F5F625-149D-451D-8F88-A27AFD3E52ED}"/>
    <cellStyle name="Normal 95 3 2 2 2" xfId="14959" xr:uid="{0255C8E8-0437-482B-A984-84BBAD65A252}"/>
    <cellStyle name="Normal 95 3 2 3" xfId="12930" xr:uid="{EC1E32F6-6073-415B-8E40-6B63AE7A4194}"/>
    <cellStyle name="Normal 95 3 3" xfId="10083" xr:uid="{0A14FE2B-55B4-49E8-A0AA-93745F9DE103}"/>
    <cellStyle name="Normal 95 3 3 2" xfId="14289" xr:uid="{F6A79E5A-9C66-457F-A608-3403A3CDF742}"/>
    <cellStyle name="Normal 95 3 4" xfId="12260" xr:uid="{55C3720D-E605-4382-9AEB-F2D64D512CCA}"/>
    <cellStyle name="Normal 95 4" xfId="8350" xr:uid="{B4D3B60F-F777-499A-A7D5-B636CB000BD2}"/>
    <cellStyle name="Normal 95 4 2" xfId="10419" xr:uid="{B84B491F-CE6D-4C08-A550-F2EF3A8B0E6D}"/>
    <cellStyle name="Normal 95 4 2 2" xfId="14625" xr:uid="{563AD20F-0141-4CFF-9031-146E68B1CF1F}"/>
    <cellStyle name="Normal 95 4 3" xfId="12596" xr:uid="{F3F2B392-2373-432F-9D66-827EBA1D8324}"/>
    <cellStyle name="Normal 95 5" xfId="9023" xr:uid="{78AA6D0F-64E7-451B-B8CF-50248DCB35B2}"/>
    <cellStyle name="Normal 95 5 2" xfId="11092" xr:uid="{CA16E4F7-904C-49B8-8F37-97BDA8F04E3F}"/>
    <cellStyle name="Normal 95 5 2 2" xfId="15298" xr:uid="{69A09839-F206-4780-B978-4CF720BF2217}"/>
    <cellStyle name="Normal 95 5 3" xfId="13269" xr:uid="{86218462-3C8B-4B67-A73F-6E3F6A6F9250}"/>
    <cellStyle name="Normal 95 6" xfId="9391" xr:uid="{5FD16D9B-2A50-4226-9489-E988D7A4C73B}"/>
    <cellStyle name="Normal 95 6 2" xfId="11425" xr:uid="{B23E3A4C-CF31-4C01-AAAA-F8868B4A0090}"/>
    <cellStyle name="Normal 95 6 2 2" xfId="15631" xr:uid="{084EDD03-7943-4AD1-97B1-496A05CA2282}"/>
    <cellStyle name="Normal 95 6 3" xfId="13602" xr:uid="{130EADFD-D065-4CD2-B8FD-4925816AEDD9}"/>
    <cellStyle name="Normal 95 7" xfId="9749" xr:uid="{A5B09D68-BC1F-44FE-8B98-A6FCCF6B0C22}"/>
    <cellStyle name="Normal 95 7 2" xfId="13955" xr:uid="{4A71BC5A-6981-43CF-A4B3-538871129BCB}"/>
    <cellStyle name="Normal 95 8" xfId="11926" xr:uid="{F40EAC32-B8E0-42A5-93FB-D0CBA7C79653}"/>
    <cellStyle name="Normal 96" xfId="7608" xr:uid="{89592E4E-F436-426A-AC82-22D961C793B8}"/>
    <cellStyle name="Normal 96 2" xfId="7807" xr:uid="{2D72F189-04C7-4405-A6A4-A9E4F1125685}"/>
    <cellStyle name="Normal 96 2 2" xfId="8178" xr:uid="{4C255564-B533-4863-9B92-DBAA3A10477D}"/>
    <cellStyle name="Normal 96 2 2 2" xfId="8848" xr:uid="{13F2E33F-CDDD-40CF-82C9-2953DB4A8B9E}"/>
    <cellStyle name="Normal 96 2 2 2 2" xfId="10917" xr:uid="{3F190EAC-2ADB-4C64-92C2-F4B3B22A2424}"/>
    <cellStyle name="Normal 96 2 2 2 2 2" xfId="15123" xr:uid="{0EFFADFE-92E6-4314-9026-59651DA824A9}"/>
    <cellStyle name="Normal 96 2 2 2 3" xfId="13094" xr:uid="{A37436A5-B13D-4B49-91E4-1C1D071886D4}"/>
    <cellStyle name="Normal 96 2 2 3" xfId="10247" xr:uid="{238130E8-930D-4F92-AFC7-B733EF2511D5}"/>
    <cellStyle name="Normal 96 2 2 3 2" xfId="14453" xr:uid="{C61DA939-5F10-438E-88D1-DC2DE2B5A207}"/>
    <cellStyle name="Normal 96 2 2 4" xfId="12424" xr:uid="{C9FC7A27-0B8C-4A49-A4DC-7C1C4B7BA6AD}"/>
    <cellStyle name="Normal 96 2 3" xfId="8514" xr:uid="{D0AD6A63-5940-4EEA-9F67-000E97D4C8ED}"/>
    <cellStyle name="Normal 96 2 3 2" xfId="10583" xr:uid="{299B2879-6D6C-4E54-99B8-4E84AB47A0AC}"/>
    <cellStyle name="Normal 96 2 3 2 2" xfId="14789" xr:uid="{C00D58A7-8D99-454E-B903-60BC4BBC0A46}"/>
    <cellStyle name="Normal 96 2 3 3" xfId="12760" xr:uid="{2CE792D3-4E2B-4AD8-B88B-6F13ED64A062}"/>
    <cellStyle name="Normal 96 2 4" xfId="9187" xr:uid="{A006FCE6-B6F3-4312-886D-C7752014BFA5}"/>
    <cellStyle name="Normal 96 2 4 2" xfId="11256" xr:uid="{87A90C99-9383-494D-BBE7-26802F566AF8}"/>
    <cellStyle name="Normal 96 2 4 2 2" xfId="15462" xr:uid="{B53A4832-D394-4933-8627-93AB823BBE4B}"/>
    <cellStyle name="Normal 96 2 4 3" xfId="13433" xr:uid="{53367AE1-6679-4131-952E-9D03776AC2D2}"/>
    <cellStyle name="Normal 96 2 5" xfId="9555" xr:uid="{622828EC-5F52-45D6-9393-8DCFDBEA51AD}"/>
    <cellStyle name="Normal 96 2 5 2" xfId="11589" xr:uid="{585D6FD9-5E5F-487B-A614-5D971C193759}"/>
    <cellStyle name="Normal 96 2 5 2 2" xfId="15795" xr:uid="{1D0E7404-4430-468D-97C0-1D0A3DBCF7F9}"/>
    <cellStyle name="Normal 96 2 5 3" xfId="13766" xr:uid="{0C8EEEAE-0064-460F-B682-F34FBD7DC86A}"/>
    <cellStyle name="Normal 96 2 6" xfId="9913" xr:uid="{03FAD94B-8F07-456D-9872-F697756D62D7}"/>
    <cellStyle name="Normal 96 2 6 2" xfId="14119" xr:uid="{F666674D-A784-4AD6-B713-06FC25917228}"/>
    <cellStyle name="Normal 96 2 7" xfId="12090" xr:uid="{6CEFDFE2-5CFB-4E2D-892A-6B4C6FF9EA22}"/>
    <cellStyle name="Normal 96 3" xfId="8015" xr:uid="{15C401F2-A07F-42CE-A375-8EA1A994F164}"/>
    <cellStyle name="Normal 96 3 2" xfId="8685" xr:uid="{EC0DD3B0-E03F-435A-AA59-39470BB742B0}"/>
    <cellStyle name="Normal 96 3 2 2" xfId="10754" xr:uid="{76C86699-4E2D-4D83-8505-9B7B1D3FB1D2}"/>
    <cellStyle name="Normal 96 3 2 2 2" xfId="14960" xr:uid="{06E6A307-B466-4B1D-B8CF-A45DBC938FDD}"/>
    <cellStyle name="Normal 96 3 2 3" xfId="12931" xr:uid="{11593886-4C4D-44E9-8346-7C0AC45F0178}"/>
    <cellStyle name="Normal 96 3 3" xfId="10084" xr:uid="{B3773386-C24B-4383-99E7-3BD90BDE9365}"/>
    <cellStyle name="Normal 96 3 3 2" xfId="14290" xr:uid="{6E876740-B6BD-4745-8CF4-441043DDAC2E}"/>
    <cellStyle name="Normal 96 3 4" xfId="12261" xr:uid="{A9D2DFD2-170A-4CF7-A704-14097F9BC780}"/>
    <cellStyle name="Normal 96 4" xfId="8351" xr:uid="{43E4F65B-45BC-4C41-ABBB-B74273BAB174}"/>
    <cellStyle name="Normal 96 4 2" xfId="10420" xr:uid="{0B43B562-A1DC-463A-A221-24808766D938}"/>
    <cellStyle name="Normal 96 4 2 2" xfId="14626" xr:uid="{8254B434-F105-4DB1-8428-958C7EACB44B}"/>
    <cellStyle name="Normal 96 4 3" xfId="12597" xr:uid="{049889DB-479F-4269-90C6-905CE561A6F7}"/>
    <cellStyle name="Normal 96 5" xfId="9024" xr:uid="{3293460B-E85E-4D75-9F3B-DCA540134679}"/>
    <cellStyle name="Normal 96 5 2" xfId="11093" xr:uid="{7FF27E27-05EC-48B8-B3DC-CD2A33BD7F1F}"/>
    <cellStyle name="Normal 96 5 2 2" xfId="15299" xr:uid="{A03C1F55-F712-42B0-9986-59EB880D51ED}"/>
    <cellStyle name="Normal 96 5 3" xfId="13270" xr:uid="{A2E08F7F-3EFF-4466-BA65-78A93699D679}"/>
    <cellStyle name="Normal 96 6" xfId="9392" xr:uid="{E6B34A43-B2EF-4557-BC1E-F6B5C2C1172A}"/>
    <cellStyle name="Normal 96 6 2" xfId="11426" xr:uid="{063BFFB5-A1B8-45B4-827F-FB2BF7DAC4B9}"/>
    <cellStyle name="Normal 96 6 2 2" xfId="15632" xr:uid="{E1E6E8B1-7862-45A0-80AF-0D8AB5BD14ED}"/>
    <cellStyle name="Normal 96 6 3" xfId="13603" xr:uid="{DB81866C-BD27-4EF3-BD40-5EA3F74383B4}"/>
    <cellStyle name="Normal 96 7" xfId="9750" xr:uid="{AC63BA9D-B7D9-4091-B5EA-6D67D77BB9C3}"/>
    <cellStyle name="Normal 96 7 2" xfId="13956" xr:uid="{67479379-3692-4292-BEB0-98C9FD8BE71A}"/>
    <cellStyle name="Normal 96 8" xfId="11927" xr:uid="{49583300-EE7B-4791-8EE8-9F92EA839ECD}"/>
    <cellStyle name="Normal 97" xfId="7609" xr:uid="{4800F0FD-4A40-4C4F-B6BB-445B6F1A18D9}"/>
    <cellStyle name="Normal 97 2" xfId="7808" xr:uid="{4D63669F-4EB5-4BC6-9D01-1F9A23EB50AE}"/>
    <cellStyle name="Normal 97 2 2" xfId="8179" xr:uid="{F91D1879-06B7-48FC-8542-52365AFB8B54}"/>
    <cellStyle name="Normal 97 2 2 2" xfId="8849" xr:uid="{8E38755D-A6DF-4942-9E51-EFFE1C6C47BD}"/>
    <cellStyle name="Normal 97 2 2 2 2" xfId="10918" xr:uid="{6306537D-A88F-466A-AAD6-915C36AC5E77}"/>
    <cellStyle name="Normal 97 2 2 2 2 2" xfId="15124" xr:uid="{270FE0C0-CFAD-42BD-A0B4-919156A65445}"/>
    <cellStyle name="Normal 97 2 2 2 3" xfId="13095" xr:uid="{1A1A2997-F33D-4F78-BF15-9E930CC36340}"/>
    <cellStyle name="Normal 97 2 2 3" xfId="10248" xr:uid="{9947A920-7C18-49C3-83B0-8898D865672C}"/>
    <cellStyle name="Normal 97 2 2 3 2" xfId="14454" xr:uid="{7A28195D-87E6-4BBB-96C8-106A0D813A4B}"/>
    <cellStyle name="Normal 97 2 2 4" xfId="12425" xr:uid="{484DD7B9-68D0-42CA-92B7-02C06004C938}"/>
    <cellStyle name="Normal 97 2 3" xfId="8515" xr:uid="{B80C498C-2467-4D3D-92BF-B99633E17201}"/>
    <cellStyle name="Normal 97 2 3 2" xfId="10584" xr:uid="{FE5215EE-3216-4D44-8F30-71BED8AA5681}"/>
    <cellStyle name="Normal 97 2 3 2 2" xfId="14790" xr:uid="{2C996FFD-369E-45B4-98C9-EDC96BFC6D25}"/>
    <cellStyle name="Normal 97 2 3 3" xfId="12761" xr:uid="{A0F80834-23B0-4119-8B05-A09D7326C025}"/>
    <cellStyle name="Normal 97 2 4" xfId="9188" xr:uid="{33C55EC8-6204-4ECF-BC3F-14DAB352AD44}"/>
    <cellStyle name="Normal 97 2 4 2" xfId="11257" xr:uid="{9889290E-7789-4E7E-88DC-C2CB9C9B47D1}"/>
    <cellStyle name="Normal 97 2 4 2 2" xfId="15463" xr:uid="{DCF6F100-BD2E-4819-9CA9-B54CE43D3782}"/>
    <cellStyle name="Normal 97 2 4 3" xfId="13434" xr:uid="{DBDDEA71-391C-4C12-9762-5F3ADC1A9774}"/>
    <cellStyle name="Normal 97 2 5" xfId="9556" xr:uid="{D670572D-8085-4B79-BC17-22524AE5BA33}"/>
    <cellStyle name="Normal 97 2 5 2" xfId="11590" xr:uid="{9EDC62E2-3F3E-4001-A8B3-96DE04E8A1AE}"/>
    <cellStyle name="Normal 97 2 5 2 2" xfId="15796" xr:uid="{637207FB-B897-4211-AE25-DFA4C474F689}"/>
    <cellStyle name="Normal 97 2 5 3" xfId="13767" xr:uid="{8C36F99B-5881-4591-9930-B15E3B4869EE}"/>
    <cellStyle name="Normal 97 2 6" xfId="9914" xr:uid="{D81B38B9-C7EF-4584-8E2B-7226D1623B90}"/>
    <cellStyle name="Normal 97 2 6 2" xfId="14120" xr:uid="{2083B97F-7BCD-4C73-BBF3-83CA972EE8D1}"/>
    <cellStyle name="Normal 97 2 7" xfId="12091" xr:uid="{80CDA38B-C596-46F7-B099-90A7B593D414}"/>
    <cellStyle name="Normal 97 3" xfId="8016" xr:uid="{725F75B2-EDE5-43EB-8135-51960863A4BB}"/>
    <cellStyle name="Normal 97 3 2" xfId="8686" xr:uid="{2BEC34DB-4F15-429D-AB52-61A6ABB8A799}"/>
    <cellStyle name="Normal 97 3 2 2" xfId="10755" xr:uid="{5BB4D75C-DCD4-4EC3-BE06-FD5B8C37C915}"/>
    <cellStyle name="Normal 97 3 2 2 2" xfId="14961" xr:uid="{8D483666-1A95-4C8C-B39B-1DAE82FE1F1C}"/>
    <cellStyle name="Normal 97 3 2 3" xfId="12932" xr:uid="{8E2E6B94-1D1E-4B9D-AF78-16C32754D8C6}"/>
    <cellStyle name="Normal 97 3 3" xfId="10085" xr:uid="{F9F51B90-2F39-4943-88CA-20E3E0565773}"/>
    <cellStyle name="Normal 97 3 3 2" xfId="14291" xr:uid="{7E98A8BC-2F5C-496B-BB05-E6BCBE54B6E1}"/>
    <cellStyle name="Normal 97 3 4" xfId="12262" xr:uid="{5A263A62-DE9B-4BA2-B2E9-437DFFC38FB5}"/>
    <cellStyle name="Normal 97 4" xfId="8352" xr:uid="{AA9546D4-2489-4695-A21E-A1E14C60C721}"/>
    <cellStyle name="Normal 97 4 2" xfId="10421" xr:uid="{44C0CC7E-A8BF-467D-93ED-33EDBEBD40D9}"/>
    <cellStyle name="Normal 97 4 2 2" xfId="14627" xr:uid="{453217BE-0ECA-45B7-BCEC-A0559C1AC854}"/>
    <cellStyle name="Normal 97 4 3" xfId="12598" xr:uid="{ECA5D562-70D2-4282-B92C-17A6DAE01A02}"/>
    <cellStyle name="Normal 97 5" xfId="9025" xr:uid="{2149B001-5CCD-4034-9B2B-41D9EFAD0E70}"/>
    <cellStyle name="Normal 97 5 2" xfId="11094" xr:uid="{BA4AD994-59ED-4F6A-9875-0B9329F86F7F}"/>
    <cellStyle name="Normal 97 5 2 2" xfId="15300" xr:uid="{239A8BE2-11B7-4115-B594-047D8D52B7A3}"/>
    <cellStyle name="Normal 97 5 3" xfId="13271" xr:uid="{24315E10-70D4-45F8-A9E8-5643DCAC6474}"/>
    <cellStyle name="Normal 97 6" xfId="9393" xr:uid="{FFF24BC5-7467-48E3-8980-9A738C17250F}"/>
    <cellStyle name="Normal 97 6 2" xfId="11427" xr:uid="{E9BC4973-44DD-4D45-AABF-F79A21E94BCB}"/>
    <cellStyle name="Normal 97 6 2 2" xfId="15633" xr:uid="{EDF1A506-66CA-476C-B49E-B8565589BC63}"/>
    <cellStyle name="Normal 97 6 3" xfId="13604" xr:uid="{E11D63D2-27D7-42E8-9B3E-82E87736A4C4}"/>
    <cellStyle name="Normal 97 7" xfId="9751" xr:uid="{80518AD9-A962-4562-BB82-4047B8E4C711}"/>
    <cellStyle name="Normal 97 7 2" xfId="13957" xr:uid="{1EADBFB0-D61B-4874-8279-EF7B9EE7306E}"/>
    <cellStyle name="Normal 97 8" xfId="11928" xr:uid="{52D40119-C40A-451A-AEAD-D3F1B51FA915}"/>
    <cellStyle name="Normal 98" xfId="7610" xr:uid="{83585C73-7279-47A5-8AD4-5F604945EBAC}"/>
    <cellStyle name="Normal 98 2" xfId="7809" xr:uid="{88B33E9F-3127-46FB-B2CA-A777C8C20962}"/>
    <cellStyle name="Normal 98 2 2" xfId="8180" xr:uid="{796D79F9-E5ED-4C7A-B372-82A13FE82E40}"/>
    <cellStyle name="Normal 98 2 2 2" xfId="8850" xr:uid="{406BE3CB-2D73-4033-B74B-4353F9D14BBD}"/>
    <cellStyle name="Normal 98 2 2 2 2" xfId="10919" xr:uid="{49B1CB87-D231-4368-8E8B-58DDEC35538B}"/>
    <cellStyle name="Normal 98 2 2 2 2 2" xfId="15125" xr:uid="{1B29487E-3AEB-44D4-834D-B02027A7CE23}"/>
    <cellStyle name="Normal 98 2 2 2 3" xfId="13096" xr:uid="{5F5F5125-2D3F-46DA-98B9-C1B706D78DC9}"/>
    <cellStyle name="Normal 98 2 2 3" xfId="10249" xr:uid="{465A99C4-99EF-49C6-A2D6-DBBE7835C5FD}"/>
    <cellStyle name="Normal 98 2 2 3 2" xfId="14455" xr:uid="{49F3ACA3-4FB8-489A-8EF0-2BE7A06C23A4}"/>
    <cellStyle name="Normal 98 2 2 4" xfId="12426" xr:uid="{9B1BFCD6-FA4B-439A-9E71-E8785AF68D6F}"/>
    <cellStyle name="Normal 98 2 3" xfId="8516" xr:uid="{6D811786-C251-4046-B0E7-3EC71869B2B9}"/>
    <cellStyle name="Normal 98 2 3 2" xfId="10585" xr:uid="{A6F75B45-1740-4F0D-9465-BEEF352AC6F2}"/>
    <cellStyle name="Normal 98 2 3 2 2" xfId="14791" xr:uid="{FD3A9FAF-F91B-4CFB-A134-C37976D03E17}"/>
    <cellStyle name="Normal 98 2 3 3" xfId="12762" xr:uid="{5B6FAC6E-CD0A-41C8-915A-004E705A8097}"/>
    <cellStyle name="Normal 98 2 4" xfId="9189" xr:uid="{2D91ECC8-914B-42F3-BBAA-F03F7E6C9261}"/>
    <cellStyle name="Normal 98 2 4 2" xfId="11258" xr:uid="{EB1FA1C7-C25C-4B12-ABB9-15141F9433DE}"/>
    <cellStyle name="Normal 98 2 4 2 2" xfId="15464" xr:uid="{1A972148-64A7-472F-9521-9527FE558D81}"/>
    <cellStyle name="Normal 98 2 4 3" xfId="13435" xr:uid="{0575706B-3E92-4756-B15F-4E3C09CB55F2}"/>
    <cellStyle name="Normal 98 2 5" xfId="9557" xr:uid="{430066E9-3672-46C0-8DD5-AA0440597A73}"/>
    <cellStyle name="Normal 98 2 5 2" xfId="11591" xr:uid="{4A66120D-4589-49A4-8548-BAEF4F6C4E67}"/>
    <cellStyle name="Normal 98 2 5 2 2" xfId="15797" xr:uid="{773AB283-E134-4D45-B557-EDD5186FD6B5}"/>
    <cellStyle name="Normal 98 2 5 3" xfId="13768" xr:uid="{D0B67697-93A0-4146-A6E7-B7DC90F318B9}"/>
    <cellStyle name="Normal 98 2 6" xfId="9915" xr:uid="{79D24F56-E42C-4843-B400-5D75A5D5A9DA}"/>
    <cellStyle name="Normal 98 2 6 2" xfId="14121" xr:uid="{22A9B5AF-47CA-4A10-85FD-912AE338B5A0}"/>
    <cellStyle name="Normal 98 2 7" xfId="12092" xr:uid="{6E77D9E9-7793-4247-A4A2-53170ADD4E1F}"/>
    <cellStyle name="Normal 98 3" xfId="8017" xr:uid="{11B5866C-171E-4CFB-A5F9-BC68AE1C1ECC}"/>
    <cellStyle name="Normal 98 3 2" xfId="8687" xr:uid="{E4390215-1C5F-4A3A-81AF-48FF69875FE0}"/>
    <cellStyle name="Normal 98 3 2 2" xfId="10756" xr:uid="{1928C409-4520-4F9C-8FD8-3A6BF3E1B5FC}"/>
    <cellStyle name="Normal 98 3 2 2 2" xfId="14962" xr:uid="{7F31F955-33B1-403D-AA34-06D44AD948A9}"/>
    <cellStyle name="Normal 98 3 2 3" xfId="12933" xr:uid="{0F8F0B55-9EA3-4478-AB7A-8AED29308893}"/>
    <cellStyle name="Normal 98 3 3" xfId="10086" xr:uid="{574AC129-3AA7-4F79-A372-7F975E34D717}"/>
    <cellStyle name="Normal 98 3 3 2" xfId="14292" xr:uid="{ED9DBC3C-7B94-4F6C-B92D-914B27F11442}"/>
    <cellStyle name="Normal 98 3 4" xfId="12263" xr:uid="{DBCBC5E8-0FCD-4241-BFC0-733F8AE7353C}"/>
    <cellStyle name="Normal 98 4" xfId="8353" xr:uid="{13593974-0E57-40CD-8A85-DE941144DA25}"/>
    <cellStyle name="Normal 98 4 2" xfId="10422" xr:uid="{5E6C917E-29A1-40E4-A80A-4700D9D37084}"/>
    <cellStyle name="Normal 98 4 2 2" xfId="14628" xr:uid="{1CC50165-30AB-4C6D-B53B-B5B7038782CB}"/>
    <cellStyle name="Normal 98 4 3" xfId="12599" xr:uid="{9A2DDE2E-06ED-45C9-8631-26025B83100B}"/>
    <cellStyle name="Normal 98 5" xfId="9026" xr:uid="{7A9DF808-1E77-4044-B050-B07A617E82D9}"/>
    <cellStyle name="Normal 98 5 2" xfId="11095" xr:uid="{5109F7DB-C982-46B1-B595-4BB58E91D82C}"/>
    <cellStyle name="Normal 98 5 2 2" xfId="15301" xr:uid="{16F24F97-AB8F-4AE8-AC04-5055FD27A6E3}"/>
    <cellStyle name="Normal 98 5 3" xfId="13272" xr:uid="{2AADBEE3-20A5-4B09-8495-D5FE30B676B7}"/>
    <cellStyle name="Normal 98 6" xfId="9394" xr:uid="{6495E6D0-F5D8-457C-8905-66D05A78EFE6}"/>
    <cellStyle name="Normal 98 6 2" xfId="11428" xr:uid="{4E7EB91D-0D74-40EF-B313-635C9C1025C3}"/>
    <cellStyle name="Normal 98 6 2 2" xfId="15634" xr:uid="{8332288E-14CB-4166-816B-773A4F14C0B5}"/>
    <cellStyle name="Normal 98 6 3" xfId="13605" xr:uid="{44EDA8AA-F998-4FD4-A81D-A603FC25E10F}"/>
    <cellStyle name="Normal 98 7" xfId="9752" xr:uid="{8CA9788C-60F8-4980-8736-FDFD12EB96B9}"/>
    <cellStyle name="Normal 98 7 2" xfId="13958" xr:uid="{1F917A03-1E0A-43B4-BD7D-2E32803CFC35}"/>
    <cellStyle name="Normal 98 8" xfId="11929" xr:uid="{0C723ADE-6ED6-4C7E-97F8-4E75F31EFD19}"/>
    <cellStyle name="Normal 99" xfId="7611" xr:uid="{D584793A-1CC8-4213-A269-B7472DEA90C4}"/>
    <cellStyle name="Normal 99 2" xfId="7810" xr:uid="{493102CD-8114-43F0-980B-6D33E3526BD9}"/>
    <cellStyle name="Normal 99 2 2" xfId="8181" xr:uid="{EA517C34-3B1B-466A-89F3-5C3F18BE9898}"/>
    <cellStyle name="Normal 99 2 2 2" xfId="8851" xr:uid="{EB2EBDD6-B442-4775-BFEA-A1ACE072B358}"/>
    <cellStyle name="Normal 99 2 2 2 2" xfId="10920" xr:uid="{B4CDEA1F-0BC7-40A3-B9E3-44D42BF220C9}"/>
    <cellStyle name="Normal 99 2 2 2 2 2" xfId="15126" xr:uid="{2C21EA81-FD75-4158-928C-82599FEEC851}"/>
    <cellStyle name="Normal 99 2 2 2 3" xfId="13097" xr:uid="{5B4E5F96-98CF-4FEC-B672-29B907D7840F}"/>
    <cellStyle name="Normal 99 2 2 3" xfId="10250" xr:uid="{58BAA38B-304A-4E93-889B-544277EE04AB}"/>
    <cellStyle name="Normal 99 2 2 3 2" xfId="14456" xr:uid="{D59C7681-AEFC-4422-9A1C-24906ADEE0F5}"/>
    <cellStyle name="Normal 99 2 2 4" xfId="12427" xr:uid="{3DD63BB4-6339-4089-AE7A-9EB1327CA52A}"/>
    <cellStyle name="Normal 99 2 3" xfId="8517" xr:uid="{750E4E0D-486C-4B5F-AF7E-E847E3F7CF19}"/>
    <cellStyle name="Normal 99 2 3 2" xfId="10586" xr:uid="{691EDBE8-C84D-4E68-9067-419F292D0500}"/>
    <cellStyle name="Normal 99 2 3 2 2" xfId="14792" xr:uid="{68C9BA72-32F1-43DC-B1D7-CBB6DD436391}"/>
    <cellStyle name="Normal 99 2 3 3" xfId="12763" xr:uid="{37323D66-6145-46E5-8278-2523048D612B}"/>
    <cellStyle name="Normal 99 2 4" xfId="9190" xr:uid="{98E88150-F8B3-448B-B3F8-E7C904897D20}"/>
    <cellStyle name="Normal 99 2 4 2" xfId="11259" xr:uid="{82639A3E-FBD2-425F-B6F4-4A00B43E1659}"/>
    <cellStyle name="Normal 99 2 4 2 2" xfId="15465" xr:uid="{295FB579-F31C-445D-B389-924B7B20199D}"/>
    <cellStyle name="Normal 99 2 4 3" xfId="13436" xr:uid="{872646AE-714B-4725-B153-E5E2297515D6}"/>
    <cellStyle name="Normal 99 2 5" xfId="9558" xr:uid="{3834F6AA-049C-4A40-9521-CCB961918DFA}"/>
    <cellStyle name="Normal 99 2 5 2" xfId="11592" xr:uid="{FC15B43D-1620-436F-B7AD-DEFADCE2275E}"/>
    <cellStyle name="Normal 99 2 5 2 2" xfId="15798" xr:uid="{AC2C5DCA-36DA-4A68-A1D4-12126DF43B72}"/>
    <cellStyle name="Normal 99 2 5 3" xfId="13769" xr:uid="{B536B23E-9796-48A9-ADA6-07026DB9A2A6}"/>
    <cellStyle name="Normal 99 2 6" xfId="9916" xr:uid="{DF99BC4B-07B7-46CC-9F8B-664E5A038D69}"/>
    <cellStyle name="Normal 99 2 6 2" xfId="14122" xr:uid="{D3E973E5-0748-4129-B62D-52EC99198D52}"/>
    <cellStyle name="Normal 99 2 7" xfId="12093" xr:uid="{09AFCD58-090C-4631-BDE6-A951921FEFBB}"/>
    <cellStyle name="Normal 99 3" xfId="8018" xr:uid="{77551643-F5C1-4F50-8B18-B7AED06D2D64}"/>
    <cellStyle name="Normal 99 3 2" xfId="8688" xr:uid="{251E562E-DBB2-45AD-BD38-05B0B9216DAB}"/>
    <cellStyle name="Normal 99 3 2 2" xfId="10757" xr:uid="{5C17F5BF-ED1D-4948-8643-5B4ACF141331}"/>
    <cellStyle name="Normal 99 3 2 2 2" xfId="14963" xr:uid="{B69A0215-8207-43C3-BF87-347A4EB75B92}"/>
    <cellStyle name="Normal 99 3 2 3" xfId="12934" xr:uid="{6E5455EC-A1DD-4FFE-B68A-0F1656AFD05D}"/>
    <cellStyle name="Normal 99 3 3" xfId="10087" xr:uid="{6A5D2697-D0F7-4A4D-8EF2-9E86EA304AF7}"/>
    <cellStyle name="Normal 99 3 3 2" xfId="14293" xr:uid="{4D1A0A5A-D191-4C1B-B8C6-4CE954AB3EFC}"/>
    <cellStyle name="Normal 99 3 4" xfId="12264" xr:uid="{29C4DC2F-CDFC-4FF0-9C03-A053A8062A90}"/>
    <cellStyle name="Normal 99 4" xfId="8354" xr:uid="{3ECCD0AA-35E6-414E-8D3D-CCDDA8F09433}"/>
    <cellStyle name="Normal 99 4 2" xfId="10423" xr:uid="{6FAC57E5-D90F-4F8C-BCF4-8FA614EF3C7F}"/>
    <cellStyle name="Normal 99 4 2 2" xfId="14629" xr:uid="{BD035402-AF10-46B1-AEE5-3CF3C9EFD597}"/>
    <cellStyle name="Normal 99 4 3" xfId="12600" xr:uid="{D8E83FCD-60F1-49C6-975D-EA1DEA29E68B}"/>
    <cellStyle name="Normal 99 5" xfId="9027" xr:uid="{CD2FFD3F-DAB8-499A-974F-B767428F8208}"/>
    <cellStyle name="Normal 99 5 2" xfId="11096" xr:uid="{DAB6AC84-D095-4206-BF1A-728AB482509A}"/>
    <cellStyle name="Normal 99 5 2 2" xfId="15302" xr:uid="{1564539D-E402-498B-9B23-3069A01CB78E}"/>
    <cellStyle name="Normal 99 5 3" xfId="13273" xr:uid="{A37E919B-6686-4544-8BB2-6D49DB98E611}"/>
    <cellStyle name="Normal 99 6" xfId="9395" xr:uid="{691592CE-D221-4877-A4F4-217C4987E6CE}"/>
    <cellStyle name="Normal 99 6 2" xfId="11429" xr:uid="{C2482716-FFD8-4188-A711-75283337F9D4}"/>
    <cellStyle name="Normal 99 6 2 2" xfId="15635" xr:uid="{D7990199-0110-4FBA-A64F-040C2EE14EF1}"/>
    <cellStyle name="Normal 99 6 3" xfId="13606" xr:uid="{174F98DD-743C-40B7-B0E5-732D4FA2DCE2}"/>
    <cellStyle name="Normal 99 7" xfId="9753" xr:uid="{6881DCA7-072B-4682-97F6-B4EB94CFFFAF}"/>
    <cellStyle name="Normal 99 7 2" xfId="13959" xr:uid="{1DD90DB2-6DA7-40F9-B3CA-027AD4DEBC1F}"/>
    <cellStyle name="Normal 99 8" xfId="11930" xr:uid="{FEC2CCE0-EFF2-412E-966C-CE68F627E663}"/>
    <cellStyle name="Notas 2" xfId="9631" xr:uid="{8CFB6AC3-C382-4426-882F-0B266A47E2B2}"/>
    <cellStyle name="Notas 2 2" xfId="13839" xr:uid="{E7E846E8-0ABB-4FD4-B624-380F2D19B100}"/>
    <cellStyle name="OBI_ColHeader" xfId="7441" xr:uid="{E0CDB8A8-A312-4937-B49B-7BDD6EF8953E}"/>
    <cellStyle name="Porcentaje 2" xfId="7442" xr:uid="{AF73D508-EBEE-41C8-8201-5FC7071AAC12}"/>
    <cellStyle name="Porcentaje 2 2" xfId="7634" xr:uid="{D1CBA61E-AE87-4AA1-8BB9-1229CC78E623}"/>
    <cellStyle name="Porcentaje 2 2 2" xfId="7689" xr:uid="{7C11CA88-7D28-41E7-801C-65D2CFA378CE}"/>
    <cellStyle name="Porcentaje 2 3" xfId="7693" xr:uid="{4D0BAD5C-A632-4C4A-87A1-183EA5ABF93B}"/>
    <cellStyle name="Porcentaje 2 4" xfId="7688" xr:uid="{32DF835D-6E59-49B6-9C64-B1D02C10FE72}"/>
    <cellStyle name="Porcentaje 3" xfId="9643" xr:uid="{46132ADE-6C92-45C7-8680-444F217263D4}"/>
    <cellStyle name="Porcentaje 3 10" xfId="11786" xr:uid="{D83483E9-F03B-48B6-8F71-31238B24D3C3}"/>
    <cellStyle name="Porcentaje 3 10 2" xfId="15987" xr:uid="{D9551366-ADB3-4960-B44E-6EDFBEA7CD19}"/>
    <cellStyle name="Porcentaje 3 11" xfId="11800" xr:uid="{A90D91C7-9191-4E8B-A1AC-295147FDC2FC}"/>
    <cellStyle name="Porcentaje 3 11 2" xfId="15996" xr:uid="{A4D1A01E-4C46-414F-B820-E991E634BB65}"/>
    <cellStyle name="Porcentaje 3 12" xfId="13850" xr:uid="{13385E44-D95E-41D3-A638-0451713AA06E}"/>
    <cellStyle name="Porcentaje 3 2" xfId="11667" xr:uid="{D465F142-614F-467F-8C3C-2715D2524CF5}"/>
    <cellStyle name="Porcentaje 3 2 2" xfId="11699" xr:uid="{FEF2C4A3-FBCE-4147-8550-4BF348277675}"/>
    <cellStyle name="Porcentaje 3 2 2 2" xfId="11754" xr:uid="{4322D387-3191-4D46-8518-45ADA3F18D21}"/>
    <cellStyle name="Porcentaje 3 2 2 2 2" xfId="15955" xr:uid="{F72A6196-0885-410C-B0D1-69C93259D335}"/>
    <cellStyle name="Porcentaje 3 2 2 3" xfId="15903" xr:uid="{E3B54178-FFF1-4C00-8787-BA52FD7D0AE3}"/>
    <cellStyle name="Porcentaje 3 2 3" xfId="11726" xr:uid="{06071D61-4421-4FCF-939D-DDCFD0FD4079}"/>
    <cellStyle name="Porcentaje 3 2 3 2" xfId="15930" xr:uid="{7152787B-111B-42F5-AB05-3B7DC5A7CFF2}"/>
    <cellStyle name="Porcentaje 3 2 4" xfId="11748" xr:uid="{46169962-9195-4778-AAB1-F49797A7D77A}"/>
    <cellStyle name="Porcentaje 3 2 4 2" xfId="15949" xr:uid="{37B2FBA8-6B7B-470D-AA88-A6B3E74B1440}"/>
    <cellStyle name="Porcentaje 3 2 5" xfId="11772" xr:uid="{D98C0A03-3C88-4B96-B2F1-D36C84C352F9}"/>
    <cellStyle name="Porcentaje 3 2 5 2" xfId="15973" xr:uid="{3CDC9192-5808-4C8D-9958-17F25F2649EA}"/>
    <cellStyle name="Porcentaje 3 2 6" xfId="11789" xr:uid="{444BB580-9018-4737-AF86-F87E4C654459}"/>
    <cellStyle name="Porcentaje 3 2 6 2" xfId="15990" xr:uid="{38B630E1-9C83-4CD8-A700-D2715721AC61}"/>
    <cellStyle name="Porcentaje 3 2 7" xfId="11795" xr:uid="{9B4511C8-329D-4AAC-8B98-80BB5A616CEC}"/>
    <cellStyle name="Porcentaje 3 2 8" xfId="15873" xr:uid="{2C8D0B1B-E3FF-41CC-8DE6-E8F93AE0ECEE}"/>
    <cellStyle name="Porcentaje 3 3" xfId="11684" xr:uid="{40BA4E7F-F61B-4610-9895-A99B580EABC7}"/>
    <cellStyle name="Porcentaje 3 3 2" xfId="11696" xr:uid="{4F3262C2-2E60-4B15-8F44-C37CC8A7B385}"/>
    <cellStyle name="Porcentaje 3 3 2 2" xfId="15900" xr:uid="{8D0A8CE6-281F-46E0-AEBD-4FF740EFCADC}"/>
    <cellStyle name="Porcentaje 3 3 3" xfId="11752" xr:uid="{519A62BE-3E9E-433B-A4F3-CA3A02827AC3}"/>
    <cellStyle name="Porcentaje 3 3 3 2" xfId="15953" xr:uid="{67451FF7-C695-4DAC-A4E1-80504C5FA3F5}"/>
    <cellStyle name="Porcentaje 3 3 4" xfId="15889" xr:uid="{A1E0D44C-048E-4381-8CA2-5F905F5352B8}"/>
    <cellStyle name="Porcentaje 3 4" xfId="11693" xr:uid="{3F785029-6F81-46A1-BE4B-8EBFF6EF52F4}"/>
    <cellStyle name="Porcentaje 3 4 2" xfId="15897" xr:uid="{A3010162-6E1B-4013-B5BC-B7EC8F952083}"/>
    <cellStyle name="Porcentaje 3 5" xfId="11720" xr:uid="{2DA18C6C-41F7-4EB7-8955-431FBAFE1AF4}"/>
    <cellStyle name="Porcentaje 3 5 2" xfId="15924" xr:uid="{75291B4B-08E5-4E8C-8669-D3F9AB4E1A41}"/>
    <cellStyle name="Porcentaje 3 6" xfId="11722" xr:uid="{ABC2B3E4-1D10-44B8-9116-E6DB6523CF37}"/>
    <cellStyle name="Porcentaje 3 6 2" xfId="15926" xr:uid="{7B95A0AD-190B-4959-8297-0EC2648FBC4E}"/>
    <cellStyle name="Porcentaje 3 7" xfId="11746" xr:uid="{D3053669-7A18-402B-8B83-F04C6FCFEC49}"/>
    <cellStyle name="Porcentaje 3 7 2" xfId="15947" xr:uid="{2E4E0603-9114-45AE-9764-A57F7978F066}"/>
    <cellStyle name="Porcentaje 3 8" xfId="11741" xr:uid="{CCF50E94-AF33-436D-AEB2-B853E75044D8}"/>
    <cellStyle name="Porcentaje 3 9" xfId="11771" xr:uid="{D9BA9150-D0AD-4792-93B4-BB6C71238C17}"/>
    <cellStyle name="Porcentaje 3 9 2" xfId="15972" xr:uid="{7D244597-FD57-428C-8A7B-0193C8DEC4AC}"/>
    <cellStyle name="Porcentaje 4" xfId="11701" xr:uid="{9B712002-BB13-435F-9C3B-D8FB20543D7C}"/>
    <cellStyle name="Porcentaje 4 2" xfId="11728" xr:uid="{197BE36D-DDB7-4D8B-A6D2-C46C94D5C41C}"/>
    <cellStyle name="Porcentaje 4 2 2" xfId="11755" xr:uid="{0E3DDE83-D62D-4A08-9A4C-13C454A408F6}"/>
    <cellStyle name="Porcentaje 4 2 2 2" xfId="15956" xr:uid="{92B3765F-9F5E-4A43-B7B4-C99BAFDDCEA0}"/>
    <cellStyle name="Porcentaje 4 2 3" xfId="11797" xr:uid="{46C29CED-8E2D-4861-9661-1A3EB92DE635}"/>
    <cellStyle name="Porcentaje 4 2 4" xfId="15932" xr:uid="{8B018E19-C73F-43E9-91D7-B79F437271F8}"/>
    <cellStyle name="Porcentaje 4 3" xfId="11724" xr:uid="{97D65791-DE15-4342-81D9-B9DD6CBF486A}"/>
    <cellStyle name="Porcentaje 4 3 2" xfId="15928" xr:uid="{FAEEBACE-8C2E-4C48-8761-E1674C18C046}"/>
    <cellStyle name="Porcentaje 4 4" xfId="11750" xr:uid="{BE8374A8-9F16-4330-8146-299504642F28}"/>
    <cellStyle name="Porcentaje 4 4 2" xfId="15951" xr:uid="{2C280482-CCC9-4914-B7C1-0C3D95CA5B14}"/>
    <cellStyle name="Porcentaje 4 5" xfId="11796" xr:uid="{704769A8-86C7-4BFE-9787-BF1596B316C5}"/>
    <cellStyle name="Porcentaje 4 6" xfId="15905" xr:uid="{9967B99E-B169-4414-AA4B-DE1FA596764F}"/>
    <cellStyle name="Salida" xfId="14" builtinId="21" customBuiltin="1"/>
    <cellStyle name="Salida 2" xfId="7443" xr:uid="{2FB24984-499C-4E12-8C62-263EC0A57EF9}"/>
    <cellStyle name="Salida 3" xfId="7444" xr:uid="{2B8354F9-1813-46ED-BB47-0EE3FA5E5251}"/>
    <cellStyle name="Salida 4" xfId="7445" xr:uid="{922A2883-9B2F-4838-AAA0-943532960CB4}"/>
    <cellStyle name="Salida 5" xfId="7446" xr:uid="{18671C03-903D-4556-BE0E-3B084C3B23E1}"/>
    <cellStyle name="Texto de advertencia" xfId="18" builtinId="11" customBuiltin="1"/>
    <cellStyle name="Texto de advertencia 2" xfId="7447" xr:uid="{B245EBD3-EB9C-40CD-BF35-04DAC6617677}"/>
    <cellStyle name="Texto de advertencia 3" xfId="7448" xr:uid="{87D8A87A-9116-4538-9AEC-E1C07327AB58}"/>
    <cellStyle name="Texto de advertencia 4" xfId="7449" xr:uid="{A75F07EE-14C2-4E5C-A49B-17BB26CF9C97}"/>
    <cellStyle name="Texto de advertencia 5" xfId="7450" xr:uid="{8DACFA8C-1187-4924-BDD0-79866244DFA2}"/>
    <cellStyle name="Texto explicativo" xfId="19" builtinId="53" customBuiltin="1"/>
    <cellStyle name="Texto explicativo 2" xfId="7451" xr:uid="{C86D485D-B755-4358-90E1-8182AA8A4EEA}"/>
    <cellStyle name="Texto explicativo 2 2" xfId="7452" xr:uid="{656C2239-62DA-46BF-960C-636613A546CB}"/>
    <cellStyle name="Texto explicativo 2 3" xfId="7453" xr:uid="{6507FCB6-6C20-4562-BE18-15BD346B3D3E}"/>
    <cellStyle name="Texto explicativo 3" xfId="7454" xr:uid="{0139A953-4E7A-45E2-9834-F0A488FE8F27}"/>
    <cellStyle name="Texto explicativo 4" xfId="7455" xr:uid="{0AE5C222-597C-4AB5-BCE2-51484DEEC346}"/>
    <cellStyle name="Texto explicativo 5" xfId="7456" xr:uid="{E00A2125-9C48-424C-B45E-B541A2EDBBA4}"/>
    <cellStyle name="Texto explicativo 6" xfId="7457" xr:uid="{906D94B9-0C57-464F-BDC3-8E2413482DCE}"/>
    <cellStyle name="Título" xfId="5" builtinId="15" customBuiltin="1"/>
    <cellStyle name="Título 1 2" xfId="7462" xr:uid="{95FE89C4-3280-4DD6-A8ED-3959DA37724E}"/>
    <cellStyle name="Título 1 3" xfId="7463" xr:uid="{F78D2541-3FAD-4BE2-9E29-64C8ADDDEF4C}"/>
    <cellStyle name="Título 1 4" xfId="7464" xr:uid="{E0A135B5-100D-4E83-AB71-61CBCFD0FFC6}"/>
    <cellStyle name="Título 1 5" xfId="7465" xr:uid="{90CC8183-E793-4CB5-A524-6D1CFBC24623}"/>
    <cellStyle name="Título 2" xfId="7" builtinId="17" customBuiltin="1"/>
    <cellStyle name="Título 2 2" xfId="7466" xr:uid="{C6A62A65-4CE7-47A6-876C-8E52BDD3C663}"/>
    <cellStyle name="Título 2 3" xfId="7467" xr:uid="{75B65383-F68E-4D13-8C27-7B87653A72A3}"/>
    <cellStyle name="Título 2 4" xfId="7468" xr:uid="{16DD73AD-A7A9-4024-8AB6-8484AC1DD164}"/>
    <cellStyle name="Título 2 5" xfId="7469" xr:uid="{1EDFDD40-3AFC-4984-A482-F93F2D5ADA1F}"/>
    <cellStyle name="Título 3" xfId="8" builtinId="18" customBuiltin="1"/>
    <cellStyle name="Título 3 2" xfId="7470" xr:uid="{3BEDBFEF-619C-49CE-9BE4-1AB25CBEA56C}"/>
    <cellStyle name="Título 3 3" xfId="7471" xr:uid="{0618BCD1-1602-4C5B-B8AC-1D509434A434}"/>
    <cellStyle name="Título 3 4" xfId="7472" xr:uid="{1BC5BFF9-756D-469D-A0BA-19991409236E}"/>
    <cellStyle name="Título 3 5" xfId="7473" xr:uid="{BE5725F1-A3F0-4C07-8DD3-3A88A735E9C3}"/>
    <cellStyle name="Total" xfId="20" builtinId="25" customBuiltin="1"/>
    <cellStyle name="Total 2" xfId="7458" xr:uid="{142B58EE-131C-4787-8D91-D72F5CD0FF04}"/>
    <cellStyle name="Total 3" xfId="7459" xr:uid="{1F5DDF47-24DF-4810-A696-B98E78B11D0B}"/>
    <cellStyle name="Total 4" xfId="7460" xr:uid="{F9577FFA-1903-4BF6-BB84-57A5F03E3D0C}"/>
    <cellStyle name="Total 5" xfId="7461" xr:uid="{0B50254A-B779-48B3-870F-78BC5077744F}"/>
  </cellStyles>
  <dxfs count="58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C99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C99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AC09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Lines="50" dropStyle="combo" dx="16" fmlaLink="$D$4" fmlaRange="BBDD!$E$2:$E$570" noThreeD="1" sel="328" val="305"/>
</file>

<file path=xl/drawings/_rels/drawing2.xml.rels><?xml version="1.0" encoding="UTF-8" standalone="yes"?>
<Relationships xmlns="http://schemas.openxmlformats.org/package/2006/relationships"><Relationship Id="rId109" Type="http://schemas.openxmlformats.org/officeDocument/2006/relationships/customXml" Target="../ink/ink6.xml"/><Relationship Id="rId117" Type="http://schemas.openxmlformats.org/officeDocument/2006/relationships/image" Target="NULL"/><Relationship Id="rId68" Type="http://schemas.openxmlformats.org/officeDocument/2006/relationships/customXml" Target="../ink/ink3.xml"/><Relationship Id="rId112" Type="http://schemas.openxmlformats.org/officeDocument/2006/relationships/image" Target="NULL"/><Relationship Id="rId120" Type="http://schemas.openxmlformats.org/officeDocument/2006/relationships/customXml" Target="../ink/ink12.xml"/><Relationship Id="rId125" Type="http://schemas.openxmlformats.org/officeDocument/2006/relationships/customXml" Target="../ink/ink15.xml"/><Relationship Id="rId133" Type="http://schemas.openxmlformats.org/officeDocument/2006/relationships/image" Target="NULL"/><Relationship Id="rId138" Type="http://schemas.openxmlformats.org/officeDocument/2006/relationships/image" Target="NULL"/><Relationship Id="rId141" Type="http://schemas.openxmlformats.org/officeDocument/2006/relationships/customXml" Target="../ink/ink24.xml"/><Relationship Id="rId146" Type="http://schemas.openxmlformats.org/officeDocument/2006/relationships/customXml" Target="../ink/ink27.xml"/><Relationship Id="rId154" Type="http://schemas.openxmlformats.org/officeDocument/2006/relationships/image" Target="NULL"/><Relationship Id="rId107" Type="http://schemas.openxmlformats.org/officeDocument/2006/relationships/customXml" Target="../ink/ink5.xml"/><Relationship Id="rId66" Type="http://schemas.openxmlformats.org/officeDocument/2006/relationships/customXml" Target="../ink/ink2.xml"/><Relationship Id="rId110" Type="http://schemas.openxmlformats.org/officeDocument/2006/relationships/image" Target="NULL"/><Relationship Id="rId115" Type="http://schemas.openxmlformats.org/officeDocument/2006/relationships/image" Target="NULL"/><Relationship Id="rId123" Type="http://schemas.openxmlformats.org/officeDocument/2006/relationships/customXml" Target="../ink/ink14.xml"/><Relationship Id="rId128" Type="http://schemas.openxmlformats.org/officeDocument/2006/relationships/customXml" Target="../ink/ink17.xml"/><Relationship Id="rId131" Type="http://schemas.openxmlformats.org/officeDocument/2006/relationships/image" Target="NULL"/><Relationship Id="rId136" Type="http://schemas.openxmlformats.org/officeDocument/2006/relationships/image" Target="NULL"/><Relationship Id="rId144" Type="http://schemas.openxmlformats.org/officeDocument/2006/relationships/customXml" Target="../ink/ink26.xml"/><Relationship Id="rId149" Type="http://schemas.openxmlformats.org/officeDocument/2006/relationships/customXml" Target="../ink/ink29.xml"/><Relationship Id="rId152" Type="http://schemas.openxmlformats.org/officeDocument/2006/relationships/image" Target="NULL"/><Relationship Id="rId65" Type="http://schemas.openxmlformats.org/officeDocument/2006/relationships/image" Target="NULL"/><Relationship Id="rId122" Type="http://schemas.openxmlformats.org/officeDocument/2006/relationships/image" Target="NULL"/><Relationship Id="rId130" Type="http://schemas.openxmlformats.org/officeDocument/2006/relationships/customXml" Target="../ink/ink18.xml"/><Relationship Id="rId135" Type="http://schemas.openxmlformats.org/officeDocument/2006/relationships/customXml" Target="../ink/ink21.xml"/><Relationship Id="rId143" Type="http://schemas.openxmlformats.org/officeDocument/2006/relationships/image" Target="NULL"/><Relationship Id="rId148" Type="http://schemas.openxmlformats.org/officeDocument/2006/relationships/customXml" Target="../ink/ink28.xml"/><Relationship Id="rId151" Type="http://schemas.openxmlformats.org/officeDocument/2006/relationships/customXml" Target="../ink/ink30.xml"/><Relationship Id="rId105" Type="http://schemas.openxmlformats.org/officeDocument/2006/relationships/image" Target="NULL"/><Relationship Id="rId113" Type="http://schemas.openxmlformats.org/officeDocument/2006/relationships/customXml" Target="../ink/ink8.xml"/><Relationship Id="rId118" Type="http://schemas.openxmlformats.org/officeDocument/2006/relationships/customXml" Target="../ink/ink11.xml"/><Relationship Id="rId126" Type="http://schemas.openxmlformats.org/officeDocument/2006/relationships/image" Target="NULL"/><Relationship Id="rId134" Type="http://schemas.openxmlformats.org/officeDocument/2006/relationships/customXml" Target="../ink/ink20.xml"/><Relationship Id="rId139" Type="http://schemas.openxmlformats.org/officeDocument/2006/relationships/customXml" Target="../ink/ink23.xml"/><Relationship Id="rId147" Type="http://schemas.openxmlformats.org/officeDocument/2006/relationships/image" Target="NULL"/><Relationship Id="rId121" Type="http://schemas.openxmlformats.org/officeDocument/2006/relationships/customXml" Target="../ink/ink13.xml"/><Relationship Id="rId142" Type="http://schemas.openxmlformats.org/officeDocument/2006/relationships/customXml" Target="../ink/ink25.xml"/><Relationship Id="rId150" Type="http://schemas.openxmlformats.org/officeDocument/2006/relationships/image" Target="NULL"/><Relationship Id="rId155" Type="http://schemas.openxmlformats.org/officeDocument/2006/relationships/customXml" Target="../ink/ink32.xml"/><Relationship Id="rId67" Type="http://schemas.openxmlformats.org/officeDocument/2006/relationships/image" Target="NULL"/><Relationship Id="rId108" Type="http://schemas.openxmlformats.org/officeDocument/2006/relationships/image" Target="NULL"/><Relationship Id="rId116" Type="http://schemas.openxmlformats.org/officeDocument/2006/relationships/customXml" Target="../ink/ink10.xml"/><Relationship Id="rId124" Type="http://schemas.openxmlformats.org/officeDocument/2006/relationships/image" Target="NULL"/><Relationship Id="rId129" Type="http://schemas.openxmlformats.org/officeDocument/2006/relationships/image" Target="NULL"/><Relationship Id="rId137" Type="http://schemas.openxmlformats.org/officeDocument/2006/relationships/customXml" Target="../ink/ink22.xml"/><Relationship Id="rId111" Type="http://schemas.openxmlformats.org/officeDocument/2006/relationships/customXml" Target="../ink/ink7.xml"/><Relationship Id="rId132" Type="http://schemas.openxmlformats.org/officeDocument/2006/relationships/customXml" Target="../ink/ink19.xml"/><Relationship Id="rId140" Type="http://schemas.openxmlformats.org/officeDocument/2006/relationships/image" Target="NULL"/><Relationship Id="rId145" Type="http://schemas.openxmlformats.org/officeDocument/2006/relationships/image" Target="NULL"/><Relationship Id="rId153" Type="http://schemas.openxmlformats.org/officeDocument/2006/relationships/customXml" Target="../ink/ink31.xml"/><Relationship Id="rId1" Type="http://schemas.openxmlformats.org/officeDocument/2006/relationships/customXml" Target="../ink/ink1.xml"/><Relationship Id="rId106" Type="http://schemas.openxmlformats.org/officeDocument/2006/relationships/customXml" Target="../ink/ink4.xml"/><Relationship Id="rId114" Type="http://schemas.openxmlformats.org/officeDocument/2006/relationships/customXml" Target="../ink/ink9.xml"/><Relationship Id="rId119" Type="http://schemas.openxmlformats.org/officeDocument/2006/relationships/image" Target="NULL"/><Relationship Id="rId127" Type="http://schemas.openxmlformats.org/officeDocument/2006/relationships/customXml" Target="../ink/ink16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3</xdr:row>
          <xdr:rowOff>76200</xdr:rowOff>
        </xdr:from>
        <xdr:to>
          <xdr:col>8</xdr:col>
          <xdr:colOff>203200</xdr:colOff>
          <xdr:row>4</xdr:row>
          <xdr:rowOff>241300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0</xdr:colOff>
      <xdr:row>1</xdr:row>
      <xdr:rowOff>0</xdr:rowOff>
    </xdr:from>
    <xdr:to>
      <xdr:col>8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0</xdr:colOff>
      <xdr:row>1</xdr:row>
      <xdr:rowOff>3175</xdr:rowOff>
    </xdr:from>
    <xdr:to>
      <xdr:col>8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3175</xdr:rowOff>
    </xdr:from>
    <xdr:to>
      <xdr:col>5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3175</xdr:rowOff>
    </xdr:from>
    <xdr:to>
      <xdr:col>5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3175</xdr:rowOff>
    </xdr:from>
    <xdr:to>
      <xdr:col>5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7" name="Entrada de lápiz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9" name="Entrada de lápiz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3175</xdr:rowOff>
    </xdr:from>
    <xdr:to>
      <xdr:col>5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0" name="Entrada de lápiz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1" name="Entrada de lápiz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3" name="Entrada de lápiz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3175</xdr:rowOff>
    </xdr:from>
    <xdr:to>
      <xdr:col>5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4" name="Entrada de lápiz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5" name="Entrada de lápiz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26" name="Entrada de lápiz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3175</xdr:rowOff>
    </xdr:from>
    <xdr:to>
      <xdr:col>5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28" name="Entrada de lápiz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29" name="Entrada de lápiz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16</xdr:col>
      <xdr:colOff>1473120</xdr:colOff>
      <xdr:row>50</xdr:row>
      <xdr:rowOff>3175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30" name="Entrada de lápiz 29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14:cNvPr>
            <xdr14:cNvContentPartPr/>
          </xdr14:nvContentPartPr>
          <xdr14:nvPr macro=""/>
          <xdr14:xfrm>
            <a:off x="1473120" y="3968450"/>
            <a:ext cx="360" cy="36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DAF38282-AB7D-D30A-7949-8A4DF2CC623C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468800" y="3964130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31" name="Entrada de lápiz 3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14:cNvPr>
            <xdr14:cNvContentPartPr/>
          </xdr14:nvContentPartPr>
          <xdr14:nvPr macro=""/>
          <xdr14:xfrm>
            <a:off x="1447560" y="5061050"/>
            <a:ext cx="360" cy="360"/>
          </xdr14:xfrm>
        </xdr:contentPart>
      </mc:Choice>
      <mc:Fallback xmlns="">
        <xdr:pic>
          <xdr:nvPicPr>
            <xdr:cNvPr id="23" name="Entrada de lápiz 22">
              <a:extLst>
                <a:ext uri="{FF2B5EF4-FFF2-40B4-BE49-F238E27FC236}">
                  <a16:creationId xmlns:a16="http://schemas.microsoft.com/office/drawing/2014/main" id="{C2CBB2F8-7E50-4B7D-1B72-9051ED003F2D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443240" y="50567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3175</xdr:rowOff>
    </xdr:from>
    <xdr:to>
      <xdr:col>5</xdr:col>
      <xdr:colOff>0</xdr:colOff>
      <xdr:row>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33" name="Entrada de lápiz 32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14:cNvPr>
            <xdr14:cNvContentPartPr/>
          </xdr14:nvContentPartPr>
          <xdr14:nvPr macro=""/>
          <xdr14:xfrm>
            <a:off x="1447560" y="11379270"/>
            <a:ext cx="360" cy="360"/>
          </xdr14:xfrm>
        </xdr:contentPart>
      </mc:Choice>
      <mc:Fallback xmlns="">
        <xdr:pic>
          <xdr:nvPicPr>
            <xdr:cNvPr id="89" name="Entrada de lápiz 88">
              <a:extLst>
                <a:ext uri="{FF2B5EF4-FFF2-40B4-BE49-F238E27FC236}">
                  <a16:creationId xmlns:a16="http://schemas.microsoft.com/office/drawing/2014/main" id="{929B6B7A-E1F3-8B68-6518-D56EDB834495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441440" y="113731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2T10:39:11.9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2T10:39:11.95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2T10:39:11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2T10:39:11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16:22:55.4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16:22:55.4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16:22:55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16:22:55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17:35:00.8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17:35:00.8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17:35:00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17:35:00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15:27:34.2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15:27:34.2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15:27:34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0T15:27:34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7T12:28:18.9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7T12:28:18.99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7T12:28:18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7T12:28:18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16:40:26.6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16:40:26.6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16:40:26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16:40:26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1T13:16:08.68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1T13:16:08.6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1T13:16:08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1T13:16:08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5T11:59:11.0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24575,'0'0'-8191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5T11:59:11.0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24575,'0'0'-8191</inkml:trace>
  <inkml:trace contextRef="#ctx0" brushRef="#br0" timeOffset="1">0 0 24575,'0'0'-8191</inkml:trace>
  <inkml:trace contextRef="#ctx0" brushRef="#br0" timeOffset="2">0 0 24575,'0'0'-8191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5T11:59:11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5T11:59:11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BT233"/>
  <sheetViews>
    <sheetView zoomScale="70" zoomScaleNormal="70" workbookViewId="0">
      <selection activeCell="F6" sqref="F6"/>
    </sheetView>
  </sheetViews>
  <sheetFormatPr baseColWidth="10" defaultColWidth="9.1796875" defaultRowHeight="13" x14ac:dyDescent="0.3"/>
  <cols>
    <col min="1" max="1" width="1.1796875" style="11" customWidth="1"/>
    <col min="2" max="2" width="1.54296875" style="11" customWidth="1"/>
    <col min="3" max="3" width="2.1796875" style="11" customWidth="1"/>
    <col min="4" max="4" width="16.1796875" style="11" customWidth="1"/>
    <col min="5" max="5" width="1.81640625" style="11" customWidth="1"/>
    <col min="6" max="6" width="23.54296875" style="11" customWidth="1"/>
    <col min="7" max="7" width="3.1796875" style="11" customWidth="1"/>
    <col min="8" max="8" width="2.1796875" style="11" customWidth="1"/>
    <col min="9" max="9" width="4.54296875" style="11" customWidth="1"/>
    <col min="10" max="10" width="10.54296875" style="11" customWidth="1"/>
    <col min="11" max="11" width="1.1796875" style="11" customWidth="1"/>
    <col min="12" max="12" width="14.1796875" style="11" customWidth="1"/>
    <col min="13" max="13" width="3.1796875" style="11" customWidth="1"/>
    <col min="14" max="14" width="2.453125" style="11" customWidth="1"/>
    <col min="15" max="15" width="3.453125" style="11" customWidth="1"/>
    <col min="16" max="16" width="14" style="11" customWidth="1"/>
    <col min="17" max="17" width="2.453125" style="11" customWidth="1"/>
    <col min="18" max="18" width="12.81640625" style="11" customWidth="1"/>
    <col min="19" max="19" width="10.1796875" style="11" customWidth="1"/>
    <col min="20" max="20" width="1.54296875" style="11" customWidth="1"/>
    <col min="21" max="21" width="2.54296875" style="11" customWidth="1"/>
    <col min="22" max="22" width="0.81640625" style="11" customWidth="1"/>
    <col min="23" max="23" width="25.81640625" style="11" customWidth="1"/>
    <col min="24" max="24" width="2.1796875" style="11" customWidth="1"/>
    <col min="25" max="25" width="9.1796875" style="59"/>
    <col min="26" max="26" width="1.1796875" style="11" customWidth="1"/>
    <col min="27" max="27" width="2.81640625" style="11" customWidth="1"/>
    <col min="28" max="28" width="1.1796875" style="11" customWidth="1"/>
    <col min="29" max="29" width="31.81640625" style="11" customWidth="1"/>
    <col min="30" max="30" width="2.1796875" style="11" customWidth="1"/>
    <col min="31" max="31" width="9.1796875" style="58"/>
    <col min="32" max="32" width="1.453125" style="11" customWidth="1"/>
    <col min="33" max="16384" width="9.1796875" style="11"/>
  </cols>
  <sheetData>
    <row r="1" spans="1:68" ht="5.15" customHeight="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60"/>
      <c r="Z1" s="37"/>
      <c r="AA1" s="37"/>
      <c r="AB1" s="37"/>
      <c r="AC1" s="37"/>
      <c r="AD1" s="37"/>
      <c r="AE1" s="56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</row>
    <row r="2" spans="1:68" ht="5.15" customHeight="1" thickBot="1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60"/>
      <c r="Z2" s="37"/>
      <c r="AA2" s="37"/>
      <c r="AB2" s="37"/>
      <c r="AC2" s="37"/>
      <c r="AD2" s="37"/>
      <c r="AE2" s="56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</row>
    <row r="3" spans="1:68" ht="5.15" customHeight="1" x14ac:dyDescent="0.3">
      <c r="A3" s="37"/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/>
      <c r="U3" s="37"/>
      <c r="V3" s="45"/>
      <c r="W3" s="46"/>
      <c r="X3" s="46"/>
      <c r="Y3" s="61"/>
      <c r="Z3" s="47"/>
      <c r="AA3" s="37"/>
      <c r="AB3" s="45"/>
      <c r="AC3" s="46"/>
      <c r="AD3" s="46"/>
      <c r="AE3" s="57"/>
      <c r="AF3" s="4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1:68" ht="20.5" customHeight="1" x14ac:dyDescent="0.3">
      <c r="A4" s="37"/>
      <c r="B4" s="41"/>
      <c r="D4" s="11">
        <v>328</v>
      </c>
      <c r="J4" s="52" t="s">
        <v>1002</v>
      </c>
      <c r="K4" s="52"/>
      <c r="L4" s="55" t="str">
        <f>VLOOKUP(D4,BBDD!A2:BR570,2,FALSE)</f>
        <v>41U639</v>
      </c>
      <c r="O4" s="138" t="s">
        <v>8</v>
      </c>
      <c r="P4" s="138"/>
      <c r="Q4" s="18"/>
      <c r="R4" s="53" t="str">
        <f>VLOOKUP(D4,BBDD!A2:BR570,10,FALSE)</f>
        <v>ESTÁNDAR</v>
      </c>
      <c r="S4" s="53"/>
      <c r="T4" s="54"/>
      <c r="U4" s="37"/>
      <c r="V4" s="12"/>
      <c r="W4" s="131" t="s">
        <v>1014</v>
      </c>
      <c r="X4" s="132"/>
      <c r="Y4" s="133"/>
      <c r="Z4" s="49"/>
      <c r="AA4" s="37"/>
      <c r="AB4" s="12"/>
      <c r="AC4" s="131" t="s">
        <v>1015</v>
      </c>
      <c r="AD4" s="132"/>
      <c r="AE4" s="133"/>
      <c r="AF4" s="16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1:68" ht="20.5" customHeight="1" x14ac:dyDescent="0.3">
      <c r="A5" s="37"/>
      <c r="B5" s="41"/>
      <c r="J5" s="52" t="s">
        <v>1003</v>
      </c>
      <c r="K5" s="52"/>
      <c r="L5" s="55" t="str">
        <f>VLOOKUP(D4,BBDD!A2:BR570,3,FALSE)</f>
        <v>9007730</v>
      </c>
      <c r="O5" s="138" t="s">
        <v>986</v>
      </c>
      <c r="P5" s="138"/>
      <c r="Q5" s="18"/>
      <c r="R5" s="27" t="str">
        <f>VLOOKUP(D4,BBDD!A2:BR570,11,FALSE)</f>
        <v>FRANCES</v>
      </c>
      <c r="S5" s="27"/>
      <c r="T5" s="54"/>
      <c r="U5" s="37"/>
      <c r="V5" s="12"/>
      <c r="Z5" s="16"/>
      <c r="AA5" s="37"/>
      <c r="AB5" s="12"/>
      <c r="AF5" s="16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</row>
    <row r="6" spans="1:68" ht="20.5" customHeight="1" x14ac:dyDescent="0.3">
      <c r="A6" s="37"/>
      <c r="B6" s="41"/>
      <c r="J6" s="52" t="s">
        <v>2</v>
      </c>
      <c r="K6" s="52"/>
      <c r="L6" s="55" t="str">
        <f>VLOOKUP(D4,BBDD!A2:BR570,4,FALSE)</f>
        <v>29506767K</v>
      </c>
      <c r="O6" s="138" t="s">
        <v>989</v>
      </c>
      <c r="P6" s="138"/>
      <c r="Q6" s="27"/>
      <c r="R6" s="139" t="str">
        <f>VLOOKUP(D4,BBDD!A2:BR570,13,FALSE)</f>
        <v>TANYA JASMINA ASSIMI CRUZ</v>
      </c>
      <c r="S6" s="139"/>
      <c r="T6" s="140"/>
      <c r="U6" s="37"/>
      <c r="V6" s="12"/>
      <c r="W6" s="51" t="str">
        <f>BBDD!AG1</f>
        <v>USER SYR</v>
      </c>
      <c r="Y6" s="59">
        <f>VLOOKUP(D$4,BBDD!A$2:BR$570,33,FALSE)</f>
        <v>0</v>
      </c>
      <c r="Z6" s="16"/>
      <c r="AA6" s="37"/>
      <c r="AB6" s="12"/>
      <c r="AC6" s="51" t="str">
        <f>BBDD!BH1</f>
        <v>LIVECHAT</v>
      </c>
      <c r="AD6" s="27"/>
      <c r="AE6" s="59" t="e">
        <f>VLOOKUP(D$4,BBDD!A$2:BR$570,60,FALSE)</f>
        <v>#N/A</v>
      </c>
      <c r="AF6" s="16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</row>
    <row r="7" spans="1:68" ht="5.15" customHeight="1" thickBot="1" x14ac:dyDescent="0.35">
      <c r="A7" s="37"/>
      <c r="B7" s="42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/>
      <c r="U7" s="37"/>
      <c r="V7" s="12"/>
      <c r="W7" s="52"/>
      <c r="Z7" s="16"/>
      <c r="AA7" s="37"/>
      <c r="AB7" s="12"/>
      <c r="AC7" s="52"/>
      <c r="AD7" s="27"/>
      <c r="AE7" s="59"/>
      <c r="AF7" s="16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</row>
    <row r="8" spans="1:68" ht="20.5" customHeight="1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12"/>
      <c r="W8" s="51" t="str">
        <f>BBDD!AH1</f>
        <v>LLAMADAS</v>
      </c>
      <c r="Y8" s="59">
        <f>VLOOKUP(D$4,BBDD!A$2:BR$570,34,FALSE)</f>
        <v>45810</v>
      </c>
      <c r="Z8" s="16"/>
      <c r="AA8" s="37"/>
      <c r="AB8" s="12"/>
      <c r="AC8" s="51" t="str">
        <f>BBDD!BI1</f>
        <v>INCIVIA</v>
      </c>
      <c r="AD8" s="27"/>
      <c r="AE8" s="59" t="e">
        <f>VLOOKUP(D$4,BBDD!A$2:BR$570,61,FALSE)</f>
        <v>#N/A</v>
      </c>
      <c r="AF8" s="16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</row>
    <row r="9" spans="1:68" ht="5.15" customHeight="1" x14ac:dyDescent="0.3">
      <c r="A9" s="37"/>
      <c r="B9" s="45"/>
      <c r="C9" s="46"/>
      <c r="D9" s="46"/>
      <c r="E9" s="46"/>
      <c r="F9" s="46"/>
      <c r="G9" s="47"/>
      <c r="H9" s="37"/>
      <c r="I9" s="45"/>
      <c r="J9" s="46"/>
      <c r="K9" s="46"/>
      <c r="L9" s="46"/>
      <c r="M9" s="47"/>
      <c r="N9" s="37"/>
      <c r="O9" s="37"/>
      <c r="P9" s="37"/>
      <c r="Q9" s="37"/>
      <c r="R9" s="37"/>
      <c r="S9" s="37"/>
      <c r="T9" s="37"/>
      <c r="U9" s="37"/>
      <c r="V9" s="12"/>
      <c r="W9" s="52"/>
      <c r="Z9" s="16"/>
      <c r="AA9" s="37"/>
      <c r="AB9" s="12"/>
      <c r="AC9" s="52"/>
      <c r="AD9" s="27"/>
      <c r="AE9" s="59"/>
      <c r="AF9" s="16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</row>
    <row r="10" spans="1:68" ht="20.5" customHeight="1" x14ac:dyDescent="0.3">
      <c r="A10" s="37"/>
      <c r="B10" s="12"/>
      <c r="C10" s="134" t="s">
        <v>997</v>
      </c>
      <c r="D10" s="135"/>
      <c r="E10" s="135"/>
      <c r="F10" s="136"/>
      <c r="G10" s="13"/>
      <c r="H10" s="48"/>
      <c r="I10" s="14"/>
      <c r="J10" s="134" t="s">
        <v>3983</v>
      </c>
      <c r="K10" s="135"/>
      <c r="L10" s="136"/>
      <c r="M10" s="15"/>
      <c r="N10" s="48"/>
      <c r="O10" s="48"/>
      <c r="P10" s="137"/>
      <c r="Q10" s="137"/>
      <c r="R10" s="137"/>
      <c r="S10" s="137"/>
      <c r="T10" s="74"/>
      <c r="U10" s="37"/>
      <c r="V10" s="12"/>
      <c r="W10" s="51" t="str">
        <f>BBDD!AI1</f>
        <v>ASIGNACION</v>
      </c>
      <c r="Y10" s="59">
        <f>VLOOKUP(D$4,BBDD!A$2:BR$570,35,FALSE)</f>
        <v>45810</v>
      </c>
      <c r="Z10" s="16"/>
      <c r="AA10" s="37"/>
      <c r="AB10" s="12"/>
      <c r="AC10" s="51" t="str">
        <f>BBDD!BJ1</f>
        <v>INSTRUCCIONES</v>
      </c>
      <c r="AD10" s="27"/>
      <c r="AE10" s="59" t="e">
        <f>VLOOKUP(D$4,BBDD!A$2:BR$570,62,FALSE)</f>
        <v>#N/A</v>
      </c>
      <c r="AF10" s="16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</row>
    <row r="11" spans="1:68" ht="6" customHeight="1" x14ac:dyDescent="0.3">
      <c r="A11" s="37"/>
      <c r="B11" s="12"/>
      <c r="C11" s="50"/>
      <c r="D11" s="50"/>
      <c r="E11" s="50"/>
      <c r="F11" s="50"/>
      <c r="G11" s="13"/>
      <c r="H11" s="48"/>
      <c r="I11" s="14"/>
      <c r="J11" s="50"/>
      <c r="K11" s="50"/>
      <c r="L11" s="50"/>
      <c r="M11" s="15"/>
      <c r="N11" s="48"/>
      <c r="O11" s="48"/>
      <c r="P11" s="67"/>
      <c r="Q11" s="67"/>
      <c r="R11" s="67"/>
      <c r="S11" s="67"/>
      <c r="T11" s="74"/>
      <c r="U11" s="37"/>
      <c r="V11" s="12"/>
      <c r="W11" s="52"/>
      <c r="Z11" s="16"/>
      <c r="AA11" s="37"/>
      <c r="AB11" s="12"/>
      <c r="AC11" s="52"/>
      <c r="AD11" s="27"/>
      <c r="AE11" s="59"/>
      <c r="AF11" s="16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</row>
    <row r="12" spans="1:68" ht="20.149999999999999" customHeight="1" x14ac:dyDescent="0.3">
      <c r="A12" s="37"/>
      <c r="B12" s="12"/>
      <c r="D12" s="17" t="s">
        <v>988</v>
      </c>
      <c r="F12" s="18">
        <f>VLOOKUP(D4,BBDD!A2:BR570,6,FALSE)</f>
        <v>640267366</v>
      </c>
      <c r="G12" s="16"/>
      <c r="H12" s="37"/>
      <c r="I12" s="12"/>
      <c r="J12" s="19" t="s">
        <v>990</v>
      </c>
      <c r="K12" s="20"/>
      <c r="L12" s="21" t="str">
        <f>VLOOKUP(D4,BBDD!A2:BR570,15,FALSE)</f>
        <v>13_20</v>
      </c>
      <c r="M12" s="22"/>
      <c r="N12" s="37"/>
      <c r="O12" s="37"/>
      <c r="P12" s="68"/>
      <c r="Q12" s="69"/>
      <c r="R12" s="2"/>
      <c r="S12" s="2"/>
      <c r="T12" s="2"/>
      <c r="U12" s="37"/>
      <c r="V12" s="12"/>
      <c r="W12" s="51" t="str">
        <f>BBDD!AJ1</f>
        <v>BO EQUIPAJE</v>
      </c>
      <c r="Y12" s="59">
        <f>VLOOKUP(D$4,BBDD!A$2:BR$570,36,FALSE)</f>
        <v>45810</v>
      </c>
      <c r="Z12" s="16"/>
      <c r="AA12" s="37"/>
      <c r="AB12" s="12"/>
      <c r="AC12" s="51" t="str">
        <f>BBDD!BK1</f>
        <v>DESKTOP</v>
      </c>
      <c r="AD12" s="27"/>
      <c r="AE12" s="59" t="e">
        <f>VLOOKUP(D$4,BBDD!A$2:BR$570,63,FALSE)</f>
        <v>#N/A</v>
      </c>
      <c r="AF12" s="16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</row>
    <row r="13" spans="1:68" ht="4" customHeight="1" x14ac:dyDescent="0.3">
      <c r="A13" s="37"/>
      <c r="B13" s="12"/>
      <c r="D13" s="23"/>
      <c r="F13" s="18"/>
      <c r="G13" s="16"/>
      <c r="H13" s="37"/>
      <c r="I13" s="12"/>
      <c r="J13" s="24"/>
      <c r="K13" s="25"/>
      <c r="L13" s="26"/>
      <c r="M13" s="22"/>
      <c r="N13" s="37"/>
      <c r="O13" s="37"/>
      <c r="P13" s="68"/>
      <c r="Q13" s="69"/>
      <c r="R13" s="2"/>
      <c r="S13" s="2"/>
      <c r="T13" s="2"/>
      <c r="U13" s="37"/>
      <c r="V13" s="12"/>
      <c r="W13" s="52"/>
      <c r="Z13" s="16"/>
      <c r="AA13" s="37"/>
      <c r="AB13" s="12"/>
      <c r="AC13" s="52"/>
      <c r="AD13" s="27"/>
      <c r="AE13" s="59"/>
      <c r="AF13" s="16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</row>
    <row r="14" spans="1:68" ht="20.149999999999999" customHeight="1" x14ac:dyDescent="0.3">
      <c r="A14" s="37"/>
      <c r="B14" s="12"/>
      <c r="D14" s="17" t="s">
        <v>11</v>
      </c>
      <c r="F14" s="27" t="str">
        <f>VLOOKUP(D4,BBDD!A2:BR570,23,FALSE)</f>
        <v>ccort109</v>
      </c>
      <c r="G14" s="16"/>
      <c r="H14" s="37"/>
      <c r="I14" s="12"/>
      <c r="J14" s="19" t="s">
        <v>991</v>
      </c>
      <c r="K14" s="20"/>
      <c r="L14" s="21" t="str">
        <f>VLOOKUP(D4,BBDD!A2:BR570,16,FALSE)</f>
        <v>LIBRA</v>
      </c>
      <c r="M14" s="22"/>
      <c r="N14" s="37"/>
      <c r="O14" s="37"/>
      <c r="P14" s="68"/>
      <c r="Q14" s="69"/>
      <c r="R14" s="2"/>
      <c r="S14" s="2"/>
      <c r="T14" s="2"/>
      <c r="U14" s="37"/>
      <c r="V14" s="12"/>
      <c r="W14" s="51" t="str">
        <f>BBDD!AK1</f>
        <v>BO PASAJE</v>
      </c>
      <c r="Y14" s="59">
        <f>VLOOKUP(D$4,BBDD!A$2:BR$570,37,FALSE)</f>
        <v>45810</v>
      </c>
      <c r="Z14" s="16"/>
      <c r="AA14" s="37"/>
      <c r="AB14" s="12"/>
      <c r="AC14" s="51" t="str">
        <f>BBDD!BL1</f>
        <v>TRAIN ESTANDAR</v>
      </c>
      <c r="AD14" s="27"/>
      <c r="AE14" s="59">
        <f>VLOOKUP(D$4,BBDD!A$2:BR$570,64,FALSE)</f>
        <v>0</v>
      </c>
      <c r="AF14" s="16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</row>
    <row r="15" spans="1:68" ht="4" customHeight="1" x14ac:dyDescent="0.3">
      <c r="A15" s="37"/>
      <c r="B15" s="12"/>
      <c r="D15" s="28"/>
      <c r="F15" s="27"/>
      <c r="G15" s="16"/>
      <c r="H15" s="37"/>
      <c r="I15" s="12"/>
      <c r="J15" s="24"/>
      <c r="K15" s="25"/>
      <c r="L15" s="26"/>
      <c r="M15" s="22"/>
      <c r="N15" s="37"/>
      <c r="O15" s="37"/>
      <c r="P15" s="68"/>
      <c r="Q15" s="69"/>
      <c r="R15" s="2"/>
      <c r="S15" s="2"/>
      <c r="T15" s="2"/>
      <c r="U15" s="37"/>
      <c r="V15" s="12"/>
      <c r="W15" s="52"/>
      <c r="Z15" s="16"/>
      <c r="AA15" s="37"/>
      <c r="AB15" s="12"/>
      <c r="AC15" s="52"/>
      <c r="AD15" s="27"/>
      <c r="AE15" s="59"/>
      <c r="AF15" s="16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</row>
    <row r="16" spans="1:68" ht="20.149999999999999" customHeight="1" x14ac:dyDescent="0.3">
      <c r="A16" s="37"/>
      <c r="B16" s="12"/>
      <c r="D16" s="17" t="s">
        <v>12</v>
      </c>
      <c r="F16" s="27" t="str">
        <f>VLOOKUP(D4,BBDD!A2:BR570,24,FALSE)</f>
        <v>ccort109@ec.foundever.com</v>
      </c>
      <c r="G16" s="16"/>
      <c r="H16" s="37"/>
      <c r="I16" s="12"/>
      <c r="J16" s="19" t="s">
        <v>992</v>
      </c>
      <c r="K16" s="20"/>
      <c r="L16" s="21" t="str">
        <f>VLOOKUP(D4,BBDD!A2:BR570,17,FALSE)</f>
        <v>12_20</v>
      </c>
      <c r="M16" s="22"/>
      <c r="N16" s="37"/>
      <c r="O16" s="37"/>
      <c r="P16" s="68"/>
      <c r="Q16" s="69"/>
      <c r="R16" s="2"/>
      <c r="S16" s="2"/>
      <c r="T16" s="2"/>
      <c r="U16" s="37"/>
      <c r="V16" s="12"/>
      <c r="W16" s="51" t="str">
        <f>BBDD!AL1</f>
        <v>VIP</v>
      </c>
      <c r="Y16" s="59" t="e">
        <f>VLOOKUP(D$4,BBDD!A$2:BR$570,38,FALSE)</f>
        <v>#N/A</v>
      </c>
      <c r="Z16" s="16"/>
      <c r="AA16" s="37"/>
      <c r="AB16" s="12"/>
      <c r="AC16" s="51" t="str">
        <f>BBDD!BM1</f>
        <v>ASIGNACION</v>
      </c>
      <c r="AD16" s="27"/>
      <c r="AE16" s="59" t="e">
        <f>VLOOKUP(D$4,BBDD!A$2:BR$570,65,FALSE)</f>
        <v>#N/A</v>
      </c>
      <c r="AF16" s="16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</row>
    <row r="17" spans="1:68" ht="4" customHeight="1" x14ac:dyDescent="0.3">
      <c r="A17" s="37"/>
      <c r="B17" s="12"/>
      <c r="D17" s="28"/>
      <c r="F17" s="27"/>
      <c r="G17" s="16"/>
      <c r="H17" s="37"/>
      <c r="I17" s="12"/>
      <c r="J17" s="24"/>
      <c r="K17" s="25"/>
      <c r="L17" s="26"/>
      <c r="M17" s="22"/>
      <c r="N17" s="37"/>
      <c r="O17" s="37"/>
      <c r="P17" s="68"/>
      <c r="Q17" s="69"/>
      <c r="R17" s="2"/>
      <c r="S17" s="2"/>
      <c r="T17" s="2"/>
      <c r="U17" s="37"/>
      <c r="V17" s="12"/>
      <c r="W17" s="52"/>
      <c r="Z17" s="16"/>
      <c r="AA17" s="37"/>
      <c r="AB17" s="12"/>
      <c r="AC17" s="52"/>
      <c r="AD17" s="27"/>
      <c r="AE17" s="59"/>
      <c r="AF17" s="16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</row>
    <row r="18" spans="1:68" ht="20.149999999999999" customHeight="1" x14ac:dyDescent="0.3">
      <c r="A18" s="37"/>
      <c r="B18" s="12"/>
      <c r="D18" s="17" t="s">
        <v>13</v>
      </c>
      <c r="F18" s="18">
        <f>VLOOKUP(D4,BBDD!A2:BR570,25,FALSE)</f>
        <v>3485993</v>
      </c>
      <c r="G18" s="16"/>
      <c r="H18" s="37"/>
      <c r="I18" s="12"/>
      <c r="J18" s="19" t="s">
        <v>993</v>
      </c>
      <c r="K18" s="20"/>
      <c r="L18" s="21" t="str">
        <f>VLOOKUP(D4,BBDD!A2:BR570,18,FALSE)</f>
        <v>LFS_12_20</v>
      </c>
      <c r="M18" s="22"/>
      <c r="N18" s="37"/>
      <c r="O18" s="37"/>
      <c r="P18" s="68"/>
      <c r="Q18" s="69"/>
      <c r="R18" s="2"/>
      <c r="S18" s="2"/>
      <c r="T18" s="2"/>
      <c r="U18" s="37"/>
      <c r="V18" s="12"/>
      <c r="W18" s="51" t="str">
        <f>BBDD!AM1</f>
        <v>REDES/PRENSA</v>
      </c>
      <c r="Y18" s="59" t="e">
        <f>VLOOKUP(D$4,BBDD!A$2:BR$570,39,FALSE)</f>
        <v>#N/A</v>
      </c>
      <c r="Z18" s="16"/>
      <c r="AA18" s="37"/>
      <c r="AB18" s="12"/>
      <c r="AC18" s="51" t="str">
        <f>BBDD!BN1</f>
        <v>ABOGADOS_EERR</v>
      </c>
      <c r="AD18" s="27"/>
      <c r="AE18" s="59" t="e">
        <f>VLOOKUP(D$4,BBDD!A$2:BR$570,66,FALSE)</f>
        <v>#N/A</v>
      </c>
      <c r="AF18" s="16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</row>
    <row r="19" spans="1:68" ht="4" customHeight="1" x14ac:dyDescent="0.3">
      <c r="A19" s="37"/>
      <c r="B19" s="12"/>
      <c r="D19" s="28"/>
      <c r="F19" s="18"/>
      <c r="G19" s="16"/>
      <c r="H19" s="37"/>
      <c r="I19" s="12"/>
      <c r="J19" s="24"/>
      <c r="K19" s="25"/>
      <c r="L19" s="26"/>
      <c r="M19" s="22"/>
      <c r="N19" s="37"/>
      <c r="O19" s="37"/>
      <c r="P19" s="68"/>
      <c r="Q19" s="69"/>
      <c r="R19" s="2"/>
      <c r="S19" s="2"/>
      <c r="T19" s="2"/>
      <c r="U19" s="37"/>
      <c r="V19" s="12"/>
      <c r="W19" s="52"/>
      <c r="Z19" s="16"/>
      <c r="AA19" s="37"/>
      <c r="AB19" s="12"/>
      <c r="AC19" s="52"/>
      <c r="AD19" s="27"/>
      <c r="AE19" s="59"/>
      <c r="AF19" s="16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20.149999999999999" customHeight="1" x14ac:dyDescent="0.3">
      <c r="A20" s="37"/>
      <c r="B20" s="12"/>
      <c r="D20" s="17" t="s">
        <v>987</v>
      </c>
      <c r="F20" s="18">
        <f>VLOOKUP(D4,BBDD!A2:BR570,26,FALSE)</f>
        <v>3486499</v>
      </c>
      <c r="G20" s="16"/>
      <c r="H20" s="37"/>
      <c r="I20" s="12"/>
      <c r="J20" s="19" t="s">
        <v>994</v>
      </c>
      <c r="K20" s="20"/>
      <c r="L20" s="21" t="str">
        <f>VLOOKUP(D4,BBDD!A2:BR570,19,FALSE)</f>
        <v>LIBRA</v>
      </c>
      <c r="M20" s="22"/>
      <c r="N20" s="37"/>
      <c r="O20" s="37"/>
      <c r="P20" s="68"/>
      <c r="Q20" s="69"/>
      <c r="R20" s="2"/>
      <c r="S20" s="2"/>
      <c r="T20" s="2"/>
      <c r="U20" s="37"/>
      <c r="V20" s="12"/>
      <c r="W20" s="51" t="str">
        <f>BBDD!AN1</f>
        <v>RPM</v>
      </c>
      <c r="Y20" s="59" t="e">
        <f>VLOOKUP(D$4,BBDD!A$2:BR$570,40,FALSE)</f>
        <v>#N/A</v>
      </c>
      <c r="Z20" s="16"/>
      <c r="AA20" s="37"/>
      <c r="AB20" s="12"/>
      <c r="AC20" s="51" t="str">
        <f>BBDD!BO1</f>
        <v>DEMANDAS ESP</v>
      </c>
      <c r="AD20" s="27"/>
      <c r="AE20" s="59" t="e">
        <f>VLOOKUP(D$4,BBDD!A$2:BR$570,67,FALSE)</f>
        <v>#N/A</v>
      </c>
      <c r="AF20" s="16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</row>
    <row r="21" spans="1:68" ht="4" customHeight="1" x14ac:dyDescent="0.3">
      <c r="A21" s="37"/>
      <c r="B21" s="12"/>
      <c r="D21" s="28"/>
      <c r="F21" s="18"/>
      <c r="G21" s="16"/>
      <c r="H21" s="37"/>
      <c r="I21" s="12"/>
      <c r="J21" s="24"/>
      <c r="K21" s="25"/>
      <c r="L21" s="26"/>
      <c r="M21" s="22"/>
      <c r="N21" s="37"/>
      <c r="O21" s="37"/>
      <c r="P21" s="68"/>
      <c r="Q21" s="69"/>
      <c r="R21" s="2"/>
      <c r="S21" s="2"/>
      <c r="T21" s="2"/>
      <c r="U21" s="37"/>
      <c r="V21" s="12"/>
      <c r="W21" s="52"/>
      <c r="Z21" s="16"/>
      <c r="AA21" s="37"/>
      <c r="AB21" s="12"/>
      <c r="AC21" s="52"/>
      <c r="AD21" s="27"/>
      <c r="AE21" s="59"/>
      <c r="AF21" s="16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</row>
    <row r="22" spans="1:68" ht="20.149999999999999" customHeight="1" x14ac:dyDescent="0.3">
      <c r="A22" s="37"/>
      <c r="B22" s="12"/>
      <c r="D22" s="17" t="s">
        <v>16</v>
      </c>
      <c r="F22" s="27" t="str">
        <f>VLOOKUP(D4,BBDD!A2:BR570,28,FALSE)</f>
        <v>FOUND.CCORTON</v>
      </c>
      <c r="G22" s="16"/>
      <c r="H22" s="37"/>
      <c r="I22" s="12"/>
      <c r="J22" s="19" t="s">
        <v>995</v>
      </c>
      <c r="K22" s="20"/>
      <c r="L22" s="21" t="str">
        <f>VLOOKUP(D4,BBDD!A2:BR570,20,FALSE)</f>
        <v>13_20</v>
      </c>
      <c r="M22" s="22"/>
      <c r="N22" s="37"/>
      <c r="O22" s="37"/>
      <c r="P22" s="68"/>
      <c r="Q22" s="69"/>
      <c r="R22" s="2"/>
      <c r="S22" s="2"/>
      <c r="T22" s="2"/>
      <c r="U22" s="37"/>
      <c r="V22" s="12"/>
      <c r="W22" s="51" t="str">
        <f>BBDD!AO1</f>
        <v>INFINITA</v>
      </c>
      <c r="Y22" s="59" t="e">
        <f>VLOOKUP(D$4,BBDD!A$2:BR$570,41,FALSE)</f>
        <v>#N/A</v>
      </c>
      <c r="Z22" s="16"/>
      <c r="AA22" s="37"/>
      <c r="AB22" s="12"/>
      <c r="AC22" s="51" t="str">
        <f>BBDD!BP1</f>
        <v>AESA</v>
      </c>
      <c r="AD22" s="27"/>
      <c r="AE22" s="59" t="e">
        <f>VLOOKUP(D$4,BBDD!A$2:BR$570,68,FALSE)</f>
        <v>#N/A</v>
      </c>
      <c r="AF22" s="16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</row>
    <row r="23" spans="1:68" ht="4" customHeight="1" x14ac:dyDescent="0.3">
      <c r="A23" s="37"/>
      <c r="B23" s="12"/>
      <c r="D23" s="28"/>
      <c r="F23" s="27"/>
      <c r="G23" s="16"/>
      <c r="H23" s="37"/>
      <c r="I23" s="12"/>
      <c r="J23" s="24"/>
      <c r="K23" s="25"/>
      <c r="L23" s="26"/>
      <c r="M23" s="22"/>
      <c r="N23" s="37"/>
      <c r="O23" s="37"/>
      <c r="P23" s="68"/>
      <c r="Q23" s="69"/>
      <c r="R23" s="2"/>
      <c r="S23" s="2"/>
      <c r="T23" s="2"/>
      <c r="U23" s="37"/>
      <c r="V23" s="12"/>
      <c r="W23" s="52"/>
      <c r="Z23" s="16"/>
      <c r="AA23" s="37"/>
      <c r="AB23" s="12"/>
      <c r="AC23" s="52"/>
      <c r="AD23" s="27"/>
      <c r="AE23" s="59"/>
      <c r="AF23" s="16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</row>
    <row r="24" spans="1:68" ht="20.149999999999999" customHeight="1" x14ac:dyDescent="0.3">
      <c r="A24" s="37"/>
      <c r="B24" s="12"/>
      <c r="D24" s="17" t="s">
        <v>17</v>
      </c>
      <c r="F24" s="27" t="str">
        <f>VLOOKUP(D4,BBDD!A2:BR570,29,FALSE)</f>
        <v>CCORTONJ</v>
      </c>
      <c r="G24" s="16"/>
      <c r="H24" s="37"/>
      <c r="I24" s="12"/>
      <c r="J24" s="24" t="s">
        <v>996</v>
      </c>
      <c r="K24" s="25"/>
      <c r="L24" s="26" t="str">
        <f>VLOOKUP(D4,BBDD!A2:BR570,21,FALSE)</f>
        <v>12_20</v>
      </c>
      <c r="M24" s="22"/>
      <c r="N24" s="37"/>
      <c r="O24" s="37"/>
      <c r="P24" s="68"/>
      <c r="Q24" s="69"/>
      <c r="R24" s="1"/>
      <c r="S24" s="1"/>
      <c r="T24" s="1"/>
      <c r="U24" s="37"/>
      <c r="V24" s="12"/>
      <c r="W24" s="51" t="str">
        <f>BBDD!AP1</f>
        <v>OW/AJB</v>
      </c>
      <c r="Y24" s="59" t="e">
        <f>VLOOKUP(D$4,BBDD!A$2:BR$570,42,FALSE)</f>
        <v>#N/A</v>
      </c>
      <c r="Z24" s="16"/>
      <c r="AA24" s="37"/>
      <c r="AB24" s="12"/>
      <c r="AC24" s="51" t="str">
        <f>BBDD!BQ1</f>
        <v>OMICs</v>
      </c>
      <c r="AD24" s="27"/>
      <c r="AE24" s="59" t="e">
        <f>VLOOKUP(D$4,BBDD!A$2:BR$570,69,FALSE)</f>
        <v>#N/A</v>
      </c>
      <c r="AF24" s="16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</row>
    <row r="25" spans="1:68" ht="4" customHeight="1" x14ac:dyDescent="0.3">
      <c r="A25" s="37"/>
      <c r="B25" s="12"/>
      <c r="D25" s="28"/>
      <c r="F25" s="27"/>
      <c r="G25" s="16"/>
      <c r="H25" s="37"/>
      <c r="I25" s="29"/>
      <c r="J25" s="30"/>
      <c r="K25" s="30"/>
      <c r="L25" s="31"/>
      <c r="M25" s="32"/>
      <c r="N25" s="37"/>
      <c r="O25" s="37"/>
      <c r="P25" s="68"/>
      <c r="Q25" s="69"/>
      <c r="R25" s="2"/>
      <c r="S25" s="2"/>
      <c r="T25" s="2"/>
      <c r="U25" s="37"/>
      <c r="V25" s="12"/>
      <c r="W25" s="52"/>
      <c r="Z25" s="16"/>
      <c r="AA25" s="37"/>
      <c r="AB25" s="12"/>
      <c r="AC25" s="52"/>
      <c r="AD25" s="27"/>
      <c r="AE25" s="59"/>
      <c r="AF25" s="16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</row>
    <row r="26" spans="1:68" ht="20.149999999999999" customHeight="1" x14ac:dyDescent="0.3">
      <c r="A26" s="37"/>
      <c r="B26" s="12"/>
      <c r="D26" s="17" t="s">
        <v>18</v>
      </c>
      <c r="F26" s="18">
        <f>VLOOKUP(D4,BBDD!A2:BR570,30,FALSE)</f>
        <v>5778</v>
      </c>
      <c r="G26" s="16"/>
      <c r="H26" s="37"/>
      <c r="I26" s="12"/>
      <c r="J26" s="23"/>
      <c r="K26" s="23"/>
      <c r="M26" s="16"/>
      <c r="N26" s="37"/>
      <c r="O26" s="37"/>
      <c r="P26" s="68"/>
      <c r="Q26" s="69"/>
      <c r="R26" s="2"/>
      <c r="S26" s="2"/>
      <c r="T26" s="2"/>
      <c r="U26" s="37"/>
      <c r="V26" s="12"/>
      <c r="W26" s="51" t="str">
        <f>BBDD!AQ1</f>
        <v>ATENCION PERSONAL/FELICITACIONES/SUGERENCIA/AGRADECIMIENTO</v>
      </c>
      <c r="Y26" s="59" t="e">
        <f>VLOOKUP(D$4,BBDD!A$2:BR$570,43,FALSE)</f>
        <v>#N/A</v>
      </c>
      <c r="Z26" s="16"/>
      <c r="AA26" s="37"/>
      <c r="AB26" s="12"/>
      <c r="AC26" s="51" t="str">
        <f>BBDD!BR1</f>
        <v>PAGOS ESPAÑA</v>
      </c>
      <c r="AD26" s="27"/>
      <c r="AE26" s="59" t="e">
        <f>VLOOKUP(D$4,BBDD!A$2:BR$570,70,FALSE)</f>
        <v>#N/A</v>
      </c>
      <c r="AF26" s="16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</row>
    <row r="27" spans="1:68" ht="4" customHeight="1" x14ac:dyDescent="0.3">
      <c r="A27" s="37"/>
      <c r="B27" s="12"/>
      <c r="D27" s="28"/>
      <c r="F27" s="27"/>
      <c r="G27" s="16"/>
      <c r="H27" s="37"/>
      <c r="I27" s="12"/>
      <c r="J27" s="23"/>
      <c r="K27" s="23"/>
      <c r="M27" s="16"/>
      <c r="N27" s="37"/>
      <c r="O27" s="37"/>
      <c r="P27" s="37"/>
      <c r="Q27" s="70"/>
      <c r="R27" s="2"/>
      <c r="S27" s="2"/>
      <c r="T27" s="2"/>
      <c r="U27" s="37"/>
      <c r="V27" s="12"/>
      <c r="W27" s="52"/>
      <c r="Z27" s="16"/>
      <c r="AA27" s="37"/>
      <c r="AB27" s="33"/>
      <c r="AC27" s="73"/>
      <c r="AD27" s="65"/>
      <c r="AE27" s="62"/>
      <c r="AF27" s="35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</row>
    <row r="28" spans="1:68" ht="20.149999999999999" customHeight="1" x14ac:dyDescent="0.3">
      <c r="A28" s="37"/>
      <c r="B28" s="12"/>
      <c r="D28" s="17" t="s">
        <v>19</v>
      </c>
      <c r="F28" s="27" t="str">
        <f>VLOOKUP(D4,BBDD!A2:BR570,31,FALSE)</f>
        <v>5778CC</v>
      </c>
      <c r="G28" s="16"/>
      <c r="H28" s="37"/>
      <c r="I28" s="12"/>
      <c r="J28" s="23"/>
      <c r="K28" s="23"/>
      <c r="M28" s="16"/>
      <c r="N28" s="37"/>
      <c r="O28" s="37"/>
      <c r="P28" s="75"/>
      <c r="Q28" s="70"/>
      <c r="R28" s="1"/>
      <c r="S28" s="1"/>
      <c r="T28" s="1"/>
      <c r="U28" s="37"/>
      <c r="V28" s="12"/>
      <c r="W28" s="51" t="str">
        <f>BBDD!AR1</f>
        <v>PMR/LESIONADOS/INTOX</v>
      </c>
      <c r="Y28" s="59" t="e">
        <f>VLOOKUP(D$4,BBDD!A$2:BR$570,44,FALSE)</f>
        <v>#N/A</v>
      </c>
      <c r="Z28" s="16"/>
      <c r="AA28" s="37"/>
      <c r="AB28" s="37"/>
      <c r="AC28" s="64"/>
      <c r="AD28" s="63"/>
      <c r="AE28" s="60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</row>
    <row r="29" spans="1:68" ht="5.15" customHeight="1" x14ac:dyDescent="0.3">
      <c r="A29" s="37"/>
      <c r="B29" s="33"/>
      <c r="C29" s="34"/>
      <c r="D29" s="34"/>
      <c r="E29" s="34"/>
      <c r="F29" s="34"/>
      <c r="G29" s="35"/>
      <c r="H29" s="37"/>
      <c r="I29" s="33"/>
      <c r="J29" s="36"/>
      <c r="K29" s="36"/>
      <c r="L29" s="34"/>
      <c r="M29" s="35"/>
      <c r="N29" s="37"/>
      <c r="O29" s="37"/>
      <c r="P29" s="37"/>
      <c r="Q29" s="37"/>
      <c r="R29" s="37"/>
      <c r="S29" s="37"/>
      <c r="T29" s="37"/>
      <c r="U29" s="37"/>
      <c r="V29" s="12"/>
      <c r="W29" s="52"/>
      <c r="Z29" s="16"/>
      <c r="AA29" s="37"/>
      <c r="AB29" s="37"/>
      <c r="AC29" s="63"/>
      <c r="AD29" s="63"/>
      <c r="AE29" s="60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</row>
    <row r="30" spans="1:68" ht="20.25" customHeight="1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71"/>
      <c r="Q30" s="37"/>
      <c r="R30" s="1"/>
      <c r="S30" s="1"/>
      <c r="T30" s="1"/>
      <c r="U30" s="37"/>
      <c r="V30" s="12"/>
      <c r="W30" s="51" t="str">
        <f>BBDD!AS1</f>
        <v>TASAS CHILE</v>
      </c>
      <c r="Y30" s="59" t="e">
        <f>VLOOKUP(D$4,BBDD!A$2:BR$570,45,FALSE)</f>
        <v>#N/A</v>
      </c>
      <c r="Z30" s="16"/>
      <c r="AA30" s="37"/>
      <c r="AB30" s="37"/>
      <c r="AC30" s="64"/>
      <c r="AD30" s="63"/>
      <c r="AE30" s="60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</row>
    <row r="31" spans="1:68" ht="5.15" customHeigh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12"/>
      <c r="W31" s="52"/>
      <c r="Z31" s="16"/>
      <c r="AA31" s="37"/>
      <c r="AB31" s="37"/>
      <c r="AC31" s="37"/>
      <c r="AD31" s="37"/>
      <c r="AE31" s="56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</row>
    <row r="32" spans="1:68" ht="20.25" customHeigh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75"/>
      <c r="Q32" s="37"/>
      <c r="R32" s="1"/>
      <c r="S32" s="1"/>
      <c r="T32" s="1"/>
      <c r="U32" s="37"/>
      <c r="V32" s="12"/>
      <c r="W32" s="51" t="str">
        <f>BBDD!AT1</f>
        <v>FUTUROS VUELOS</v>
      </c>
      <c r="Y32" s="59" t="e">
        <f>VLOOKUP(D$4,BBDD!A$2:BR$570,46,FALSE)</f>
        <v>#N/A</v>
      </c>
      <c r="Z32" s="16"/>
      <c r="AA32" s="37"/>
      <c r="AB32" s="37"/>
      <c r="AC32" s="64"/>
      <c r="AD32" s="63"/>
      <c r="AE32" s="60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</row>
    <row r="33" spans="1:72" ht="5.15" customHeigh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12"/>
      <c r="W33" s="52"/>
      <c r="Z33" s="16"/>
      <c r="AA33" s="37"/>
      <c r="AB33" s="37"/>
      <c r="AC33" s="64"/>
      <c r="AD33" s="63"/>
      <c r="AE33" s="60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</row>
    <row r="34" spans="1:72" ht="20.25" customHeight="1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12"/>
      <c r="W34" s="51" t="str">
        <f>BBDD!AU1</f>
        <v>YQ</v>
      </c>
      <c r="Y34" s="59" t="e">
        <f>VLOOKUP(D$4,BBDD!A$2:BR$570,47,FALSE)</f>
        <v>#N/A</v>
      </c>
      <c r="Z34" s="16"/>
      <c r="AA34" s="37"/>
      <c r="AB34" s="37"/>
      <c r="AC34" s="64"/>
      <c r="AD34" s="63"/>
      <c r="AE34" s="60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</row>
    <row r="35" spans="1:72" ht="5.15" customHeight="1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12"/>
      <c r="W35" s="52"/>
      <c r="Z35" s="16"/>
      <c r="AA35" s="37"/>
      <c r="AB35" s="37"/>
      <c r="AC35" s="64"/>
      <c r="AD35" s="63"/>
      <c r="AE35" s="60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</row>
    <row r="36" spans="1:72" ht="20.25" customHeight="1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12"/>
      <c r="W36" s="51" t="str">
        <f>BBDD!AV1</f>
        <v>REEMBOLSOS PARCIAL Y TARIFA</v>
      </c>
      <c r="Y36" s="59" t="e">
        <f>VLOOKUP(D$4,BBDD!A$2:BR$570,48,FALSE)</f>
        <v>#N/A</v>
      </c>
      <c r="Z36" s="16"/>
      <c r="AA36" s="37"/>
      <c r="AB36" s="37"/>
      <c r="AC36" s="64"/>
      <c r="AD36" s="63"/>
      <c r="AE36" s="60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</row>
    <row r="37" spans="1:72" ht="5.15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12"/>
      <c r="W37" s="52"/>
      <c r="Z37" s="16"/>
      <c r="AA37" s="37"/>
      <c r="AB37" s="37"/>
      <c r="AC37" s="63"/>
      <c r="AD37" s="63"/>
      <c r="AE37" s="60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</row>
    <row r="38" spans="1:72" ht="20.25" customHeigh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12"/>
      <c r="W38" s="51" t="str">
        <f>BBDD!AW1</f>
        <v>REEMBOLSO TOTAL</v>
      </c>
      <c r="Y38" s="59">
        <f>VLOOKUP(D$4,BBDD!A$2:BR$570,49,FALSE)</f>
        <v>45807</v>
      </c>
      <c r="Z38" s="16"/>
      <c r="AA38" s="37"/>
      <c r="AB38" s="37"/>
      <c r="AC38" s="64"/>
      <c r="AD38" s="63"/>
      <c r="AE38" s="60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</row>
    <row r="39" spans="1:72" ht="5.15" customHeigh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12"/>
      <c r="W39" s="52"/>
      <c r="Z39" s="16"/>
      <c r="AA39" s="37"/>
      <c r="AB39" s="37"/>
      <c r="AC39" s="37"/>
      <c r="AD39" s="37"/>
      <c r="AE39" s="56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</row>
    <row r="40" spans="1:72" ht="20.25" customHeigh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12"/>
      <c r="W40" s="51" t="str">
        <f>BBDD!AX1</f>
        <v>BONOS</v>
      </c>
      <c r="Y40" s="59" t="e">
        <f>VLOOKUP(D$4,BBDD!A$2:BR$570,50,FALSE)</f>
        <v>#N/A</v>
      </c>
      <c r="Z40" s="16"/>
      <c r="AA40" s="37"/>
      <c r="AB40" s="37"/>
      <c r="AC40" s="37"/>
      <c r="AD40" s="37"/>
      <c r="AE40" s="56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</row>
    <row r="41" spans="1:72" ht="5.15" customHeight="1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12"/>
      <c r="W41" s="52"/>
      <c r="Z41" s="16"/>
      <c r="AA41" s="37"/>
      <c r="AB41" s="37"/>
      <c r="AC41" s="37"/>
      <c r="AD41" s="37"/>
      <c r="AE41" s="56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</row>
    <row r="42" spans="1:72" ht="20.25" customHeight="1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12"/>
      <c r="W42" s="51" t="str">
        <f>BBDD!AY1</f>
        <v>INCIDENCIA DE PAGOS</v>
      </c>
      <c r="Y42" s="59" t="e">
        <f>VLOOKUP(D$4,BBDD!A$2:BR$570,51,FALSE)</f>
        <v>#N/A</v>
      </c>
      <c r="Z42" s="16"/>
      <c r="AA42" s="37"/>
      <c r="AB42" s="37"/>
      <c r="AC42" s="37"/>
      <c r="AD42" s="37"/>
      <c r="AE42" s="56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</row>
    <row r="43" spans="1:72" ht="5.15" customHeight="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12"/>
      <c r="W43" s="52"/>
      <c r="Z43" s="16"/>
      <c r="AA43" s="37"/>
      <c r="AB43" s="37"/>
      <c r="AC43" s="37"/>
      <c r="AD43" s="37"/>
      <c r="AE43" s="56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</row>
    <row r="44" spans="1:72" ht="20.25" customHeight="1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12"/>
      <c r="W44" s="51" t="str">
        <f>BBDD!AZ1</f>
        <v>SERV GASTRONOMICOS</v>
      </c>
      <c r="Y44" s="59" t="e">
        <f>VLOOKUP(D$4,BBDD!A$2:BR$570,52,FALSE)</f>
        <v>#N/A</v>
      </c>
      <c r="Z44" s="16"/>
      <c r="AA44" s="37"/>
      <c r="AB44" s="37"/>
      <c r="AC44" s="37"/>
      <c r="AD44" s="37"/>
      <c r="AE44" s="56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</row>
    <row r="45" spans="1:72" ht="5.15" customHeight="1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12"/>
      <c r="Z45" s="16"/>
      <c r="AA45" s="37"/>
      <c r="AB45" s="37"/>
      <c r="AC45" s="37"/>
      <c r="AD45" s="37"/>
      <c r="AE45" s="56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</row>
    <row r="46" spans="1:72" ht="20.5" customHeight="1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12"/>
      <c r="W46" s="51" t="str">
        <f>BBDD!BA1</f>
        <v>GERENCIA/GRANDES CUENTAS</v>
      </c>
      <c r="X46" s="27"/>
      <c r="Y46" s="59" t="e">
        <f>VLOOKUP(D$4,BBDD!A$2:BR$570,53,FALSE)</f>
        <v>#N/A</v>
      </c>
      <c r="Z46" s="16"/>
      <c r="AA46" s="37"/>
      <c r="AB46" s="37"/>
      <c r="AC46" s="37"/>
      <c r="AD46" s="37"/>
      <c r="AE46" s="56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</row>
    <row r="47" spans="1:72" ht="5.15" customHeight="1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12"/>
      <c r="Z47" s="16"/>
      <c r="AA47" s="37"/>
      <c r="AB47" s="37"/>
      <c r="AC47" s="37"/>
      <c r="AD47" s="37"/>
      <c r="AE47" s="56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</row>
    <row r="48" spans="1:72" ht="20.5" customHeight="1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12"/>
      <c r="W48" s="51" t="str">
        <f>BBDD!BB1</f>
        <v>SYS INFORMES/SEGUROS</v>
      </c>
      <c r="X48" s="27"/>
      <c r="Y48" s="59" t="e">
        <f>VLOOKUP(D$4,BBDD!A$2:BR$570,54,FALSE)</f>
        <v>#N/A</v>
      </c>
      <c r="Z48" s="16"/>
      <c r="AA48" s="37"/>
      <c r="AB48" s="37"/>
      <c r="AC48" s="37"/>
      <c r="AD48" s="37"/>
      <c r="AE48" s="56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</row>
    <row r="49" spans="1:72" ht="7" customHeight="1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12"/>
      <c r="Z49" s="16"/>
      <c r="AA49" s="37"/>
      <c r="AB49" s="37"/>
      <c r="AC49" s="37"/>
      <c r="AD49" s="37"/>
      <c r="AE49" s="56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</row>
    <row r="50" spans="1:72" ht="20.5" customHeight="1" x14ac:dyDescent="0.35">
      <c r="A50" s="37"/>
      <c r="B50" s="37"/>
      <c r="C50" s="37"/>
      <c r="D50" s="37"/>
      <c r="E50" s="37"/>
      <c r="F50" s="37"/>
      <c r="G50" s="37"/>
      <c r="H50" s="37"/>
      <c r="I50" s="37"/>
      <c r="J50" s="72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12"/>
      <c r="W50" s="51" t="str">
        <f>BBDD!BC1</f>
        <v>ANAC</v>
      </c>
      <c r="X50" s="27"/>
      <c r="Y50" s="59" t="e">
        <f>VLOOKUP(D$4,BBDD!A$2:BR$570,55,FALSE)</f>
        <v>#N/A</v>
      </c>
      <c r="Z50" s="16"/>
      <c r="AA50" s="37"/>
      <c r="AB50" s="37"/>
      <c r="AC50" s="37"/>
      <c r="AD50" s="37"/>
      <c r="AE50" s="56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</row>
    <row r="51" spans="1:72" ht="7.5" customHeight="1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72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12"/>
      <c r="Z51" s="16"/>
      <c r="AA51" s="37"/>
      <c r="AB51" s="37"/>
      <c r="AC51" s="37"/>
      <c r="AD51" s="37"/>
      <c r="AE51" s="56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</row>
    <row r="52" spans="1:72" ht="18" customHeight="1" x14ac:dyDescent="0.35">
      <c r="A52" s="37"/>
      <c r="B52" s="37"/>
      <c r="C52" s="37"/>
      <c r="D52" s="37"/>
      <c r="E52" s="37"/>
      <c r="F52" s="37"/>
      <c r="G52" s="37"/>
      <c r="H52" s="37"/>
      <c r="I52" s="37"/>
      <c r="J52" s="72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12"/>
      <c r="W52" s="51" t="str">
        <f>BBDD!BD1</f>
        <v>EBONOS</v>
      </c>
      <c r="X52" s="27"/>
      <c r="Y52" s="59" t="e">
        <f>VLOOKUP(D$4,BBDD!A$2:BR$570,56,FALSE)</f>
        <v>#N/A</v>
      </c>
      <c r="Z52" s="16"/>
      <c r="AA52" s="37"/>
      <c r="AB52" s="37"/>
      <c r="AC52" s="37"/>
      <c r="AD52" s="37"/>
      <c r="AE52" s="56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</row>
    <row r="53" spans="1:72" ht="5.15" customHeight="1" x14ac:dyDescent="0.35">
      <c r="A53" s="37"/>
      <c r="B53" s="37"/>
      <c r="C53" s="37"/>
      <c r="D53" s="37"/>
      <c r="E53" s="37"/>
      <c r="F53" s="37"/>
      <c r="G53" s="37"/>
      <c r="H53" s="37"/>
      <c r="I53" s="37"/>
      <c r="J53" s="72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12"/>
      <c r="W53" s="52"/>
      <c r="Z53" s="16"/>
      <c r="AA53" s="37"/>
      <c r="AB53" s="37"/>
      <c r="AC53" s="37"/>
      <c r="AD53" s="37"/>
      <c r="AE53" s="56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</row>
    <row r="54" spans="1:72" ht="18.649999999999999" customHeight="1" x14ac:dyDescent="0.35">
      <c r="A54" s="37"/>
      <c r="B54" s="37"/>
      <c r="C54" s="37"/>
      <c r="D54" s="37"/>
      <c r="E54" s="37"/>
      <c r="F54" s="37"/>
      <c r="G54" s="37"/>
      <c r="H54" s="37"/>
      <c r="I54" s="37"/>
      <c r="J54" s="72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12"/>
      <c r="W54" s="51" t="str">
        <f>BBDD!BE1</f>
        <v>MACROS</v>
      </c>
      <c r="X54" s="27"/>
      <c r="Y54" s="59" t="e">
        <f>VLOOKUP(D$4,BBDD!A$2:BR$570,57,FALSE)</f>
        <v>#N/A</v>
      </c>
      <c r="Z54" s="16"/>
      <c r="AA54" s="37"/>
      <c r="AB54" s="37"/>
      <c r="AC54" s="37"/>
      <c r="AD54" s="37"/>
      <c r="AE54" s="56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</row>
    <row r="55" spans="1:72" ht="4" customHeight="1" x14ac:dyDescent="0.35">
      <c r="A55" s="37"/>
      <c r="B55" s="37"/>
      <c r="C55" s="37"/>
      <c r="D55" s="37"/>
      <c r="E55" s="37"/>
      <c r="F55" s="37"/>
      <c r="G55" s="37"/>
      <c r="H55" s="37"/>
      <c r="I55" s="37"/>
      <c r="J55" s="72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12"/>
      <c r="Z55" s="16"/>
      <c r="AA55" s="37"/>
      <c r="AB55" s="37"/>
      <c r="AC55" s="37"/>
      <c r="AD55" s="37"/>
      <c r="AE55" s="56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</row>
    <row r="56" spans="1:72" ht="18.649999999999999" customHeight="1" x14ac:dyDescent="0.35">
      <c r="A56" s="37"/>
      <c r="B56" s="37"/>
      <c r="C56" s="37"/>
      <c r="D56" s="37"/>
      <c r="E56" s="37"/>
      <c r="F56" s="37"/>
      <c r="G56" s="37"/>
      <c r="H56" s="37"/>
      <c r="I56" s="37"/>
      <c r="J56" s="72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12"/>
      <c r="W56" s="51" t="str">
        <f>BBDD!BF1</f>
        <v>EQUIPO DE BUSQUEDA</v>
      </c>
      <c r="X56" s="27"/>
      <c r="Y56" s="59" t="e">
        <f>VLOOKUP(D$4,BBDD!A$2:BR$570,58,FALSE)</f>
        <v>#N/A</v>
      </c>
      <c r="Z56" s="16"/>
      <c r="AA56" s="37"/>
      <c r="AB56" s="37"/>
      <c r="AC56" s="37"/>
      <c r="AD56" s="37"/>
      <c r="AE56" s="56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</row>
    <row r="57" spans="1:72" ht="4" customHeight="1" x14ac:dyDescent="0.35">
      <c r="A57" s="37"/>
      <c r="B57" s="37"/>
      <c r="C57" s="37"/>
      <c r="D57" s="37"/>
      <c r="E57" s="37"/>
      <c r="F57" s="37"/>
      <c r="G57" s="37"/>
      <c r="H57" s="37"/>
      <c r="I57" s="37"/>
      <c r="J57" s="72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3"/>
      <c r="W57" s="34"/>
      <c r="X57" s="34"/>
      <c r="Y57" s="62"/>
      <c r="Z57" s="35"/>
      <c r="AA57" s="37"/>
      <c r="AB57" s="37"/>
      <c r="AC57" s="37"/>
      <c r="AD57" s="37"/>
      <c r="AE57" s="56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</row>
    <row r="58" spans="1:72" ht="14.5" x14ac:dyDescent="0.35">
      <c r="A58" s="37"/>
      <c r="B58" s="37"/>
      <c r="C58" s="37"/>
      <c r="D58" s="37"/>
      <c r="E58" s="37"/>
      <c r="F58" s="37"/>
      <c r="G58" s="37"/>
      <c r="H58" s="37"/>
      <c r="I58" s="37"/>
      <c r="J58" s="72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60"/>
      <c r="Z58" s="37"/>
      <c r="AA58" s="37"/>
      <c r="AB58" s="37"/>
      <c r="AC58" s="37"/>
      <c r="AD58" s="37"/>
      <c r="AE58" s="56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</row>
    <row r="59" spans="1:72" ht="14.5" x14ac:dyDescent="0.35">
      <c r="A59" s="37"/>
      <c r="B59" s="37"/>
      <c r="C59" s="37"/>
      <c r="D59" s="37"/>
      <c r="E59" s="37"/>
      <c r="F59" s="37"/>
      <c r="G59" s="37"/>
      <c r="H59" s="37"/>
      <c r="I59" s="37"/>
      <c r="J59" s="72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60"/>
      <c r="Z59" s="37"/>
      <c r="AA59" s="37"/>
      <c r="AB59" s="37"/>
      <c r="AC59" s="37"/>
      <c r="AD59" s="37"/>
      <c r="AE59" s="56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</row>
    <row r="60" spans="1:72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60"/>
      <c r="Z60" s="37"/>
      <c r="AA60" s="37"/>
      <c r="AB60" s="37"/>
      <c r="AC60" s="37"/>
      <c r="AD60" s="37"/>
      <c r="AE60" s="56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</row>
    <row r="61" spans="1:72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60"/>
      <c r="Z61" s="37"/>
      <c r="AA61" s="37"/>
      <c r="AB61" s="37"/>
      <c r="AC61" s="37"/>
      <c r="AD61" s="37"/>
      <c r="AE61" s="56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</row>
    <row r="62" spans="1:72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60"/>
      <c r="Z62" s="37"/>
      <c r="AA62" s="37"/>
      <c r="AB62" s="37"/>
      <c r="AC62" s="37"/>
      <c r="AD62" s="37"/>
      <c r="AE62" s="56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</row>
    <row r="63" spans="1:72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60"/>
      <c r="Z63" s="37"/>
      <c r="AA63" s="37"/>
      <c r="AB63" s="37"/>
      <c r="AC63" s="37"/>
      <c r="AD63" s="37"/>
      <c r="AE63" s="56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</row>
    <row r="64" spans="1:72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60"/>
      <c r="Z64" s="37"/>
      <c r="AA64" s="37"/>
      <c r="AB64" s="37"/>
      <c r="AC64" s="37"/>
      <c r="AD64" s="37"/>
      <c r="AE64" s="56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</row>
    <row r="65" spans="1:72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60"/>
      <c r="Z65" s="37"/>
      <c r="AA65" s="37"/>
      <c r="AB65" s="37"/>
      <c r="AC65" s="37"/>
      <c r="AD65" s="37"/>
      <c r="AE65" s="56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</row>
    <row r="66" spans="1:72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60"/>
      <c r="Z66" s="37"/>
      <c r="AA66" s="37"/>
      <c r="AB66" s="37"/>
      <c r="AC66" s="37"/>
      <c r="AD66" s="37"/>
      <c r="AE66" s="56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</row>
    <row r="67" spans="1:72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60"/>
      <c r="Z67" s="37"/>
      <c r="AA67" s="37"/>
      <c r="AB67" s="37"/>
      <c r="AC67" s="37"/>
      <c r="AD67" s="37"/>
      <c r="AE67" s="56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</row>
    <row r="68" spans="1:72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60"/>
      <c r="Z68" s="37"/>
      <c r="AA68" s="37"/>
      <c r="AB68" s="37"/>
      <c r="AC68" s="37"/>
      <c r="AD68" s="37"/>
      <c r="AE68" s="56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</row>
    <row r="69" spans="1:72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60"/>
      <c r="Z69" s="37"/>
      <c r="AA69" s="37"/>
      <c r="AB69" s="37"/>
      <c r="AC69" s="37"/>
      <c r="AD69" s="37"/>
      <c r="AE69" s="56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</row>
    <row r="70" spans="1:72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60"/>
      <c r="Z70" s="37"/>
      <c r="AA70" s="37"/>
      <c r="AB70" s="37"/>
      <c r="AC70" s="37"/>
      <c r="AD70" s="37"/>
      <c r="AE70" s="56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</row>
    <row r="71" spans="1:72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60"/>
      <c r="Z71" s="37"/>
      <c r="AA71" s="37"/>
      <c r="AB71" s="37"/>
      <c r="AC71" s="37"/>
      <c r="AD71" s="37"/>
      <c r="AE71" s="56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</row>
    <row r="72" spans="1:72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60"/>
      <c r="Z72" s="37"/>
      <c r="AA72" s="37"/>
      <c r="AB72" s="37"/>
      <c r="AC72" s="37"/>
      <c r="AD72" s="37"/>
      <c r="AE72" s="56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</row>
    <row r="73" spans="1:72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60"/>
      <c r="Z73" s="37"/>
      <c r="AA73" s="37"/>
      <c r="AB73" s="37"/>
      <c r="AC73" s="37"/>
      <c r="AD73" s="37"/>
      <c r="AE73" s="56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</row>
    <row r="74" spans="1:72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60"/>
      <c r="Z74" s="37"/>
      <c r="AA74" s="37"/>
      <c r="AB74" s="37"/>
      <c r="AC74" s="37"/>
      <c r="AD74" s="37"/>
      <c r="AE74" s="56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</row>
    <row r="75" spans="1:72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60"/>
      <c r="Z75" s="37"/>
      <c r="AA75" s="37"/>
      <c r="AB75" s="37"/>
      <c r="AC75" s="37"/>
      <c r="AD75" s="37"/>
      <c r="AE75" s="56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</row>
    <row r="76" spans="1:72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60"/>
      <c r="Z76" s="37"/>
      <c r="AA76" s="37"/>
      <c r="AB76" s="37"/>
      <c r="AC76" s="37"/>
      <c r="AD76" s="37"/>
      <c r="AE76" s="56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</row>
    <row r="77" spans="1:72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60"/>
      <c r="Z77" s="37"/>
      <c r="AA77" s="37"/>
      <c r="AB77" s="37"/>
      <c r="AC77" s="37"/>
      <c r="AD77" s="37"/>
      <c r="AE77" s="56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</row>
    <row r="78" spans="1:72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60"/>
      <c r="Z78" s="37"/>
      <c r="AA78" s="37"/>
      <c r="AB78" s="37"/>
      <c r="AC78" s="37"/>
      <c r="AD78" s="37"/>
      <c r="AE78" s="56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</row>
    <row r="79" spans="1:72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60"/>
      <c r="Z79" s="37"/>
      <c r="AA79" s="37"/>
      <c r="AB79" s="37"/>
      <c r="AC79" s="37"/>
      <c r="AD79" s="37"/>
      <c r="AE79" s="56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</row>
    <row r="80" spans="1:72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60"/>
      <c r="Z80" s="37"/>
      <c r="AA80" s="37"/>
      <c r="AB80" s="37"/>
      <c r="AC80" s="37"/>
      <c r="AD80" s="37"/>
      <c r="AE80" s="56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</row>
    <row r="81" spans="1:72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60"/>
      <c r="Z81" s="37"/>
      <c r="AA81" s="37"/>
      <c r="AB81" s="37"/>
      <c r="AC81" s="37"/>
      <c r="AD81" s="37"/>
      <c r="AE81" s="56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</row>
    <row r="82" spans="1:72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60"/>
      <c r="Z82" s="37"/>
      <c r="AA82" s="37"/>
      <c r="AB82" s="37"/>
      <c r="AC82" s="37"/>
      <c r="AD82" s="37"/>
      <c r="AE82" s="56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</row>
    <row r="83" spans="1:72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60"/>
      <c r="Z83" s="37"/>
      <c r="AA83" s="37"/>
      <c r="AB83" s="37"/>
      <c r="AC83" s="37"/>
      <c r="AD83" s="37"/>
      <c r="AE83" s="56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</row>
    <row r="84" spans="1:72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60"/>
      <c r="Z84" s="37"/>
      <c r="AA84" s="37"/>
      <c r="AB84" s="37"/>
      <c r="AC84" s="37"/>
      <c r="AD84" s="37"/>
      <c r="AE84" s="56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</row>
    <row r="85" spans="1:72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60"/>
      <c r="Z85" s="37"/>
      <c r="AA85" s="37"/>
      <c r="AB85" s="37"/>
      <c r="AC85" s="37"/>
      <c r="AD85" s="37"/>
      <c r="AE85" s="56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</row>
    <row r="86" spans="1:72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60"/>
      <c r="Z86" s="37"/>
      <c r="AA86" s="37"/>
      <c r="AB86" s="37"/>
      <c r="AC86" s="37"/>
      <c r="AD86" s="37"/>
      <c r="AE86" s="56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</row>
    <row r="87" spans="1:72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60"/>
      <c r="Z87" s="37"/>
      <c r="AA87" s="37"/>
      <c r="AB87" s="37"/>
      <c r="AC87" s="37"/>
      <c r="AD87" s="37"/>
      <c r="AE87" s="56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</row>
    <row r="88" spans="1:72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60"/>
      <c r="Z88" s="37"/>
      <c r="AA88" s="37"/>
      <c r="AB88" s="37"/>
      <c r="AC88" s="37"/>
      <c r="AD88" s="37"/>
      <c r="AE88" s="56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</row>
    <row r="89" spans="1:72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60"/>
      <c r="Z89" s="37"/>
      <c r="AA89" s="37"/>
      <c r="AB89" s="37"/>
      <c r="AC89" s="37"/>
      <c r="AD89" s="37"/>
      <c r="AE89" s="56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</row>
    <row r="90" spans="1:72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60"/>
      <c r="Z90" s="37"/>
      <c r="AA90" s="37"/>
      <c r="AB90" s="37"/>
      <c r="AC90" s="37"/>
      <c r="AD90" s="37"/>
      <c r="AE90" s="56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</row>
    <row r="91" spans="1:72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60"/>
      <c r="Z91" s="37"/>
      <c r="AA91" s="37"/>
      <c r="AB91" s="37"/>
      <c r="AC91" s="37"/>
      <c r="AD91" s="37"/>
      <c r="AE91" s="56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</row>
    <row r="92" spans="1:72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60"/>
      <c r="Z92" s="37"/>
      <c r="AA92" s="37"/>
      <c r="AB92" s="37"/>
      <c r="AC92" s="37"/>
      <c r="AD92" s="37"/>
      <c r="AE92" s="56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</row>
    <row r="93" spans="1:72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60"/>
      <c r="Z93" s="37"/>
      <c r="AA93" s="37"/>
      <c r="AB93" s="37"/>
      <c r="AC93" s="37"/>
      <c r="AD93" s="37"/>
      <c r="AE93" s="56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</row>
    <row r="94" spans="1:72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60"/>
      <c r="Z94" s="37"/>
      <c r="AA94" s="37"/>
      <c r="AB94" s="37"/>
      <c r="AC94" s="37"/>
      <c r="AD94" s="37"/>
      <c r="AE94" s="56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</row>
    <row r="95" spans="1:72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60"/>
      <c r="Z95" s="37"/>
      <c r="AA95" s="37"/>
      <c r="AB95" s="37"/>
      <c r="AC95" s="37"/>
      <c r="AD95" s="37"/>
      <c r="AE95" s="56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</row>
    <row r="96" spans="1:72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60"/>
      <c r="Z96" s="37"/>
      <c r="AA96" s="37"/>
      <c r="AB96" s="37"/>
      <c r="AC96" s="37"/>
      <c r="AD96" s="37"/>
      <c r="AE96" s="56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</row>
    <row r="97" spans="1:72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60"/>
      <c r="Z97" s="37"/>
      <c r="AA97" s="37"/>
      <c r="AB97" s="37"/>
      <c r="AC97" s="37"/>
      <c r="AD97" s="37"/>
      <c r="AE97" s="56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</row>
    <row r="98" spans="1:72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60"/>
      <c r="Z98" s="37"/>
      <c r="AA98" s="37"/>
      <c r="AB98" s="37"/>
      <c r="AC98" s="37"/>
      <c r="AD98" s="37"/>
      <c r="AE98" s="56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</row>
    <row r="99" spans="1:72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60"/>
      <c r="Z99" s="37"/>
      <c r="AA99" s="37"/>
      <c r="AB99" s="37"/>
      <c r="AC99" s="37"/>
      <c r="AD99" s="37"/>
      <c r="AE99" s="56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</row>
    <row r="100" spans="1:72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60"/>
      <c r="Z100" s="37"/>
      <c r="AA100" s="37"/>
      <c r="AB100" s="37"/>
      <c r="AC100" s="37"/>
      <c r="AD100" s="37"/>
      <c r="AE100" s="56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</row>
    <row r="101" spans="1:72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60"/>
      <c r="Z101" s="37"/>
      <c r="AA101" s="37"/>
      <c r="AB101" s="37"/>
      <c r="AC101" s="37"/>
      <c r="AD101" s="37"/>
      <c r="AE101" s="56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</row>
    <row r="102" spans="1:72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60"/>
      <c r="Z102" s="37"/>
      <c r="AA102" s="37"/>
      <c r="AB102" s="37"/>
      <c r="AC102" s="37"/>
      <c r="AD102" s="37"/>
      <c r="AE102" s="56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</row>
    <row r="103" spans="1:72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60"/>
      <c r="Z103" s="37"/>
      <c r="AA103" s="37"/>
      <c r="AB103" s="37"/>
      <c r="AC103" s="37"/>
      <c r="AD103" s="37"/>
      <c r="AE103" s="56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</row>
    <row r="104" spans="1:72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60"/>
      <c r="Z104" s="37"/>
      <c r="AA104" s="37"/>
      <c r="AB104" s="37"/>
      <c r="AC104" s="37"/>
      <c r="AD104" s="37"/>
      <c r="AE104" s="56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</row>
    <row r="105" spans="1:72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60"/>
      <c r="Z105" s="37"/>
      <c r="AA105" s="37"/>
      <c r="AB105" s="37"/>
      <c r="AC105" s="37"/>
      <c r="AD105" s="37"/>
      <c r="AE105" s="56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</row>
    <row r="106" spans="1:72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60"/>
      <c r="Z106" s="37"/>
      <c r="AA106" s="37"/>
      <c r="AB106" s="37"/>
      <c r="AC106" s="37"/>
      <c r="AD106" s="37"/>
      <c r="AE106" s="56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</row>
    <row r="107" spans="1:72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60"/>
      <c r="Z107" s="37"/>
      <c r="AA107" s="37"/>
      <c r="AB107" s="37"/>
      <c r="AC107" s="37"/>
      <c r="AD107" s="37"/>
      <c r="AE107" s="56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</row>
    <row r="108" spans="1:72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60"/>
      <c r="Z108" s="37"/>
      <c r="AA108" s="37"/>
      <c r="AB108" s="37"/>
      <c r="AC108" s="37"/>
      <c r="AD108" s="37"/>
      <c r="AE108" s="56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</row>
    <row r="109" spans="1:72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60"/>
      <c r="Z109" s="37"/>
      <c r="AA109" s="37"/>
      <c r="AB109" s="37"/>
      <c r="AC109" s="37"/>
      <c r="AD109" s="37"/>
      <c r="AE109" s="56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</row>
    <row r="110" spans="1:72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60"/>
      <c r="Z110" s="37"/>
      <c r="AA110" s="37"/>
      <c r="AB110" s="37"/>
      <c r="AC110" s="37"/>
      <c r="AD110" s="37"/>
      <c r="AE110" s="56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</row>
    <row r="111" spans="1:72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60"/>
      <c r="Z111" s="37"/>
      <c r="AA111" s="37"/>
      <c r="AB111" s="37"/>
      <c r="AC111" s="37"/>
      <c r="AD111" s="37"/>
      <c r="AE111" s="56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</row>
    <row r="112" spans="1:72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60"/>
      <c r="Z112" s="37"/>
      <c r="AA112" s="37"/>
      <c r="AB112" s="37"/>
      <c r="AC112" s="37"/>
      <c r="AD112" s="37"/>
      <c r="AE112" s="56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</row>
    <row r="113" spans="1:72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60"/>
      <c r="Z113" s="37"/>
      <c r="AA113" s="37"/>
      <c r="AB113" s="37"/>
      <c r="AC113" s="37"/>
      <c r="AD113" s="37"/>
      <c r="AE113" s="56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</row>
    <row r="114" spans="1:72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60"/>
      <c r="Z114" s="37"/>
      <c r="AA114" s="37"/>
      <c r="AB114" s="37"/>
      <c r="AC114" s="37"/>
      <c r="AD114" s="37"/>
      <c r="AE114" s="56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</row>
    <row r="115" spans="1:72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60"/>
      <c r="Z115" s="37"/>
      <c r="AA115" s="37"/>
      <c r="AB115" s="37"/>
      <c r="AC115" s="37"/>
      <c r="AD115" s="37"/>
      <c r="AE115" s="56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</row>
    <row r="116" spans="1:72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60"/>
      <c r="Z116" s="37"/>
      <c r="AA116" s="37"/>
      <c r="AB116" s="37"/>
      <c r="AC116" s="37"/>
      <c r="AD116" s="37"/>
      <c r="AE116" s="56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</row>
    <row r="117" spans="1:72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60"/>
      <c r="Z117" s="37"/>
      <c r="AA117" s="37"/>
      <c r="AB117" s="37"/>
      <c r="AC117" s="37"/>
      <c r="AD117" s="37"/>
      <c r="AE117" s="56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</row>
    <row r="118" spans="1:72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60"/>
      <c r="Z118" s="37"/>
      <c r="AA118" s="37"/>
      <c r="AB118" s="37"/>
      <c r="AC118" s="37"/>
      <c r="AD118" s="37"/>
      <c r="AE118" s="56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</row>
    <row r="119" spans="1:72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60"/>
      <c r="Z119" s="37"/>
      <c r="AA119" s="37"/>
      <c r="AB119" s="37"/>
      <c r="AC119" s="37"/>
      <c r="AD119" s="37"/>
      <c r="AE119" s="56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</row>
    <row r="120" spans="1:72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60"/>
      <c r="Z120" s="37"/>
      <c r="AA120" s="37"/>
      <c r="AB120" s="37"/>
      <c r="AC120" s="37"/>
      <c r="AD120" s="37"/>
      <c r="AE120" s="56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</row>
    <row r="121" spans="1:72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60"/>
      <c r="Z121" s="37"/>
      <c r="AA121" s="37"/>
      <c r="AB121" s="37"/>
      <c r="AC121" s="37"/>
      <c r="AD121" s="37"/>
      <c r="AE121" s="56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</row>
    <row r="122" spans="1:72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60"/>
      <c r="Z122" s="37"/>
      <c r="AA122" s="37"/>
      <c r="AB122" s="37"/>
      <c r="AC122" s="37"/>
      <c r="AD122" s="37"/>
      <c r="AE122" s="56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</row>
    <row r="123" spans="1:72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60"/>
      <c r="Z123" s="37"/>
      <c r="AA123" s="37"/>
      <c r="AB123" s="37"/>
      <c r="AC123" s="37"/>
      <c r="AD123" s="37"/>
      <c r="AE123" s="56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</row>
    <row r="124" spans="1:72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60"/>
      <c r="Z124" s="37"/>
      <c r="AA124" s="37"/>
      <c r="AB124" s="37"/>
      <c r="AC124" s="37"/>
      <c r="AD124" s="37"/>
      <c r="AE124" s="56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</row>
    <row r="125" spans="1:72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60"/>
      <c r="Z125" s="37"/>
      <c r="AA125" s="37"/>
      <c r="AB125" s="37"/>
      <c r="AC125" s="37"/>
      <c r="AD125" s="37"/>
      <c r="AE125" s="56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</row>
    <row r="126" spans="1:72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60"/>
      <c r="Z126" s="37"/>
      <c r="AA126" s="37"/>
      <c r="AB126" s="37"/>
      <c r="AC126" s="37"/>
      <c r="AD126" s="37"/>
      <c r="AE126" s="56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</row>
    <row r="127" spans="1:72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60"/>
      <c r="Z127" s="37"/>
      <c r="AA127" s="37"/>
      <c r="AB127" s="37"/>
      <c r="AC127" s="37"/>
      <c r="AD127" s="37"/>
      <c r="AE127" s="56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</row>
    <row r="128" spans="1:72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60"/>
      <c r="Z128" s="37"/>
      <c r="AA128" s="37"/>
      <c r="AB128" s="37"/>
      <c r="AC128" s="37"/>
      <c r="AD128" s="37"/>
      <c r="AE128" s="56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</row>
    <row r="129" spans="1:72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60"/>
      <c r="Z129" s="37"/>
      <c r="AA129" s="37"/>
      <c r="AB129" s="37"/>
      <c r="AC129" s="37"/>
      <c r="AD129" s="37"/>
      <c r="AE129" s="56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</row>
    <row r="130" spans="1:72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60"/>
      <c r="Z130" s="37"/>
      <c r="AA130" s="37"/>
      <c r="AB130" s="37"/>
      <c r="AC130" s="37"/>
      <c r="AD130" s="37"/>
      <c r="AE130" s="56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</row>
    <row r="131" spans="1:72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60"/>
      <c r="Z131" s="37"/>
      <c r="AA131" s="37"/>
      <c r="AB131" s="37"/>
      <c r="AC131" s="37"/>
      <c r="AD131" s="37"/>
      <c r="AE131" s="56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</row>
    <row r="132" spans="1:72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60"/>
      <c r="Z132" s="37"/>
      <c r="AA132" s="37"/>
      <c r="AB132" s="37"/>
      <c r="AC132" s="37"/>
      <c r="AD132" s="37"/>
      <c r="AE132" s="56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</row>
    <row r="133" spans="1:72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60"/>
      <c r="Z133" s="37"/>
      <c r="AA133" s="37"/>
      <c r="AB133" s="37"/>
      <c r="AC133" s="37"/>
      <c r="AD133" s="37"/>
      <c r="AE133" s="56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</row>
    <row r="134" spans="1:72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60"/>
      <c r="Z134" s="37"/>
      <c r="AA134" s="37"/>
      <c r="AB134" s="37"/>
      <c r="AC134" s="37"/>
      <c r="AD134" s="37"/>
      <c r="AE134" s="56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</row>
    <row r="135" spans="1:72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60"/>
      <c r="Z135" s="37"/>
      <c r="AA135" s="37"/>
      <c r="AB135" s="37"/>
      <c r="AC135" s="37"/>
      <c r="AD135" s="37"/>
      <c r="AE135" s="56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</row>
    <row r="136" spans="1:72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60"/>
      <c r="Z136" s="37"/>
      <c r="AA136" s="37"/>
      <c r="AB136" s="37"/>
      <c r="AC136" s="37"/>
      <c r="AD136" s="37"/>
      <c r="AE136" s="56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</row>
    <row r="137" spans="1:72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60"/>
      <c r="Z137" s="37"/>
      <c r="AA137" s="37"/>
      <c r="AB137" s="37"/>
      <c r="AC137" s="37"/>
      <c r="AD137" s="37"/>
      <c r="AE137" s="56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</row>
    <row r="138" spans="1:72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60"/>
      <c r="Z138" s="37"/>
      <c r="AA138" s="37"/>
      <c r="AB138" s="37"/>
      <c r="AC138" s="37"/>
      <c r="AD138" s="37"/>
      <c r="AE138" s="56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</row>
    <row r="139" spans="1:72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60"/>
      <c r="Z139" s="37"/>
      <c r="AA139" s="37"/>
      <c r="AB139" s="37"/>
      <c r="AC139" s="37"/>
      <c r="AD139" s="37"/>
      <c r="AE139" s="56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</row>
    <row r="140" spans="1:72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60"/>
      <c r="Z140" s="37"/>
      <c r="AA140" s="37"/>
      <c r="AB140" s="37"/>
      <c r="AC140" s="37"/>
      <c r="AD140" s="37"/>
      <c r="AE140" s="56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</row>
    <row r="141" spans="1:72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60"/>
      <c r="Z141" s="37"/>
      <c r="AA141" s="37"/>
      <c r="AB141" s="37"/>
      <c r="AC141" s="37"/>
      <c r="AD141" s="37"/>
      <c r="AE141" s="56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</row>
    <row r="142" spans="1:72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60"/>
      <c r="Z142" s="37"/>
      <c r="AA142" s="37"/>
      <c r="AB142" s="37"/>
      <c r="AC142" s="37"/>
      <c r="AD142" s="37"/>
      <c r="AE142" s="56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</row>
    <row r="143" spans="1:72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60"/>
      <c r="Z143" s="37"/>
      <c r="AA143" s="37"/>
      <c r="AB143" s="37"/>
      <c r="AC143" s="37"/>
      <c r="AD143" s="37"/>
      <c r="AE143" s="56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</row>
    <row r="144" spans="1:72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60"/>
      <c r="Z144" s="37"/>
      <c r="AA144" s="37"/>
      <c r="AB144" s="37"/>
      <c r="AC144" s="37"/>
      <c r="AD144" s="37"/>
      <c r="AE144" s="56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</row>
    <row r="145" spans="1:72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60"/>
      <c r="Z145" s="37"/>
      <c r="AA145" s="37"/>
      <c r="AB145" s="37"/>
      <c r="AC145" s="37"/>
      <c r="AD145" s="37"/>
      <c r="AE145" s="56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</row>
    <row r="146" spans="1:72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60"/>
      <c r="Z146" s="37"/>
      <c r="AA146" s="37"/>
      <c r="AB146" s="37"/>
      <c r="AC146" s="37"/>
      <c r="AD146" s="37"/>
      <c r="AE146" s="56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</row>
    <row r="147" spans="1:72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60"/>
      <c r="Z147" s="37"/>
      <c r="AA147" s="37"/>
      <c r="AB147" s="37"/>
      <c r="AC147" s="37"/>
      <c r="AD147" s="37"/>
      <c r="AE147" s="56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</row>
    <row r="148" spans="1:72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60"/>
      <c r="Z148" s="37"/>
      <c r="AA148" s="37"/>
      <c r="AB148" s="37"/>
      <c r="AC148" s="37"/>
      <c r="AD148" s="37"/>
      <c r="AE148" s="56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</row>
    <row r="149" spans="1:72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60"/>
      <c r="Z149" s="37"/>
      <c r="AA149" s="37"/>
      <c r="AB149" s="37"/>
      <c r="AC149" s="37"/>
      <c r="AD149" s="37"/>
      <c r="AE149" s="56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</row>
    <row r="150" spans="1:72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60"/>
      <c r="Z150" s="37"/>
      <c r="AA150" s="37"/>
      <c r="AB150" s="37"/>
      <c r="AC150" s="37"/>
      <c r="AD150" s="37"/>
      <c r="AE150" s="56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</row>
    <row r="151" spans="1:72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60"/>
      <c r="Z151" s="37"/>
      <c r="AA151" s="37"/>
      <c r="AB151" s="37"/>
      <c r="AC151" s="37"/>
      <c r="AD151" s="37"/>
      <c r="AE151" s="56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</row>
    <row r="152" spans="1:72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60"/>
      <c r="Z152" s="37"/>
      <c r="AA152" s="37"/>
      <c r="AB152" s="37"/>
      <c r="AC152" s="37"/>
      <c r="AD152" s="37"/>
      <c r="AE152" s="56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</row>
    <row r="153" spans="1:72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60"/>
      <c r="Z153" s="37"/>
      <c r="AA153" s="37"/>
      <c r="AB153" s="37"/>
      <c r="AC153" s="37"/>
      <c r="AD153" s="37"/>
      <c r="AE153" s="56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</row>
    <row r="154" spans="1:72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60"/>
      <c r="Z154" s="37"/>
      <c r="AA154" s="37"/>
      <c r="AB154" s="37"/>
      <c r="AC154" s="37"/>
      <c r="AD154" s="37"/>
      <c r="AE154" s="56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</row>
    <row r="155" spans="1:72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60"/>
      <c r="Z155" s="37"/>
      <c r="AA155" s="37"/>
      <c r="AB155" s="37"/>
      <c r="AC155" s="37"/>
      <c r="AD155" s="37"/>
      <c r="AE155" s="56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</row>
    <row r="156" spans="1:72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60"/>
      <c r="Z156" s="37"/>
      <c r="AA156" s="37"/>
      <c r="AB156" s="37"/>
      <c r="AC156" s="37"/>
      <c r="AD156" s="37"/>
      <c r="AE156" s="56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</row>
    <row r="157" spans="1:72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60"/>
      <c r="Z157" s="37"/>
      <c r="AA157" s="37"/>
      <c r="AB157" s="37"/>
      <c r="AC157" s="37"/>
      <c r="AD157" s="37"/>
      <c r="AE157" s="56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</row>
    <row r="158" spans="1:72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60"/>
      <c r="Z158" s="37"/>
      <c r="AA158" s="37"/>
      <c r="AB158" s="37"/>
      <c r="AC158" s="37"/>
      <c r="AD158" s="37"/>
      <c r="AE158" s="56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</row>
    <row r="159" spans="1:72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60"/>
      <c r="Z159" s="37"/>
      <c r="AA159" s="37"/>
      <c r="AB159" s="37"/>
      <c r="AC159" s="37"/>
      <c r="AD159" s="37"/>
      <c r="AE159" s="56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</row>
    <row r="160" spans="1:72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60"/>
      <c r="Z160" s="37"/>
      <c r="AA160" s="37"/>
      <c r="AB160" s="37"/>
      <c r="AC160" s="37"/>
      <c r="AD160" s="37"/>
      <c r="AE160" s="56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</row>
    <row r="161" spans="1:72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60"/>
      <c r="Z161" s="37"/>
      <c r="AA161" s="37"/>
      <c r="AB161" s="37"/>
      <c r="AC161" s="37"/>
      <c r="AD161" s="37"/>
      <c r="AE161" s="56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</row>
    <row r="162" spans="1:72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60"/>
      <c r="Z162" s="37"/>
      <c r="AA162" s="37"/>
      <c r="AB162" s="37"/>
      <c r="AC162" s="37"/>
      <c r="AD162" s="37"/>
      <c r="AE162" s="56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</row>
    <row r="163" spans="1:72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60"/>
      <c r="Z163" s="37"/>
      <c r="AA163" s="37"/>
      <c r="AB163" s="37"/>
      <c r="AC163" s="37"/>
      <c r="AD163" s="37"/>
      <c r="AE163" s="56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</row>
    <row r="164" spans="1:72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60"/>
      <c r="Z164" s="37"/>
      <c r="AA164" s="37"/>
      <c r="AB164" s="37"/>
      <c r="AC164" s="37"/>
      <c r="AD164" s="37"/>
      <c r="AE164" s="56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</row>
    <row r="165" spans="1:72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60"/>
      <c r="Z165" s="37"/>
      <c r="AA165" s="37"/>
      <c r="AB165" s="37"/>
      <c r="AC165" s="37"/>
      <c r="AD165" s="37"/>
      <c r="AE165" s="56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</row>
    <row r="166" spans="1:72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60"/>
      <c r="Z166" s="37"/>
      <c r="AA166" s="37"/>
      <c r="AB166" s="37"/>
      <c r="AC166" s="37"/>
      <c r="AD166" s="37"/>
      <c r="AE166" s="56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</row>
    <row r="167" spans="1:72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60"/>
      <c r="Z167" s="37"/>
      <c r="AA167" s="37"/>
      <c r="AB167" s="37"/>
      <c r="AC167" s="37"/>
      <c r="AD167" s="37"/>
      <c r="AE167" s="56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</row>
    <row r="168" spans="1:72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60"/>
      <c r="Z168" s="37"/>
      <c r="AA168" s="37"/>
      <c r="AB168" s="37"/>
      <c r="AC168" s="37"/>
      <c r="AD168" s="37"/>
      <c r="AE168" s="56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</row>
    <row r="169" spans="1:72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60"/>
      <c r="Z169" s="37"/>
      <c r="AA169" s="37"/>
      <c r="AB169" s="37"/>
      <c r="AC169" s="37"/>
      <c r="AD169" s="37"/>
      <c r="AE169" s="56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</row>
    <row r="170" spans="1:72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60"/>
      <c r="Z170" s="37"/>
      <c r="AA170" s="37"/>
      <c r="AB170" s="37"/>
      <c r="AC170" s="37"/>
      <c r="AD170" s="37"/>
      <c r="AE170" s="56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</row>
    <row r="171" spans="1:72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60"/>
      <c r="Z171" s="37"/>
      <c r="AA171" s="37"/>
      <c r="AB171" s="37"/>
      <c r="AC171" s="37"/>
      <c r="AD171" s="37"/>
      <c r="AE171" s="56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</row>
    <row r="172" spans="1:72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60"/>
      <c r="Z172" s="37"/>
      <c r="AA172" s="37"/>
      <c r="AB172" s="37"/>
      <c r="AC172" s="37"/>
      <c r="AD172" s="37"/>
      <c r="AE172" s="56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</row>
    <row r="173" spans="1:72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60"/>
      <c r="Z173" s="37"/>
      <c r="AA173" s="37"/>
      <c r="AB173" s="37"/>
      <c r="AC173" s="37"/>
      <c r="AD173" s="37"/>
      <c r="AE173" s="56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</row>
    <row r="174" spans="1:72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60"/>
      <c r="Z174" s="37"/>
      <c r="AA174" s="37"/>
      <c r="AB174" s="37"/>
      <c r="AC174" s="37"/>
      <c r="AD174" s="37"/>
      <c r="AE174" s="56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</row>
    <row r="175" spans="1:72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60"/>
      <c r="Z175" s="37"/>
      <c r="AA175" s="37"/>
      <c r="AB175" s="37"/>
      <c r="AC175" s="37"/>
      <c r="AD175" s="37"/>
      <c r="AE175" s="56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</row>
    <row r="176" spans="1:72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60"/>
      <c r="Z176" s="37"/>
      <c r="AA176" s="37"/>
      <c r="AB176" s="37"/>
      <c r="AC176" s="37"/>
      <c r="AD176" s="37"/>
      <c r="AE176" s="56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</row>
    <row r="177" spans="1:72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60"/>
      <c r="Z177" s="37"/>
      <c r="AA177" s="37"/>
      <c r="AB177" s="37"/>
      <c r="AC177" s="37"/>
      <c r="AD177" s="37"/>
      <c r="AE177" s="56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</row>
    <row r="178" spans="1:72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60"/>
      <c r="Z178" s="37"/>
      <c r="AA178" s="37"/>
      <c r="AB178" s="37"/>
      <c r="AC178" s="37"/>
      <c r="AD178" s="37"/>
      <c r="AE178" s="56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</row>
    <row r="179" spans="1:72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60"/>
      <c r="Z179" s="37"/>
      <c r="AA179" s="37"/>
      <c r="AB179" s="37"/>
      <c r="AC179" s="37"/>
      <c r="AD179" s="37"/>
      <c r="AE179" s="56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</row>
    <row r="180" spans="1:72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60"/>
      <c r="Z180" s="37"/>
      <c r="AA180" s="37"/>
      <c r="AB180" s="37"/>
      <c r="AC180" s="37"/>
      <c r="AD180" s="37"/>
      <c r="AE180" s="56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</row>
    <row r="181" spans="1:72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60"/>
      <c r="Z181" s="37"/>
      <c r="AA181" s="37"/>
      <c r="AB181" s="37"/>
      <c r="AC181" s="37"/>
      <c r="AD181" s="37"/>
      <c r="AE181" s="56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</row>
    <row r="182" spans="1:72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60"/>
      <c r="Z182" s="37"/>
      <c r="AA182" s="37"/>
      <c r="AB182" s="37"/>
      <c r="AC182" s="37"/>
      <c r="AD182" s="37"/>
      <c r="AE182" s="56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</row>
    <row r="183" spans="1:72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60"/>
      <c r="Z183" s="37"/>
      <c r="AA183" s="37"/>
      <c r="AB183" s="37"/>
      <c r="AC183" s="37"/>
      <c r="AD183" s="37"/>
      <c r="AE183" s="56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</row>
    <row r="184" spans="1:72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60"/>
      <c r="Z184" s="37"/>
      <c r="AA184" s="37"/>
      <c r="AB184" s="37"/>
      <c r="AC184" s="37"/>
      <c r="AD184" s="37"/>
      <c r="AE184" s="56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</row>
    <row r="185" spans="1:72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60"/>
      <c r="Z185" s="37"/>
      <c r="AA185" s="37"/>
      <c r="AB185" s="37"/>
      <c r="AC185" s="37"/>
      <c r="AD185" s="37"/>
      <c r="AE185" s="56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</row>
    <row r="186" spans="1:72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60"/>
      <c r="Z186" s="37"/>
      <c r="AA186" s="37"/>
      <c r="AB186" s="37"/>
      <c r="AC186" s="37"/>
      <c r="AD186" s="37"/>
      <c r="AE186" s="56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</row>
    <row r="187" spans="1:72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60"/>
      <c r="Z187" s="37"/>
      <c r="AA187" s="37"/>
      <c r="AB187" s="37"/>
      <c r="AC187" s="37"/>
      <c r="AD187" s="37"/>
      <c r="AE187" s="56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</row>
    <row r="188" spans="1:72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60"/>
      <c r="Z188" s="37"/>
      <c r="AA188" s="37"/>
      <c r="AB188" s="37"/>
      <c r="AC188" s="37"/>
      <c r="AD188" s="37"/>
      <c r="AE188" s="56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</row>
    <row r="189" spans="1:72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60"/>
      <c r="Z189" s="37"/>
      <c r="AA189" s="37"/>
      <c r="AB189" s="37"/>
      <c r="AC189" s="37"/>
      <c r="AD189" s="37"/>
      <c r="AE189" s="56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</row>
    <row r="190" spans="1:72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60"/>
      <c r="Z190" s="37"/>
      <c r="AA190" s="37"/>
      <c r="AB190" s="37"/>
      <c r="AC190" s="37"/>
      <c r="AD190" s="37"/>
      <c r="AE190" s="56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</row>
    <row r="191" spans="1:72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60"/>
      <c r="Z191" s="37"/>
      <c r="AA191" s="37"/>
      <c r="AB191" s="37"/>
      <c r="AC191" s="37"/>
      <c r="AD191" s="37"/>
      <c r="AE191" s="56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</row>
    <row r="192" spans="1:72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60"/>
      <c r="Z192" s="37"/>
      <c r="AA192" s="37"/>
      <c r="AB192" s="37"/>
      <c r="AC192" s="37"/>
      <c r="AD192" s="37"/>
      <c r="AE192" s="56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</row>
    <row r="193" spans="1:72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60"/>
      <c r="Z193" s="37"/>
      <c r="AA193" s="37"/>
      <c r="AB193" s="37"/>
      <c r="AC193" s="37"/>
      <c r="AD193" s="37"/>
      <c r="AE193" s="56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</row>
    <row r="194" spans="1:72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60"/>
      <c r="Z194" s="37"/>
      <c r="AA194" s="37"/>
      <c r="AB194" s="37"/>
      <c r="AC194" s="37"/>
      <c r="AD194" s="37"/>
      <c r="AE194" s="56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</row>
    <row r="195" spans="1:72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60"/>
      <c r="Z195" s="37"/>
      <c r="AA195" s="37"/>
      <c r="AB195" s="37"/>
      <c r="AC195" s="37"/>
      <c r="AD195" s="37"/>
      <c r="AE195" s="56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</row>
    <row r="196" spans="1:72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60"/>
      <c r="Z196" s="37"/>
      <c r="AA196" s="37"/>
      <c r="AB196" s="37"/>
      <c r="AC196" s="37"/>
      <c r="AD196" s="37"/>
      <c r="AE196" s="56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</row>
    <row r="197" spans="1:72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60"/>
      <c r="Z197" s="37"/>
      <c r="AA197" s="37"/>
      <c r="AB197" s="37"/>
      <c r="AC197" s="37"/>
      <c r="AD197" s="37"/>
      <c r="AE197" s="56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</row>
    <row r="198" spans="1:72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60"/>
      <c r="Z198" s="37"/>
      <c r="AA198" s="37"/>
      <c r="AB198" s="37"/>
      <c r="AC198" s="37"/>
      <c r="AD198" s="37"/>
      <c r="AE198" s="56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</row>
    <row r="199" spans="1:72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60"/>
      <c r="Z199" s="37"/>
      <c r="AA199" s="37"/>
      <c r="AB199" s="37"/>
      <c r="AC199" s="37"/>
      <c r="AD199" s="37"/>
      <c r="AE199" s="56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</row>
    <row r="200" spans="1:72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60"/>
      <c r="Z200" s="37"/>
      <c r="AA200" s="37"/>
      <c r="AB200" s="37"/>
      <c r="AC200" s="37"/>
      <c r="AD200" s="37"/>
      <c r="AE200" s="56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</row>
    <row r="201" spans="1:72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60"/>
      <c r="Z201" s="37"/>
      <c r="AA201" s="37"/>
      <c r="AB201" s="37"/>
      <c r="AC201" s="37"/>
      <c r="AD201" s="37"/>
      <c r="AE201" s="56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</row>
    <row r="202" spans="1:72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60"/>
      <c r="Z202" s="37"/>
      <c r="AA202" s="37"/>
      <c r="AB202" s="37"/>
      <c r="AC202" s="37"/>
      <c r="AD202" s="37"/>
      <c r="AE202" s="56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</row>
    <row r="203" spans="1:72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60"/>
      <c r="Z203" s="37"/>
      <c r="AA203" s="37"/>
      <c r="AB203" s="37"/>
      <c r="AC203" s="37"/>
      <c r="AD203" s="37"/>
      <c r="AE203" s="56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</row>
    <row r="204" spans="1:72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60"/>
      <c r="Z204" s="37"/>
      <c r="AA204" s="37"/>
      <c r="AB204" s="37"/>
      <c r="AC204" s="37"/>
      <c r="AD204" s="37"/>
      <c r="AE204" s="56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</row>
    <row r="205" spans="1:72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60"/>
      <c r="Z205" s="37"/>
      <c r="AA205" s="37"/>
      <c r="AB205" s="37"/>
      <c r="AC205" s="37"/>
      <c r="AD205" s="37"/>
      <c r="AE205" s="56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</row>
    <row r="206" spans="1:72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60"/>
      <c r="Z206" s="37"/>
      <c r="AA206" s="37"/>
      <c r="AB206" s="37"/>
      <c r="AC206" s="37"/>
      <c r="AD206" s="37"/>
      <c r="AE206" s="56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</row>
    <row r="207" spans="1:72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60"/>
      <c r="Z207" s="37"/>
      <c r="AA207" s="37"/>
      <c r="AB207" s="37"/>
      <c r="AC207" s="37"/>
      <c r="AD207" s="37"/>
      <c r="AE207" s="56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</row>
    <row r="208" spans="1:72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60"/>
      <c r="Z208" s="37"/>
      <c r="AA208" s="37"/>
      <c r="AB208" s="37"/>
      <c r="AC208" s="37"/>
      <c r="AD208" s="37"/>
      <c r="AE208" s="56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</row>
    <row r="209" spans="1:72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60"/>
      <c r="Z209" s="37"/>
      <c r="AA209" s="37"/>
      <c r="AB209" s="37"/>
      <c r="AC209" s="37"/>
      <c r="AD209" s="37"/>
      <c r="AE209" s="56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</row>
    <row r="210" spans="1:72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60"/>
      <c r="Z210" s="37"/>
      <c r="AA210" s="37"/>
      <c r="AB210" s="37"/>
      <c r="AC210" s="37"/>
      <c r="AD210" s="37"/>
      <c r="AE210" s="56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</row>
    <row r="211" spans="1:72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60"/>
      <c r="Z211" s="37"/>
      <c r="AA211" s="37"/>
      <c r="AB211" s="37"/>
      <c r="AC211" s="37"/>
      <c r="AD211" s="37"/>
      <c r="AE211" s="56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</row>
    <row r="212" spans="1:72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60"/>
      <c r="Z212" s="37"/>
      <c r="AA212" s="37"/>
      <c r="AB212" s="37"/>
      <c r="AC212" s="37"/>
      <c r="AD212" s="37"/>
      <c r="AE212" s="56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</row>
    <row r="213" spans="1:72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60"/>
      <c r="Z213" s="37"/>
      <c r="AA213" s="37"/>
      <c r="AB213" s="37"/>
      <c r="AC213" s="37"/>
      <c r="AD213" s="37"/>
      <c r="AE213" s="56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</row>
    <row r="214" spans="1:72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60"/>
      <c r="Z214" s="37"/>
      <c r="AA214" s="37"/>
      <c r="AB214" s="37"/>
      <c r="AC214" s="37"/>
      <c r="AD214" s="37"/>
      <c r="AE214" s="56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</row>
    <row r="215" spans="1:72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60"/>
      <c r="Z215" s="37"/>
      <c r="AA215" s="37"/>
      <c r="AB215" s="37"/>
      <c r="AC215" s="37"/>
      <c r="AD215" s="37"/>
      <c r="AE215" s="56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</row>
    <row r="216" spans="1:72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60"/>
      <c r="Z216" s="37"/>
      <c r="AA216" s="37"/>
      <c r="AB216" s="37"/>
      <c r="AC216" s="37"/>
      <c r="AD216" s="37"/>
      <c r="AE216" s="56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</row>
    <row r="217" spans="1:72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60"/>
      <c r="Z217" s="37"/>
      <c r="AA217" s="37"/>
      <c r="AB217" s="37"/>
      <c r="AC217" s="37"/>
      <c r="AD217" s="37"/>
      <c r="AE217" s="56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</row>
    <row r="218" spans="1:72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60"/>
      <c r="Z218" s="37"/>
      <c r="AA218" s="37"/>
      <c r="AB218" s="37"/>
      <c r="AC218" s="37"/>
      <c r="AD218" s="37"/>
      <c r="AE218" s="56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</row>
    <row r="219" spans="1:72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60"/>
      <c r="Z219" s="37"/>
      <c r="AA219" s="37"/>
      <c r="AB219" s="37"/>
      <c r="AC219" s="37"/>
      <c r="AD219" s="37"/>
      <c r="AE219" s="56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</row>
    <row r="220" spans="1:72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60"/>
      <c r="Z220" s="37"/>
      <c r="AA220" s="37"/>
      <c r="AB220" s="37"/>
      <c r="AC220" s="37"/>
      <c r="AD220" s="37"/>
      <c r="AE220" s="56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</row>
    <row r="221" spans="1:72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60"/>
      <c r="Z221" s="37"/>
      <c r="AA221" s="37"/>
      <c r="AB221" s="37"/>
      <c r="AC221" s="37"/>
      <c r="AD221" s="37"/>
      <c r="AE221" s="56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</row>
    <row r="222" spans="1:72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60"/>
      <c r="Z222" s="37"/>
      <c r="AA222" s="37"/>
      <c r="AB222" s="37"/>
      <c r="AC222" s="37"/>
      <c r="AD222" s="37"/>
      <c r="AE222" s="56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</row>
    <row r="223" spans="1:72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60"/>
      <c r="Z223" s="37"/>
      <c r="AA223" s="37"/>
      <c r="AB223" s="37"/>
      <c r="AC223" s="37"/>
      <c r="AD223" s="37"/>
      <c r="AE223" s="56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</row>
    <row r="224" spans="1:72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60"/>
      <c r="Z224" s="37"/>
      <c r="AA224" s="37"/>
      <c r="AB224" s="37"/>
      <c r="AC224" s="37"/>
      <c r="AD224" s="37"/>
      <c r="AE224" s="56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</row>
    <row r="225" spans="1:72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60"/>
      <c r="Z225" s="37"/>
      <c r="AA225" s="37"/>
      <c r="AB225" s="37"/>
      <c r="AC225" s="37"/>
      <c r="AD225" s="37"/>
      <c r="AE225" s="56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</row>
    <row r="226" spans="1:72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60"/>
      <c r="Z226" s="37"/>
      <c r="AA226" s="37"/>
      <c r="AB226" s="37"/>
      <c r="AC226" s="37"/>
      <c r="AD226" s="37"/>
      <c r="AE226" s="56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</row>
    <row r="227" spans="1:72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60"/>
      <c r="Z227" s="37"/>
      <c r="AA227" s="37"/>
      <c r="AB227" s="37"/>
      <c r="AC227" s="37"/>
      <c r="AD227" s="37"/>
      <c r="AE227" s="56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</row>
    <row r="228" spans="1:72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60"/>
      <c r="Z228" s="37"/>
      <c r="AA228" s="37"/>
      <c r="AB228" s="37"/>
      <c r="AC228" s="37"/>
      <c r="AD228" s="37"/>
      <c r="AE228" s="56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</row>
    <row r="229" spans="1:72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60"/>
      <c r="Z229" s="37"/>
      <c r="AA229" s="37"/>
      <c r="AB229" s="37"/>
      <c r="AC229" s="37"/>
      <c r="AD229" s="37"/>
      <c r="AE229" s="56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</row>
    <row r="230" spans="1:72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60"/>
      <c r="Z230" s="37"/>
      <c r="AA230" s="37"/>
      <c r="AB230" s="37"/>
      <c r="AC230" s="37"/>
      <c r="AD230" s="37"/>
      <c r="AE230" s="56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</row>
    <row r="231" spans="1:72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60"/>
      <c r="Z231" s="37"/>
      <c r="AA231" s="37"/>
      <c r="AB231" s="37"/>
      <c r="AC231" s="37"/>
      <c r="AD231" s="37"/>
      <c r="AE231" s="56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</row>
    <row r="232" spans="1:72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60"/>
      <c r="Z232" s="37"/>
      <c r="AA232" s="37"/>
      <c r="AB232" s="37"/>
    </row>
    <row r="233" spans="1:72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60"/>
      <c r="Z233" s="37"/>
      <c r="AA233" s="37"/>
      <c r="AB233" s="37"/>
    </row>
  </sheetData>
  <mergeCells count="13">
    <mergeCell ref="C10:F10"/>
    <mergeCell ref="J10:L10"/>
    <mergeCell ref="P10:S10"/>
    <mergeCell ref="O4:P4"/>
    <mergeCell ref="O5:P5"/>
    <mergeCell ref="O6:P6"/>
    <mergeCell ref="R6:T6"/>
    <mergeCell ref="R30:T30"/>
    <mergeCell ref="R32:T32"/>
    <mergeCell ref="W4:Y4"/>
    <mergeCell ref="AC4:AE4"/>
    <mergeCell ref="R28:T28"/>
    <mergeCell ref="R24:T2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31750</xdr:colOff>
                    <xdr:row>3</xdr:row>
                    <xdr:rowOff>76200</xdr:rowOff>
                  </from>
                  <to>
                    <xdr:col>8</xdr:col>
                    <xdr:colOff>203200</xdr:colOff>
                    <xdr:row>4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outlinePr applyStyles="1"/>
  </sheetPr>
  <dimension ref="A1:CG696"/>
  <sheetViews>
    <sheetView tabSelected="1" zoomScale="70" zoomScaleNormal="70" workbookViewId="0">
      <pane ySplit="1" topLeftCell="A2" activePane="bottomLeft" state="frozen"/>
      <selection pane="bottomLeft" activeCell="BX691" sqref="BX691"/>
    </sheetView>
  </sheetViews>
  <sheetFormatPr baseColWidth="10" defaultColWidth="8.81640625" defaultRowHeight="13" outlineLevelCol="1" x14ac:dyDescent="0.3"/>
  <cols>
    <col min="1" max="1" width="7.1796875" style="77" customWidth="1"/>
    <col min="2" max="2" width="12.81640625" style="78" customWidth="1"/>
    <col min="3" max="3" width="11.54296875" style="77" customWidth="1"/>
    <col min="4" max="4" width="14.54296875" style="77" customWidth="1"/>
    <col min="5" max="5" width="39.1796875" style="77" customWidth="1"/>
    <col min="6" max="6" width="17.81640625" style="78" customWidth="1"/>
    <col min="7" max="7" width="15.7265625" style="78" customWidth="1"/>
    <col min="8" max="8" width="27.08984375" style="77" customWidth="1" outlineLevel="1"/>
    <col min="9" max="9" width="15.26953125" style="77" customWidth="1" outlineLevel="1"/>
    <col min="10" max="10" width="13.08984375" style="77" customWidth="1" outlineLevel="1"/>
    <col min="11" max="11" width="11.6328125" style="77" customWidth="1" outlineLevel="1"/>
    <col min="12" max="12" width="17.453125" style="77" customWidth="1" outlineLevel="1"/>
    <col min="13" max="13" width="35.54296875" style="77" customWidth="1" outlineLevel="1"/>
    <col min="14" max="14" width="13.7265625" style="79" customWidth="1"/>
    <col min="15" max="18" width="47.26953125" style="83" customWidth="1" outlineLevel="1"/>
    <col min="19" max="19" width="36.36328125" style="83" customWidth="1" outlineLevel="1"/>
    <col min="20" max="20" width="39.7265625" style="83" customWidth="1" outlineLevel="1"/>
    <col min="21" max="21" width="36.453125" style="83" customWidth="1" outlineLevel="1"/>
    <col min="22" max="22" width="14" style="79" customWidth="1"/>
    <col min="23" max="23" width="10.6328125" style="77" bestFit="1" customWidth="1" outlineLevel="1"/>
    <col min="24" max="24" width="44.26953125" style="77" bestFit="1" customWidth="1" outlineLevel="1"/>
    <col min="25" max="25" width="11.26953125" style="77" bestFit="1" customWidth="1" outlineLevel="1"/>
    <col min="26" max="26" width="15.54296875" style="77" bestFit="1" customWidth="1" outlineLevel="1"/>
    <col min="27" max="27" width="12.54296875" style="79" bestFit="1" customWidth="1"/>
    <col min="28" max="28" width="19.81640625" style="77" bestFit="1" customWidth="1" outlineLevel="1"/>
    <col min="29" max="29" width="16.90625" style="77" bestFit="1" customWidth="1" outlineLevel="1"/>
    <col min="30" max="30" width="12.90625" style="77" bestFit="1" customWidth="1" outlineLevel="1"/>
    <col min="31" max="31" width="14.6328125" style="77" bestFit="1" customWidth="1" outlineLevel="1"/>
    <col min="32" max="32" width="18.54296875" style="79" bestFit="1" customWidth="1"/>
    <col min="33" max="33" width="11.26953125" style="80" bestFit="1" customWidth="1" outlineLevel="1"/>
    <col min="34" max="34" width="12.6328125" style="80" bestFit="1" customWidth="1" outlineLevel="1"/>
    <col min="35" max="35" width="10.6328125" style="80" bestFit="1" customWidth="1" outlineLevel="1"/>
    <col min="36" max="36" width="14.26953125" style="80" bestFit="1" customWidth="1" outlineLevel="1"/>
    <col min="37" max="37" width="14.7265625" style="80" bestFit="1" customWidth="1" outlineLevel="1"/>
    <col min="38" max="38" width="12.6328125" style="80" bestFit="1" customWidth="1" outlineLevel="1"/>
    <col min="39" max="56" width="10.81640625" style="80" customWidth="1" outlineLevel="1"/>
    <col min="57" max="58" width="10.81640625" style="81" customWidth="1"/>
    <col min="59" max="59" width="10.81640625" style="82" customWidth="1" outlineLevel="1"/>
    <col min="60" max="70" width="11" style="82" customWidth="1" outlineLevel="1"/>
    <col min="71" max="71" width="8.81640625" style="77" customWidth="1"/>
    <col min="72" max="72" width="8.81640625" style="77"/>
    <col min="73" max="73" width="14" style="77" customWidth="1"/>
    <col min="74" max="16384" width="8.81640625" style="77"/>
  </cols>
  <sheetData>
    <row r="1" spans="1:85" s="76" customFormat="1" ht="26.15" customHeight="1" x14ac:dyDescent="0.3">
      <c r="A1" s="76" t="s">
        <v>2477</v>
      </c>
      <c r="B1" s="84" t="s">
        <v>2472</v>
      </c>
      <c r="C1" s="84" t="s">
        <v>1</v>
      </c>
      <c r="D1" s="84" t="s">
        <v>2</v>
      </c>
      <c r="E1" s="85" t="s">
        <v>3</v>
      </c>
      <c r="F1" s="86" t="s">
        <v>4</v>
      </c>
      <c r="G1" s="87" t="s">
        <v>5</v>
      </c>
      <c r="H1" s="88" t="s">
        <v>6</v>
      </c>
      <c r="I1" s="88" t="s">
        <v>7</v>
      </c>
      <c r="J1" s="88" t="s">
        <v>8</v>
      </c>
      <c r="K1" s="89" t="s">
        <v>9</v>
      </c>
      <c r="L1" s="90" t="s">
        <v>1672</v>
      </c>
      <c r="M1" s="91" t="s">
        <v>10</v>
      </c>
      <c r="N1" s="91" t="s">
        <v>6</v>
      </c>
      <c r="O1" s="92" t="s">
        <v>7289</v>
      </c>
      <c r="P1" s="92" t="s">
        <v>7290</v>
      </c>
      <c r="Q1" s="92" t="s">
        <v>7291</v>
      </c>
      <c r="R1" s="92" t="s">
        <v>7292</v>
      </c>
      <c r="S1" s="92" t="s">
        <v>7293</v>
      </c>
      <c r="T1" s="92" t="s">
        <v>7294</v>
      </c>
      <c r="U1" s="92" t="s">
        <v>7295</v>
      </c>
      <c r="V1" s="93" t="s">
        <v>2427</v>
      </c>
      <c r="W1" s="94" t="s">
        <v>11</v>
      </c>
      <c r="X1" s="94" t="s">
        <v>12</v>
      </c>
      <c r="Y1" s="95" t="s">
        <v>13</v>
      </c>
      <c r="Z1" s="95" t="s">
        <v>14</v>
      </c>
      <c r="AA1" s="96" t="s">
        <v>15</v>
      </c>
      <c r="AB1" s="97" t="s">
        <v>1673</v>
      </c>
      <c r="AC1" s="97" t="s">
        <v>17</v>
      </c>
      <c r="AD1" s="97" t="s">
        <v>18</v>
      </c>
      <c r="AE1" s="97" t="s">
        <v>19</v>
      </c>
      <c r="AF1" s="130" t="s">
        <v>6015</v>
      </c>
      <c r="AG1" s="98" t="s">
        <v>20</v>
      </c>
      <c r="AH1" s="99" t="s">
        <v>3248</v>
      </c>
      <c r="AI1" s="99" t="s">
        <v>3249</v>
      </c>
      <c r="AJ1" s="99" t="s">
        <v>3250</v>
      </c>
      <c r="AK1" s="99" t="s">
        <v>3251</v>
      </c>
      <c r="AL1" s="99" t="s">
        <v>21</v>
      </c>
      <c r="AM1" s="99" t="s">
        <v>4124</v>
      </c>
      <c r="AN1" s="99" t="s">
        <v>22</v>
      </c>
      <c r="AO1" s="129" t="s">
        <v>6013</v>
      </c>
      <c r="AP1" s="99" t="s">
        <v>1797</v>
      </c>
      <c r="AQ1" s="99" t="s">
        <v>1798</v>
      </c>
      <c r="AR1" s="99" t="s">
        <v>1799</v>
      </c>
      <c r="AS1" s="99" t="s">
        <v>1800</v>
      </c>
      <c r="AT1" s="99" t="s">
        <v>23</v>
      </c>
      <c r="AU1" s="99" t="s">
        <v>5991</v>
      </c>
      <c r="AV1" s="99" t="s">
        <v>3416</v>
      </c>
      <c r="AW1" s="99" t="s">
        <v>3398</v>
      </c>
      <c r="AX1" s="99" t="s">
        <v>1801</v>
      </c>
      <c r="AY1" s="99" t="s">
        <v>24</v>
      </c>
      <c r="AZ1" s="99" t="s">
        <v>7244</v>
      </c>
      <c r="BA1" s="99" t="s">
        <v>3127</v>
      </c>
      <c r="BB1" s="99" t="s">
        <v>3128</v>
      </c>
      <c r="BC1" s="99" t="s">
        <v>1802</v>
      </c>
      <c r="BD1" s="99" t="s">
        <v>1803</v>
      </c>
      <c r="BE1" s="99" t="s">
        <v>2926</v>
      </c>
      <c r="BF1" s="99" t="s">
        <v>3054</v>
      </c>
      <c r="BG1" s="99" t="s">
        <v>3355</v>
      </c>
      <c r="BH1" s="99" t="s">
        <v>3383</v>
      </c>
      <c r="BI1" s="99" t="s">
        <v>3942</v>
      </c>
      <c r="BJ1" s="99" t="s">
        <v>4537</v>
      </c>
      <c r="BK1" s="99" t="s">
        <v>6015</v>
      </c>
      <c r="BL1" s="99" t="s">
        <v>25</v>
      </c>
      <c r="BM1" s="100" t="s">
        <v>3249</v>
      </c>
      <c r="BN1" s="100" t="s">
        <v>3252</v>
      </c>
      <c r="BO1" s="100" t="s">
        <v>3253</v>
      </c>
      <c r="BP1" s="100" t="s">
        <v>3254</v>
      </c>
      <c r="BQ1" s="100" t="s">
        <v>3255</v>
      </c>
      <c r="BR1" s="100" t="s">
        <v>3256</v>
      </c>
      <c r="BS1" s="100" t="s">
        <v>1614</v>
      </c>
      <c r="BT1" s="100" t="s">
        <v>1615</v>
      </c>
      <c r="BU1" s="100" t="s">
        <v>2608</v>
      </c>
      <c r="BV1" s="100" t="s">
        <v>3257</v>
      </c>
      <c r="BW1" s="100" t="s">
        <v>2166</v>
      </c>
      <c r="BX1" s="100" t="s">
        <v>5163</v>
      </c>
      <c r="BY1" s="100" t="s">
        <v>6994</v>
      </c>
      <c r="BZ1" s="100" t="s">
        <v>6995</v>
      </c>
      <c r="CA1" s="101" t="s">
        <v>26</v>
      </c>
      <c r="CB1" s="102" t="s">
        <v>5307</v>
      </c>
      <c r="CC1" s="103" t="s">
        <v>4379</v>
      </c>
      <c r="CD1" s="104" t="s">
        <v>4147</v>
      </c>
      <c r="CE1" s="105" t="s">
        <v>4647</v>
      </c>
      <c r="CF1" s="76" t="s">
        <v>4147</v>
      </c>
      <c r="CG1" s="76" t="s">
        <v>4647</v>
      </c>
    </row>
    <row r="2" spans="1:85" ht="14.5" x14ac:dyDescent="0.35">
      <c r="A2" s="77">
        <v>1</v>
      </c>
      <c r="B2" s="106" t="s">
        <v>4459</v>
      </c>
      <c r="C2" s="107" t="s">
        <v>6750</v>
      </c>
      <c r="D2" s="108" t="s">
        <v>4403</v>
      </c>
      <c r="E2" s="109" t="s">
        <v>4404</v>
      </c>
      <c r="F2" s="110">
        <v>608378208</v>
      </c>
      <c r="G2" s="108" t="s">
        <v>1004</v>
      </c>
      <c r="H2" s="111" t="s">
        <v>3926</v>
      </c>
      <c r="I2" s="111" t="s">
        <v>180</v>
      </c>
      <c r="J2" s="111" t="s">
        <v>4648</v>
      </c>
      <c r="K2" s="111" t="s">
        <v>199</v>
      </c>
      <c r="L2" s="112">
        <v>45782</v>
      </c>
      <c r="M2" s="111" t="s">
        <v>213</v>
      </c>
      <c r="N2" s="113"/>
      <c r="O2" s="114" t="s">
        <v>585</v>
      </c>
      <c r="P2" s="114" t="s">
        <v>183</v>
      </c>
      <c r="Q2" s="114" t="s">
        <v>201</v>
      </c>
      <c r="R2" s="114" t="s">
        <v>7296</v>
      </c>
      <c r="S2" s="114" t="s">
        <v>585</v>
      </c>
      <c r="T2" s="114" t="s">
        <v>585</v>
      </c>
      <c r="U2" s="114" t="s">
        <v>183</v>
      </c>
      <c r="V2" s="115"/>
      <c r="W2" s="116" t="s">
        <v>4405</v>
      </c>
      <c r="X2" s="116" t="s">
        <v>4406</v>
      </c>
      <c r="Y2" s="117">
        <v>3487003</v>
      </c>
      <c r="Z2" s="117">
        <v>3486651</v>
      </c>
      <c r="AA2" s="118"/>
      <c r="AB2" s="119" t="s">
        <v>4407</v>
      </c>
      <c r="AC2" s="119" t="s">
        <v>4408</v>
      </c>
      <c r="AD2" s="119">
        <v>5143</v>
      </c>
      <c r="AE2" s="119" t="s">
        <v>4409</v>
      </c>
      <c r="AF2" s="119" t="s">
        <v>6057</v>
      </c>
      <c r="AG2" s="120"/>
      <c r="AH2" s="121">
        <v>45777</v>
      </c>
      <c r="AI2" s="121">
        <v>45777</v>
      </c>
      <c r="AJ2" s="121">
        <v>45777</v>
      </c>
      <c r="AK2" s="122">
        <v>45777</v>
      </c>
      <c r="AL2" s="122" t="e">
        <v>#N/A</v>
      </c>
      <c r="AM2" s="121" t="e">
        <v>#N/A</v>
      </c>
      <c r="AN2" s="121" t="e">
        <v>#N/A</v>
      </c>
      <c r="AO2" s="121" t="e">
        <v>#N/A</v>
      </c>
      <c r="AP2" s="122" t="e">
        <v>#N/A</v>
      </c>
      <c r="AQ2" s="122" t="e">
        <v>#N/A</v>
      </c>
      <c r="AR2" s="122" t="e">
        <v>#N/A</v>
      </c>
      <c r="AS2" s="122" t="e">
        <v>#N/A</v>
      </c>
      <c r="AT2" s="122" t="e">
        <v>#N/A</v>
      </c>
      <c r="AU2" s="121" t="e">
        <v>#N/A</v>
      </c>
      <c r="AV2" s="122" t="e">
        <v>#N/A</v>
      </c>
      <c r="AW2" s="122">
        <v>45777</v>
      </c>
      <c r="AX2" s="122" t="e">
        <v>#N/A</v>
      </c>
      <c r="AY2" s="122" t="e">
        <v>#N/A</v>
      </c>
      <c r="AZ2" s="122" t="e">
        <v>#N/A</v>
      </c>
      <c r="BA2" s="122" t="e">
        <v>#N/A</v>
      </c>
      <c r="BB2" s="122" t="e">
        <v>#N/A</v>
      </c>
      <c r="BC2" s="122" t="e">
        <v>#N/A</v>
      </c>
      <c r="BD2" s="122" t="e">
        <v>#N/A</v>
      </c>
      <c r="BE2" s="122" t="e">
        <v>#N/A</v>
      </c>
      <c r="BF2" s="122" t="e">
        <v>#N/A</v>
      </c>
      <c r="BG2" s="122" t="e">
        <v>#N/A</v>
      </c>
      <c r="BH2" s="122" t="e">
        <v>#N/A</v>
      </c>
      <c r="BI2" s="122" t="e">
        <v>#N/A</v>
      </c>
      <c r="BJ2" s="122" t="e">
        <v>#N/A</v>
      </c>
      <c r="BK2" s="122">
        <v>45953</v>
      </c>
      <c r="BL2" s="123"/>
      <c r="BM2" s="124">
        <v>45957</v>
      </c>
      <c r="BN2" s="124">
        <v>45957</v>
      </c>
      <c r="BO2" s="124" t="e">
        <v>#N/A</v>
      </c>
      <c r="BP2" s="124" t="e">
        <v>#N/A</v>
      </c>
      <c r="BQ2" s="124" t="e">
        <v>#N/A</v>
      </c>
      <c r="BR2" s="124" t="e">
        <v>#N/A</v>
      </c>
      <c r="BS2" s="124" t="e">
        <v>#N/A</v>
      </c>
      <c r="BT2" s="124" t="e">
        <v>#N/A</v>
      </c>
      <c r="BU2" s="124" t="e">
        <v>#N/A</v>
      </c>
      <c r="BV2" s="124" t="e">
        <v>#N/A</v>
      </c>
      <c r="BW2" s="124" t="e">
        <v>#N/A</v>
      </c>
      <c r="BX2" s="124" t="e">
        <v>#N/A</v>
      </c>
      <c r="BY2" s="124" t="e">
        <v>#N/A</v>
      </c>
      <c r="BZ2" s="124" t="e">
        <v>#N/A</v>
      </c>
      <c r="CA2" s="125"/>
      <c r="CB2" s="124">
        <v>45740</v>
      </c>
      <c r="CC2" s="126">
        <v>1</v>
      </c>
      <c r="CD2" s="127" t="s">
        <v>4394</v>
      </c>
      <c r="CE2" s="128"/>
      <c r="CF2" s="77" t="e">
        <v>#N/A</v>
      </c>
    </row>
    <row r="3" spans="1:85" ht="14.5" x14ac:dyDescent="0.35">
      <c r="A3" s="77">
        <v>2</v>
      </c>
      <c r="B3" s="106" t="s">
        <v>4334</v>
      </c>
      <c r="C3" s="107" t="s">
        <v>6736</v>
      </c>
      <c r="D3" s="108" t="s">
        <v>4335</v>
      </c>
      <c r="E3" s="109" t="s">
        <v>4336</v>
      </c>
      <c r="F3" s="110">
        <v>637841107</v>
      </c>
      <c r="G3" s="108" t="s">
        <v>1004</v>
      </c>
      <c r="H3" s="111" t="s">
        <v>3926</v>
      </c>
      <c r="I3" s="111" t="s">
        <v>180</v>
      </c>
      <c r="J3" s="111" t="s">
        <v>4648</v>
      </c>
      <c r="K3" s="111" t="s">
        <v>199</v>
      </c>
      <c r="L3" s="112">
        <v>45684</v>
      </c>
      <c r="M3" s="111" t="s">
        <v>213</v>
      </c>
      <c r="N3" s="113"/>
      <c r="O3" s="114" t="s">
        <v>607</v>
      </c>
      <c r="P3" s="114" t="s">
        <v>607</v>
      </c>
      <c r="Q3" s="114" t="s">
        <v>3211</v>
      </c>
      <c r="R3" s="114" t="s">
        <v>7297</v>
      </c>
      <c r="S3" s="114" t="s">
        <v>607</v>
      </c>
      <c r="T3" s="114" t="s">
        <v>183</v>
      </c>
      <c r="U3" s="114" t="s">
        <v>183</v>
      </c>
      <c r="V3" s="115"/>
      <c r="W3" s="116" t="s">
        <v>4337</v>
      </c>
      <c r="X3" s="116" t="s">
        <v>4349</v>
      </c>
      <c r="Y3" s="117">
        <v>3485935</v>
      </c>
      <c r="Z3" s="117">
        <v>3486490</v>
      </c>
      <c r="AA3" s="118"/>
      <c r="AB3" s="119" t="s">
        <v>5821</v>
      </c>
      <c r="AC3" s="119" t="s">
        <v>4338</v>
      </c>
      <c r="AD3" s="119" t="s">
        <v>4339</v>
      </c>
      <c r="AE3" s="119" t="s">
        <v>4340</v>
      </c>
      <c r="AF3" s="119" t="s">
        <v>7203</v>
      </c>
      <c r="AG3" s="120"/>
      <c r="AH3" s="121">
        <v>45684</v>
      </c>
      <c r="AI3" s="121">
        <v>45684</v>
      </c>
      <c r="AJ3" s="121">
        <v>45684</v>
      </c>
      <c r="AK3" s="122">
        <v>45684</v>
      </c>
      <c r="AL3" s="122" t="e">
        <v>#N/A</v>
      </c>
      <c r="AM3" s="121" t="e">
        <v>#N/A</v>
      </c>
      <c r="AN3" s="121" t="e">
        <v>#N/A</v>
      </c>
      <c r="AO3" s="121" t="e">
        <v>#N/A</v>
      </c>
      <c r="AP3" s="122" t="e">
        <v>#N/A</v>
      </c>
      <c r="AQ3" s="122" t="e">
        <v>#N/A</v>
      </c>
      <c r="AR3" s="122" t="e">
        <v>#N/A</v>
      </c>
      <c r="AS3" s="122" t="e">
        <v>#N/A</v>
      </c>
      <c r="AT3" s="122" t="e">
        <v>#N/A</v>
      </c>
      <c r="AU3" s="121" t="e">
        <v>#N/A</v>
      </c>
      <c r="AV3" s="122" t="e">
        <v>#N/A</v>
      </c>
      <c r="AW3" s="122">
        <v>45747</v>
      </c>
      <c r="AX3" s="122" t="e">
        <v>#N/A</v>
      </c>
      <c r="AY3" s="122" t="e">
        <v>#N/A</v>
      </c>
      <c r="AZ3" s="122" t="e">
        <v>#N/A</v>
      </c>
      <c r="BA3" s="122" t="e">
        <v>#N/A</v>
      </c>
      <c r="BB3" s="122" t="e">
        <v>#N/A</v>
      </c>
      <c r="BC3" s="122" t="e">
        <v>#N/A</v>
      </c>
      <c r="BD3" s="122" t="e">
        <v>#N/A</v>
      </c>
      <c r="BE3" s="122" t="e">
        <v>#N/A</v>
      </c>
      <c r="BF3" s="122" t="e">
        <v>#N/A</v>
      </c>
      <c r="BG3" s="122" t="e">
        <v>#N/A</v>
      </c>
      <c r="BH3" s="122" t="e">
        <v>#N/A</v>
      </c>
      <c r="BI3" s="122" t="e">
        <v>#N/A</v>
      </c>
      <c r="BJ3" s="122" t="e">
        <v>#N/A</v>
      </c>
      <c r="BK3" s="122">
        <v>45965</v>
      </c>
      <c r="BL3" s="123"/>
      <c r="BM3" s="124">
        <v>45957</v>
      </c>
      <c r="BN3" s="124">
        <v>45957</v>
      </c>
      <c r="BO3" s="124" t="e">
        <v>#N/A</v>
      </c>
      <c r="BP3" s="124" t="e">
        <v>#N/A</v>
      </c>
      <c r="BQ3" s="124" t="e">
        <v>#N/A</v>
      </c>
      <c r="BR3" s="124" t="e">
        <v>#N/A</v>
      </c>
      <c r="BS3" s="124" t="e">
        <v>#N/A</v>
      </c>
      <c r="BT3" s="124" t="e">
        <v>#N/A</v>
      </c>
      <c r="BU3" s="124" t="e">
        <v>#N/A</v>
      </c>
      <c r="BV3" s="124" t="e">
        <v>#N/A</v>
      </c>
      <c r="BW3" s="124" t="e">
        <v>#N/A</v>
      </c>
      <c r="BX3" s="124" t="e">
        <v>#N/A</v>
      </c>
      <c r="BY3" s="124" t="e">
        <v>#N/A</v>
      </c>
      <c r="BZ3" s="124" t="e">
        <v>#N/A</v>
      </c>
      <c r="CA3" s="125"/>
      <c r="CB3" s="124" t="e">
        <v>#N/A</v>
      </c>
      <c r="CC3" s="126">
        <v>1</v>
      </c>
      <c r="CD3" s="127" t="s">
        <v>4211</v>
      </c>
      <c r="CE3" s="128"/>
      <c r="CF3" s="77" t="s">
        <v>7003</v>
      </c>
    </row>
    <row r="4" spans="1:85" ht="14.5" x14ac:dyDescent="0.35">
      <c r="A4" s="77">
        <v>3</v>
      </c>
      <c r="B4" s="106" t="s">
        <v>3120</v>
      </c>
      <c r="C4" s="107" t="s">
        <v>6591</v>
      </c>
      <c r="D4" s="108" t="s">
        <v>3108</v>
      </c>
      <c r="E4" s="109" t="s">
        <v>3109</v>
      </c>
      <c r="F4" s="110">
        <v>646943214</v>
      </c>
      <c r="G4" s="108" t="s">
        <v>1004</v>
      </c>
      <c r="H4" s="111" t="s">
        <v>3926</v>
      </c>
      <c r="I4" s="111" t="s">
        <v>180</v>
      </c>
      <c r="J4" s="111" t="s">
        <v>4648</v>
      </c>
      <c r="K4" s="111" t="s">
        <v>199</v>
      </c>
      <c r="L4" s="112">
        <v>45275</v>
      </c>
      <c r="M4" s="111" t="s">
        <v>213</v>
      </c>
      <c r="N4" s="113"/>
      <c r="O4" s="114" t="s">
        <v>813</v>
      </c>
      <c r="P4" s="114" t="s">
        <v>813</v>
      </c>
      <c r="Q4" s="114" t="s">
        <v>4477</v>
      </c>
      <c r="R4" s="114" t="s">
        <v>4477</v>
      </c>
      <c r="S4" s="114" t="s">
        <v>4477</v>
      </c>
      <c r="T4" s="114" t="s">
        <v>4356</v>
      </c>
      <c r="U4" s="114" t="s">
        <v>4356</v>
      </c>
      <c r="V4" s="115"/>
      <c r="W4" s="116" t="s">
        <v>3110</v>
      </c>
      <c r="X4" s="116" t="s">
        <v>3111</v>
      </c>
      <c r="Y4" s="117">
        <v>3485888</v>
      </c>
      <c r="Z4" s="117">
        <v>3486459</v>
      </c>
      <c r="AA4" s="118"/>
      <c r="AB4" s="119" t="s">
        <v>3112</v>
      </c>
      <c r="AC4" s="119" t="s">
        <v>3121</v>
      </c>
      <c r="AD4" s="119">
        <v>4561</v>
      </c>
      <c r="AE4" s="119" t="s">
        <v>3113</v>
      </c>
      <c r="AF4" s="119" t="s">
        <v>6592</v>
      </c>
      <c r="AG4" s="120"/>
      <c r="AH4" s="121">
        <v>45274</v>
      </c>
      <c r="AI4" s="121">
        <v>45359</v>
      </c>
      <c r="AJ4" s="121">
        <v>45274</v>
      </c>
      <c r="AK4" s="122">
        <v>45359</v>
      </c>
      <c r="AL4" s="122" t="e">
        <v>#N/A</v>
      </c>
      <c r="AM4" s="121" t="e">
        <v>#N/A</v>
      </c>
      <c r="AN4" s="121" t="e">
        <v>#N/A</v>
      </c>
      <c r="AO4" s="121" t="e">
        <v>#N/A</v>
      </c>
      <c r="AP4" s="122" t="e">
        <v>#N/A</v>
      </c>
      <c r="AQ4" s="122" t="e">
        <v>#N/A</v>
      </c>
      <c r="AR4" s="122" t="e">
        <v>#N/A</v>
      </c>
      <c r="AS4" s="122" t="e">
        <v>#N/A</v>
      </c>
      <c r="AT4" s="122" t="e">
        <v>#N/A</v>
      </c>
      <c r="AU4" s="121" t="e">
        <v>#N/A</v>
      </c>
      <c r="AV4" s="122" t="e">
        <v>#N/A</v>
      </c>
      <c r="AW4" s="122">
        <v>45757</v>
      </c>
      <c r="AX4" s="122" t="e">
        <v>#N/A</v>
      </c>
      <c r="AY4" s="122" t="e">
        <v>#N/A</v>
      </c>
      <c r="AZ4" s="122" t="e">
        <v>#N/A</v>
      </c>
      <c r="BA4" s="122" t="e">
        <v>#N/A</v>
      </c>
      <c r="BB4" s="122" t="e">
        <v>#N/A</v>
      </c>
      <c r="BC4" s="122" t="e">
        <v>#N/A</v>
      </c>
      <c r="BD4" s="122" t="e">
        <v>#N/A</v>
      </c>
      <c r="BE4" s="122" t="e">
        <v>#N/A</v>
      </c>
      <c r="BF4" s="122" t="e">
        <v>#N/A</v>
      </c>
      <c r="BG4" s="122" t="e">
        <v>#N/A</v>
      </c>
      <c r="BH4" s="122" t="e">
        <v>#N/A</v>
      </c>
      <c r="BI4" s="122" t="e">
        <v>#N/A</v>
      </c>
      <c r="BJ4" s="122" t="e">
        <v>#N/A</v>
      </c>
      <c r="BK4" s="122">
        <v>45950</v>
      </c>
      <c r="BL4" s="123"/>
      <c r="BM4" s="124">
        <v>45957</v>
      </c>
      <c r="BN4" s="124">
        <v>45957</v>
      </c>
      <c r="BO4" s="124" t="e">
        <v>#N/A</v>
      </c>
      <c r="BP4" s="124" t="e">
        <v>#N/A</v>
      </c>
      <c r="BQ4" s="124" t="e">
        <v>#N/A</v>
      </c>
      <c r="BR4" s="124" t="e">
        <v>#N/A</v>
      </c>
      <c r="BS4" s="124" t="e">
        <v>#N/A</v>
      </c>
      <c r="BT4" s="124" t="e">
        <v>#N/A</v>
      </c>
      <c r="BU4" s="124" t="e">
        <v>#N/A</v>
      </c>
      <c r="BV4" s="124" t="e">
        <v>#N/A</v>
      </c>
      <c r="BW4" s="124" t="e">
        <v>#N/A</v>
      </c>
      <c r="BX4" s="124" t="e">
        <v>#N/A</v>
      </c>
      <c r="BY4" s="124" t="e">
        <v>#N/A</v>
      </c>
      <c r="BZ4" s="124" t="e">
        <v>#N/A</v>
      </c>
      <c r="CA4" s="125"/>
      <c r="CB4" s="124">
        <v>45734</v>
      </c>
      <c r="CC4" s="126">
        <v>1</v>
      </c>
      <c r="CD4" s="127" t="s">
        <v>4196</v>
      </c>
      <c r="CE4" s="128"/>
      <c r="CF4" s="77" t="s">
        <v>7003</v>
      </c>
    </row>
    <row r="5" spans="1:85" ht="14.5" x14ac:dyDescent="0.35">
      <c r="A5" s="77">
        <v>4</v>
      </c>
      <c r="B5" s="106" t="s">
        <v>3674</v>
      </c>
      <c r="C5" s="107" t="s">
        <v>6663</v>
      </c>
      <c r="D5" s="108" t="s">
        <v>3675</v>
      </c>
      <c r="E5" s="109" t="s">
        <v>3676</v>
      </c>
      <c r="F5" s="110">
        <v>651333188</v>
      </c>
      <c r="G5" s="108" t="s">
        <v>1004</v>
      </c>
      <c r="H5" s="111" t="s">
        <v>3926</v>
      </c>
      <c r="I5" s="111" t="s">
        <v>180</v>
      </c>
      <c r="J5" s="111" t="s">
        <v>4648</v>
      </c>
      <c r="K5" s="111" t="s">
        <v>199</v>
      </c>
      <c r="L5" s="112">
        <v>45490</v>
      </c>
      <c r="M5" s="111" t="s">
        <v>213</v>
      </c>
      <c r="N5" s="113"/>
      <c r="O5" s="114" t="s">
        <v>585</v>
      </c>
      <c r="P5" s="114" t="s">
        <v>183</v>
      </c>
      <c r="Q5" s="114" t="s">
        <v>585</v>
      </c>
      <c r="R5" s="114" t="s">
        <v>7296</v>
      </c>
      <c r="S5" s="114" t="s">
        <v>585</v>
      </c>
      <c r="T5" s="114" t="s">
        <v>585</v>
      </c>
      <c r="U5" s="114" t="s">
        <v>183</v>
      </c>
      <c r="V5" s="115"/>
      <c r="W5" s="116" t="s">
        <v>3677</v>
      </c>
      <c r="X5" s="116" t="s">
        <v>3678</v>
      </c>
      <c r="Y5" s="117">
        <v>3485719</v>
      </c>
      <c r="Z5" s="117">
        <v>3486662</v>
      </c>
      <c r="AA5" s="118"/>
      <c r="AB5" s="119" t="s">
        <v>5559</v>
      </c>
      <c r="AC5" s="119" t="s">
        <v>3679</v>
      </c>
      <c r="AD5" s="119">
        <v>5477</v>
      </c>
      <c r="AE5" s="119" t="s">
        <v>3680</v>
      </c>
      <c r="AF5" s="119" t="s">
        <v>6664</v>
      </c>
      <c r="AG5" s="120"/>
      <c r="AH5" s="121">
        <v>45506</v>
      </c>
      <c r="AI5" s="121">
        <v>45506</v>
      </c>
      <c r="AJ5" s="121">
        <v>45506</v>
      </c>
      <c r="AK5" s="122">
        <v>45506</v>
      </c>
      <c r="AL5" s="122" t="e">
        <v>#N/A</v>
      </c>
      <c r="AM5" s="121" t="e">
        <v>#N/A</v>
      </c>
      <c r="AN5" s="121" t="e">
        <v>#N/A</v>
      </c>
      <c r="AO5" s="121" t="e">
        <v>#N/A</v>
      </c>
      <c r="AP5" s="122" t="e">
        <v>#N/A</v>
      </c>
      <c r="AQ5" s="122" t="e">
        <v>#N/A</v>
      </c>
      <c r="AR5" s="122" t="e">
        <v>#N/A</v>
      </c>
      <c r="AS5" s="122" t="e">
        <v>#N/A</v>
      </c>
      <c r="AT5" s="122" t="e">
        <v>#N/A</v>
      </c>
      <c r="AU5" s="121" t="e">
        <v>#N/A</v>
      </c>
      <c r="AV5" s="122" t="e">
        <v>#N/A</v>
      </c>
      <c r="AW5" s="122">
        <v>45586</v>
      </c>
      <c r="AX5" s="122" t="e">
        <v>#N/A</v>
      </c>
      <c r="AY5" s="122" t="e">
        <v>#N/A</v>
      </c>
      <c r="AZ5" s="122" t="e">
        <v>#N/A</v>
      </c>
      <c r="BA5" s="122" t="e">
        <v>#N/A</v>
      </c>
      <c r="BB5" s="122" t="e">
        <v>#N/A</v>
      </c>
      <c r="BC5" s="122" t="e">
        <v>#N/A</v>
      </c>
      <c r="BD5" s="122" t="e">
        <v>#N/A</v>
      </c>
      <c r="BE5" s="122" t="e">
        <v>#N/A</v>
      </c>
      <c r="BF5" s="122" t="e">
        <v>#N/A</v>
      </c>
      <c r="BG5" s="122" t="e">
        <v>#N/A</v>
      </c>
      <c r="BH5" s="122" t="e">
        <v>#N/A</v>
      </c>
      <c r="BI5" s="122" t="e">
        <v>#N/A</v>
      </c>
      <c r="BJ5" s="122" t="e">
        <v>#N/A</v>
      </c>
      <c r="BK5" s="122">
        <v>45953</v>
      </c>
      <c r="BL5" s="123"/>
      <c r="BM5" s="124">
        <v>45957</v>
      </c>
      <c r="BN5" s="124">
        <v>45957</v>
      </c>
      <c r="BO5" s="124" t="e">
        <v>#N/A</v>
      </c>
      <c r="BP5" s="124" t="e">
        <v>#N/A</v>
      </c>
      <c r="BQ5" s="124" t="e">
        <v>#N/A</v>
      </c>
      <c r="BR5" s="124" t="e">
        <v>#N/A</v>
      </c>
      <c r="BS5" s="124" t="e">
        <v>#N/A</v>
      </c>
      <c r="BT5" s="124" t="e">
        <v>#N/A</v>
      </c>
      <c r="BU5" s="124" t="e">
        <v>#N/A</v>
      </c>
      <c r="BV5" s="124" t="e">
        <v>#N/A</v>
      </c>
      <c r="BW5" s="124" t="e">
        <v>#N/A</v>
      </c>
      <c r="BX5" s="124" t="e">
        <v>#N/A</v>
      </c>
      <c r="BY5" s="124" t="e">
        <v>#N/A</v>
      </c>
      <c r="BZ5" s="124" t="e">
        <v>#N/A</v>
      </c>
      <c r="CA5" s="125"/>
      <c r="CB5" s="124">
        <v>45729</v>
      </c>
      <c r="CC5" s="126">
        <v>1</v>
      </c>
      <c r="CD5" s="127" t="s">
        <v>4205</v>
      </c>
      <c r="CE5" s="128"/>
      <c r="CF5" s="77" t="s">
        <v>7003</v>
      </c>
    </row>
    <row r="6" spans="1:85" ht="14.5" x14ac:dyDescent="0.35">
      <c r="A6" s="77">
        <v>5</v>
      </c>
      <c r="B6" s="106" t="s">
        <v>3844</v>
      </c>
      <c r="C6" s="107" t="s">
        <v>6694</v>
      </c>
      <c r="D6" s="108" t="s">
        <v>3845</v>
      </c>
      <c r="E6" s="109" t="s">
        <v>3846</v>
      </c>
      <c r="F6" s="110">
        <v>641019070</v>
      </c>
      <c r="G6" s="108" t="s">
        <v>1004</v>
      </c>
      <c r="H6" s="111" t="s">
        <v>3926</v>
      </c>
      <c r="I6" s="111" t="s">
        <v>180</v>
      </c>
      <c r="J6" s="111" t="s">
        <v>4648</v>
      </c>
      <c r="K6" s="111" t="s">
        <v>199</v>
      </c>
      <c r="L6" s="112">
        <v>45532</v>
      </c>
      <c r="M6" s="111" t="s">
        <v>3104</v>
      </c>
      <c r="N6" s="113"/>
      <c r="O6" s="114" t="s">
        <v>1009</v>
      </c>
      <c r="P6" s="114" t="s">
        <v>1009</v>
      </c>
      <c r="Q6" s="114" t="s">
        <v>1009</v>
      </c>
      <c r="R6" s="114" t="s">
        <v>1009</v>
      </c>
      <c r="S6" s="114" t="s">
        <v>1009</v>
      </c>
      <c r="T6" s="114" t="s">
        <v>183</v>
      </c>
      <c r="U6" s="114" t="s">
        <v>183</v>
      </c>
      <c r="V6" s="115"/>
      <c r="W6" s="116" t="s">
        <v>3847</v>
      </c>
      <c r="X6" s="116" t="s">
        <v>3848</v>
      </c>
      <c r="Y6" s="117">
        <v>3487024</v>
      </c>
      <c r="Z6" s="117">
        <v>3481528</v>
      </c>
      <c r="AA6" s="118"/>
      <c r="AB6" s="119" t="s">
        <v>5828</v>
      </c>
      <c r="AC6" s="119" t="s">
        <v>3891</v>
      </c>
      <c r="AD6" s="119">
        <v>26097</v>
      </c>
      <c r="AE6" s="119" t="s">
        <v>3892</v>
      </c>
      <c r="AF6" s="119" t="s">
        <v>7298</v>
      </c>
      <c r="AG6" s="120"/>
      <c r="AH6" s="121">
        <v>45547</v>
      </c>
      <c r="AI6" s="121">
        <v>45547</v>
      </c>
      <c r="AJ6" s="121">
        <v>45547</v>
      </c>
      <c r="AK6" s="122">
        <v>45547</v>
      </c>
      <c r="AL6" s="122" t="e">
        <v>#N/A</v>
      </c>
      <c r="AM6" s="121" t="e">
        <v>#N/A</v>
      </c>
      <c r="AN6" s="121" t="e">
        <v>#N/A</v>
      </c>
      <c r="AO6" s="121" t="e">
        <v>#N/A</v>
      </c>
      <c r="AP6" s="122" t="e">
        <v>#N/A</v>
      </c>
      <c r="AQ6" s="122" t="e">
        <v>#N/A</v>
      </c>
      <c r="AR6" s="122" t="e">
        <v>#N/A</v>
      </c>
      <c r="AS6" s="122" t="e">
        <v>#N/A</v>
      </c>
      <c r="AT6" s="122" t="e">
        <v>#N/A</v>
      </c>
      <c r="AU6" s="121" t="e">
        <v>#N/A</v>
      </c>
      <c r="AV6" s="122" t="e">
        <v>#N/A</v>
      </c>
      <c r="AW6" s="122">
        <v>45643</v>
      </c>
      <c r="AX6" s="122" t="e">
        <v>#N/A</v>
      </c>
      <c r="AY6" s="122" t="e">
        <v>#N/A</v>
      </c>
      <c r="AZ6" s="122" t="e">
        <v>#N/A</v>
      </c>
      <c r="BA6" s="122" t="e">
        <v>#N/A</v>
      </c>
      <c r="BB6" s="122" t="e">
        <v>#N/A</v>
      </c>
      <c r="BC6" s="122" t="e">
        <v>#N/A</v>
      </c>
      <c r="BD6" s="122" t="e">
        <v>#N/A</v>
      </c>
      <c r="BE6" s="122" t="e">
        <v>#N/A</v>
      </c>
      <c r="BF6" s="122" t="e">
        <v>#N/A</v>
      </c>
      <c r="BG6" s="122" t="e">
        <v>#N/A</v>
      </c>
      <c r="BH6" s="122" t="e">
        <v>#N/A</v>
      </c>
      <c r="BI6" s="122" t="e">
        <v>#N/A</v>
      </c>
      <c r="BJ6" s="122" t="e">
        <v>#N/A</v>
      </c>
      <c r="BK6" s="122">
        <v>45982</v>
      </c>
      <c r="BL6" s="123"/>
      <c r="BM6" s="124">
        <v>45931</v>
      </c>
      <c r="BN6" s="124">
        <v>45931</v>
      </c>
      <c r="BO6" s="124">
        <v>45938</v>
      </c>
      <c r="BP6" s="124" t="e">
        <v>#N/A</v>
      </c>
      <c r="BQ6" s="124" t="e">
        <v>#N/A</v>
      </c>
      <c r="BR6" s="124">
        <v>45986</v>
      </c>
      <c r="BS6" s="124" t="e">
        <v>#N/A</v>
      </c>
      <c r="BT6" s="124" t="e">
        <v>#N/A</v>
      </c>
      <c r="BU6" s="124" t="e">
        <v>#N/A</v>
      </c>
      <c r="BV6" s="124" t="e">
        <v>#N/A</v>
      </c>
      <c r="BW6" s="124" t="e">
        <v>#N/A</v>
      </c>
      <c r="BX6" s="124" t="e">
        <v>#N/A</v>
      </c>
      <c r="BY6" s="124" t="e">
        <v>#N/A</v>
      </c>
      <c r="BZ6" s="124" t="e">
        <v>#N/A</v>
      </c>
      <c r="CA6" s="125"/>
      <c r="CB6" s="124">
        <v>45729</v>
      </c>
      <c r="CC6" s="126">
        <v>1</v>
      </c>
      <c r="CD6" s="127" t="s">
        <v>4208</v>
      </c>
      <c r="CE6" s="128"/>
      <c r="CF6" s="77" t="s">
        <v>7003</v>
      </c>
    </row>
    <row r="7" spans="1:85" ht="14.5" x14ac:dyDescent="0.35">
      <c r="A7" s="77">
        <v>6</v>
      </c>
      <c r="B7" s="106" t="s">
        <v>3911</v>
      </c>
      <c r="C7" s="107" t="s">
        <v>6703</v>
      </c>
      <c r="D7" s="108" t="s">
        <v>3912</v>
      </c>
      <c r="E7" s="109" t="s">
        <v>3913</v>
      </c>
      <c r="F7" s="110">
        <v>646391143</v>
      </c>
      <c r="G7" s="108" t="s">
        <v>1004</v>
      </c>
      <c r="H7" s="111" t="s">
        <v>3926</v>
      </c>
      <c r="I7" s="111" t="s">
        <v>180</v>
      </c>
      <c r="J7" s="111" t="s">
        <v>4648</v>
      </c>
      <c r="K7" s="111" t="s">
        <v>199</v>
      </c>
      <c r="L7" s="112">
        <v>45544</v>
      </c>
      <c r="M7" s="111" t="s">
        <v>3104</v>
      </c>
      <c r="N7" s="113"/>
      <c r="O7" s="114" t="s">
        <v>2055</v>
      </c>
      <c r="P7" s="114" t="s">
        <v>183</v>
      </c>
      <c r="Q7" s="114" t="s">
        <v>2055</v>
      </c>
      <c r="R7" s="114" t="s">
        <v>2055</v>
      </c>
      <c r="S7" s="114" t="s">
        <v>2055</v>
      </c>
      <c r="T7" s="114" t="s">
        <v>2055</v>
      </c>
      <c r="U7" s="114" t="s">
        <v>183</v>
      </c>
      <c r="V7" s="115"/>
      <c r="W7" s="116" t="s">
        <v>3914</v>
      </c>
      <c r="X7" s="116" t="s">
        <v>3915</v>
      </c>
      <c r="Y7" s="117">
        <v>3485862</v>
      </c>
      <c r="Z7" s="117">
        <v>3486478</v>
      </c>
      <c r="AA7" s="118"/>
      <c r="AB7" s="119" t="s">
        <v>3985</v>
      </c>
      <c r="AC7" s="119" t="s">
        <v>3935</v>
      </c>
      <c r="AD7" s="119">
        <v>26145</v>
      </c>
      <c r="AE7" s="119" t="s">
        <v>3916</v>
      </c>
      <c r="AF7" s="119" t="s">
        <v>7186</v>
      </c>
      <c r="AG7" s="120"/>
      <c r="AH7" s="121">
        <v>45560</v>
      </c>
      <c r="AI7" s="121">
        <v>45560</v>
      </c>
      <c r="AJ7" s="121">
        <v>45560</v>
      </c>
      <c r="AK7" s="122">
        <v>45560</v>
      </c>
      <c r="AL7" s="122" t="e">
        <v>#N/A</v>
      </c>
      <c r="AM7" s="121" t="e">
        <v>#N/A</v>
      </c>
      <c r="AN7" s="121" t="e">
        <v>#N/A</v>
      </c>
      <c r="AO7" s="121" t="e">
        <v>#N/A</v>
      </c>
      <c r="AP7" s="122" t="e">
        <v>#N/A</v>
      </c>
      <c r="AQ7" s="122" t="e">
        <v>#N/A</v>
      </c>
      <c r="AR7" s="122" t="e">
        <v>#N/A</v>
      </c>
      <c r="AS7" s="122" t="e">
        <v>#N/A</v>
      </c>
      <c r="AT7" s="122" t="e">
        <v>#N/A</v>
      </c>
      <c r="AU7" s="121" t="e">
        <v>#N/A</v>
      </c>
      <c r="AV7" s="122" t="e">
        <v>#N/A</v>
      </c>
      <c r="AW7" s="122">
        <v>45744</v>
      </c>
      <c r="AX7" s="122" t="e">
        <v>#N/A</v>
      </c>
      <c r="AY7" s="122" t="e">
        <v>#N/A</v>
      </c>
      <c r="AZ7" s="122" t="e">
        <v>#N/A</v>
      </c>
      <c r="BA7" s="122" t="e">
        <v>#N/A</v>
      </c>
      <c r="BB7" s="122" t="e">
        <v>#N/A</v>
      </c>
      <c r="BC7" s="122" t="e">
        <v>#N/A</v>
      </c>
      <c r="BD7" s="122" t="e">
        <v>#N/A</v>
      </c>
      <c r="BE7" s="122" t="e">
        <v>#N/A</v>
      </c>
      <c r="BF7" s="122" t="e">
        <v>#N/A</v>
      </c>
      <c r="BG7" s="122" t="e">
        <v>#N/A</v>
      </c>
      <c r="BH7" s="122" t="e">
        <v>#N/A</v>
      </c>
      <c r="BI7" s="122" t="e">
        <v>#N/A</v>
      </c>
      <c r="BJ7" s="122" t="e">
        <v>#N/A</v>
      </c>
      <c r="BK7" s="122">
        <v>45964</v>
      </c>
      <c r="BL7" s="123"/>
      <c r="BM7" s="124">
        <v>45931</v>
      </c>
      <c r="BN7" s="124">
        <v>45931</v>
      </c>
      <c r="BO7" s="124">
        <v>45938</v>
      </c>
      <c r="BP7" s="124" t="e">
        <v>#N/A</v>
      </c>
      <c r="BQ7" s="124" t="e">
        <v>#N/A</v>
      </c>
      <c r="BR7" s="124">
        <v>45986</v>
      </c>
      <c r="BS7" s="124" t="e">
        <v>#N/A</v>
      </c>
      <c r="BT7" s="124" t="e">
        <v>#N/A</v>
      </c>
      <c r="BU7" s="124" t="e">
        <v>#N/A</v>
      </c>
      <c r="BV7" s="124" t="e">
        <v>#N/A</v>
      </c>
      <c r="BW7" s="124" t="e">
        <v>#N/A</v>
      </c>
      <c r="BX7" s="124" t="e">
        <v>#N/A</v>
      </c>
      <c r="BY7" s="124" t="e">
        <v>#N/A</v>
      </c>
      <c r="BZ7" s="124" t="e">
        <v>#N/A</v>
      </c>
      <c r="CA7" s="125"/>
      <c r="CB7" s="124">
        <v>45729</v>
      </c>
      <c r="CC7" s="126">
        <v>1</v>
      </c>
      <c r="CD7" s="127" t="s">
        <v>4210</v>
      </c>
      <c r="CE7" s="128"/>
      <c r="CF7" s="77" t="s">
        <v>7003</v>
      </c>
    </row>
    <row r="8" spans="1:85" ht="14.5" x14ac:dyDescent="0.35">
      <c r="A8" s="77">
        <v>7</v>
      </c>
      <c r="B8" s="106" t="s">
        <v>2679</v>
      </c>
      <c r="C8" s="107" t="s">
        <v>6538</v>
      </c>
      <c r="D8" s="108" t="s">
        <v>2680</v>
      </c>
      <c r="E8" s="109" t="s">
        <v>2681</v>
      </c>
      <c r="F8" s="110">
        <v>691202008</v>
      </c>
      <c r="G8" s="108" t="s">
        <v>1004</v>
      </c>
      <c r="H8" s="111" t="s">
        <v>3943</v>
      </c>
      <c r="I8" s="111" t="s">
        <v>180</v>
      </c>
      <c r="J8" s="111" t="s">
        <v>4648</v>
      </c>
      <c r="K8" s="111" t="s">
        <v>199</v>
      </c>
      <c r="L8" s="112">
        <v>45063</v>
      </c>
      <c r="M8" s="111" t="s">
        <v>2383</v>
      </c>
      <c r="N8" s="113"/>
      <c r="O8" s="114" t="s">
        <v>607</v>
      </c>
      <c r="P8" s="114" t="s">
        <v>183</v>
      </c>
      <c r="Q8" s="114" t="s">
        <v>607</v>
      </c>
      <c r="R8" s="114" t="s">
        <v>7297</v>
      </c>
      <c r="S8" s="114" t="s">
        <v>7299</v>
      </c>
      <c r="T8" s="114" t="s">
        <v>7299</v>
      </c>
      <c r="U8" s="114" t="s">
        <v>183</v>
      </c>
      <c r="V8" s="115"/>
      <c r="W8" s="116" t="s">
        <v>2682</v>
      </c>
      <c r="X8" s="116" t="s">
        <v>2683</v>
      </c>
      <c r="Y8" s="117">
        <v>3485608</v>
      </c>
      <c r="Z8" s="117">
        <v>3481416</v>
      </c>
      <c r="AA8" s="118"/>
      <c r="AB8" s="119" t="s">
        <v>2684</v>
      </c>
      <c r="AC8" s="119" t="s">
        <v>2721</v>
      </c>
      <c r="AD8" s="119">
        <v>4599</v>
      </c>
      <c r="AE8" s="119" t="s">
        <v>2685</v>
      </c>
      <c r="AF8" s="119" t="s">
        <v>6240</v>
      </c>
      <c r="AG8" s="120"/>
      <c r="AH8" s="121">
        <v>45062</v>
      </c>
      <c r="AI8" s="121">
        <v>45062</v>
      </c>
      <c r="AJ8" s="121">
        <v>45062</v>
      </c>
      <c r="AK8" s="122">
        <v>45062</v>
      </c>
      <c r="AL8" s="122" t="e">
        <v>#N/A</v>
      </c>
      <c r="AM8" s="121" t="e">
        <v>#N/A</v>
      </c>
      <c r="AN8" s="121" t="e">
        <v>#N/A</v>
      </c>
      <c r="AO8" s="121" t="e">
        <v>#N/A</v>
      </c>
      <c r="AP8" s="122" t="e">
        <v>#N/A</v>
      </c>
      <c r="AQ8" s="122" t="e">
        <v>#N/A</v>
      </c>
      <c r="AR8" s="122" t="e">
        <v>#N/A</v>
      </c>
      <c r="AS8" s="122" t="e">
        <v>#N/A</v>
      </c>
      <c r="AT8" s="122" t="e">
        <v>#N/A</v>
      </c>
      <c r="AU8" s="121" t="e">
        <v>#N/A</v>
      </c>
      <c r="AV8" s="122" t="e">
        <v>#N/A</v>
      </c>
      <c r="AW8" s="122">
        <v>45684</v>
      </c>
      <c r="AX8" s="122" t="e">
        <v>#N/A</v>
      </c>
      <c r="AY8" s="122">
        <v>45175</v>
      </c>
      <c r="AZ8" s="122" t="e">
        <v>#N/A</v>
      </c>
      <c r="BA8" s="122" t="e">
        <v>#N/A</v>
      </c>
      <c r="BB8" s="122" t="e">
        <v>#N/A</v>
      </c>
      <c r="BC8" s="122" t="e">
        <v>#N/A</v>
      </c>
      <c r="BD8" s="122" t="e">
        <v>#N/A</v>
      </c>
      <c r="BE8" s="122" t="e">
        <v>#N/A</v>
      </c>
      <c r="BF8" s="122" t="e">
        <v>#N/A</v>
      </c>
      <c r="BG8" s="122" t="e">
        <v>#N/A</v>
      </c>
      <c r="BH8" s="122" t="e">
        <v>#N/A</v>
      </c>
      <c r="BI8" s="122" t="e">
        <v>#N/A</v>
      </c>
      <c r="BJ8" s="122" t="e">
        <v>#N/A</v>
      </c>
      <c r="BK8" s="122">
        <v>45958</v>
      </c>
      <c r="BL8" s="123"/>
      <c r="BM8" s="124">
        <v>45812</v>
      </c>
      <c r="BN8" s="124">
        <v>45812</v>
      </c>
      <c r="BO8" s="124" t="e">
        <v>#N/A</v>
      </c>
      <c r="BP8" s="124" t="e">
        <v>#N/A</v>
      </c>
      <c r="BQ8" s="124" t="e">
        <v>#N/A</v>
      </c>
      <c r="BR8" s="124" t="e">
        <v>#N/A</v>
      </c>
      <c r="BS8" s="124" t="e">
        <v>#N/A</v>
      </c>
      <c r="BT8" s="124" t="e">
        <v>#N/A</v>
      </c>
      <c r="BU8" s="124" t="e">
        <v>#N/A</v>
      </c>
      <c r="BV8" s="124" t="e">
        <v>#N/A</v>
      </c>
      <c r="BW8" s="124" t="e">
        <v>#N/A</v>
      </c>
      <c r="BX8" s="124" t="e">
        <v>#N/A</v>
      </c>
      <c r="BY8" s="124" t="e">
        <v>#N/A</v>
      </c>
      <c r="BZ8" s="124" t="e">
        <v>#N/A</v>
      </c>
      <c r="CA8" s="125"/>
      <c r="CB8" s="124" t="e">
        <v>#N/A</v>
      </c>
      <c r="CC8" s="126">
        <v>1</v>
      </c>
      <c r="CD8" s="127" t="s">
        <v>4164</v>
      </c>
      <c r="CE8" s="128"/>
      <c r="CF8" s="77" t="s">
        <v>7003</v>
      </c>
    </row>
    <row r="9" spans="1:85" ht="14.5" x14ac:dyDescent="0.35">
      <c r="A9" s="77">
        <v>8</v>
      </c>
      <c r="B9" s="106" t="s">
        <v>3961</v>
      </c>
      <c r="C9" s="107" t="s">
        <v>6707</v>
      </c>
      <c r="D9" s="108" t="s">
        <v>3962</v>
      </c>
      <c r="E9" s="109" t="s">
        <v>3963</v>
      </c>
      <c r="F9" s="110">
        <v>674085275</v>
      </c>
      <c r="G9" s="108" t="s">
        <v>1004</v>
      </c>
      <c r="H9" s="111" t="s">
        <v>3943</v>
      </c>
      <c r="I9" s="111" t="s">
        <v>180</v>
      </c>
      <c r="J9" s="111" t="s">
        <v>4648</v>
      </c>
      <c r="K9" s="111" t="s">
        <v>199</v>
      </c>
      <c r="L9" s="112">
        <v>45579</v>
      </c>
      <c r="M9" s="111" t="s">
        <v>2383</v>
      </c>
      <c r="N9" s="113"/>
      <c r="O9" s="114" t="s">
        <v>183</v>
      </c>
      <c r="P9" s="114" t="s">
        <v>7300</v>
      </c>
      <c r="Q9" s="114" t="s">
        <v>286</v>
      </c>
      <c r="R9" s="114" t="s">
        <v>7301</v>
      </c>
      <c r="S9" s="114" t="s">
        <v>7300</v>
      </c>
      <c r="T9" s="114" t="s">
        <v>7300</v>
      </c>
      <c r="U9" s="114" t="s">
        <v>183</v>
      </c>
      <c r="V9" s="115"/>
      <c r="W9" s="116" t="s">
        <v>3964</v>
      </c>
      <c r="X9" s="116" t="s">
        <v>3965</v>
      </c>
      <c r="Y9" s="117">
        <v>3485801</v>
      </c>
      <c r="Z9" s="117">
        <v>3486670</v>
      </c>
      <c r="AA9" s="118"/>
      <c r="AB9" s="119" t="s">
        <v>5759</v>
      </c>
      <c r="AC9" s="119" t="s">
        <v>3966</v>
      </c>
      <c r="AD9" s="119">
        <v>5067</v>
      </c>
      <c r="AE9" s="119" t="s">
        <v>3967</v>
      </c>
      <c r="AF9" s="119" t="s">
        <v>7302</v>
      </c>
      <c r="AG9" s="120"/>
      <c r="AH9" s="121">
        <v>45579</v>
      </c>
      <c r="AI9" s="121">
        <v>45579</v>
      </c>
      <c r="AJ9" s="121">
        <v>45579</v>
      </c>
      <c r="AK9" s="122">
        <v>45579</v>
      </c>
      <c r="AL9" s="122" t="e">
        <v>#N/A</v>
      </c>
      <c r="AM9" s="121" t="e">
        <v>#N/A</v>
      </c>
      <c r="AN9" s="121" t="e">
        <v>#N/A</v>
      </c>
      <c r="AO9" s="121" t="e">
        <v>#N/A</v>
      </c>
      <c r="AP9" s="122" t="e">
        <v>#N/A</v>
      </c>
      <c r="AQ9" s="122" t="e">
        <v>#N/A</v>
      </c>
      <c r="AR9" s="122" t="e">
        <v>#N/A</v>
      </c>
      <c r="AS9" s="122" t="e">
        <v>#N/A</v>
      </c>
      <c r="AT9" s="122" t="e">
        <v>#N/A</v>
      </c>
      <c r="AU9" s="121">
        <v>45923</v>
      </c>
      <c r="AV9" s="122">
        <v>45734</v>
      </c>
      <c r="AW9" s="122">
        <v>45700</v>
      </c>
      <c r="AX9" s="122" t="e">
        <v>#N/A</v>
      </c>
      <c r="AY9" s="122" t="e">
        <v>#N/A</v>
      </c>
      <c r="AZ9" s="122" t="e">
        <v>#N/A</v>
      </c>
      <c r="BA9" s="122" t="e">
        <v>#N/A</v>
      </c>
      <c r="BB9" s="122" t="e">
        <v>#N/A</v>
      </c>
      <c r="BC9" s="122" t="e">
        <v>#N/A</v>
      </c>
      <c r="BD9" s="122" t="e">
        <v>#N/A</v>
      </c>
      <c r="BE9" s="122" t="e">
        <v>#N/A</v>
      </c>
      <c r="BF9" s="122" t="e">
        <v>#N/A</v>
      </c>
      <c r="BG9" s="122" t="e">
        <v>#N/A</v>
      </c>
      <c r="BH9" s="122" t="e">
        <v>#N/A</v>
      </c>
      <c r="BI9" s="122" t="e">
        <v>#N/A</v>
      </c>
      <c r="BJ9" s="122" t="e">
        <v>#N/A</v>
      </c>
      <c r="BK9" s="122">
        <v>45973</v>
      </c>
      <c r="BL9" s="123"/>
      <c r="BM9" s="124">
        <v>45812</v>
      </c>
      <c r="BN9" s="124">
        <v>45812</v>
      </c>
      <c r="BO9" s="124">
        <v>45937</v>
      </c>
      <c r="BP9" s="124" t="e">
        <v>#N/A</v>
      </c>
      <c r="BQ9" s="124" t="e">
        <v>#N/A</v>
      </c>
      <c r="BR9" s="124">
        <v>45971</v>
      </c>
      <c r="BS9" s="124">
        <v>45812</v>
      </c>
      <c r="BT9" s="124" t="e">
        <v>#N/A</v>
      </c>
      <c r="BU9" s="124" t="e">
        <v>#N/A</v>
      </c>
      <c r="BV9" s="124" t="e">
        <v>#N/A</v>
      </c>
      <c r="BW9" s="124" t="e">
        <v>#N/A</v>
      </c>
      <c r="BX9" s="124" t="e">
        <v>#N/A</v>
      </c>
      <c r="BY9" s="124" t="e">
        <v>#N/A</v>
      </c>
      <c r="BZ9" s="124" t="e">
        <v>#N/A</v>
      </c>
      <c r="CA9" s="125"/>
      <c r="CB9" s="124" t="e">
        <v>#N/A</v>
      </c>
      <c r="CC9" s="126">
        <v>1</v>
      </c>
      <c r="CD9" s="127" t="s">
        <v>4212</v>
      </c>
      <c r="CE9" s="128"/>
      <c r="CF9" s="77" t="s">
        <v>7003</v>
      </c>
    </row>
    <row r="10" spans="1:85" ht="14.5" x14ac:dyDescent="0.35">
      <c r="A10" s="77">
        <v>9</v>
      </c>
      <c r="B10" s="106" t="s">
        <v>3425</v>
      </c>
      <c r="C10" s="107" t="s">
        <v>6594</v>
      </c>
      <c r="D10" s="108" t="s">
        <v>3493</v>
      </c>
      <c r="E10" s="109" t="s">
        <v>3426</v>
      </c>
      <c r="F10" s="110">
        <v>628090609</v>
      </c>
      <c r="G10" s="108" t="s">
        <v>1004</v>
      </c>
      <c r="H10" s="111" t="s">
        <v>3943</v>
      </c>
      <c r="I10" s="111" t="s">
        <v>180</v>
      </c>
      <c r="J10" s="111" t="s">
        <v>4648</v>
      </c>
      <c r="K10" s="111" t="s">
        <v>199</v>
      </c>
      <c r="L10" s="112">
        <v>45327</v>
      </c>
      <c r="M10" s="111" t="s">
        <v>597</v>
      </c>
      <c r="N10" s="113"/>
      <c r="O10" s="114" t="s">
        <v>226</v>
      </c>
      <c r="P10" s="114" t="s">
        <v>226</v>
      </c>
      <c r="Q10" s="114" t="s">
        <v>226</v>
      </c>
      <c r="R10" s="114" t="s">
        <v>226</v>
      </c>
      <c r="S10" s="114" t="s">
        <v>226</v>
      </c>
      <c r="T10" s="114" t="s">
        <v>183</v>
      </c>
      <c r="U10" s="114" t="s">
        <v>183</v>
      </c>
      <c r="V10" s="115"/>
      <c r="W10" s="116" t="s">
        <v>3427</v>
      </c>
      <c r="X10" s="116" t="s">
        <v>3428</v>
      </c>
      <c r="Y10" s="117">
        <v>3485728</v>
      </c>
      <c r="Z10" s="117">
        <v>3486352</v>
      </c>
      <c r="AA10" s="118"/>
      <c r="AB10" s="119" t="s">
        <v>5562</v>
      </c>
      <c r="AC10" s="119" t="s">
        <v>3429</v>
      </c>
      <c r="AD10" s="119">
        <v>27591</v>
      </c>
      <c r="AE10" s="119" t="s">
        <v>3430</v>
      </c>
      <c r="AF10" s="119" t="s">
        <v>7303</v>
      </c>
      <c r="AG10" s="120"/>
      <c r="AH10" s="121">
        <v>45492</v>
      </c>
      <c r="AI10" s="121">
        <v>45492</v>
      </c>
      <c r="AJ10" s="121">
        <v>45492</v>
      </c>
      <c r="AK10" s="122">
        <v>45492</v>
      </c>
      <c r="AL10" s="122" t="e">
        <v>#N/A</v>
      </c>
      <c r="AM10" s="122" t="e">
        <v>#N/A</v>
      </c>
      <c r="AN10" s="122" t="e">
        <v>#N/A</v>
      </c>
      <c r="AO10" s="121" t="e">
        <v>#N/A</v>
      </c>
      <c r="AP10" s="122" t="e">
        <v>#N/A</v>
      </c>
      <c r="AQ10" s="122" t="e">
        <v>#N/A</v>
      </c>
      <c r="AR10" s="122" t="e">
        <v>#N/A</v>
      </c>
      <c r="AS10" s="122" t="e">
        <v>#N/A</v>
      </c>
      <c r="AT10" s="122">
        <v>45492</v>
      </c>
      <c r="AU10" s="121" t="e">
        <v>#N/A</v>
      </c>
      <c r="AV10" s="122" t="e">
        <v>#N/A</v>
      </c>
      <c r="AW10" s="122">
        <v>45677</v>
      </c>
      <c r="AX10" s="122" t="e">
        <v>#N/A</v>
      </c>
      <c r="AY10" s="122" t="e">
        <v>#N/A</v>
      </c>
      <c r="AZ10" s="122" t="e">
        <v>#N/A</v>
      </c>
      <c r="BA10" s="122" t="e">
        <v>#N/A</v>
      </c>
      <c r="BB10" s="122" t="e">
        <v>#N/A</v>
      </c>
      <c r="BC10" s="122" t="e">
        <v>#N/A</v>
      </c>
      <c r="BD10" s="122" t="e">
        <v>#N/A</v>
      </c>
      <c r="BE10" s="122" t="e">
        <v>#N/A</v>
      </c>
      <c r="BF10" s="122" t="e">
        <v>#N/A</v>
      </c>
      <c r="BG10" s="122" t="e">
        <v>#N/A</v>
      </c>
      <c r="BH10" s="122" t="e">
        <v>#N/A</v>
      </c>
      <c r="BI10" s="122" t="e">
        <v>#N/A</v>
      </c>
      <c r="BJ10" s="122" t="e">
        <v>#N/A</v>
      </c>
      <c r="BK10" s="122">
        <v>45978</v>
      </c>
      <c r="BL10" s="123"/>
      <c r="BM10" s="124">
        <v>45812</v>
      </c>
      <c r="BN10" s="124">
        <v>45812</v>
      </c>
      <c r="BO10" s="124">
        <v>45937</v>
      </c>
      <c r="BP10" s="124" t="e">
        <v>#N/A</v>
      </c>
      <c r="BQ10" s="124" t="e">
        <v>#N/A</v>
      </c>
      <c r="BR10" s="124" t="e">
        <v>#N/A</v>
      </c>
      <c r="BS10" s="124">
        <v>45812</v>
      </c>
      <c r="BT10" s="124" t="e">
        <v>#N/A</v>
      </c>
      <c r="BU10" s="124" t="e">
        <v>#N/A</v>
      </c>
      <c r="BV10" s="124" t="e">
        <v>#N/A</v>
      </c>
      <c r="BW10" s="124" t="e">
        <v>#N/A</v>
      </c>
      <c r="BX10" s="124" t="e">
        <v>#N/A</v>
      </c>
      <c r="BY10" s="124" t="e">
        <v>#N/A</v>
      </c>
      <c r="BZ10" s="124" t="e">
        <v>#N/A</v>
      </c>
      <c r="CA10" s="125"/>
      <c r="CB10" s="124">
        <v>45723</v>
      </c>
      <c r="CC10" s="126">
        <v>1</v>
      </c>
      <c r="CD10" s="127" t="s">
        <v>4203</v>
      </c>
      <c r="CE10" s="128"/>
      <c r="CF10" s="77" t="s">
        <v>7003</v>
      </c>
    </row>
    <row r="11" spans="1:85" ht="14.5" x14ac:dyDescent="0.35">
      <c r="A11" s="77">
        <v>10</v>
      </c>
      <c r="B11" s="106" t="s">
        <v>3652</v>
      </c>
      <c r="C11" s="107" t="s">
        <v>6656</v>
      </c>
      <c r="D11" s="108" t="s">
        <v>3653</v>
      </c>
      <c r="E11" s="109" t="s">
        <v>3654</v>
      </c>
      <c r="F11" s="110">
        <v>682725170</v>
      </c>
      <c r="G11" s="108" t="s">
        <v>1004</v>
      </c>
      <c r="H11" s="111" t="s">
        <v>3943</v>
      </c>
      <c r="I11" s="111" t="s">
        <v>180</v>
      </c>
      <c r="J11" s="111" t="s">
        <v>4648</v>
      </c>
      <c r="K11" s="111" t="s">
        <v>199</v>
      </c>
      <c r="L11" s="112">
        <v>45490</v>
      </c>
      <c r="M11" s="111" t="s">
        <v>3104</v>
      </c>
      <c r="N11" s="113"/>
      <c r="O11" s="114" t="s">
        <v>607</v>
      </c>
      <c r="P11" s="114" t="s">
        <v>557</v>
      </c>
      <c r="Q11" s="114" t="s">
        <v>4638</v>
      </c>
      <c r="R11" s="114" t="s">
        <v>7297</v>
      </c>
      <c r="S11" s="114" t="s">
        <v>607</v>
      </c>
      <c r="T11" s="114" t="s">
        <v>183</v>
      </c>
      <c r="U11" s="114" t="s">
        <v>183</v>
      </c>
      <c r="V11" s="115"/>
      <c r="W11" s="116" t="s">
        <v>3655</v>
      </c>
      <c r="X11" s="116" t="s">
        <v>3656</v>
      </c>
      <c r="Y11" s="117">
        <v>3485185</v>
      </c>
      <c r="Z11" s="117">
        <v>3486495</v>
      </c>
      <c r="AA11" s="118"/>
      <c r="AB11" s="119" t="s">
        <v>5782</v>
      </c>
      <c r="AC11" s="119" t="s">
        <v>3657</v>
      </c>
      <c r="AD11" s="119">
        <v>5302</v>
      </c>
      <c r="AE11" s="119" t="s">
        <v>3658</v>
      </c>
      <c r="AF11" s="119" t="s">
        <v>7304</v>
      </c>
      <c r="AG11" s="120"/>
      <c r="AH11" s="121">
        <v>45506</v>
      </c>
      <c r="AI11" s="121">
        <v>45506</v>
      </c>
      <c r="AJ11" s="121">
        <v>45506</v>
      </c>
      <c r="AK11" s="122">
        <v>45506</v>
      </c>
      <c r="AL11" s="122" t="e">
        <v>#N/A</v>
      </c>
      <c r="AM11" s="121" t="e">
        <v>#N/A</v>
      </c>
      <c r="AN11" s="121" t="e">
        <v>#N/A</v>
      </c>
      <c r="AO11" s="121" t="e">
        <v>#N/A</v>
      </c>
      <c r="AP11" s="122" t="e">
        <v>#N/A</v>
      </c>
      <c r="AQ11" s="122" t="e">
        <v>#N/A</v>
      </c>
      <c r="AR11" s="122" t="e">
        <v>#N/A</v>
      </c>
      <c r="AS11" s="122" t="e">
        <v>#N/A</v>
      </c>
      <c r="AT11" s="122" t="e">
        <v>#N/A</v>
      </c>
      <c r="AU11" s="121" t="e">
        <v>#N/A</v>
      </c>
      <c r="AV11" s="122" t="e">
        <v>#N/A</v>
      </c>
      <c r="AW11" s="122">
        <v>45625</v>
      </c>
      <c r="AX11" s="122" t="e">
        <v>#N/A</v>
      </c>
      <c r="AY11" s="122" t="e">
        <v>#N/A</v>
      </c>
      <c r="AZ11" s="122" t="e">
        <v>#N/A</v>
      </c>
      <c r="BA11" s="122" t="e">
        <v>#N/A</v>
      </c>
      <c r="BB11" s="122" t="e">
        <v>#N/A</v>
      </c>
      <c r="BC11" s="122" t="e">
        <v>#N/A</v>
      </c>
      <c r="BD11" s="122" t="e">
        <v>#N/A</v>
      </c>
      <c r="BE11" s="122" t="e">
        <v>#N/A</v>
      </c>
      <c r="BF11" s="122" t="e">
        <v>#N/A</v>
      </c>
      <c r="BG11" s="122" t="e">
        <v>#N/A</v>
      </c>
      <c r="BH11" s="122" t="e">
        <v>#N/A</v>
      </c>
      <c r="BI11" s="122" t="e">
        <v>#N/A</v>
      </c>
      <c r="BJ11" s="122" t="e">
        <v>#N/A</v>
      </c>
      <c r="BK11" s="122">
        <v>46001</v>
      </c>
      <c r="BL11" s="123"/>
      <c r="BM11" s="124">
        <v>45931</v>
      </c>
      <c r="BN11" s="124">
        <v>45931</v>
      </c>
      <c r="BO11" s="124">
        <v>45938</v>
      </c>
      <c r="BP11" s="124" t="e">
        <v>#N/A</v>
      </c>
      <c r="BQ11" s="124" t="e">
        <v>#N/A</v>
      </c>
      <c r="BR11" s="124" t="e">
        <v>#N/A</v>
      </c>
      <c r="BS11" s="124" t="e">
        <v>#N/A</v>
      </c>
      <c r="BT11" s="124" t="e">
        <v>#N/A</v>
      </c>
      <c r="BU11" s="124" t="e">
        <v>#N/A</v>
      </c>
      <c r="BV11" s="124" t="e">
        <v>#N/A</v>
      </c>
      <c r="BW11" s="124" t="e">
        <v>#N/A</v>
      </c>
      <c r="BX11" s="124" t="e">
        <v>#N/A</v>
      </c>
      <c r="BY11" s="124" t="e">
        <v>#N/A</v>
      </c>
      <c r="BZ11" s="124" t="e">
        <v>#N/A</v>
      </c>
      <c r="CA11" s="125"/>
      <c r="CB11" s="124" t="e">
        <v>#N/A</v>
      </c>
      <c r="CC11" s="126">
        <v>1</v>
      </c>
      <c r="CD11" s="127" t="s">
        <v>4205</v>
      </c>
      <c r="CE11" s="128"/>
      <c r="CF11" s="77" t="e">
        <v>#N/A</v>
      </c>
    </row>
    <row r="12" spans="1:85" ht="14.5" x14ac:dyDescent="0.35">
      <c r="A12" s="77">
        <v>11</v>
      </c>
      <c r="B12" s="106" t="s">
        <v>3645</v>
      </c>
      <c r="C12" s="107" t="s">
        <v>6662</v>
      </c>
      <c r="D12" s="108" t="s">
        <v>3646</v>
      </c>
      <c r="E12" s="109" t="s">
        <v>3647</v>
      </c>
      <c r="F12" s="110">
        <v>654859682</v>
      </c>
      <c r="G12" s="108" t="s">
        <v>1004</v>
      </c>
      <c r="H12" s="111" t="s">
        <v>3943</v>
      </c>
      <c r="I12" s="111" t="s">
        <v>180</v>
      </c>
      <c r="J12" s="111" t="s">
        <v>4648</v>
      </c>
      <c r="K12" s="111" t="s">
        <v>199</v>
      </c>
      <c r="L12" s="112">
        <v>45490</v>
      </c>
      <c r="M12" s="111" t="s">
        <v>1656</v>
      </c>
      <c r="N12" s="113"/>
      <c r="O12" s="114" t="s">
        <v>4477</v>
      </c>
      <c r="P12" s="114" t="s">
        <v>4477</v>
      </c>
      <c r="Q12" s="114" t="s">
        <v>4477</v>
      </c>
      <c r="R12" s="114" t="s">
        <v>4477</v>
      </c>
      <c r="S12" s="114" t="s">
        <v>4477</v>
      </c>
      <c r="T12" s="114" t="s">
        <v>4356</v>
      </c>
      <c r="U12" s="114" t="s">
        <v>4356</v>
      </c>
      <c r="V12" s="115"/>
      <c r="W12" s="116" t="s">
        <v>3648</v>
      </c>
      <c r="X12" s="116" t="s">
        <v>3649</v>
      </c>
      <c r="Y12" s="117">
        <v>3485394</v>
      </c>
      <c r="Z12" s="117">
        <v>3486467</v>
      </c>
      <c r="AA12" s="118"/>
      <c r="AB12" s="119" t="s">
        <v>5605</v>
      </c>
      <c r="AC12" s="119" t="s">
        <v>3650</v>
      </c>
      <c r="AD12" s="119">
        <v>5325</v>
      </c>
      <c r="AE12" s="119" t="s">
        <v>3651</v>
      </c>
      <c r="AF12" s="119" t="s">
        <v>7305</v>
      </c>
      <c r="AG12" s="120"/>
      <c r="AH12" s="121">
        <v>45506</v>
      </c>
      <c r="AI12" s="121">
        <v>45506</v>
      </c>
      <c r="AJ12" s="121">
        <v>45506</v>
      </c>
      <c r="AK12" s="122">
        <v>45506</v>
      </c>
      <c r="AL12" s="122" t="e">
        <v>#N/A</v>
      </c>
      <c r="AM12" s="121" t="e">
        <v>#N/A</v>
      </c>
      <c r="AN12" s="121" t="e">
        <v>#N/A</v>
      </c>
      <c r="AO12" s="121" t="e">
        <v>#N/A</v>
      </c>
      <c r="AP12" s="122" t="e">
        <v>#N/A</v>
      </c>
      <c r="AQ12" s="122" t="e">
        <v>#N/A</v>
      </c>
      <c r="AR12" s="122" t="e">
        <v>#N/A</v>
      </c>
      <c r="AS12" s="122" t="e">
        <v>#N/A</v>
      </c>
      <c r="AT12" s="122" t="e">
        <v>#N/A</v>
      </c>
      <c r="AU12" s="121" t="e">
        <v>#N/A</v>
      </c>
      <c r="AV12" s="122" t="e">
        <v>#N/A</v>
      </c>
      <c r="AW12" s="122">
        <v>45625</v>
      </c>
      <c r="AX12" s="122" t="e">
        <v>#N/A</v>
      </c>
      <c r="AY12" s="122" t="e">
        <v>#N/A</v>
      </c>
      <c r="AZ12" s="122" t="e">
        <v>#N/A</v>
      </c>
      <c r="BA12" s="122" t="e">
        <v>#N/A</v>
      </c>
      <c r="BB12" s="122" t="e">
        <v>#N/A</v>
      </c>
      <c r="BC12" s="122" t="e">
        <v>#N/A</v>
      </c>
      <c r="BD12" s="122" t="e">
        <v>#N/A</v>
      </c>
      <c r="BE12" s="122" t="e">
        <v>#N/A</v>
      </c>
      <c r="BF12" s="122" t="e">
        <v>#N/A</v>
      </c>
      <c r="BG12" s="122" t="e">
        <v>#N/A</v>
      </c>
      <c r="BH12" s="122" t="e">
        <v>#N/A</v>
      </c>
      <c r="BI12" s="122" t="e">
        <v>#N/A</v>
      </c>
      <c r="BJ12" s="122" t="e">
        <v>#N/A</v>
      </c>
      <c r="BK12" s="122">
        <v>46001</v>
      </c>
      <c r="BL12" s="123"/>
      <c r="BM12" s="124">
        <v>45957</v>
      </c>
      <c r="BN12" s="124">
        <v>45957</v>
      </c>
      <c r="BO12" s="124" t="e">
        <v>#N/A</v>
      </c>
      <c r="BP12" s="124" t="e">
        <v>#N/A</v>
      </c>
      <c r="BQ12" s="124" t="e">
        <v>#N/A</v>
      </c>
      <c r="BR12" s="124" t="e">
        <v>#N/A</v>
      </c>
      <c r="BS12" s="124" t="e">
        <v>#N/A</v>
      </c>
      <c r="BT12" s="124" t="e">
        <v>#N/A</v>
      </c>
      <c r="BU12" s="124" t="e">
        <v>#N/A</v>
      </c>
      <c r="BV12" s="124" t="e">
        <v>#N/A</v>
      </c>
      <c r="BW12" s="124" t="e">
        <v>#N/A</v>
      </c>
      <c r="BX12" s="124" t="e">
        <v>#N/A</v>
      </c>
      <c r="BY12" s="124" t="e">
        <v>#N/A</v>
      </c>
      <c r="BZ12" s="124" t="e">
        <v>#N/A</v>
      </c>
      <c r="CA12" s="125"/>
      <c r="CB12" s="124">
        <v>45734</v>
      </c>
      <c r="CC12" s="126">
        <v>1</v>
      </c>
      <c r="CD12" s="127" t="s">
        <v>4205</v>
      </c>
      <c r="CE12" s="128"/>
      <c r="CF12" s="77" t="e">
        <v>#N/A</v>
      </c>
    </row>
    <row r="13" spans="1:85" ht="14.5" x14ac:dyDescent="0.35">
      <c r="A13" s="77">
        <v>12</v>
      </c>
      <c r="B13" s="106" t="s">
        <v>3701</v>
      </c>
      <c r="C13" s="107" t="s">
        <v>6680</v>
      </c>
      <c r="D13" s="108" t="s">
        <v>3702</v>
      </c>
      <c r="E13" s="109" t="s">
        <v>3703</v>
      </c>
      <c r="F13" s="110">
        <v>679528741</v>
      </c>
      <c r="G13" s="108" t="s">
        <v>1004</v>
      </c>
      <c r="H13" s="111" t="s">
        <v>3943</v>
      </c>
      <c r="I13" s="111" t="s">
        <v>180</v>
      </c>
      <c r="J13" s="111" t="s">
        <v>4648</v>
      </c>
      <c r="K13" s="111" t="s">
        <v>199</v>
      </c>
      <c r="L13" s="112">
        <v>45502</v>
      </c>
      <c r="M13" s="111" t="s">
        <v>3104</v>
      </c>
      <c r="N13" s="113"/>
      <c r="O13" s="114" t="s">
        <v>585</v>
      </c>
      <c r="P13" s="114" t="s">
        <v>585</v>
      </c>
      <c r="Q13" s="114" t="s">
        <v>201</v>
      </c>
      <c r="R13" s="114" t="s">
        <v>7296</v>
      </c>
      <c r="S13" s="114" t="s">
        <v>585</v>
      </c>
      <c r="T13" s="114" t="s">
        <v>183</v>
      </c>
      <c r="U13" s="114" t="s">
        <v>183</v>
      </c>
      <c r="V13" s="115"/>
      <c r="W13" s="116" t="s">
        <v>3704</v>
      </c>
      <c r="X13" s="116" t="s">
        <v>3705</v>
      </c>
      <c r="Y13" s="117">
        <v>3485941</v>
      </c>
      <c r="Z13" s="117">
        <v>3481195</v>
      </c>
      <c r="AA13" s="118"/>
      <c r="AB13" s="119" t="s">
        <v>5725</v>
      </c>
      <c r="AC13" s="119" t="s">
        <v>3760</v>
      </c>
      <c r="AD13" s="119">
        <v>5656</v>
      </c>
      <c r="AE13" s="119" t="s">
        <v>3706</v>
      </c>
      <c r="AF13" s="119" t="s">
        <v>6681</v>
      </c>
      <c r="AG13" s="120"/>
      <c r="AH13" s="121">
        <v>45514</v>
      </c>
      <c r="AI13" s="121">
        <v>45514</v>
      </c>
      <c r="AJ13" s="121">
        <v>45514</v>
      </c>
      <c r="AK13" s="122">
        <v>45514</v>
      </c>
      <c r="AL13" s="122" t="e">
        <v>#N/A</v>
      </c>
      <c r="AM13" s="121" t="e">
        <v>#N/A</v>
      </c>
      <c r="AN13" s="121" t="e">
        <v>#N/A</v>
      </c>
      <c r="AO13" s="121" t="e">
        <v>#N/A</v>
      </c>
      <c r="AP13" s="122" t="e">
        <v>#N/A</v>
      </c>
      <c r="AQ13" s="122" t="e">
        <v>#N/A</v>
      </c>
      <c r="AR13" s="122" t="e">
        <v>#N/A</v>
      </c>
      <c r="AS13" s="122" t="e">
        <v>#N/A</v>
      </c>
      <c r="AT13" s="122" t="e">
        <v>#N/A</v>
      </c>
      <c r="AU13" s="121" t="e">
        <v>#N/A</v>
      </c>
      <c r="AV13" s="122" t="e">
        <v>#N/A</v>
      </c>
      <c r="AW13" s="122">
        <v>45694</v>
      </c>
      <c r="AX13" s="122" t="e">
        <v>#N/A</v>
      </c>
      <c r="AY13" s="122" t="e">
        <v>#N/A</v>
      </c>
      <c r="AZ13" s="122" t="e">
        <v>#N/A</v>
      </c>
      <c r="BA13" s="122" t="e">
        <v>#N/A</v>
      </c>
      <c r="BB13" s="122" t="e">
        <v>#N/A</v>
      </c>
      <c r="BC13" s="122" t="e">
        <v>#N/A</v>
      </c>
      <c r="BD13" s="122" t="e">
        <v>#N/A</v>
      </c>
      <c r="BE13" s="122" t="e">
        <v>#N/A</v>
      </c>
      <c r="BF13" s="122" t="e">
        <v>#N/A</v>
      </c>
      <c r="BG13" s="122" t="e">
        <v>#N/A</v>
      </c>
      <c r="BH13" s="122" t="e">
        <v>#N/A</v>
      </c>
      <c r="BI13" s="122" t="e">
        <v>#N/A</v>
      </c>
      <c r="BJ13" s="122" t="e">
        <v>#N/A</v>
      </c>
      <c r="BK13" s="122">
        <v>45953</v>
      </c>
      <c r="BL13" s="123"/>
      <c r="BM13" s="124">
        <v>45957</v>
      </c>
      <c r="BN13" s="124">
        <v>45957</v>
      </c>
      <c r="BO13" s="124" t="e">
        <v>#N/A</v>
      </c>
      <c r="BP13" s="124" t="e">
        <v>#N/A</v>
      </c>
      <c r="BQ13" s="124" t="e">
        <v>#N/A</v>
      </c>
      <c r="BR13" s="124" t="e">
        <v>#N/A</v>
      </c>
      <c r="BS13" s="124" t="e">
        <v>#N/A</v>
      </c>
      <c r="BT13" s="124" t="e">
        <v>#N/A</v>
      </c>
      <c r="BU13" s="124" t="e">
        <v>#N/A</v>
      </c>
      <c r="BV13" s="124" t="e">
        <v>#N/A</v>
      </c>
      <c r="BW13" s="124" t="e">
        <v>#N/A</v>
      </c>
      <c r="BX13" s="124" t="e">
        <v>#N/A</v>
      </c>
      <c r="BY13" s="124" t="e">
        <v>#N/A</v>
      </c>
      <c r="BZ13" s="124" t="e">
        <v>#N/A</v>
      </c>
      <c r="CA13" s="125"/>
      <c r="CB13" s="124" t="e">
        <v>#N/A</v>
      </c>
      <c r="CC13" s="126">
        <v>1</v>
      </c>
      <c r="CD13" s="127" t="s">
        <v>4171</v>
      </c>
      <c r="CE13" s="128"/>
      <c r="CF13" s="77" t="e">
        <v>#N/A</v>
      </c>
    </row>
    <row r="14" spans="1:85" ht="14.5" x14ac:dyDescent="0.35">
      <c r="A14" s="77">
        <v>13</v>
      </c>
      <c r="B14" s="106" t="s">
        <v>6361</v>
      </c>
      <c r="C14" s="107" t="s">
        <v>1522</v>
      </c>
      <c r="D14" s="108" t="s">
        <v>1523</v>
      </c>
      <c r="E14" s="109" t="s">
        <v>1524</v>
      </c>
      <c r="F14" s="110">
        <v>657995848</v>
      </c>
      <c r="G14" s="108" t="s">
        <v>1004</v>
      </c>
      <c r="H14" s="111" t="s">
        <v>3943</v>
      </c>
      <c r="I14" s="111" t="s">
        <v>180</v>
      </c>
      <c r="J14" s="111" t="s">
        <v>4648</v>
      </c>
      <c r="K14" s="111" t="s">
        <v>199</v>
      </c>
      <c r="L14" s="112">
        <v>39135</v>
      </c>
      <c r="M14" s="111" t="s">
        <v>3661</v>
      </c>
      <c r="N14" s="113"/>
      <c r="O14" s="114" t="s">
        <v>1009</v>
      </c>
      <c r="P14" s="114" t="s">
        <v>1009</v>
      </c>
      <c r="Q14" s="114" t="s">
        <v>1009</v>
      </c>
      <c r="R14" s="114" t="s">
        <v>7306</v>
      </c>
      <c r="S14" s="114" t="s">
        <v>1009</v>
      </c>
      <c r="T14" s="114" t="s">
        <v>183</v>
      </c>
      <c r="U14" s="114" t="s">
        <v>183</v>
      </c>
      <c r="V14" s="115"/>
      <c r="W14" s="116" t="s">
        <v>1525</v>
      </c>
      <c r="X14" s="116" t="s">
        <v>1526</v>
      </c>
      <c r="Y14" s="117">
        <v>3485633</v>
      </c>
      <c r="Z14" s="117">
        <v>3486261</v>
      </c>
      <c r="AA14" s="118"/>
      <c r="AB14" s="119" t="s">
        <v>5786</v>
      </c>
      <c r="AC14" s="119" t="s">
        <v>1602</v>
      </c>
      <c r="AD14" s="119">
        <v>4340</v>
      </c>
      <c r="AE14" s="119" t="s">
        <v>1603</v>
      </c>
      <c r="AF14" s="119" t="s">
        <v>7307</v>
      </c>
      <c r="AG14" s="120"/>
      <c r="AH14" s="121">
        <v>44641</v>
      </c>
      <c r="AI14" s="121">
        <v>44641</v>
      </c>
      <c r="AJ14" s="121">
        <v>44641</v>
      </c>
      <c r="AK14" s="122">
        <v>44641</v>
      </c>
      <c r="AL14" s="122" t="e">
        <v>#N/A</v>
      </c>
      <c r="AM14" s="122">
        <v>45245</v>
      </c>
      <c r="AN14" s="122" t="e">
        <v>#N/A</v>
      </c>
      <c r="AO14" s="121" t="e">
        <v>#N/A</v>
      </c>
      <c r="AP14" s="122" t="e">
        <v>#N/A</v>
      </c>
      <c r="AQ14" s="122" t="e">
        <v>#N/A</v>
      </c>
      <c r="AR14" s="122">
        <v>45246</v>
      </c>
      <c r="AS14" s="122" t="e">
        <v>#N/A</v>
      </c>
      <c r="AT14" s="122" t="e">
        <v>#N/A</v>
      </c>
      <c r="AU14" s="121" t="e">
        <v>#N/A</v>
      </c>
      <c r="AV14" s="122" t="e">
        <v>#N/A</v>
      </c>
      <c r="AW14" s="122">
        <v>45744</v>
      </c>
      <c r="AX14" s="122" t="e">
        <v>#N/A</v>
      </c>
      <c r="AY14" s="122" t="e">
        <v>#N/A</v>
      </c>
      <c r="AZ14" s="122" t="e">
        <v>#N/A</v>
      </c>
      <c r="BA14" s="122" t="e">
        <v>#N/A</v>
      </c>
      <c r="BB14" s="122" t="e">
        <v>#N/A</v>
      </c>
      <c r="BC14" s="122" t="e">
        <v>#N/A</v>
      </c>
      <c r="BD14" s="122" t="e">
        <v>#N/A</v>
      </c>
      <c r="BE14" s="122" t="e">
        <v>#N/A</v>
      </c>
      <c r="BF14" s="122" t="e">
        <v>#N/A</v>
      </c>
      <c r="BG14" s="122" t="e">
        <v>#N/A</v>
      </c>
      <c r="BH14" s="122" t="e">
        <v>#N/A</v>
      </c>
      <c r="BI14" s="122" t="e">
        <v>#N/A</v>
      </c>
      <c r="BJ14" s="122" t="e">
        <v>#N/A</v>
      </c>
      <c r="BK14" s="122">
        <v>46002</v>
      </c>
      <c r="BL14" s="123"/>
      <c r="BM14" s="124" t="e">
        <v>#N/A</v>
      </c>
      <c r="BN14" s="124" t="e">
        <v>#N/A</v>
      </c>
      <c r="BO14" s="124" t="e">
        <v>#N/A</v>
      </c>
      <c r="BP14" s="124" t="e">
        <v>#N/A</v>
      </c>
      <c r="BQ14" s="124" t="e">
        <v>#N/A</v>
      </c>
      <c r="BR14" s="124" t="e">
        <v>#N/A</v>
      </c>
      <c r="BS14" s="124" t="e">
        <v>#N/A</v>
      </c>
      <c r="BT14" s="124" t="e">
        <v>#N/A</v>
      </c>
      <c r="BU14" s="124" t="e">
        <v>#N/A</v>
      </c>
      <c r="BV14" s="124" t="e">
        <v>#N/A</v>
      </c>
      <c r="BW14" s="124" t="e">
        <v>#N/A</v>
      </c>
      <c r="BX14" s="124" t="e">
        <v>#N/A</v>
      </c>
      <c r="BY14" s="124" t="e">
        <v>#N/A</v>
      </c>
      <c r="BZ14" s="124" t="e">
        <v>#N/A</v>
      </c>
      <c r="CA14" s="125"/>
      <c r="CB14" s="124">
        <v>45734</v>
      </c>
      <c r="CC14" s="126">
        <v>1</v>
      </c>
      <c r="CD14" s="127" t="e">
        <v>#N/A</v>
      </c>
      <c r="CE14" s="128"/>
      <c r="CF14" s="77" t="e">
        <v>#N/A</v>
      </c>
    </row>
    <row r="15" spans="1:85" ht="14.5" x14ac:dyDescent="0.35">
      <c r="A15" s="77">
        <v>14</v>
      </c>
      <c r="B15" s="106" t="s">
        <v>6340</v>
      </c>
      <c r="C15" s="107" t="s">
        <v>6341</v>
      </c>
      <c r="D15" s="108" t="s">
        <v>3323</v>
      </c>
      <c r="E15" s="109" t="s">
        <v>3300</v>
      </c>
      <c r="F15" s="110">
        <v>608678427</v>
      </c>
      <c r="G15" s="108" t="s">
        <v>1004</v>
      </c>
      <c r="H15" s="111" t="s">
        <v>3943</v>
      </c>
      <c r="I15" s="111" t="s">
        <v>180</v>
      </c>
      <c r="J15" s="111" t="s">
        <v>4648</v>
      </c>
      <c r="K15" s="111" t="s">
        <v>199</v>
      </c>
      <c r="L15" s="112">
        <v>42621</v>
      </c>
      <c r="M15" s="111" t="s">
        <v>3661</v>
      </c>
      <c r="N15" s="113"/>
      <c r="O15" s="114" t="s">
        <v>310</v>
      </c>
      <c r="P15" s="114" t="s">
        <v>285</v>
      </c>
      <c r="Q15" s="114" t="s">
        <v>6898</v>
      </c>
      <c r="R15" s="114" t="s">
        <v>6898</v>
      </c>
      <c r="S15" s="114" t="s">
        <v>6898</v>
      </c>
      <c r="T15" s="114" t="s">
        <v>4356</v>
      </c>
      <c r="U15" s="114" t="s">
        <v>4356</v>
      </c>
      <c r="V15" s="115"/>
      <c r="W15" s="116" t="s">
        <v>3301</v>
      </c>
      <c r="X15" s="116" t="s">
        <v>3302</v>
      </c>
      <c r="Y15" s="117">
        <v>3485253</v>
      </c>
      <c r="Z15" s="117">
        <v>3481207</v>
      </c>
      <c r="AA15" s="118"/>
      <c r="AB15" s="119" t="s">
        <v>5727</v>
      </c>
      <c r="AC15" s="119" t="s">
        <v>3303</v>
      </c>
      <c r="AD15" s="119" t="s">
        <v>4118</v>
      </c>
      <c r="AE15" s="119" t="s">
        <v>4119</v>
      </c>
      <c r="AF15" s="119">
        <v>0</v>
      </c>
      <c r="AG15" s="120"/>
      <c r="AH15" s="121">
        <v>45448</v>
      </c>
      <c r="AI15" s="121">
        <v>45448</v>
      </c>
      <c r="AJ15" s="121">
        <v>45448</v>
      </c>
      <c r="AK15" s="122">
        <v>45448</v>
      </c>
      <c r="AL15" s="122" t="e">
        <v>#N/A</v>
      </c>
      <c r="AM15" s="121" t="e">
        <v>#N/A</v>
      </c>
      <c r="AN15" s="121" t="e">
        <v>#N/A</v>
      </c>
      <c r="AO15" s="121" t="e">
        <v>#N/A</v>
      </c>
      <c r="AP15" s="122" t="e">
        <v>#N/A</v>
      </c>
      <c r="AQ15" s="122" t="e">
        <v>#N/A</v>
      </c>
      <c r="AR15" s="122" t="e">
        <v>#N/A</v>
      </c>
      <c r="AS15" s="122" t="e">
        <v>#N/A</v>
      </c>
      <c r="AT15" s="122" t="e">
        <v>#N/A</v>
      </c>
      <c r="AU15" s="121" t="e">
        <v>#N/A</v>
      </c>
      <c r="AV15" s="122" t="e">
        <v>#N/A</v>
      </c>
      <c r="AW15" s="122">
        <v>45679</v>
      </c>
      <c r="AX15" s="122" t="e">
        <v>#N/A</v>
      </c>
      <c r="AY15" s="122" t="e">
        <v>#N/A</v>
      </c>
      <c r="AZ15" s="122" t="e">
        <v>#N/A</v>
      </c>
      <c r="BA15" s="122" t="e">
        <v>#N/A</v>
      </c>
      <c r="BB15" s="122" t="e">
        <v>#N/A</v>
      </c>
      <c r="BC15" s="122" t="e">
        <v>#N/A</v>
      </c>
      <c r="BD15" s="122" t="e">
        <v>#N/A</v>
      </c>
      <c r="BE15" s="122" t="e">
        <v>#N/A</v>
      </c>
      <c r="BF15" s="122" t="e">
        <v>#N/A</v>
      </c>
      <c r="BG15" s="122" t="e">
        <v>#N/A</v>
      </c>
      <c r="BH15" s="122" t="e">
        <v>#N/A</v>
      </c>
      <c r="BI15" s="122" t="e">
        <v>#N/A</v>
      </c>
      <c r="BJ15" s="122" t="e">
        <v>#N/A</v>
      </c>
      <c r="BK15" s="122" t="e">
        <v>#N/A</v>
      </c>
      <c r="BL15" s="123"/>
      <c r="BM15" s="124" t="e">
        <v>#N/A</v>
      </c>
      <c r="BN15" s="124" t="e">
        <v>#N/A</v>
      </c>
      <c r="BO15" s="124" t="e">
        <v>#N/A</v>
      </c>
      <c r="BP15" s="124" t="e">
        <v>#N/A</v>
      </c>
      <c r="BQ15" s="124" t="e">
        <v>#N/A</v>
      </c>
      <c r="BR15" s="124" t="e">
        <v>#N/A</v>
      </c>
      <c r="BS15" s="124" t="e">
        <v>#N/A</v>
      </c>
      <c r="BT15" s="124" t="e">
        <v>#N/A</v>
      </c>
      <c r="BU15" s="124" t="e">
        <v>#N/A</v>
      </c>
      <c r="BV15" s="124" t="e">
        <v>#N/A</v>
      </c>
      <c r="BW15" s="124" t="e">
        <v>#N/A</v>
      </c>
      <c r="BX15" s="124" t="e">
        <v>#N/A</v>
      </c>
      <c r="BY15" s="124" t="e">
        <v>#N/A</v>
      </c>
      <c r="BZ15" s="124" t="e">
        <v>#N/A</v>
      </c>
      <c r="CA15" s="125"/>
      <c r="CB15" s="124" t="e">
        <v>#N/A</v>
      </c>
      <c r="CC15" s="126">
        <v>1</v>
      </c>
      <c r="CD15" s="127" t="e">
        <v>#N/A</v>
      </c>
      <c r="CE15" s="128"/>
      <c r="CF15" s="77" t="e">
        <v>#N/A</v>
      </c>
    </row>
    <row r="16" spans="1:85" ht="14.5" x14ac:dyDescent="0.35">
      <c r="A16" s="77">
        <v>15</v>
      </c>
      <c r="B16" s="106" t="s">
        <v>4045</v>
      </c>
      <c r="C16" s="107" t="s">
        <v>6719</v>
      </c>
      <c r="D16" s="108" t="s">
        <v>4099</v>
      </c>
      <c r="E16" s="109" t="s">
        <v>4100</v>
      </c>
      <c r="F16" s="110">
        <v>637122222</v>
      </c>
      <c r="G16" s="108" t="s">
        <v>1004</v>
      </c>
      <c r="H16" s="111" t="s">
        <v>3943</v>
      </c>
      <c r="I16" s="111" t="s">
        <v>180</v>
      </c>
      <c r="J16" s="111" t="s">
        <v>4648</v>
      </c>
      <c r="K16" s="111" t="s">
        <v>199</v>
      </c>
      <c r="L16" s="112">
        <v>45600</v>
      </c>
      <c r="M16" s="111" t="s">
        <v>3661</v>
      </c>
      <c r="N16" s="113"/>
      <c r="O16" s="114" t="s">
        <v>183</v>
      </c>
      <c r="P16" s="114" t="s">
        <v>7308</v>
      </c>
      <c r="Q16" s="114" t="s">
        <v>585</v>
      </c>
      <c r="R16" s="114" t="s">
        <v>585</v>
      </c>
      <c r="S16" s="114" t="s">
        <v>7308</v>
      </c>
      <c r="T16" s="114" t="s">
        <v>7308</v>
      </c>
      <c r="U16" s="114" t="s">
        <v>183</v>
      </c>
      <c r="V16" s="115"/>
      <c r="W16" s="116" t="s">
        <v>4101</v>
      </c>
      <c r="X16" s="116" t="s">
        <v>4102</v>
      </c>
      <c r="Y16" s="117">
        <v>3485995</v>
      </c>
      <c r="Z16" s="117">
        <v>3486738</v>
      </c>
      <c r="AA16" s="118"/>
      <c r="AB16" s="119" t="s">
        <v>4103</v>
      </c>
      <c r="AC16" s="119" t="s">
        <v>4104</v>
      </c>
      <c r="AD16" s="119">
        <v>5648</v>
      </c>
      <c r="AE16" s="119" t="s">
        <v>4105</v>
      </c>
      <c r="AF16" s="119">
        <v>0</v>
      </c>
      <c r="AG16" s="120"/>
      <c r="AH16" s="121">
        <v>45589</v>
      </c>
      <c r="AI16" s="121">
        <v>45600</v>
      </c>
      <c r="AJ16" s="121">
        <v>45600</v>
      </c>
      <c r="AK16" s="122">
        <v>45600</v>
      </c>
      <c r="AL16" s="122">
        <v>45875</v>
      </c>
      <c r="AM16" s="121" t="e">
        <v>#N/A</v>
      </c>
      <c r="AN16" s="121" t="e">
        <v>#N/A</v>
      </c>
      <c r="AO16" s="121" t="s">
        <v>7183</v>
      </c>
      <c r="AP16" s="122" t="e">
        <v>#N/A</v>
      </c>
      <c r="AQ16" s="122">
        <v>45875</v>
      </c>
      <c r="AR16" s="122" t="e">
        <v>#N/A</v>
      </c>
      <c r="AS16" s="122" t="e">
        <v>#N/A</v>
      </c>
      <c r="AT16" s="122" t="e">
        <v>#N/A</v>
      </c>
      <c r="AU16" s="121" t="e">
        <v>#N/A</v>
      </c>
      <c r="AV16" s="122" t="e">
        <v>#N/A</v>
      </c>
      <c r="AW16" s="122">
        <v>45737</v>
      </c>
      <c r="AX16" s="122" t="e">
        <v>#N/A</v>
      </c>
      <c r="AY16" s="122" t="e">
        <v>#N/A</v>
      </c>
      <c r="AZ16" s="122" t="e">
        <v>#N/A</v>
      </c>
      <c r="BA16" s="122" t="e">
        <v>#N/A</v>
      </c>
      <c r="BB16" s="122" t="e">
        <v>#N/A</v>
      </c>
      <c r="BC16" s="122" t="e">
        <v>#N/A</v>
      </c>
      <c r="BD16" s="122" t="e">
        <v>#N/A</v>
      </c>
      <c r="BE16" s="122" t="e">
        <v>#N/A</v>
      </c>
      <c r="BF16" s="122" t="e">
        <v>#N/A</v>
      </c>
      <c r="BG16" s="122" t="e">
        <v>#N/A</v>
      </c>
      <c r="BH16" s="122" t="e">
        <v>#N/A</v>
      </c>
      <c r="BI16" s="122" t="e">
        <v>#N/A</v>
      </c>
      <c r="BJ16" s="122" t="e">
        <v>#N/A</v>
      </c>
      <c r="BK16" s="122" t="e">
        <v>#N/A</v>
      </c>
      <c r="BL16" s="123"/>
      <c r="BM16" s="124" t="e">
        <v>#N/A</v>
      </c>
      <c r="BN16" s="124" t="e">
        <v>#N/A</v>
      </c>
      <c r="BO16" s="124" t="e">
        <v>#N/A</v>
      </c>
      <c r="BP16" s="124" t="e">
        <v>#N/A</v>
      </c>
      <c r="BQ16" s="124" t="e">
        <v>#N/A</v>
      </c>
      <c r="BR16" s="124" t="e">
        <v>#N/A</v>
      </c>
      <c r="BS16" s="124" t="e">
        <v>#N/A</v>
      </c>
      <c r="BT16" s="124" t="e">
        <v>#N/A</v>
      </c>
      <c r="BU16" s="124" t="e">
        <v>#N/A</v>
      </c>
      <c r="BV16" s="124" t="e">
        <v>#N/A</v>
      </c>
      <c r="BW16" s="124" t="e">
        <v>#N/A</v>
      </c>
      <c r="BX16" s="124" t="e">
        <v>#N/A</v>
      </c>
      <c r="BY16" s="124" t="e">
        <v>#N/A</v>
      </c>
      <c r="BZ16" s="124" t="e">
        <v>#N/A</v>
      </c>
      <c r="CA16" s="125"/>
      <c r="CB16" s="124">
        <v>45729</v>
      </c>
      <c r="CC16" s="126">
        <v>1</v>
      </c>
      <c r="CD16" s="127" t="s">
        <v>4211</v>
      </c>
      <c r="CE16" s="128"/>
      <c r="CF16" s="77" t="e">
        <v>#N/A</v>
      </c>
    </row>
    <row r="17" spans="1:84" ht="14.5" x14ac:dyDescent="0.35">
      <c r="A17" s="77">
        <v>16</v>
      </c>
      <c r="B17" s="106" t="s">
        <v>6384</v>
      </c>
      <c r="C17" s="107" t="s">
        <v>6385</v>
      </c>
      <c r="D17" s="108" t="s">
        <v>2248</v>
      </c>
      <c r="E17" s="109" t="s">
        <v>2249</v>
      </c>
      <c r="F17" s="110">
        <v>692153887</v>
      </c>
      <c r="G17" s="108" t="s">
        <v>1004</v>
      </c>
      <c r="H17" s="111" t="s">
        <v>3943</v>
      </c>
      <c r="I17" s="111" t="s">
        <v>180</v>
      </c>
      <c r="J17" s="111" t="s">
        <v>4648</v>
      </c>
      <c r="K17" s="111" t="s">
        <v>199</v>
      </c>
      <c r="L17" s="112">
        <v>41774</v>
      </c>
      <c r="M17" s="111" t="s">
        <v>728</v>
      </c>
      <c r="N17" s="113"/>
      <c r="O17" s="114" t="s">
        <v>7309</v>
      </c>
      <c r="P17" s="114" t="s">
        <v>7309</v>
      </c>
      <c r="Q17" s="114" t="s">
        <v>7309</v>
      </c>
      <c r="R17" s="114" t="s">
        <v>7310</v>
      </c>
      <c r="S17" s="114" t="s">
        <v>7309</v>
      </c>
      <c r="T17" s="114" t="s">
        <v>183</v>
      </c>
      <c r="U17" s="114" t="s">
        <v>183</v>
      </c>
      <c r="V17" s="115"/>
      <c r="W17" s="116" t="s">
        <v>2250</v>
      </c>
      <c r="X17" s="116" t="s">
        <v>2251</v>
      </c>
      <c r="Y17" s="117">
        <v>3485439</v>
      </c>
      <c r="Z17" s="117">
        <v>3481266</v>
      </c>
      <c r="AA17" s="118"/>
      <c r="AB17" s="119" t="s">
        <v>5784</v>
      </c>
      <c r="AC17" s="119" t="s">
        <v>4468</v>
      </c>
      <c r="AD17" s="119">
        <v>27700</v>
      </c>
      <c r="AE17" s="119" t="s">
        <v>2998</v>
      </c>
      <c r="AF17" s="119" t="s">
        <v>7311</v>
      </c>
      <c r="AG17" s="120"/>
      <c r="AH17" s="121">
        <v>44817</v>
      </c>
      <c r="AI17" s="121">
        <v>44817</v>
      </c>
      <c r="AJ17" s="121">
        <v>44817</v>
      </c>
      <c r="AK17" s="122">
        <v>45057</v>
      </c>
      <c r="AL17" s="122" t="e">
        <v>#N/A</v>
      </c>
      <c r="AM17" s="121" t="e">
        <v>#N/A</v>
      </c>
      <c r="AN17" s="121" t="e">
        <v>#N/A</v>
      </c>
      <c r="AO17" s="121" t="e">
        <v>#N/A</v>
      </c>
      <c r="AP17" s="122" t="e">
        <v>#N/A</v>
      </c>
      <c r="AQ17" s="122" t="e">
        <v>#N/A</v>
      </c>
      <c r="AR17" s="122" t="e">
        <v>#N/A</v>
      </c>
      <c r="AS17" s="122" t="e">
        <v>#N/A</v>
      </c>
      <c r="AT17" s="122" t="e">
        <v>#N/A</v>
      </c>
      <c r="AU17" s="121" t="e">
        <v>#N/A</v>
      </c>
      <c r="AV17" s="122" t="e">
        <v>#N/A</v>
      </c>
      <c r="AW17" s="122">
        <v>45677</v>
      </c>
      <c r="AX17" s="122" t="e">
        <v>#N/A</v>
      </c>
      <c r="AY17" s="122" t="e">
        <v>#N/A</v>
      </c>
      <c r="AZ17" s="122" t="e">
        <v>#N/A</v>
      </c>
      <c r="BA17" s="122" t="e">
        <v>#N/A</v>
      </c>
      <c r="BB17" s="122" t="e">
        <v>#N/A</v>
      </c>
      <c r="BC17" s="122" t="e">
        <v>#N/A</v>
      </c>
      <c r="BD17" s="122" t="e">
        <v>#N/A</v>
      </c>
      <c r="BE17" s="122" t="e">
        <v>#N/A</v>
      </c>
      <c r="BF17" s="122" t="e">
        <v>#N/A</v>
      </c>
      <c r="BG17" s="122" t="e">
        <v>#N/A</v>
      </c>
      <c r="BH17" s="122" t="e">
        <v>#N/A</v>
      </c>
      <c r="BI17" s="122" t="e">
        <v>#N/A</v>
      </c>
      <c r="BJ17" s="122" t="e">
        <v>#N/A</v>
      </c>
      <c r="BK17" s="122">
        <v>45982</v>
      </c>
      <c r="BL17" s="123"/>
      <c r="BM17" s="124">
        <v>45931</v>
      </c>
      <c r="BN17" s="124">
        <v>45931</v>
      </c>
      <c r="BO17" s="124">
        <v>45938</v>
      </c>
      <c r="BP17" s="124" t="e">
        <v>#N/A</v>
      </c>
      <c r="BQ17" s="124" t="e">
        <v>#N/A</v>
      </c>
      <c r="BR17" s="124" t="e">
        <v>#N/A</v>
      </c>
      <c r="BS17" s="124" t="e">
        <v>#N/A</v>
      </c>
      <c r="BT17" s="124" t="e">
        <v>#N/A</v>
      </c>
      <c r="BU17" s="124" t="e">
        <v>#N/A</v>
      </c>
      <c r="BV17" s="124" t="e">
        <v>#N/A</v>
      </c>
      <c r="BW17" s="124" t="e">
        <v>#N/A</v>
      </c>
      <c r="BX17" s="124" t="e">
        <v>#N/A</v>
      </c>
      <c r="BY17" s="124" t="e">
        <v>#N/A</v>
      </c>
      <c r="BZ17" s="124" t="e">
        <v>#N/A</v>
      </c>
      <c r="CA17" s="125"/>
      <c r="CB17" s="124">
        <v>45726</v>
      </c>
      <c r="CC17" s="126">
        <v>1</v>
      </c>
      <c r="CD17" s="127" t="s">
        <v>4186</v>
      </c>
      <c r="CE17" s="128"/>
      <c r="CF17" s="77" t="e">
        <v>#N/A</v>
      </c>
    </row>
    <row r="18" spans="1:84" ht="14.5" x14ac:dyDescent="0.35">
      <c r="A18" s="77">
        <v>17</v>
      </c>
      <c r="B18" s="106" t="s">
        <v>6252</v>
      </c>
      <c r="C18" s="107" t="s">
        <v>6706</v>
      </c>
      <c r="D18" s="108" t="s">
        <v>6253</v>
      </c>
      <c r="E18" s="109" t="s">
        <v>6254</v>
      </c>
      <c r="F18" s="110">
        <v>644341026</v>
      </c>
      <c r="G18" s="108" t="s">
        <v>1004</v>
      </c>
      <c r="H18" s="111" t="s">
        <v>3943</v>
      </c>
      <c r="I18" s="111" t="s">
        <v>180</v>
      </c>
      <c r="J18" s="111" t="s">
        <v>4648</v>
      </c>
      <c r="K18" s="111" t="s">
        <v>199</v>
      </c>
      <c r="L18" s="112">
        <v>45579</v>
      </c>
      <c r="M18" s="111" t="s">
        <v>213</v>
      </c>
      <c r="N18" s="113"/>
      <c r="O18" s="114" t="s">
        <v>183</v>
      </c>
      <c r="P18" s="114" t="s">
        <v>285</v>
      </c>
      <c r="Q18" s="114" t="s">
        <v>286</v>
      </c>
      <c r="R18" s="114" t="s">
        <v>7312</v>
      </c>
      <c r="S18" s="114" t="s">
        <v>285</v>
      </c>
      <c r="T18" s="114" t="s">
        <v>367</v>
      </c>
      <c r="U18" s="114" t="s">
        <v>183</v>
      </c>
      <c r="V18" s="115"/>
      <c r="W18" s="116" t="s">
        <v>6255</v>
      </c>
      <c r="X18" s="116" t="s">
        <v>6256</v>
      </c>
      <c r="Y18" s="117">
        <v>3485983</v>
      </c>
      <c r="Z18" s="117">
        <v>3481551</v>
      </c>
      <c r="AA18" s="118"/>
      <c r="AB18" s="119" t="s">
        <v>6257</v>
      </c>
      <c r="AC18" s="119" t="s">
        <v>6258</v>
      </c>
      <c r="AD18" s="119">
        <v>5899</v>
      </c>
      <c r="AE18" s="119" t="s">
        <v>6259</v>
      </c>
      <c r="AF18" s="119" t="s">
        <v>7313</v>
      </c>
      <c r="AG18" s="120"/>
      <c r="AH18" s="121">
        <v>45579</v>
      </c>
      <c r="AI18" s="121">
        <v>45579</v>
      </c>
      <c r="AJ18" s="121">
        <v>45579</v>
      </c>
      <c r="AK18" s="122">
        <v>45579</v>
      </c>
      <c r="AL18" s="122" t="e">
        <v>#N/A</v>
      </c>
      <c r="AM18" s="121" t="e">
        <v>#N/A</v>
      </c>
      <c r="AN18" s="121" t="e">
        <v>#N/A</v>
      </c>
      <c r="AO18" s="121" t="e">
        <v>#N/A</v>
      </c>
      <c r="AP18" s="122" t="e">
        <v>#N/A</v>
      </c>
      <c r="AQ18" s="122" t="e">
        <v>#N/A</v>
      </c>
      <c r="AR18" s="122" t="e">
        <v>#N/A</v>
      </c>
      <c r="AS18" s="122" t="e">
        <v>#N/A</v>
      </c>
      <c r="AT18" s="122" t="e">
        <v>#N/A</v>
      </c>
      <c r="AU18" s="121" t="e">
        <v>#N/A</v>
      </c>
      <c r="AV18" s="122">
        <v>45734</v>
      </c>
      <c r="AW18" s="122">
        <v>45698</v>
      </c>
      <c r="AX18" s="122" t="e">
        <v>#N/A</v>
      </c>
      <c r="AY18" s="122" t="e">
        <v>#N/A</v>
      </c>
      <c r="AZ18" s="122" t="e">
        <v>#N/A</v>
      </c>
      <c r="BA18" s="122" t="e">
        <v>#N/A</v>
      </c>
      <c r="BB18" s="122" t="e">
        <v>#N/A</v>
      </c>
      <c r="BC18" s="122" t="e">
        <v>#N/A</v>
      </c>
      <c r="BD18" s="122" t="e">
        <v>#N/A</v>
      </c>
      <c r="BE18" s="122" t="e">
        <v>#N/A</v>
      </c>
      <c r="BF18" s="122" t="e">
        <v>#N/A</v>
      </c>
      <c r="BG18" s="122" t="e">
        <v>#N/A</v>
      </c>
      <c r="BH18" s="122" t="e">
        <v>#N/A</v>
      </c>
      <c r="BI18" s="122" t="e">
        <v>#N/A</v>
      </c>
      <c r="BJ18" s="122" t="e">
        <v>#N/A</v>
      </c>
      <c r="BK18" s="122">
        <v>45973</v>
      </c>
      <c r="BL18" s="123"/>
      <c r="BM18" s="124">
        <v>45957</v>
      </c>
      <c r="BN18" s="124">
        <v>45957</v>
      </c>
      <c r="BO18" s="124" t="e">
        <v>#N/A</v>
      </c>
      <c r="BP18" s="124" t="e">
        <v>#N/A</v>
      </c>
      <c r="BQ18" s="124" t="e">
        <v>#N/A</v>
      </c>
      <c r="BR18" s="124" t="e">
        <v>#N/A</v>
      </c>
      <c r="BS18" s="124" t="e">
        <v>#N/A</v>
      </c>
      <c r="BT18" s="124" t="e">
        <v>#N/A</v>
      </c>
      <c r="BU18" s="124" t="e">
        <v>#N/A</v>
      </c>
      <c r="BV18" s="124" t="e">
        <v>#N/A</v>
      </c>
      <c r="BW18" s="124" t="e">
        <v>#N/A</v>
      </c>
      <c r="BX18" s="124" t="e">
        <v>#N/A</v>
      </c>
      <c r="BY18" s="124" t="e">
        <v>#N/A</v>
      </c>
      <c r="BZ18" s="124" t="e">
        <v>#N/A</v>
      </c>
      <c r="CA18" s="125"/>
      <c r="CB18" s="124" t="e">
        <v>#N/A</v>
      </c>
      <c r="CC18" s="126">
        <v>1</v>
      </c>
      <c r="CD18" s="127" t="s">
        <v>4212</v>
      </c>
      <c r="CE18" s="128"/>
      <c r="CF18" s="77" t="e">
        <v>#N/A</v>
      </c>
    </row>
    <row r="19" spans="1:84" ht="14.5" x14ac:dyDescent="0.35">
      <c r="A19" s="77">
        <v>18</v>
      </c>
      <c r="B19" s="106" t="s">
        <v>3783</v>
      </c>
      <c r="C19" s="107" t="s">
        <v>6682</v>
      </c>
      <c r="D19" s="108" t="s">
        <v>3784</v>
      </c>
      <c r="E19" s="109" t="s">
        <v>3785</v>
      </c>
      <c r="F19" s="110">
        <v>642908493</v>
      </c>
      <c r="G19" s="108" t="s">
        <v>1004</v>
      </c>
      <c r="H19" s="111" t="s">
        <v>3924</v>
      </c>
      <c r="I19" s="111" t="s">
        <v>180</v>
      </c>
      <c r="J19" s="111" t="s">
        <v>4648</v>
      </c>
      <c r="K19" s="111" t="s">
        <v>3159</v>
      </c>
      <c r="L19" s="112">
        <v>45505</v>
      </c>
      <c r="M19" s="111" t="s">
        <v>2383</v>
      </c>
      <c r="N19" s="113"/>
      <c r="O19" s="114" t="s">
        <v>607</v>
      </c>
      <c r="P19" s="114" t="s">
        <v>557</v>
      </c>
      <c r="Q19" s="114" t="s">
        <v>3211</v>
      </c>
      <c r="R19" s="114" t="s">
        <v>7297</v>
      </c>
      <c r="S19" s="114" t="s">
        <v>557</v>
      </c>
      <c r="T19" s="114" t="s">
        <v>183</v>
      </c>
      <c r="U19" s="114" t="s">
        <v>183</v>
      </c>
      <c r="V19" s="115"/>
      <c r="W19" s="116" t="s">
        <v>3786</v>
      </c>
      <c r="X19" s="116" t="s">
        <v>3787</v>
      </c>
      <c r="Y19" s="117">
        <v>3485721</v>
      </c>
      <c r="Z19" s="117">
        <v>3486360</v>
      </c>
      <c r="AA19" s="118"/>
      <c r="AB19" s="119" t="s">
        <v>5756</v>
      </c>
      <c r="AC19" s="119" t="s">
        <v>3788</v>
      </c>
      <c r="AD19" s="119">
        <v>5182</v>
      </c>
      <c r="AE19" s="119" t="s">
        <v>3789</v>
      </c>
      <c r="AF19" s="119" t="s">
        <v>7314</v>
      </c>
      <c r="AG19" s="120"/>
      <c r="AH19" s="121">
        <v>45523</v>
      </c>
      <c r="AI19" s="121">
        <v>45523</v>
      </c>
      <c r="AJ19" s="121">
        <v>45523</v>
      </c>
      <c r="AK19" s="122">
        <v>45523</v>
      </c>
      <c r="AL19" s="122">
        <v>45600</v>
      </c>
      <c r="AM19" s="121">
        <v>45600</v>
      </c>
      <c r="AN19" s="121" t="s">
        <v>4656</v>
      </c>
      <c r="AO19" s="121" t="e">
        <v>#N/A</v>
      </c>
      <c r="AP19" s="122" t="e">
        <v>#N/A</v>
      </c>
      <c r="AQ19" s="122" t="e">
        <v>#N/A</v>
      </c>
      <c r="AR19" s="122" t="e">
        <v>#N/A</v>
      </c>
      <c r="AS19" s="122" t="e">
        <v>#N/A</v>
      </c>
      <c r="AT19" s="122" t="e">
        <v>#N/A</v>
      </c>
      <c r="AU19" s="121">
        <v>45912</v>
      </c>
      <c r="AV19" s="122">
        <v>45734</v>
      </c>
      <c r="AW19" s="122">
        <v>45694</v>
      </c>
      <c r="AX19" s="122" t="e">
        <v>#N/A</v>
      </c>
      <c r="AY19" s="122" t="e">
        <v>#N/A</v>
      </c>
      <c r="AZ19" s="122" t="e">
        <v>#N/A</v>
      </c>
      <c r="BA19" s="122" t="e">
        <v>#N/A</v>
      </c>
      <c r="BB19" s="122" t="e">
        <v>#N/A</v>
      </c>
      <c r="BC19" s="122" t="e">
        <v>#N/A</v>
      </c>
      <c r="BD19" s="122" t="e">
        <v>#N/A</v>
      </c>
      <c r="BE19" s="122" t="e">
        <v>#N/A</v>
      </c>
      <c r="BF19" s="122" t="e">
        <v>#N/A</v>
      </c>
      <c r="BG19" s="122" t="e">
        <v>#N/A</v>
      </c>
      <c r="BH19" s="122" t="e">
        <v>#N/A</v>
      </c>
      <c r="BI19" s="122" t="e">
        <v>#N/A</v>
      </c>
      <c r="BJ19" s="122" t="e">
        <v>#N/A</v>
      </c>
      <c r="BK19" s="122">
        <v>45973</v>
      </c>
      <c r="BL19" s="123"/>
      <c r="BM19" s="124">
        <v>45812</v>
      </c>
      <c r="BN19" s="124">
        <v>45812</v>
      </c>
      <c r="BO19" s="124">
        <v>46006</v>
      </c>
      <c r="BP19" s="124" t="e">
        <v>#N/A</v>
      </c>
      <c r="BQ19" s="124">
        <v>45929</v>
      </c>
      <c r="BR19" s="124" t="e">
        <v>#N/A</v>
      </c>
      <c r="BS19" s="124">
        <v>45812</v>
      </c>
      <c r="BT19" s="124" t="e">
        <v>#N/A</v>
      </c>
      <c r="BU19" s="124" t="e">
        <v>#N/A</v>
      </c>
      <c r="BV19" s="124" t="e">
        <v>#N/A</v>
      </c>
      <c r="BW19" s="124" t="e">
        <v>#N/A</v>
      </c>
      <c r="BX19" s="124">
        <v>45979</v>
      </c>
      <c r="BY19" s="124" t="e">
        <v>#N/A</v>
      </c>
      <c r="BZ19" s="124" t="e">
        <v>#N/A</v>
      </c>
      <c r="CA19" s="125"/>
      <c r="CB19" s="124" t="e">
        <v>#N/A</v>
      </c>
      <c r="CC19" s="126">
        <v>1</v>
      </c>
      <c r="CD19" s="127" t="s">
        <v>4206</v>
      </c>
      <c r="CE19" s="128"/>
      <c r="CF19" s="77" t="e">
        <v>#N/A</v>
      </c>
    </row>
    <row r="20" spans="1:84" ht="14.5" x14ac:dyDescent="0.35">
      <c r="A20" s="77">
        <v>19</v>
      </c>
      <c r="B20" s="106" t="s">
        <v>3591</v>
      </c>
      <c r="C20" s="107" t="s">
        <v>6635</v>
      </c>
      <c r="D20" s="108" t="s">
        <v>3592</v>
      </c>
      <c r="E20" s="109" t="s">
        <v>3593</v>
      </c>
      <c r="F20" s="110">
        <v>613830821</v>
      </c>
      <c r="G20" s="108" t="s">
        <v>1004</v>
      </c>
      <c r="H20" s="111" t="s">
        <v>3924</v>
      </c>
      <c r="I20" s="111" t="s">
        <v>180</v>
      </c>
      <c r="J20" s="111" t="s">
        <v>4648</v>
      </c>
      <c r="K20" s="111" t="s">
        <v>3159</v>
      </c>
      <c r="L20" s="112">
        <v>45481</v>
      </c>
      <c r="M20" s="111" t="s">
        <v>728</v>
      </c>
      <c r="N20" s="113"/>
      <c r="O20" s="114" t="s">
        <v>7315</v>
      </c>
      <c r="P20" s="114" t="s">
        <v>285</v>
      </c>
      <c r="Q20" s="114" t="s">
        <v>285</v>
      </c>
      <c r="R20" s="114" t="s">
        <v>7312</v>
      </c>
      <c r="S20" s="114" t="s">
        <v>285</v>
      </c>
      <c r="T20" s="114" t="s">
        <v>257</v>
      </c>
      <c r="U20" s="114" t="s">
        <v>183</v>
      </c>
      <c r="V20" s="115"/>
      <c r="W20" s="116" t="s">
        <v>3594</v>
      </c>
      <c r="X20" s="116" t="s">
        <v>3595</v>
      </c>
      <c r="Y20" s="117">
        <v>3485890</v>
      </c>
      <c r="Z20" s="117">
        <v>3486583</v>
      </c>
      <c r="AA20" s="118"/>
      <c r="AB20" s="119" t="s">
        <v>3829</v>
      </c>
      <c r="AC20" s="119" t="s">
        <v>3596</v>
      </c>
      <c r="AD20" s="119">
        <v>5357</v>
      </c>
      <c r="AE20" s="119" t="s">
        <v>3597</v>
      </c>
      <c r="AF20" s="119" t="s">
        <v>7173</v>
      </c>
      <c r="AG20" s="120"/>
      <c r="AH20" s="121">
        <v>45497</v>
      </c>
      <c r="AI20" s="121">
        <v>45497</v>
      </c>
      <c r="AJ20" s="121">
        <v>45497</v>
      </c>
      <c r="AK20" s="122">
        <v>45497</v>
      </c>
      <c r="AL20" s="122" t="e">
        <v>#N/A</v>
      </c>
      <c r="AM20" s="121" t="e">
        <v>#N/A</v>
      </c>
      <c r="AN20" s="121" t="e">
        <v>#N/A</v>
      </c>
      <c r="AO20" s="121" t="e">
        <v>#N/A</v>
      </c>
      <c r="AP20" s="122" t="e">
        <v>#N/A</v>
      </c>
      <c r="AQ20" s="122" t="e">
        <v>#N/A</v>
      </c>
      <c r="AR20" s="122" t="e">
        <v>#N/A</v>
      </c>
      <c r="AS20" s="122" t="e">
        <v>#N/A</v>
      </c>
      <c r="AT20" s="122" t="e">
        <v>#N/A</v>
      </c>
      <c r="AU20" s="121" t="e">
        <v>#N/A</v>
      </c>
      <c r="AV20" s="122" t="e">
        <v>#N/A</v>
      </c>
      <c r="AW20" s="122">
        <v>45742</v>
      </c>
      <c r="AX20" s="122" t="e">
        <v>#N/A</v>
      </c>
      <c r="AY20" s="122" t="e">
        <v>#N/A</v>
      </c>
      <c r="AZ20" s="122" t="e">
        <v>#N/A</v>
      </c>
      <c r="BA20" s="122" t="e">
        <v>#N/A</v>
      </c>
      <c r="BB20" s="122" t="e">
        <v>#N/A</v>
      </c>
      <c r="BC20" s="122" t="e">
        <v>#N/A</v>
      </c>
      <c r="BD20" s="122" t="e">
        <v>#N/A</v>
      </c>
      <c r="BE20" s="122" t="e">
        <v>#N/A</v>
      </c>
      <c r="BF20" s="122" t="e">
        <v>#N/A</v>
      </c>
      <c r="BG20" s="122" t="e">
        <v>#N/A</v>
      </c>
      <c r="BH20" s="122" t="e">
        <v>#N/A</v>
      </c>
      <c r="BI20" s="122" t="e">
        <v>#N/A</v>
      </c>
      <c r="BJ20" s="122" t="e">
        <v>#N/A</v>
      </c>
      <c r="BK20" s="122">
        <v>45982</v>
      </c>
      <c r="BL20" s="123"/>
      <c r="BM20" s="124">
        <v>45862</v>
      </c>
      <c r="BN20" s="124">
        <v>45862</v>
      </c>
      <c r="BO20" s="124" t="e">
        <v>#N/A</v>
      </c>
      <c r="BP20" s="124" t="e">
        <v>#N/A</v>
      </c>
      <c r="BQ20" s="124">
        <v>45929</v>
      </c>
      <c r="BR20" s="124" t="e">
        <v>#N/A</v>
      </c>
      <c r="BS20" s="124">
        <v>45862</v>
      </c>
      <c r="BT20" s="124" t="e">
        <v>#N/A</v>
      </c>
      <c r="BU20" s="124" t="e">
        <v>#N/A</v>
      </c>
      <c r="BV20" s="124" t="e">
        <v>#N/A</v>
      </c>
      <c r="BW20" s="124" t="e">
        <v>#N/A</v>
      </c>
      <c r="BX20" s="124" t="e">
        <v>#N/A</v>
      </c>
      <c r="BY20" s="124" t="e">
        <v>#N/A</v>
      </c>
      <c r="BZ20" s="124" t="e">
        <v>#N/A</v>
      </c>
      <c r="CA20" s="125"/>
      <c r="CB20" s="124" t="e">
        <v>#N/A</v>
      </c>
      <c r="CC20" s="126">
        <v>1</v>
      </c>
      <c r="CD20" s="127" t="s">
        <v>4201</v>
      </c>
      <c r="CE20" s="128"/>
      <c r="CF20" s="77" t="e">
        <v>#N/A</v>
      </c>
    </row>
    <row r="21" spans="1:84" ht="14.5" x14ac:dyDescent="0.35">
      <c r="A21" s="77">
        <v>20</v>
      </c>
      <c r="B21" s="106" t="s">
        <v>3799</v>
      </c>
      <c r="C21" s="107" t="s">
        <v>6690</v>
      </c>
      <c r="D21" s="108" t="s">
        <v>3800</v>
      </c>
      <c r="E21" s="109" t="s">
        <v>3801</v>
      </c>
      <c r="F21" s="110">
        <v>687504028</v>
      </c>
      <c r="G21" s="108" t="s">
        <v>1004</v>
      </c>
      <c r="H21" s="111" t="s">
        <v>3924</v>
      </c>
      <c r="I21" s="111" t="s">
        <v>180</v>
      </c>
      <c r="J21" s="111" t="s">
        <v>4648</v>
      </c>
      <c r="K21" s="111" t="s">
        <v>3159</v>
      </c>
      <c r="L21" s="112">
        <v>45516</v>
      </c>
      <c r="M21" s="111" t="s">
        <v>728</v>
      </c>
      <c r="N21" s="113"/>
      <c r="O21" s="114" t="s">
        <v>4393</v>
      </c>
      <c r="P21" s="114" t="s">
        <v>6095</v>
      </c>
      <c r="Q21" s="114" t="s">
        <v>4393</v>
      </c>
      <c r="R21" s="114" t="s">
        <v>6095</v>
      </c>
      <c r="S21" s="114" t="s">
        <v>285</v>
      </c>
      <c r="T21" s="114" t="s">
        <v>183</v>
      </c>
      <c r="U21" s="114" t="s">
        <v>183</v>
      </c>
      <c r="V21" s="115"/>
      <c r="W21" s="116" t="s">
        <v>3802</v>
      </c>
      <c r="X21" s="116" t="s">
        <v>3803</v>
      </c>
      <c r="Y21" s="117">
        <v>3487057</v>
      </c>
      <c r="Z21" s="117">
        <v>3481561</v>
      </c>
      <c r="AA21" s="118"/>
      <c r="AB21" s="119" t="s">
        <v>3804</v>
      </c>
      <c r="AC21" s="119" t="s">
        <v>3832</v>
      </c>
      <c r="AD21" s="119">
        <v>5335</v>
      </c>
      <c r="AE21" s="119" t="s">
        <v>3805</v>
      </c>
      <c r="AF21" s="119" t="s">
        <v>6691</v>
      </c>
      <c r="AG21" s="120"/>
      <c r="AH21" s="121">
        <v>45531</v>
      </c>
      <c r="AI21" s="121">
        <v>45531</v>
      </c>
      <c r="AJ21" s="121">
        <v>45531</v>
      </c>
      <c r="AK21" s="122">
        <v>45531</v>
      </c>
      <c r="AL21" s="122">
        <v>45600</v>
      </c>
      <c r="AM21" s="121">
        <v>45600</v>
      </c>
      <c r="AN21" s="121" t="s">
        <v>4656</v>
      </c>
      <c r="AO21" s="121" t="e">
        <v>#N/A</v>
      </c>
      <c r="AP21" s="122" t="e">
        <v>#N/A</v>
      </c>
      <c r="AQ21" s="122" t="e">
        <v>#N/A</v>
      </c>
      <c r="AR21" s="122" t="e">
        <v>#N/A</v>
      </c>
      <c r="AS21" s="122" t="e">
        <v>#N/A</v>
      </c>
      <c r="AT21" s="122" t="e">
        <v>#N/A</v>
      </c>
      <c r="AU21" s="121" t="e">
        <v>#N/A</v>
      </c>
      <c r="AV21" s="122" t="e">
        <v>#N/A</v>
      </c>
      <c r="AW21" s="122">
        <v>45679</v>
      </c>
      <c r="AX21" s="122" t="e">
        <v>#N/A</v>
      </c>
      <c r="AY21" s="122" t="e">
        <v>#N/A</v>
      </c>
      <c r="AZ21" s="122" t="e">
        <v>#N/A</v>
      </c>
      <c r="BA21" s="122" t="e">
        <v>#N/A</v>
      </c>
      <c r="BB21" s="122" t="e">
        <v>#N/A</v>
      </c>
      <c r="BC21" s="122" t="e">
        <v>#N/A</v>
      </c>
      <c r="BD21" s="122" t="e">
        <v>#N/A</v>
      </c>
      <c r="BE21" s="122" t="e">
        <v>#N/A</v>
      </c>
      <c r="BF21" s="122" t="e">
        <v>#N/A</v>
      </c>
      <c r="BG21" s="122" t="e">
        <v>#N/A</v>
      </c>
      <c r="BH21" s="122" t="e">
        <v>#N/A</v>
      </c>
      <c r="BI21" s="122" t="e">
        <v>#N/A</v>
      </c>
      <c r="BJ21" s="122" t="e">
        <v>#N/A</v>
      </c>
      <c r="BK21" s="122">
        <v>45954</v>
      </c>
      <c r="BL21" s="123"/>
      <c r="BM21" s="124">
        <v>45862</v>
      </c>
      <c r="BN21" s="124">
        <v>45862</v>
      </c>
      <c r="BO21" s="124">
        <v>45915</v>
      </c>
      <c r="BP21" s="124" t="e">
        <v>#N/A</v>
      </c>
      <c r="BQ21" s="124">
        <v>45929</v>
      </c>
      <c r="BR21" s="124">
        <v>45986</v>
      </c>
      <c r="BS21" s="124">
        <v>45862</v>
      </c>
      <c r="BT21" s="124" t="e">
        <v>#N/A</v>
      </c>
      <c r="BU21" s="124" t="e">
        <v>#N/A</v>
      </c>
      <c r="BV21" s="124" t="e">
        <v>#N/A</v>
      </c>
      <c r="BW21" s="124" t="e">
        <v>#N/A</v>
      </c>
      <c r="BX21" s="124" t="e">
        <v>#N/A</v>
      </c>
      <c r="BY21" s="124" t="e">
        <v>#N/A</v>
      </c>
      <c r="BZ21" s="124" t="e">
        <v>#N/A</v>
      </c>
      <c r="CA21" s="125"/>
      <c r="CB21" s="124" t="e">
        <v>#N/A</v>
      </c>
      <c r="CC21" s="126">
        <v>1</v>
      </c>
      <c r="CD21" s="127" t="s">
        <v>4207</v>
      </c>
      <c r="CE21" s="128"/>
      <c r="CF21" s="77" t="e">
        <v>#N/A</v>
      </c>
    </row>
    <row r="22" spans="1:84" ht="14.5" x14ac:dyDescent="0.35">
      <c r="A22" s="77">
        <v>21</v>
      </c>
      <c r="B22" s="106" t="s">
        <v>3455</v>
      </c>
      <c r="C22" s="107" t="s">
        <v>6484</v>
      </c>
      <c r="D22" s="108" t="s">
        <v>3456</v>
      </c>
      <c r="E22" s="109" t="s">
        <v>3457</v>
      </c>
      <c r="F22" s="110">
        <v>691239944</v>
      </c>
      <c r="G22" s="108" t="s">
        <v>1004</v>
      </c>
      <c r="H22" s="111" t="s">
        <v>3924</v>
      </c>
      <c r="I22" s="111" t="s">
        <v>180</v>
      </c>
      <c r="J22" s="111" t="s">
        <v>4648</v>
      </c>
      <c r="K22" s="111" t="s">
        <v>3159</v>
      </c>
      <c r="L22" s="112">
        <v>45464</v>
      </c>
      <c r="M22" s="111" t="s">
        <v>597</v>
      </c>
      <c r="N22" s="113"/>
      <c r="O22" s="114" t="s">
        <v>4467</v>
      </c>
      <c r="P22" s="114" t="s">
        <v>4467</v>
      </c>
      <c r="Q22" s="114" t="s">
        <v>4467</v>
      </c>
      <c r="R22" s="114" t="s">
        <v>4467</v>
      </c>
      <c r="S22" s="114" t="s">
        <v>4467</v>
      </c>
      <c r="T22" s="114" t="s">
        <v>4356</v>
      </c>
      <c r="U22" s="114" t="s">
        <v>4356</v>
      </c>
      <c r="V22" s="115"/>
      <c r="W22" s="116" t="s">
        <v>3458</v>
      </c>
      <c r="X22" s="116" t="s">
        <v>3459</v>
      </c>
      <c r="Y22" s="117">
        <v>3485963</v>
      </c>
      <c r="Z22" s="117">
        <v>3486663</v>
      </c>
      <c r="AA22" s="118"/>
      <c r="AB22" s="119" t="s">
        <v>3499</v>
      </c>
      <c r="AC22" s="119" t="s">
        <v>3512</v>
      </c>
      <c r="AD22" s="119">
        <v>5348</v>
      </c>
      <c r="AE22" s="119" t="s">
        <v>3460</v>
      </c>
      <c r="AF22" s="119" t="s">
        <v>6232</v>
      </c>
      <c r="AG22" s="120"/>
      <c r="AH22" s="121">
        <v>45481</v>
      </c>
      <c r="AI22" s="121">
        <v>45481</v>
      </c>
      <c r="AJ22" s="121">
        <v>45481</v>
      </c>
      <c r="AK22" s="122">
        <v>45481</v>
      </c>
      <c r="AL22" s="122">
        <v>45681</v>
      </c>
      <c r="AM22" s="121" t="e">
        <v>#N/A</v>
      </c>
      <c r="AN22" s="121" t="e">
        <v>#N/A</v>
      </c>
      <c r="AO22" s="121" t="e">
        <v>#N/A</v>
      </c>
      <c r="AP22" s="122">
        <v>45681</v>
      </c>
      <c r="AQ22" s="122" t="e">
        <v>#N/A</v>
      </c>
      <c r="AR22" s="122" t="e">
        <v>#N/A</v>
      </c>
      <c r="AS22" s="122" t="e">
        <v>#N/A</v>
      </c>
      <c r="AT22" s="122" t="e">
        <v>#N/A</v>
      </c>
      <c r="AU22" s="121">
        <v>45922</v>
      </c>
      <c r="AV22" s="122">
        <v>45734</v>
      </c>
      <c r="AW22" s="122">
        <v>45616</v>
      </c>
      <c r="AX22" s="122" t="e">
        <v>#N/A</v>
      </c>
      <c r="AY22" s="122" t="e">
        <v>#N/A</v>
      </c>
      <c r="AZ22" s="122" t="e">
        <v>#N/A</v>
      </c>
      <c r="BA22" s="122" t="e">
        <v>#N/A</v>
      </c>
      <c r="BB22" s="122" t="e">
        <v>#N/A</v>
      </c>
      <c r="BC22" s="122" t="e">
        <v>#N/A</v>
      </c>
      <c r="BD22" s="122" t="e">
        <v>#N/A</v>
      </c>
      <c r="BE22" s="122" t="e">
        <v>#N/A</v>
      </c>
      <c r="BF22" s="122" t="e">
        <v>#N/A</v>
      </c>
      <c r="BG22" s="122" t="e">
        <v>#N/A</v>
      </c>
      <c r="BH22" s="122" t="e">
        <v>#N/A</v>
      </c>
      <c r="BI22" s="122" t="e">
        <v>#N/A</v>
      </c>
      <c r="BJ22" s="122" t="e">
        <v>#N/A</v>
      </c>
      <c r="BK22" s="122">
        <v>45957</v>
      </c>
      <c r="BL22" s="123"/>
      <c r="BM22" s="124">
        <v>45862</v>
      </c>
      <c r="BN22" s="124">
        <v>45862</v>
      </c>
      <c r="BO22" s="124">
        <v>46006</v>
      </c>
      <c r="BP22" s="124">
        <v>45930</v>
      </c>
      <c r="BQ22" s="124" t="e">
        <v>#N/A</v>
      </c>
      <c r="BR22" s="124" t="e">
        <v>#N/A</v>
      </c>
      <c r="BS22" s="124">
        <v>45862</v>
      </c>
      <c r="BT22" s="124" t="e">
        <v>#N/A</v>
      </c>
      <c r="BU22" s="124" t="e">
        <v>#N/A</v>
      </c>
      <c r="BV22" s="124" t="e">
        <v>#N/A</v>
      </c>
      <c r="BW22" s="124" t="e">
        <v>#N/A</v>
      </c>
      <c r="BX22" s="124" t="e">
        <v>#N/A</v>
      </c>
      <c r="BY22" s="124" t="e">
        <v>#N/A</v>
      </c>
      <c r="BZ22" s="124" t="e">
        <v>#N/A</v>
      </c>
      <c r="CA22" s="125"/>
      <c r="CB22" s="124" t="e">
        <v>#N/A</v>
      </c>
      <c r="CC22" s="126">
        <v>1</v>
      </c>
      <c r="CD22" s="127" t="s">
        <v>4202</v>
      </c>
      <c r="CE22" s="128"/>
      <c r="CF22" s="77" t="e">
        <v>#N/A</v>
      </c>
    </row>
    <row r="23" spans="1:84" ht="14.5" x14ac:dyDescent="0.35">
      <c r="A23" s="77">
        <v>22</v>
      </c>
      <c r="B23" s="106" t="s">
        <v>4275</v>
      </c>
      <c r="C23" s="107" t="s">
        <v>6739</v>
      </c>
      <c r="D23" s="108" t="s">
        <v>4276</v>
      </c>
      <c r="E23" s="109" t="s">
        <v>4277</v>
      </c>
      <c r="F23" s="110">
        <v>603018998</v>
      </c>
      <c r="G23" s="108" t="s">
        <v>1004</v>
      </c>
      <c r="H23" s="111" t="s">
        <v>3924</v>
      </c>
      <c r="I23" s="111" t="s">
        <v>180</v>
      </c>
      <c r="J23" s="111" t="s">
        <v>4648</v>
      </c>
      <c r="K23" s="111" t="s">
        <v>3159</v>
      </c>
      <c r="L23" s="112">
        <v>45684</v>
      </c>
      <c r="M23" s="111" t="s">
        <v>3104</v>
      </c>
      <c r="N23" s="113"/>
      <c r="O23" s="114" t="s">
        <v>182</v>
      </c>
      <c r="P23" s="114" t="s">
        <v>184</v>
      </c>
      <c r="Q23" s="114" t="s">
        <v>182</v>
      </c>
      <c r="R23" s="114" t="s">
        <v>7316</v>
      </c>
      <c r="S23" s="114" t="s">
        <v>182</v>
      </c>
      <c r="T23" s="114" t="s">
        <v>183</v>
      </c>
      <c r="U23" s="114" t="s">
        <v>183</v>
      </c>
      <c r="V23" s="115"/>
      <c r="W23" s="116" t="s">
        <v>4278</v>
      </c>
      <c r="X23" s="116" t="s">
        <v>4279</v>
      </c>
      <c r="Y23" s="117">
        <v>3487038</v>
      </c>
      <c r="Z23" s="117">
        <v>3486567</v>
      </c>
      <c r="AA23" s="118"/>
      <c r="AB23" s="119" t="s">
        <v>5758</v>
      </c>
      <c r="AC23" s="119" t="s">
        <v>4280</v>
      </c>
      <c r="AD23" s="119" t="s">
        <v>4281</v>
      </c>
      <c r="AE23" s="119" t="s">
        <v>4282</v>
      </c>
      <c r="AF23" s="119" t="s">
        <v>7317</v>
      </c>
      <c r="AG23" s="120"/>
      <c r="AH23" s="121">
        <v>45684</v>
      </c>
      <c r="AI23" s="121">
        <v>45684</v>
      </c>
      <c r="AJ23" s="121">
        <v>45684</v>
      </c>
      <c r="AK23" s="122">
        <v>45684</v>
      </c>
      <c r="AL23" s="122" t="e">
        <v>#N/A</v>
      </c>
      <c r="AM23" s="121" t="e">
        <v>#N/A</v>
      </c>
      <c r="AN23" s="121" t="e">
        <v>#N/A</v>
      </c>
      <c r="AO23" s="121" t="e">
        <v>#N/A</v>
      </c>
      <c r="AP23" s="122" t="e">
        <v>#N/A</v>
      </c>
      <c r="AQ23" s="122" t="e">
        <v>#N/A</v>
      </c>
      <c r="AR23" s="122" t="e">
        <v>#N/A</v>
      </c>
      <c r="AS23" s="122" t="e">
        <v>#N/A</v>
      </c>
      <c r="AT23" s="122" t="e">
        <v>#N/A</v>
      </c>
      <c r="AU23" s="121" t="e">
        <v>#N/A</v>
      </c>
      <c r="AV23" s="122" t="e">
        <v>#N/A</v>
      </c>
      <c r="AW23" s="122">
        <v>45756</v>
      </c>
      <c r="AX23" s="122" t="e">
        <v>#N/A</v>
      </c>
      <c r="AY23" s="122" t="e">
        <v>#N/A</v>
      </c>
      <c r="AZ23" s="122" t="e">
        <v>#N/A</v>
      </c>
      <c r="BA23" s="122" t="e">
        <v>#N/A</v>
      </c>
      <c r="BB23" s="122" t="e">
        <v>#N/A</v>
      </c>
      <c r="BC23" s="122" t="e">
        <v>#N/A</v>
      </c>
      <c r="BD23" s="122" t="e">
        <v>#N/A</v>
      </c>
      <c r="BE23" s="122" t="e">
        <v>#N/A</v>
      </c>
      <c r="BF23" s="122" t="e">
        <v>#N/A</v>
      </c>
      <c r="BG23" s="122" t="e">
        <v>#N/A</v>
      </c>
      <c r="BH23" s="122" t="e">
        <v>#N/A</v>
      </c>
      <c r="BI23" s="122" t="e">
        <v>#N/A</v>
      </c>
      <c r="BJ23" s="122" t="e">
        <v>#N/A</v>
      </c>
      <c r="BK23" s="122">
        <v>45973</v>
      </c>
      <c r="BL23" s="123"/>
      <c r="BM23" s="124">
        <v>45873</v>
      </c>
      <c r="BN23" s="124">
        <v>45873</v>
      </c>
      <c r="BO23" s="124">
        <v>45915</v>
      </c>
      <c r="BP23" s="124" t="e">
        <v>#N/A</v>
      </c>
      <c r="BQ23" s="124">
        <v>45929</v>
      </c>
      <c r="BR23" s="124">
        <v>45971</v>
      </c>
      <c r="BS23" s="124">
        <v>45979</v>
      </c>
      <c r="BT23" s="124">
        <v>45979</v>
      </c>
      <c r="BU23" s="124" t="e">
        <v>#N/A</v>
      </c>
      <c r="BV23" s="124" t="e">
        <v>#N/A</v>
      </c>
      <c r="BW23" s="124" t="e">
        <v>#N/A</v>
      </c>
      <c r="BX23" s="124">
        <v>45979</v>
      </c>
      <c r="BY23" s="124" t="e">
        <v>#N/A</v>
      </c>
      <c r="BZ23" s="124" t="e">
        <v>#N/A</v>
      </c>
      <c r="CA23" s="125"/>
      <c r="CB23" s="124">
        <v>45729</v>
      </c>
      <c r="CC23" s="126">
        <v>1</v>
      </c>
      <c r="CD23" s="127" t="s">
        <v>4211</v>
      </c>
      <c r="CE23" s="128"/>
      <c r="CF23" s="77" t="e">
        <v>#N/A</v>
      </c>
    </row>
    <row r="24" spans="1:84" ht="14.5" x14ac:dyDescent="0.35">
      <c r="A24" s="77">
        <v>23</v>
      </c>
      <c r="B24" s="106" t="s">
        <v>4326</v>
      </c>
      <c r="C24" s="107" t="s">
        <v>6740</v>
      </c>
      <c r="D24" s="108" t="s">
        <v>4327</v>
      </c>
      <c r="E24" s="109" t="s">
        <v>4328</v>
      </c>
      <c r="F24" s="110">
        <v>633567371</v>
      </c>
      <c r="G24" s="108" t="s">
        <v>1004</v>
      </c>
      <c r="H24" s="111" t="s">
        <v>3924</v>
      </c>
      <c r="I24" s="111" t="s">
        <v>180</v>
      </c>
      <c r="J24" s="111" t="s">
        <v>4648</v>
      </c>
      <c r="K24" s="111" t="s">
        <v>3159</v>
      </c>
      <c r="L24" s="112">
        <v>45684</v>
      </c>
      <c r="M24" s="111" t="s">
        <v>3104</v>
      </c>
      <c r="N24" s="113"/>
      <c r="O24" s="114" t="s">
        <v>4470</v>
      </c>
      <c r="P24" s="114" t="s">
        <v>4470</v>
      </c>
      <c r="Q24" s="114" t="s">
        <v>183</v>
      </c>
      <c r="R24" s="114" t="s">
        <v>7318</v>
      </c>
      <c r="S24" s="114" t="s">
        <v>4470</v>
      </c>
      <c r="T24" s="114" t="s">
        <v>4470</v>
      </c>
      <c r="U24" s="114" t="s">
        <v>183</v>
      </c>
      <c r="V24" s="115"/>
      <c r="W24" s="116" t="s">
        <v>4329</v>
      </c>
      <c r="X24" s="116" t="s">
        <v>4330</v>
      </c>
      <c r="Y24" s="117">
        <v>3485848</v>
      </c>
      <c r="Z24" s="117">
        <v>3481535</v>
      </c>
      <c r="AA24" s="118"/>
      <c r="AB24" s="119" t="s">
        <v>5692</v>
      </c>
      <c r="AC24" s="119" t="s">
        <v>4331</v>
      </c>
      <c r="AD24" s="119" t="s">
        <v>4332</v>
      </c>
      <c r="AE24" s="119" t="s">
        <v>4333</v>
      </c>
      <c r="AF24" s="119" t="s">
        <v>7206</v>
      </c>
      <c r="AG24" s="120"/>
      <c r="AH24" s="121">
        <v>45684</v>
      </c>
      <c r="AI24" s="121">
        <v>45684</v>
      </c>
      <c r="AJ24" s="121">
        <v>45684</v>
      </c>
      <c r="AK24" s="122">
        <v>45684</v>
      </c>
      <c r="AL24" s="122" t="e">
        <v>#N/A</v>
      </c>
      <c r="AM24" s="122" t="e">
        <v>#N/A</v>
      </c>
      <c r="AN24" s="122" t="e">
        <v>#N/A</v>
      </c>
      <c r="AO24" s="121" t="e">
        <v>#N/A</v>
      </c>
      <c r="AP24" s="122" t="e">
        <v>#N/A</v>
      </c>
      <c r="AQ24" s="122" t="e">
        <v>#N/A</v>
      </c>
      <c r="AR24" s="122" t="e">
        <v>#N/A</v>
      </c>
      <c r="AS24" s="122" t="e">
        <v>#N/A</v>
      </c>
      <c r="AT24" s="122" t="e">
        <v>#N/A</v>
      </c>
      <c r="AU24" s="121" t="e">
        <v>#N/A</v>
      </c>
      <c r="AV24" s="122" t="e">
        <v>#N/A</v>
      </c>
      <c r="AW24" s="122">
        <v>45754</v>
      </c>
      <c r="AX24" s="122" t="e">
        <v>#N/A</v>
      </c>
      <c r="AY24" s="122" t="e">
        <v>#N/A</v>
      </c>
      <c r="AZ24" s="122" t="e">
        <v>#N/A</v>
      </c>
      <c r="BA24" s="122" t="e">
        <v>#N/A</v>
      </c>
      <c r="BB24" s="122" t="e">
        <v>#N/A</v>
      </c>
      <c r="BC24" s="122" t="e">
        <v>#N/A</v>
      </c>
      <c r="BD24" s="122" t="e">
        <v>#N/A</v>
      </c>
      <c r="BE24" s="122" t="e">
        <v>#N/A</v>
      </c>
      <c r="BF24" s="122" t="e">
        <v>#N/A</v>
      </c>
      <c r="BG24" s="122" t="e">
        <v>#N/A</v>
      </c>
      <c r="BH24" s="122" t="e">
        <v>#N/A</v>
      </c>
      <c r="BI24" s="122" t="e">
        <v>#N/A</v>
      </c>
      <c r="BJ24" s="122" t="e">
        <v>#N/A</v>
      </c>
      <c r="BK24" s="122">
        <v>45964</v>
      </c>
      <c r="BL24" s="123"/>
      <c r="BM24" s="124">
        <v>45873</v>
      </c>
      <c r="BN24" s="124">
        <v>45873</v>
      </c>
      <c r="BO24" s="124">
        <v>45915</v>
      </c>
      <c r="BP24" s="124" t="e">
        <v>#N/A</v>
      </c>
      <c r="BQ24" s="124">
        <v>45929</v>
      </c>
      <c r="BR24" s="124">
        <v>45971</v>
      </c>
      <c r="BS24" s="124" t="e">
        <v>#N/A</v>
      </c>
      <c r="BT24" s="124" t="e">
        <v>#N/A</v>
      </c>
      <c r="BU24" s="124" t="e">
        <v>#N/A</v>
      </c>
      <c r="BV24" s="124" t="e">
        <v>#N/A</v>
      </c>
      <c r="BW24" s="124" t="e">
        <v>#N/A</v>
      </c>
      <c r="BX24" s="124" t="e">
        <v>#N/A</v>
      </c>
      <c r="BY24" s="124" t="e">
        <v>#N/A</v>
      </c>
      <c r="BZ24" s="124" t="e">
        <v>#N/A</v>
      </c>
      <c r="CA24" s="125"/>
      <c r="CB24" s="124">
        <v>45729</v>
      </c>
      <c r="CC24" s="126">
        <v>1</v>
      </c>
      <c r="CD24" s="127" t="s">
        <v>4211</v>
      </c>
      <c r="CE24" s="128"/>
      <c r="CF24" s="77" t="e">
        <v>#N/A</v>
      </c>
    </row>
    <row r="25" spans="1:84" ht="14.5" x14ac:dyDescent="0.35">
      <c r="A25" s="77">
        <v>24</v>
      </c>
      <c r="B25" s="106" t="s">
        <v>3047</v>
      </c>
      <c r="C25" s="107" t="s">
        <v>6583</v>
      </c>
      <c r="D25" s="108" t="s">
        <v>3048</v>
      </c>
      <c r="E25" s="109" t="s">
        <v>3049</v>
      </c>
      <c r="F25" s="110">
        <v>625509314</v>
      </c>
      <c r="G25" s="108" t="s">
        <v>1004</v>
      </c>
      <c r="H25" s="111" t="s">
        <v>3924</v>
      </c>
      <c r="I25" s="111" t="s">
        <v>180</v>
      </c>
      <c r="J25" s="111" t="s">
        <v>4648</v>
      </c>
      <c r="K25" s="111" t="s">
        <v>3159</v>
      </c>
      <c r="L25" s="112">
        <v>45217</v>
      </c>
      <c r="M25" s="111" t="s">
        <v>3104</v>
      </c>
      <c r="N25" s="113"/>
      <c r="O25" s="114" t="s">
        <v>330</v>
      </c>
      <c r="P25" s="114" t="s">
        <v>330</v>
      </c>
      <c r="Q25" s="114" t="s">
        <v>330</v>
      </c>
      <c r="R25" s="114" t="s">
        <v>7319</v>
      </c>
      <c r="S25" s="114" t="s">
        <v>330</v>
      </c>
      <c r="T25" s="114" t="s">
        <v>183</v>
      </c>
      <c r="U25" s="114" t="s">
        <v>183</v>
      </c>
      <c r="V25" s="115"/>
      <c r="W25" s="116" t="s">
        <v>3050</v>
      </c>
      <c r="X25" s="116" t="s">
        <v>3051</v>
      </c>
      <c r="Y25" s="117">
        <v>3485853</v>
      </c>
      <c r="Z25" s="117">
        <v>3486379</v>
      </c>
      <c r="AA25" s="118"/>
      <c r="AB25" s="119" t="s">
        <v>5859</v>
      </c>
      <c r="AC25" s="119" t="s">
        <v>3052</v>
      </c>
      <c r="AD25" s="119">
        <v>4468</v>
      </c>
      <c r="AE25" s="119" t="s">
        <v>3053</v>
      </c>
      <c r="AF25" s="119" t="s">
        <v>6249</v>
      </c>
      <c r="AG25" s="120"/>
      <c r="AH25" s="121">
        <v>45210</v>
      </c>
      <c r="AI25" s="121">
        <v>45369</v>
      </c>
      <c r="AJ25" s="121">
        <v>45217</v>
      </c>
      <c r="AK25" s="122">
        <v>45369</v>
      </c>
      <c r="AL25" s="122" t="e">
        <v>#N/A</v>
      </c>
      <c r="AM25" s="121" t="e">
        <v>#N/A</v>
      </c>
      <c r="AN25" s="121" t="e">
        <v>#N/A</v>
      </c>
      <c r="AO25" s="121" t="e">
        <v>#N/A</v>
      </c>
      <c r="AP25" s="122" t="e">
        <v>#N/A</v>
      </c>
      <c r="AQ25" s="122" t="e">
        <v>#N/A</v>
      </c>
      <c r="AR25" s="122" t="e">
        <v>#N/A</v>
      </c>
      <c r="AS25" s="122" t="e">
        <v>#N/A</v>
      </c>
      <c r="AT25" s="122" t="e">
        <v>#N/A</v>
      </c>
      <c r="AU25" s="121" t="e">
        <v>#N/A</v>
      </c>
      <c r="AV25" s="122" t="e">
        <v>#N/A</v>
      </c>
      <c r="AW25" s="122">
        <v>45831</v>
      </c>
      <c r="AX25" s="122" t="e">
        <v>#N/A</v>
      </c>
      <c r="AY25" s="122" t="e">
        <v>#N/A</v>
      </c>
      <c r="AZ25" s="122" t="e">
        <v>#N/A</v>
      </c>
      <c r="BA25" s="122" t="e">
        <v>#N/A</v>
      </c>
      <c r="BB25" s="122" t="e">
        <v>#N/A</v>
      </c>
      <c r="BC25" s="122" t="e">
        <v>#N/A</v>
      </c>
      <c r="BD25" s="122" t="e">
        <v>#N/A</v>
      </c>
      <c r="BE25" s="122" t="e">
        <v>#N/A</v>
      </c>
      <c r="BF25" s="122" t="e">
        <v>#N/A</v>
      </c>
      <c r="BG25" s="122" t="e">
        <v>#N/A</v>
      </c>
      <c r="BH25" s="122" t="e">
        <v>#N/A</v>
      </c>
      <c r="BI25" s="122" t="e">
        <v>#N/A</v>
      </c>
      <c r="BJ25" s="122" t="e">
        <v>#N/A</v>
      </c>
      <c r="BK25" s="122">
        <v>45953</v>
      </c>
      <c r="BL25" s="123"/>
      <c r="BM25" s="124">
        <v>45931</v>
      </c>
      <c r="BN25" s="124">
        <v>45931</v>
      </c>
      <c r="BO25" s="124">
        <v>45938</v>
      </c>
      <c r="BP25" s="124" t="e">
        <v>#N/A</v>
      </c>
      <c r="BQ25" s="124" t="e">
        <v>#N/A</v>
      </c>
      <c r="BR25" s="124" t="e">
        <v>#N/A</v>
      </c>
      <c r="BS25" s="124" t="e">
        <v>#N/A</v>
      </c>
      <c r="BT25" s="124" t="e">
        <v>#N/A</v>
      </c>
      <c r="BU25" s="124" t="e">
        <v>#N/A</v>
      </c>
      <c r="BV25" s="124" t="e">
        <v>#N/A</v>
      </c>
      <c r="BW25" s="124" t="e">
        <v>#N/A</v>
      </c>
      <c r="BX25" s="124" t="e">
        <v>#N/A</v>
      </c>
      <c r="BY25" s="124" t="e">
        <v>#N/A</v>
      </c>
      <c r="BZ25" s="124" t="e">
        <v>#N/A</v>
      </c>
      <c r="CA25" s="125"/>
      <c r="CB25" s="124" t="e">
        <v>#N/A</v>
      </c>
      <c r="CC25" s="126">
        <v>1</v>
      </c>
      <c r="CD25" s="127" t="s">
        <v>4194</v>
      </c>
      <c r="CE25" s="128"/>
      <c r="CF25" s="77" t="e">
        <v>#N/A</v>
      </c>
    </row>
    <row r="26" spans="1:84" ht="14.5" x14ac:dyDescent="0.35">
      <c r="A26" s="77">
        <v>25</v>
      </c>
      <c r="B26" s="106" t="s">
        <v>4631</v>
      </c>
      <c r="C26" s="107" t="s">
        <v>6768</v>
      </c>
      <c r="D26" s="108" t="s">
        <v>4632</v>
      </c>
      <c r="E26" s="109" t="s">
        <v>4633</v>
      </c>
      <c r="F26" s="110">
        <v>620716940</v>
      </c>
      <c r="G26" s="108" t="s">
        <v>1004</v>
      </c>
      <c r="H26" s="111" t="s">
        <v>3924</v>
      </c>
      <c r="I26" s="111" t="s">
        <v>180</v>
      </c>
      <c r="J26" s="111" t="s">
        <v>4648</v>
      </c>
      <c r="K26" s="111" t="s">
        <v>3159</v>
      </c>
      <c r="L26" s="112">
        <v>45824</v>
      </c>
      <c r="M26" s="111" t="s">
        <v>213</v>
      </c>
      <c r="N26" s="113"/>
      <c r="O26" s="114" t="s">
        <v>285</v>
      </c>
      <c r="P26" s="114" t="s">
        <v>285</v>
      </c>
      <c r="Q26" s="114" t="s">
        <v>285</v>
      </c>
      <c r="R26" s="114" t="s">
        <v>7312</v>
      </c>
      <c r="S26" s="114" t="s">
        <v>285</v>
      </c>
      <c r="T26" s="114" t="s">
        <v>183</v>
      </c>
      <c r="U26" s="114" t="s">
        <v>183</v>
      </c>
      <c r="V26" s="115"/>
      <c r="W26" s="116" t="s">
        <v>4634</v>
      </c>
      <c r="X26" s="116" t="s">
        <v>4635</v>
      </c>
      <c r="Y26" s="117">
        <v>3485790</v>
      </c>
      <c r="Z26" s="117">
        <v>3481409</v>
      </c>
      <c r="AA26" s="118"/>
      <c r="AB26" s="119" t="s">
        <v>4636</v>
      </c>
      <c r="AC26" s="119" t="s">
        <v>4642</v>
      </c>
      <c r="AD26" s="119">
        <v>5299</v>
      </c>
      <c r="AE26" s="119" t="s">
        <v>4637</v>
      </c>
      <c r="AF26" s="119" t="s">
        <v>6163</v>
      </c>
      <c r="AG26" s="120"/>
      <c r="AH26" s="121">
        <v>45824</v>
      </c>
      <c r="AI26" s="121">
        <v>45824</v>
      </c>
      <c r="AJ26" s="121">
        <v>45824</v>
      </c>
      <c r="AK26" s="122">
        <v>45824</v>
      </c>
      <c r="AL26" s="122" t="e">
        <v>#N/A</v>
      </c>
      <c r="AM26" s="121" t="e">
        <v>#N/A</v>
      </c>
      <c r="AN26" s="121" t="e">
        <v>#N/A</v>
      </c>
      <c r="AO26" s="121" t="e">
        <v>#N/A</v>
      </c>
      <c r="AP26" s="122" t="e">
        <v>#N/A</v>
      </c>
      <c r="AQ26" s="122" t="e">
        <v>#N/A</v>
      </c>
      <c r="AR26" s="122" t="e">
        <v>#N/A</v>
      </c>
      <c r="AS26" s="122" t="e">
        <v>#N/A</v>
      </c>
      <c r="AT26" s="122" t="e">
        <v>#N/A</v>
      </c>
      <c r="AU26" s="121" t="e">
        <v>#N/A</v>
      </c>
      <c r="AV26" s="122" t="e">
        <v>#N/A</v>
      </c>
      <c r="AW26" s="122">
        <v>45819</v>
      </c>
      <c r="AX26" s="122" t="e">
        <v>#N/A</v>
      </c>
      <c r="AY26" s="122" t="e">
        <v>#N/A</v>
      </c>
      <c r="AZ26" s="122" t="e">
        <v>#N/A</v>
      </c>
      <c r="BA26" s="122" t="e">
        <v>#N/A</v>
      </c>
      <c r="BB26" s="122" t="e">
        <v>#N/A</v>
      </c>
      <c r="BC26" s="122" t="e">
        <v>#N/A</v>
      </c>
      <c r="BD26" s="122" t="e">
        <v>#N/A</v>
      </c>
      <c r="BE26" s="122" t="e">
        <v>#N/A</v>
      </c>
      <c r="BF26" s="122" t="e">
        <v>#N/A</v>
      </c>
      <c r="BG26" s="122" t="e">
        <v>#N/A</v>
      </c>
      <c r="BH26" s="122" t="e">
        <v>#N/A</v>
      </c>
      <c r="BI26" s="122" t="e">
        <v>#N/A</v>
      </c>
      <c r="BJ26" s="122" t="e">
        <v>#N/A</v>
      </c>
      <c r="BK26" s="122">
        <v>45954</v>
      </c>
      <c r="BL26" s="123"/>
      <c r="BM26" s="124">
        <v>45957</v>
      </c>
      <c r="BN26" s="124">
        <v>45957</v>
      </c>
      <c r="BO26" s="124" t="e">
        <v>#N/A</v>
      </c>
      <c r="BP26" s="124" t="e">
        <v>#N/A</v>
      </c>
      <c r="BQ26" s="124" t="e">
        <v>#N/A</v>
      </c>
      <c r="BR26" s="124" t="e">
        <v>#N/A</v>
      </c>
      <c r="BS26" s="124" t="e">
        <v>#N/A</v>
      </c>
      <c r="BT26" s="124" t="e">
        <v>#N/A</v>
      </c>
      <c r="BU26" s="124" t="e">
        <v>#N/A</v>
      </c>
      <c r="BV26" s="124" t="e">
        <v>#N/A</v>
      </c>
      <c r="BW26" s="124" t="e">
        <v>#N/A</v>
      </c>
      <c r="BX26" s="124" t="e">
        <v>#N/A</v>
      </c>
      <c r="BY26" s="124" t="e">
        <v>#N/A</v>
      </c>
      <c r="BZ26" s="124" t="e">
        <v>#N/A</v>
      </c>
      <c r="CA26" s="125"/>
      <c r="CB26" s="124">
        <v>45820</v>
      </c>
      <c r="CC26" s="126">
        <v>1</v>
      </c>
      <c r="CD26" s="127" t="s">
        <v>4617</v>
      </c>
      <c r="CE26" s="128"/>
      <c r="CF26" s="77" t="e">
        <v>#N/A</v>
      </c>
    </row>
    <row r="27" spans="1:84" ht="14.5" x14ac:dyDescent="0.35">
      <c r="A27" s="77">
        <v>26</v>
      </c>
      <c r="B27" s="106" t="s">
        <v>4618</v>
      </c>
      <c r="C27" s="107" t="s">
        <v>6770</v>
      </c>
      <c r="D27" s="108" t="s">
        <v>4619</v>
      </c>
      <c r="E27" s="109" t="s">
        <v>4620</v>
      </c>
      <c r="F27" s="110">
        <v>678190616</v>
      </c>
      <c r="G27" s="108" t="s">
        <v>1004</v>
      </c>
      <c r="H27" s="111" t="s">
        <v>3924</v>
      </c>
      <c r="I27" s="111" t="s">
        <v>180</v>
      </c>
      <c r="J27" s="111" t="s">
        <v>4648</v>
      </c>
      <c r="K27" s="111" t="s">
        <v>3159</v>
      </c>
      <c r="L27" s="112">
        <v>45824</v>
      </c>
      <c r="M27" s="111" t="s">
        <v>213</v>
      </c>
      <c r="N27" s="113"/>
      <c r="O27" s="114" t="s">
        <v>285</v>
      </c>
      <c r="P27" s="114" t="s">
        <v>285</v>
      </c>
      <c r="Q27" s="114" t="s">
        <v>285</v>
      </c>
      <c r="R27" s="114" t="s">
        <v>285</v>
      </c>
      <c r="S27" s="114" t="s">
        <v>285</v>
      </c>
      <c r="T27" s="114" t="s">
        <v>183</v>
      </c>
      <c r="U27" s="114" t="s">
        <v>183</v>
      </c>
      <c r="V27" s="115"/>
      <c r="W27" s="116" t="s">
        <v>4621</v>
      </c>
      <c r="X27" s="116" t="s">
        <v>4622</v>
      </c>
      <c r="Y27" s="117">
        <v>3485511</v>
      </c>
      <c r="Z27" s="117">
        <v>3481382</v>
      </c>
      <c r="AA27" s="118"/>
      <c r="AB27" s="119" t="s">
        <v>4623</v>
      </c>
      <c r="AC27" s="119" t="s">
        <v>4640</v>
      </c>
      <c r="AD27" s="119">
        <v>5074</v>
      </c>
      <c r="AE27" s="119" t="s">
        <v>4624</v>
      </c>
      <c r="AF27" s="119" t="s">
        <v>7220</v>
      </c>
      <c r="AG27" s="120"/>
      <c r="AH27" s="121">
        <v>45824</v>
      </c>
      <c r="AI27" s="121">
        <v>45824</v>
      </c>
      <c r="AJ27" s="121">
        <v>45824</v>
      </c>
      <c r="AK27" s="122">
        <v>45824</v>
      </c>
      <c r="AL27" s="122" t="e">
        <v>#N/A</v>
      </c>
      <c r="AM27" s="122" t="e">
        <v>#N/A</v>
      </c>
      <c r="AN27" s="122" t="e">
        <v>#N/A</v>
      </c>
      <c r="AO27" s="121" t="e">
        <v>#N/A</v>
      </c>
      <c r="AP27" s="122" t="e">
        <v>#N/A</v>
      </c>
      <c r="AQ27" s="122" t="e">
        <v>#N/A</v>
      </c>
      <c r="AR27" s="122" t="e">
        <v>#N/A</v>
      </c>
      <c r="AS27" s="122" t="e">
        <v>#N/A</v>
      </c>
      <c r="AT27" s="122" t="e">
        <v>#N/A</v>
      </c>
      <c r="AU27" s="121" t="e">
        <v>#N/A</v>
      </c>
      <c r="AV27" s="122" t="e">
        <v>#N/A</v>
      </c>
      <c r="AW27" s="122">
        <v>45819</v>
      </c>
      <c r="AX27" s="122" t="e">
        <v>#N/A</v>
      </c>
      <c r="AY27" s="122" t="e">
        <v>#N/A</v>
      </c>
      <c r="AZ27" s="122" t="e">
        <v>#N/A</v>
      </c>
      <c r="BA27" s="122" t="e">
        <v>#N/A</v>
      </c>
      <c r="BB27" s="122" t="e">
        <v>#N/A</v>
      </c>
      <c r="BC27" s="122" t="e">
        <v>#N/A</v>
      </c>
      <c r="BD27" s="122" t="e">
        <v>#N/A</v>
      </c>
      <c r="BE27" s="122" t="e">
        <v>#N/A</v>
      </c>
      <c r="BF27" s="122" t="e">
        <v>#N/A</v>
      </c>
      <c r="BG27" s="122" t="e">
        <v>#N/A</v>
      </c>
      <c r="BH27" s="122" t="e">
        <v>#N/A</v>
      </c>
      <c r="BI27" s="122" t="e">
        <v>#N/A</v>
      </c>
      <c r="BJ27" s="122" t="e">
        <v>#N/A</v>
      </c>
      <c r="BK27" s="122">
        <v>45964</v>
      </c>
      <c r="BL27" s="123"/>
      <c r="BM27" s="124">
        <v>45957</v>
      </c>
      <c r="BN27" s="124">
        <v>45957</v>
      </c>
      <c r="BO27" s="124" t="e">
        <v>#N/A</v>
      </c>
      <c r="BP27" s="124" t="e">
        <v>#N/A</v>
      </c>
      <c r="BQ27" s="124" t="e">
        <v>#N/A</v>
      </c>
      <c r="BR27" s="124" t="e">
        <v>#N/A</v>
      </c>
      <c r="BS27" s="124" t="e">
        <v>#N/A</v>
      </c>
      <c r="BT27" s="124" t="e">
        <v>#N/A</v>
      </c>
      <c r="BU27" s="124" t="e">
        <v>#N/A</v>
      </c>
      <c r="BV27" s="124" t="e">
        <v>#N/A</v>
      </c>
      <c r="BW27" s="124" t="e">
        <v>#N/A</v>
      </c>
      <c r="BX27" s="124" t="e">
        <v>#N/A</v>
      </c>
      <c r="BY27" s="124" t="e">
        <v>#N/A</v>
      </c>
      <c r="BZ27" s="124" t="e">
        <v>#N/A</v>
      </c>
      <c r="CA27" s="125"/>
      <c r="CB27" s="124">
        <v>45820</v>
      </c>
      <c r="CC27" s="126">
        <v>1</v>
      </c>
      <c r="CD27" s="127" t="s">
        <v>4617</v>
      </c>
      <c r="CE27" s="128"/>
      <c r="CF27" s="77" t="e">
        <v>#N/A</v>
      </c>
    </row>
    <row r="28" spans="1:84" ht="14.5" x14ac:dyDescent="0.35">
      <c r="A28" s="77">
        <v>27</v>
      </c>
      <c r="B28" s="106" t="s">
        <v>4534</v>
      </c>
      <c r="C28" s="107" t="s">
        <v>6756</v>
      </c>
      <c r="D28" s="108" t="s">
        <v>4509</v>
      </c>
      <c r="E28" s="109" t="s">
        <v>4510</v>
      </c>
      <c r="F28" s="110">
        <v>672238177</v>
      </c>
      <c r="G28" s="108" t="s">
        <v>1004</v>
      </c>
      <c r="H28" s="111" t="s">
        <v>3924</v>
      </c>
      <c r="I28" s="111" t="s">
        <v>180</v>
      </c>
      <c r="J28" s="111" t="s">
        <v>4648</v>
      </c>
      <c r="K28" s="111" t="s">
        <v>3159</v>
      </c>
      <c r="L28" s="112">
        <v>45810</v>
      </c>
      <c r="M28" s="111" t="s">
        <v>213</v>
      </c>
      <c r="N28" s="113"/>
      <c r="O28" s="114" t="s">
        <v>813</v>
      </c>
      <c r="P28" s="114" t="s">
        <v>813</v>
      </c>
      <c r="Q28" s="114" t="s">
        <v>286</v>
      </c>
      <c r="R28" s="114" t="s">
        <v>7320</v>
      </c>
      <c r="S28" s="114" t="s">
        <v>813</v>
      </c>
      <c r="T28" s="114" t="s">
        <v>183</v>
      </c>
      <c r="U28" s="114" t="s">
        <v>183</v>
      </c>
      <c r="V28" s="115"/>
      <c r="W28" s="116" t="s">
        <v>4511</v>
      </c>
      <c r="X28" s="116" t="s">
        <v>4512</v>
      </c>
      <c r="Y28" s="117">
        <v>3485921</v>
      </c>
      <c r="Z28" s="117">
        <v>3486425</v>
      </c>
      <c r="AA28" s="118"/>
      <c r="AB28" s="119" t="s">
        <v>5848</v>
      </c>
      <c r="AC28" s="119" t="s">
        <v>4513</v>
      </c>
      <c r="AD28" s="119">
        <v>5484</v>
      </c>
      <c r="AE28" s="119" t="s">
        <v>4514</v>
      </c>
      <c r="AF28" s="119" t="s">
        <v>6131</v>
      </c>
      <c r="AG28" s="120"/>
      <c r="AH28" s="121">
        <v>45810</v>
      </c>
      <c r="AI28" s="121">
        <v>45810</v>
      </c>
      <c r="AJ28" s="121">
        <v>45810</v>
      </c>
      <c r="AK28" s="122">
        <v>45810</v>
      </c>
      <c r="AL28" s="122" t="e">
        <v>#N/A</v>
      </c>
      <c r="AM28" s="121" t="e">
        <v>#N/A</v>
      </c>
      <c r="AN28" s="121" t="e">
        <v>#N/A</v>
      </c>
      <c r="AO28" s="121" t="e">
        <v>#N/A</v>
      </c>
      <c r="AP28" s="122" t="e">
        <v>#N/A</v>
      </c>
      <c r="AQ28" s="122" t="e">
        <v>#N/A</v>
      </c>
      <c r="AR28" s="122" t="e">
        <v>#N/A</v>
      </c>
      <c r="AS28" s="122" t="e">
        <v>#N/A</v>
      </c>
      <c r="AT28" s="122" t="e">
        <v>#N/A</v>
      </c>
      <c r="AU28" s="121" t="e">
        <v>#N/A</v>
      </c>
      <c r="AV28" s="122" t="e">
        <v>#N/A</v>
      </c>
      <c r="AW28" s="122">
        <v>45807</v>
      </c>
      <c r="AX28" s="122" t="e">
        <v>#N/A</v>
      </c>
      <c r="AY28" s="122" t="e">
        <v>#N/A</v>
      </c>
      <c r="AZ28" s="122" t="e">
        <v>#N/A</v>
      </c>
      <c r="BA28" s="122" t="e">
        <v>#N/A</v>
      </c>
      <c r="BB28" s="122" t="e">
        <v>#N/A</v>
      </c>
      <c r="BC28" s="122" t="e">
        <v>#N/A</v>
      </c>
      <c r="BD28" s="122" t="e">
        <v>#N/A</v>
      </c>
      <c r="BE28" s="122" t="e">
        <v>#N/A</v>
      </c>
      <c r="BF28" s="122" t="e">
        <v>#N/A</v>
      </c>
      <c r="BG28" s="122" t="e">
        <v>#N/A</v>
      </c>
      <c r="BH28" s="122" t="e">
        <v>#N/A</v>
      </c>
      <c r="BI28" s="122" t="e">
        <v>#N/A</v>
      </c>
      <c r="BJ28" s="122" t="e">
        <v>#N/A</v>
      </c>
      <c r="BK28" s="122">
        <v>45958</v>
      </c>
      <c r="BL28" s="123"/>
      <c r="BM28" s="124">
        <v>45957</v>
      </c>
      <c r="BN28" s="124">
        <v>45957</v>
      </c>
      <c r="BO28" s="124" t="e">
        <v>#N/A</v>
      </c>
      <c r="BP28" s="124" t="e">
        <v>#N/A</v>
      </c>
      <c r="BQ28" s="124" t="e">
        <v>#N/A</v>
      </c>
      <c r="BR28" s="124" t="e">
        <v>#N/A</v>
      </c>
      <c r="BS28" s="124" t="e">
        <v>#N/A</v>
      </c>
      <c r="BT28" s="124" t="e">
        <v>#N/A</v>
      </c>
      <c r="BU28" s="124" t="e">
        <v>#N/A</v>
      </c>
      <c r="BV28" s="124" t="e">
        <v>#N/A</v>
      </c>
      <c r="BW28" s="124" t="e">
        <v>#N/A</v>
      </c>
      <c r="BX28" s="124" t="e">
        <v>#N/A</v>
      </c>
      <c r="BY28" s="124" t="e">
        <v>#N/A</v>
      </c>
      <c r="BZ28" s="124" t="e">
        <v>#N/A</v>
      </c>
      <c r="CA28" s="125"/>
      <c r="CB28" s="124">
        <v>45821</v>
      </c>
      <c r="CC28" s="126">
        <v>1</v>
      </c>
      <c r="CD28" s="127" t="s">
        <v>4479</v>
      </c>
      <c r="CE28" s="128"/>
      <c r="CF28" s="77" t="e">
        <v>#N/A</v>
      </c>
    </row>
    <row r="29" spans="1:84" ht="14.5" x14ac:dyDescent="0.35">
      <c r="A29" s="77">
        <v>28</v>
      </c>
      <c r="B29" s="106" t="s">
        <v>4532</v>
      </c>
      <c r="C29" s="107" t="s">
        <v>6755</v>
      </c>
      <c r="D29" s="108" t="s">
        <v>4503</v>
      </c>
      <c r="E29" s="109" t="s">
        <v>4504</v>
      </c>
      <c r="F29" s="110">
        <v>722769714</v>
      </c>
      <c r="G29" s="108" t="s">
        <v>1004</v>
      </c>
      <c r="H29" s="111" t="s">
        <v>3924</v>
      </c>
      <c r="I29" s="111" t="s">
        <v>180</v>
      </c>
      <c r="J29" s="111" t="s">
        <v>4648</v>
      </c>
      <c r="K29" s="111" t="s">
        <v>3159</v>
      </c>
      <c r="L29" s="112">
        <v>45810</v>
      </c>
      <c r="M29" s="111" t="s">
        <v>213</v>
      </c>
      <c r="N29" s="113"/>
      <c r="O29" s="114" t="s">
        <v>585</v>
      </c>
      <c r="P29" s="114" t="s">
        <v>183</v>
      </c>
      <c r="Q29" s="114" t="s">
        <v>585</v>
      </c>
      <c r="R29" s="114" t="s">
        <v>7296</v>
      </c>
      <c r="S29" s="114" t="s">
        <v>585</v>
      </c>
      <c r="T29" s="114" t="s">
        <v>201</v>
      </c>
      <c r="U29" s="114" t="s">
        <v>183</v>
      </c>
      <c r="V29" s="115"/>
      <c r="W29" s="116" t="s">
        <v>4505</v>
      </c>
      <c r="X29" s="116" t="s">
        <v>4506</v>
      </c>
      <c r="Y29" s="117">
        <v>3485629</v>
      </c>
      <c r="Z29" s="117">
        <v>3486659</v>
      </c>
      <c r="AA29" s="118"/>
      <c r="AB29" s="119" t="s">
        <v>5517</v>
      </c>
      <c r="AC29" s="119" t="s">
        <v>4507</v>
      </c>
      <c r="AD29" s="119">
        <v>5279</v>
      </c>
      <c r="AE29" s="119" t="s">
        <v>4508</v>
      </c>
      <c r="AF29" s="119" t="s">
        <v>7217</v>
      </c>
      <c r="AG29" s="120"/>
      <c r="AH29" s="121">
        <v>45810</v>
      </c>
      <c r="AI29" s="121">
        <v>45810</v>
      </c>
      <c r="AJ29" s="121">
        <v>45810</v>
      </c>
      <c r="AK29" s="122">
        <v>45810</v>
      </c>
      <c r="AL29" s="122" t="e">
        <v>#N/A</v>
      </c>
      <c r="AM29" s="121" t="e">
        <v>#N/A</v>
      </c>
      <c r="AN29" s="121" t="e">
        <v>#N/A</v>
      </c>
      <c r="AO29" s="121" t="e">
        <v>#N/A</v>
      </c>
      <c r="AP29" s="122" t="e">
        <v>#N/A</v>
      </c>
      <c r="AQ29" s="122" t="e">
        <v>#N/A</v>
      </c>
      <c r="AR29" s="122" t="e">
        <v>#N/A</v>
      </c>
      <c r="AS29" s="122" t="e">
        <v>#N/A</v>
      </c>
      <c r="AT29" s="122" t="e">
        <v>#N/A</v>
      </c>
      <c r="AU29" s="121" t="e">
        <v>#N/A</v>
      </c>
      <c r="AV29" s="122" t="e">
        <v>#N/A</v>
      </c>
      <c r="AW29" s="122">
        <v>45807</v>
      </c>
      <c r="AX29" s="122" t="e">
        <v>#N/A</v>
      </c>
      <c r="AY29" s="122" t="e">
        <v>#N/A</v>
      </c>
      <c r="AZ29" s="122" t="e">
        <v>#N/A</v>
      </c>
      <c r="BA29" s="122" t="e">
        <v>#N/A</v>
      </c>
      <c r="BB29" s="122" t="e">
        <v>#N/A</v>
      </c>
      <c r="BC29" s="122" t="e">
        <v>#N/A</v>
      </c>
      <c r="BD29" s="122" t="e">
        <v>#N/A</v>
      </c>
      <c r="BE29" s="122" t="e">
        <v>#N/A</v>
      </c>
      <c r="BF29" s="122" t="e">
        <v>#N/A</v>
      </c>
      <c r="BG29" s="122" t="e">
        <v>#N/A</v>
      </c>
      <c r="BH29" s="122" t="e">
        <v>#N/A</v>
      </c>
      <c r="BI29" s="122" t="e">
        <v>#N/A</v>
      </c>
      <c r="BJ29" s="122" t="e">
        <v>#N/A</v>
      </c>
      <c r="BK29" s="122">
        <v>45964</v>
      </c>
      <c r="BL29" s="123"/>
      <c r="BM29" s="124">
        <v>45957</v>
      </c>
      <c r="BN29" s="124">
        <v>45957</v>
      </c>
      <c r="BO29" s="124" t="e">
        <v>#N/A</v>
      </c>
      <c r="BP29" s="124" t="e">
        <v>#N/A</v>
      </c>
      <c r="BQ29" s="124" t="e">
        <v>#N/A</v>
      </c>
      <c r="BR29" s="124" t="e">
        <v>#N/A</v>
      </c>
      <c r="BS29" s="124" t="e">
        <v>#N/A</v>
      </c>
      <c r="BT29" s="124" t="e">
        <v>#N/A</v>
      </c>
      <c r="BU29" s="124" t="e">
        <v>#N/A</v>
      </c>
      <c r="BV29" s="124" t="e">
        <v>#N/A</v>
      </c>
      <c r="BW29" s="124" t="e">
        <v>#N/A</v>
      </c>
      <c r="BX29" s="124" t="e">
        <v>#N/A</v>
      </c>
      <c r="BY29" s="124" t="e">
        <v>#N/A</v>
      </c>
      <c r="BZ29" s="124" t="e">
        <v>#N/A</v>
      </c>
      <c r="CA29" s="125"/>
      <c r="CB29" s="124">
        <v>45821</v>
      </c>
      <c r="CC29" s="126">
        <v>1</v>
      </c>
      <c r="CD29" s="127" t="s">
        <v>4479</v>
      </c>
      <c r="CE29" s="128"/>
      <c r="CF29" s="77" t="e">
        <v>#N/A</v>
      </c>
    </row>
    <row r="30" spans="1:84" ht="14.5" x14ac:dyDescent="0.35">
      <c r="A30" s="77">
        <v>29</v>
      </c>
      <c r="B30" s="106" t="s">
        <v>4317</v>
      </c>
      <c r="C30" s="107" t="s">
        <v>6733</v>
      </c>
      <c r="D30" s="108" t="s">
        <v>4318</v>
      </c>
      <c r="E30" s="109" t="s">
        <v>4319</v>
      </c>
      <c r="F30" s="110">
        <v>699720032</v>
      </c>
      <c r="G30" s="108" t="s">
        <v>1004</v>
      </c>
      <c r="H30" s="111" t="s">
        <v>3924</v>
      </c>
      <c r="I30" s="111" t="s">
        <v>180</v>
      </c>
      <c r="J30" s="111" t="s">
        <v>4648</v>
      </c>
      <c r="K30" s="111" t="s">
        <v>3159</v>
      </c>
      <c r="L30" s="112">
        <v>45684</v>
      </c>
      <c r="M30" s="111" t="s">
        <v>213</v>
      </c>
      <c r="N30" s="113"/>
      <c r="O30" s="114" t="s">
        <v>607</v>
      </c>
      <c r="P30" s="114" t="s">
        <v>557</v>
      </c>
      <c r="Q30" s="114" t="s">
        <v>183</v>
      </c>
      <c r="R30" s="114" t="s">
        <v>7297</v>
      </c>
      <c r="S30" s="114" t="s">
        <v>607</v>
      </c>
      <c r="T30" s="114" t="s">
        <v>4263</v>
      </c>
      <c r="U30" s="114" t="s">
        <v>183</v>
      </c>
      <c r="V30" s="115"/>
      <c r="W30" s="116" t="s">
        <v>4320</v>
      </c>
      <c r="X30" s="116" t="s">
        <v>4321</v>
      </c>
      <c r="Y30" s="117">
        <v>3485977</v>
      </c>
      <c r="Z30" s="117">
        <v>3486462</v>
      </c>
      <c r="AA30" s="118"/>
      <c r="AB30" s="119" t="s">
        <v>4322</v>
      </c>
      <c r="AC30" s="119" t="s">
        <v>4323</v>
      </c>
      <c r="AD30" s="119" t="s">
        <v>4324</v>
      </c>
      <c r="AE30" s="119" t="s">
        <v>4325</v>
      </c>
      <c r="AF30" s="119" t="s">
        <v>7202</v>
      </c>
      <c r="AG30" s="120"/>
      <c r="AH30" s="121">
        <v>45684</v>
      </c>
      <c r="AI30" s="121">
        <v>45684</v>
      </c>
      <c r="AJ30" s="121">
        <v>45684</v>
      </c>
      <c r="AK30" s="122">
        <v>45684</v>
      </c>
      <c r="AL30" s="122" t="e">
        <v>#N/A</v>
      </c>
      <c r="AM30" s="121" t="e">
        <v>#N/A</v>
      </c>
      <c r="AN30" s="121" t="e">
        <v>#N/A</v>
      </c>
      <c r="AO30" s="121" t="e">
        <v>#N/A</v>
      </c>
      <c r="AP30" s="122" t="e">
        <v>#N/A</v>
      </c>
      <c r="AQ30" s="122" t="e">
        <v>#N/A</v>
      </c>
      <c r="AR30" s="122" t="e">
        <v>#N/A</v>
      </c>
      <c r="AS30" s="122" t="e">
        <v>#N/A</v>
      </c>
      <c r="AT30" s="122" t="e">
        <v>#N/A</v>
      </c>
      <c r="AU30" s="121" t="e">
        <v>#N/A</v>
      </c>
      <c r="AV30" s="122" t="e">
        <v>#N/A</v>
      </c>
      <c r="AW30" s="122">
        <v>45755</v>
      </c>
      <c r="AX30" s="122" t="e">
        <v>#N/A</v>
      </c>
      <c r="AY30" s="122" t="e">
        <v>#N/A</v>
      </c>
      <c r="AZ30" s="122" t="e">
        <v>#N/A</v>
      </c>
      <c r="BA30" s="122" t="e">
        <v>#N/A</v>
      </c>
      <c r="BB30" s="122" t="e">
        <v>#N/A</v>
      </c>
      <c r="BC30" s="122" t="e">
        <v>#N/A</v>
      </c>
      <c r="BD30" s="122" t="e">
        <v>#N/A</v>
      </c>
      <c r="BE30" s="122" t="e">
        <v>#N/A</v>
      </c>
      <c r="BF30" s="122" t="e">
        <v>#N/A</v>
      </c>
      <c r="BG30" s="122" t="e">
        <v>#N/A</v>
      </c>
      <c r="BH30" s="122" t="e">
        <v>#N/A</v>
      </c>
      <c r="BI30" s="122" t="e">
        <v>#N/A</v>
      </c>
      <c r="BJ30" s="122" t="e">
        <v>#N/A</v>
      </c>
      <c r="BK30" s="122">
        <v>45964</v>
      </c>
      <c r="BL30" s="123"/>
      <c r="BM30" s="124">
        <v>45957</v>
      </c>
      <c r="BN30" s="124">
        <v>45957</v>
      </c>
      <c r="BO30" s="124" t="e">
        <v>#N/A</v>
      </c>
      <c r="BP30" s="124" t="e">
        <v>#N/A</v>
      </c>
      <c r="BQ30" s="124" t="e">
        <v>#N/A</v>
      </c>
      <c r="BR30" s="124" t="e">
        <v>#N/A</v>
      </c>
      <c r="BS30" s="124" t="e">
        <v>#N/A</v>
      </c>
      <c r="BT30" s="124" t="e">
        <v>#N/A</v>
      </c>
      <c r="BU30" s="124" t="e">
        <v>#N/A</v>
      </c>
      <c r="BV30" s="124" t="e">
        <v>#N/A</v>
      </c>
      <c r="BW30" s="124" t="e">
        <v>#N/A</v>
      </c>
      <c r="BX30" s="124" t="e">
        <v>#N/A</v>
      </c>
      <c r="BY30" s="124" t="e">
        <v>#N/A</v>
      </c>
      <c r="BZ30" s="124" t="e">
        <v>#N/A</v>
      </c>
      <c r="CA30" s="125"/>
      <c r="CB30" s="124">
        <v>45734</v>
      </c>
      <c r="CC30" s="126">
        <v>1</v>
      </c>
      <c r="CD30" s="127" t="s">
        <v>4211</v>
      </c>
      <c r="CE30" s="128"/>
      <c r="CF30" s="77" t="e">
        <v>#N/A</v>
      </c>
    </row>
    <row r="31" spans="1:84" ht="14.5" x14ac:dyDescent="0.35">
      <c r="A31" s="77">
        <v>30</v>
      </c>
      <c r="B31" s="106" t="s">
        <v>4756</v>
      </c>
      <c r="C31" s="107" t="s">
        <v>6784</v>
      </c>
      <c r="D31" s="108" t="s">
        <v>4757</v>
      </c>
      <c r="E31" s="109" t="s">
        <v>4758</v>
      </c>
      <c r="F31" s="110">
        <v>631237990</v>
      </c>
      <c r="G31" s="108" t="s">
        <v>1004</v>
      </c>
      <c r="H31" s="111" t="s">
        <v>3924</v>
      </c>
      <c r="I31" s="111" t="s">
        <v>180</v>
      </c>
      <c r="J31" s="111" t="s">
        <v>4648</v>
      </c>
      <c r="K31" s="111" t="s">
        <v>4654</v>
      </c>
      <c r="L31" s="112">
        <v>45831</v>
      </c>
      <c r="M31" s="111" t="s">
        <v>3661</v>
      </c>
      <c r="N31" s="113"/>
      <c r="O31" s="114" t="s">
        <v>6101</v>
      </c>
      <c r="P31" s="114" t="s">
        <v>6101</v>
      </c>
      <c r="Q31" s="114" t="s">
        <v>6101</v>
      </c>
      <c r="R31" s="114" t="s">
        <v>6101</v>
      </c>
      <c r="S31" s="114" t="s">
        <v>6101</v>
      </c>
      <c r="T31" s="114" t="s">
        <v>183</v>
      </c>
      <c r="U31" s="114" t="s">
        <v>183</v>
      </c>
      <c r="V31" s="115"/>
      <c r="W31" s="116" t="s">
        <v>4759</v>
      </c>
      <c r="X31" s="116" t="s">
        <v>4760</v>
      </c>
      <c r="Y31" s="117">
        <v>3487100</v>
      </c>
      <c r="Z31" s="117">
        <v>3486766</v>
      </c>
      <c r="AA31" s="118"/>
      <c r="AB31" s="119" t="s">
        <v>5652</v>
      </c>
      <c r="AC31" s="119" t="s">
        <v>4761</v>
      </c>
      <c r="AD31" s="119">
        <v>26276</v>
      </c>
      <c r="AE31" s="119" t="s">
        <v>4762</v>
      </c>
      <c r="AF31" s="119">
        <v>0</v>
      </c>
      <c r="AG31" s="120"/>
      <c r="AH31" s="121">
        <v>45831</v>
      </c>
      <c r="AI31" s="121">
        <v>45831</v>
      </c>
      <c r="AJ31" s="121">
        <v>45831</v>
      </c>
      <c r="AK31" s="122">
        <v>45831</v>
      </c>
      <c r="AL31" s="122" t="e">
        <v>#N/A</v>
      </c>
      <c r="AM31" s="121" t="e">
        <v>#N/A</v>
      </c>
      <c r="AN31" s="121" t="e">
        <v>#N/A</v>
      </c>
      <c r="AO31" s="121" t="e">
        <v>#N/A</v>
      </c>
      <c r="AP31" s="122" t="e">
        <v>#N/A</v>
      </c>
      <c r="AQ31" s="122" t="e">
        <v>#N/A</v>
      </c>
      <c r="AR31" s="122" t="e">
        <v>#N/A</v>
      </c>
      <c r="AS31" s="122" t="e">
        <v>#N/A</v>
      </c>
      <c r="AT31" s="122" t="e">
        <v>#N/A</v>
      </c>
      <c r="AU31" s="121" t="e">
        <v>#N/A</v>
      </c>
      <c r="AV31" s="122" t="e">
        <v>#N/A</v>
      </c>
      <c r="AW31" s="122">
        <v>45828</v>
      </c>
      <c r="AX31" s="122" t="e">
        <v>#N/A</v>
      </c>
      <c r="AY31" s="122" t="e">
        <v>#N/A</v>
      </c>
      <c r="AZ31" s="122" t="e">
        <v>#N/A</v>
      </c>
      <c r="BA31" s="122" t="e">
        <v>#N/A</v>
      </c>
      <c r="BB31" s="122" t="e">
        <v>#N/A</v>
      </c>
      <c r="BC31" s="122" t="e">
        <v>#N/A</v>
      </c>
      <c r="BD31" s="122" t="e">
        <v>#N/A</v>
      </c>
      <c r="BE31" s="122" t="e">
        <v>#N/A</v>
      </c>
      <c r="BF31" s="122" t="e">
        <v>#N/A</v>
      </c>
      <c r="BG31" s="122" t="e">
        <v>#N/A</v>
      </c>
      <c r="BH31" s="122" t="e">
        <v>#N/A</v>
      </c>
      <c r="BI31" s="122" t="e">
        <v>#N/A</v>
      </c>
      <c r="BJ31" s="122" t="e">
        <v>#N/A</v>
      </c>
      <c r="BK31" s="122">
        <v>46010</v>
      </c>
      <c r="BL31" s="123"/>
      <c r="BM31" s="124" t="e">
        <v>#N/A</v>
      </c>
      <c r="BN31" s="124" t="e">
        <v>#N/A</v>
      </c>
      <c r="BO31" s="124" t="e">
        <v>#N/A</v>
      </c>
      <c r="BP31" s="124" t="e">
        <v>#N/A</v>
      </c>
      <c r="BQ31" s="124" t="e">
        <v>#N/A</v>
      </c>
      <c r="BR31" s="124" t="e">
        <v>#N/A</v>
      </c>
      <c r="BS31" s="124" t="e">
        <v>#N/A</v>
      </c>
      <c r="BT31" s="124" t="e">
        <v>#N/A</v>
      </c>
      <c r="BU31" s="124" t="e">
        <v>#N/A</v>
      </c>
      <c r="BV31" s="124" t="e">
        <v>#N/A</v>
      </c>
      <c r="BW31" s="124" t="e">
        <v>#N/A</v>
      </c>
      <c r="BX31" s="124" t="e">
        <v>#N/A</v>
      </c>
      <c r="BY31" s="124" t="e">
        <v>#N/A</v>
      </c>
      <c r="BZ31" s="124" t="e">
        <v>#N/A</v>
      </c>
      <c r="CA31" s="125"/>
      <c r="CB31" s="124">
        <v>45828</v>
      </c>
      <c r="CC31" s="126">
        <v>1</v>
      </c>
      <c r="CD31" s="127" t="s">
        <v>4980</v>
      </c>
      <c r="CE31" s="128"/>
      <c r="CF31" s="77" t="e">
        <v>#N/A</v>
      </c>
    </row>
    <row r="32" spans="1:84" ht="14.5" x14ac:dyDescent="0.35">
      <c r="A32" s="77">
        <v>31</v>
      </c>
      <c r="B32" s="106" t="s">
        <v>4267</v>
      </c>
      <c r="C32" s="107" t="s">
        <v>6738</v>
      </c>
      <c r="D32" s="108" t="s">
        <v>4268</v>
      </c>
      <c r="E32" s="109" t="s">
        <v>4269</v>
      </c>
      <c r="F32" s="110">
        <v>675916869</v>
      </c>
      <c r="G32" s="108" t="s">
        <v>1004</v>
      </c>
      <c r="H32" s="111" t="s">
        <v>3924</v>
      </c>
      <c r="I32" s="111" t="s">
        <v>180</v>
      </c>
      <c r="J32" s="111" t="s">
        <v>4648</v>
      </c>
      <c r="K32" s="111" t="s">
        <v>3159</v>
      </c>
      <c r="L32" s="112">
        <v>45684</v>
      </c>
      <c r="M32" s="111" t="s">
        <v>3661</v>
      </c>
      <c r="N32" s="113"/>
      <c r="O32" s="114" t="s">
        <v>183</v>
      </c>
      <c r="P32" s="114" t="s">
        <v>501</v>
      </c>
      <c r="Q32" s="114" t="s">
        <v>7172</v>
      </c>
      <c r="R32" s="114" t="s">
        <v>7321</v>
      </c>
      <c r="S32" s="114" t="s">
        <v>501</v>
      </c>
      <c r="T32" s="114" t="s">
        <v>501</v>
      </c>
      <c r="U32" s="114" t="s">
        <v>183</v>
      </c>
      <c r="V32" s="115"/>
      <c r="W32" s="116" t="s">
        <v>4270</v>
      </c>
      <c r="X32" s="116" t="s">
        <v>4271</v>
      </c>
      <c r="Y32" s="117">
        <v>3485179</v>
      </c>
      <c r="Z32" s="117">
        <v>3486676</v>
      </c>
      <c r="AA32" s="118"/>
      <c r="AB32" s="119" t="s">
        <v>5641</v>
      </c>
      <c r="AC32" s="119" t="s">
        <v>4272</v>
      </c>
      <c r="AD32" s="119" t="s">
        <v>4273</v>
      </c>
      <c r="AE32" s="119" t="s">
        <v>4274</v>
      </c>
      <c r="AF32" s="119" t="s">
        <v>7205</v>
      </c>
      <c r="AG32" s="120"/>
      <c r="AH32" s="121">
        <v>45684</v>
      </c>
      <c r="AI32" s="121">
        <v>45684</v>
      </c>
      <c r="AJ32" s="121">
        <v>45684</v>
      </c>
      <c r="AK32" s="122">
        <v>45684</v>
      </c>
      <c r="AL32" s="122">
        <v>45906</v>
      </c>
      <c r="AM32" s="121" t="e">
        <v>#N/A</v>
      </c>
      <c r="AN32" s="121" t="s">
        <v>7169</v>
      </c>
      <c r="AO32" s="121" t="e">
        <v>#N/A</v>
      </c>
      <c r="AP32" s="122" t="e">
        <v>#N/A</v>
      </c>
      <c r="AQ32" s="122" t="e">
        <v>#N/A</v>
      </c>
      <c r="AR32" s="122" t="e">
        <v>#N/A</v>
      </c>
      <c r="AS32" s="122" t="e">
        <v>#N/A</v>
      </c>
      <c r="AT32" s="122" t="e">
        <v>#N/A</v>
      </c>
      <c r="AU32" s="121" t="e">
        <v>#N/A</v>
      </c>
      <c r="AV32" s="122" t="e">
        <v>#N/A</v>
      </c>
      <c r="AW32" s="122">
        <v>45757</v>
      </c>
      <c r="AX32" s="122" t="e">
        <v>#N/A</v>
      </c>
      <c r="AY32" s="122" t="e">
        <v>#N/A</v>
      </c>
      <c r="AZ32" s="122" t="e">
        <v>#N/A</v>
      </c>
      <c r="BA32" s="122" t="e">
        <v>#N/A</v>
      </c>
      <c r="BB32" s="122" t="e">
        <v>#N/A</v>
      </c>
      <c r="BC32" s="122" t="e">
        <v>#N/A</v>
      </c>
      <c r="BD32" s="122" t="e">
        <v>#N/A</v>
      </c>
      <c r="BE32" s="122" t="e">
        <v>#N/A</v>
      </c>
      <c r="BF32" s="122" t="e">
        <v>#N/A</v>
      </c>
      <c r="BG32" s="122" t="e">
        <v>#N/A</v>
      </c>
      <c r="BH32" s="122" t="e">
        <v>#N/A</v>
      </c>
      <c r="BI32" s="122" t="e">
        <v>#N/A</v>
      </c>
      <c r="BJ32" s="122" t="e">
        <v>#N/A</v>
      </c>
      <c r="BK32" s="122">
        <v>45967</v>
      </c>
      <c r="BL32" s="123"/>
      <c r="BM32" s="124" t="e">
        <v>#N/A</v>
      </c>
      <c r="BN32" s="124" t="e">
        <v>#N/A</v>
      </c>
      <c r="BO32" s="124" t="e">
        <v>#N/A</v>
      </c>
      <c r="BP32" s="124" t="e">
        <v>#N/A</v>
      </c>
      <c r="BQ32" s="124" t="e">
        <v>#N/A</v>
      </c>
      <c r="BR32" s="124" t="e">
        <v>#N/A</v>
      </c>
      <c r="BS32" s="124" t="e">
        <v>#N/A</v>
      </c>
      <c r="BT32" s="124" t="e">
        <v>#N/A</v>
      </c>
      <c r="BU32" s="124" t="e">
        <v>#N/A</v>
      </c>
      <c r="BV32" s="124" t="e">
        <v>#N/A</v>
      </c>
      <c r="BW32" s="124" t="e">
        <v>#N/A</v>
      </c>
      <c r="BX32" s="124" t="e">
        <v>#N/A</v>
      </c>
      <c r="BY32" s="124" t="e">
        <v>#N/A</v>
      </c>
      <c r="BZ32" s="124" t="e">
        <v>#N/A</v>
      </c>
      <c r="CA32" s="125"/>
      <c r="CB32" s="124">
        <v>45734</v>
      </c>
      <c r="CC32" s="126">
        <v>1</v>
      </c>
      <c r="CD32" s="127" t="s">
        <v>4211</v>
      </c>
      <c r="CE32" s="128"/>
      <c r="CF32" s="77" t="e">
        <v>#N/A</v>
      </c>
    </row>
    <row r="33" spans="1:84" ht="14.5" x14ac:dyDescent="0.35">
      <c r="A33" s="77">
        <v>32</v>
      </c>
      <c r="B33" s="106" t="s">
        <v>5103</v>
      </c>
      <c r="C33" s="107" t="s">
        <v>6820</v>
      </c>
      <c r="D33" s="108" t="s">
        <v>5104</v>
      </c>
      <c r="E33" s="109" t="s">
        <v>5105</v>
      </c>
      <c r="F33" s="110">
        <v>635854104</v>
      </c>
      <c r="G33" s="108" t="s">
        <v>1004</v>
      </c>
      <c r="H33" s="111" t="s">
        <v>3924</v>
      </c>
      <c r="I33" s="111" t="s">
        <v>180</v>
      </c>
      <c r="J33" s="111" t="s">
        <v>4648</v>
      </c>
      <c r="K33" s="111" t="s">
        <v>3159</v>
      </c>
      <c r="L33" s="112">
        <v>45873</v>
      </c>
      <c r="M33" s="111" t="s">
        <v>3661</v>
      </c>
      <c r="N33" s="113"/>
      <c r="O33" s="114" t="s">
        <v>813</v>
      </c>
      <c r="P33" s="114" t="s">
        <v>813</v>
      </c>
      <c r="Q33" s="114" t="s">
        <v>286</v>
      </c>
      <c r="R33" s="114" t="s">
        <v>813</v>
      </c>
      <c r="S33" s="114" t="s">
        <v>813</v>
      </c>
      <c r="T33" s="114" t="s">
        <v>183</v>
      </c>
      <c r="U33" s="114" t="s">
        <v>183</v>
      </c>
      <c r="V33" s="115"/>
      <c r="W33" s="116" t="s">
        <v>5106</v>
      </c>
      <c r="X33" s="116" t="s">
        <v>5107</v>
      </c>
      <c r="Y33" s="117">
        <v>3485812</v>
      </c>
      <c r="Z33" s="117">
        <v>3486836</v>
      </c>
      <c r="AA33" s="118"/>
      <c r="AB33" s="119" t="s">
        <v>5856</v>
      </c>
      <c r="AC33" s="119" t="s">
        <v>5108</v>
      </c>
      <c r="AD33" s="119" t="s">
        <v>5109</v>
      </c>
      <c r="AE33" s="119" t="s">
        <v>5110</v>
      </c>
      <c r="AF33" s="119" t="s">
        <v>7232</v>
      </c>
      <c r="AG33" s="120"/>
      <c r="AH33" s="121">
        <v>45873</v>
      </c>
      <c r="AI33" s="121">
        <v>45873</v>
      </c>
      <c r="AJ33" s="121">
        <v>45873</v>
      </c>
      <c r="AK33" s="122">
        <v>45873</v>
      </c>
      <c r="AL33" s="122" t="e">
        <v>#N/A</v>
      </c>
      <c r="AM33" s="121" t="e">
        <v>#N/A</v>
      </c>
      <c r="AN33" s="121" t="e">
        <v>#N/A</v>
      </c>
      <c r="AO33" s="121" t="e">
        <v>#N/A</v>
      </c>
      <c r="AP33" s="122" t="e">
        <v>#N/A</v>
      </c>
      <c r="AQ33" s="122" t="e">
        <v>#N/A</v>
      </c>
      <c r="AR33" s="122" t="e">
        <v>#N/A</v>
      </c>
      <c r="AS33" s="122" t="e">
        <v>#N/A</v>
      </c>
      <c r="AT33" s="122" t="e">
        <v>#N/A</v>
      </c>
      <c r="AU33" s="121" t="e">
        <v>#N/A</v>
      </c>
      <c r="AV33" s="122" t="e">
        <v>#N/A</v>
      </c>
      <c r="AW33" s="122">
        <v>45873</v>
      </c>
      <c r="AX33" s="122" t="e">
        <v>#N/A</v>
      </c>
      <c r="AY33" s="122" t="e">
        <v>#N/A</v>
      </c>
      <c r="AZ33" s="122" t="e">
        <v>#N/A</v>
      </c>
      <c r="BA33" s="122" t="e">
        <v>#N/A</v>
      </c>
      <c r="BB33" s="122" t="e">
        <v>#N/A</v>
      </c>
      <c r="BC33" s="122" t="e">
        <v>#N/A</v>
      </c>
      <c r="BD33" s="122" t="e">
        <v>#N/A</v>
      </c>
      <c r="BE33" s="122" t="e">
        <v>#N/A</v>
      </c>
      <c r="BF33" s="122" t="e">
        <v>#N/A</v>
      </c>
      <c r="BG33" s="122" t="e">
        <v>#N/A</v>
      </c>
      <c r="BH33" s="122" t="e">
        <v>#N/A</v>
      </c>
      <c r="BI33" s="122" t="e">
        <v>#N/A</v>
      </c>
      <c r="BJ33" s="122" t="e">
        <v>#N/A</v>
      </c>
      <c r="BK33" s="122">
        <v>45960</v>
      </c>
      <c r="BL33" s="123"/>
      <c r="BM33" s="124" t="e">
        <v>#N/A</v>
      </c>
      <c r="BN33" s="124" t="e">
        <v>#N/A</v>
      </c>
      <c r="BO33" s="124" t="e">
        <v>#N/A</v>
      </c>
      <c r="BP33" s="124" t="e">
        <v>#N/A</v>
      </c>
      <c r="BQ33" s="124" t="e">
        <v>#N/A</v>
      </c>
      <c r="BR33" s="124" t="e">
        <v>#N/A</v>
      </c>
      <c r="BS33" s="124" t="e">
        <v>#N/A</v>
      </c>
      <c r="BT33" s="124" t="e">
        <v>#N/A</v>
      </c>
      <c r="BU33" s="124" t="e">
        <v>#N/A</v>
      </c>
      <c r="BV33" s="124" t="e">
        <v>#N/A</v>
      </c>
      <c r="BW33" s="124" t="e">
        <v>#N/A</v>
      </c>
      <c r="BX33" s="124" t="e">
        <v>#N/A</v>
      </c>
      <c r="BY33" s="124" t="e">
        <v>#N/A</v>
      </c>
      <c r="BZ33" s="124" t="e">
        <v>#N/A</v>
      </c>
      <c r="CA33" s="125"/>
      <c r="CB33" s="124" t="e">
        <v>#N/A</v>
      </c>
      <c r="CC33" s="126">
        <v>1</v>
      </c>
      <c r="CD33" s="127" t="s">
        <v>4904</v>
      </c>
      <c r="CE33" s="128"/>
      <c r="CF33" s="77" t="e">
        <v>#N/A</v>
      </c>
    </row>
    <row r="34" spans="1:84" ht="14.5" x14ac:dyDescent="0.35">
      <c r="A34" s="77">
        <v>33</v>
      </c>
      <c r="B34" s="106" t="s">
        <v>3551</v>
      </c>
      <c r="C34" s="107" t="s">
        <v>6637</v>
      </c>
      <c r="D34" s="108" t="s">
        <v>3552</v>
      </c>
      <c r="E34" s="109" t="s">
        <v>3553</v>
      </c>
      <c r="F34" s="110">
        <v>676864826</v>
      </c>
      <c r="G34" s="108" t="s">
        <v>1004</v>
      </c>
      <c r="H34" s="111" t="s">
        <v>3924</v>
      </c>
      <c r="I34" s="111" t="s">
        <v>180</v>
      </c>
      <c r="J34" s="111" t="s">
        <v>4648</v>
      </c>
      <c r="K34" s="111" t="s">
        <v>3159</v>
      </c>
      <c r="L34" s="112">
        <v>45481</v>
      </c>
      <c r="M34" s="111" t="s">
        <v>3661</v>
      </c>
      <c r="N34" s="113"/>
      <c r="O34" s="114" t="s">
        <v>459</v>
      </c>
      <c r="P34" s="114" t="s">
        <v>459</v>
      </c>
      <c r="Q34" s="114" t="s">
        <v>459</v>
      </c>
      <c r="R34" s="114" t="s">
        <v>7322</v>
      </c>
      <c r="S34" s="114" t="s">
        <v>459</v>
      </c>
      <c r="T34" s="114" t="s">
        <v>183</v>
      </c>
      <c r="U34" s="114" t="s">
        <v>183</v>
      </c>
      <c r="V34" s="115"/>
      <c r="W34" s="116" t="s">
        <v>3554</v>
      </c>
      <c r="X34" s="116" t="s">
        <v>3555</v>
      </c>
      <c r="Y34" s="117">
        <v>3485894</v>
      </c>
      <c r="Z34" s="117">
        <v>3486613</v>
      </c>
      <c r="AA34" s="118"/>
      <c r="AB34" s="119" t="s">
        <v>3828</v>
      </c>
      <c r="AC34" s="119" t="s">
        <v>3556</v>
      </c>
      <c r="AD34" s="119">
        <v>5518</v>
      </c>
      <c r="AE34" s="119" t="s">
        <v>3557</v>
      </c>
      <c r="AF34" s="119" t="s">
        <v>6638</v>
      </c>
      <c r="AG34" s="120"/>
      <c r="AH34" s="121">
        <v>45497</v>
      </c>
      <c r="AI34" s="121">
        <v>45497</v>
      </c>
      <c r="AJ34" s="121">
        <v>45497</v>
      </c>
      <c r="AK34" s="122">
        <v>45497</v>
      </c>
      <c r="AL34" s="122" t="e">
        <v>#N/A</v>
      </c>
      <c r="AM34" s="121" t="e">
        <v>#N/A</v>
      </c>
      <c r="AN34" s="121" t="e">
        <v>#N/A</v>
      </c>
      <c r="AO34" s="121" t="e">
        <v>#N/A</v>
      </c>
      <c r="AP34" s="122" t="e">
        <v>#N/A</v>
      </c>
      <c r="AQ34" s="122" t="e">
        <v>#N/A</v>
      </c>
      <c r="AR34" s="122" t="e">
        <v>#N/A</v>
      </c>
      <c r="AS34" s="122" t="e">
        <v>#N/A</v>
      </c>
      <c r="AT34" s="122" t="e">
        <v>#N/A</v>
      </c>
      <c r="AU34" s="121" t="e">
        <v>#N/A</v>
      </c>
      <c r="AV34" s="122" t="e">
        <v>#N/A</v>
      </c>
      <c r="AW34" s="122">
        <v>45677</v>
      </c>
      <c r="AX34" s="122" t="e">
        <v>#N/A</v>
      </c>
      <c r="AY34" s="122" t="e">
        <v>#N/A</v>
      </c>
      <c r="AZ34" s="122" t="e">
        <v>#N/A</v>
      </c>
      <c r="BA34" s="122" t="e">
        <v>#N/A</v>
      </c>
      <c r="BB34" s="122" t="e">
        <v>#N/A</v>
      </c>
      <c r="BC34" s="122" t="e">
        <v>#N/A</v>
      </c>
      <c r="BD34" s="122" t="e">
        <v>#N/A</v>
      </c>
      <c r="BE34" s="122" t="e">
        <v>#N/A</v>
      </c>
      <c r="BF34" s="122" t="e">
        <v>#N/A</v>
      </c>
      <c r="BG34" s="122" t="e">
        <v>#N/A</v>
      </c>
      <c r="BH34" s="122" t="e">
        <v>#N/A</v>
      </c>
      <c r="BI34" s="122" t="e">
        <v>#N/A</v>
      </c>
      <c r="BJ34" s="122" t="e">
        <v>#N/A</v>
      </c>
      <c r="BK34" s="122">
        <v>45958</v>
      </c>
      <c r="BL34" s="123"/>
      <c r="BM34" s="124" t="e">
        <v>#N/A</v>
      </c>
      <c r="BN34" s="124" t="e">
        <v>#N/A</v>
      </c>
      <c r="BO34" s="124" t="e">
        <v>#N/A</v>
      </c>
      <c r="BP34" s="124" t="e">
        <v>#N/A</v>
      </c>
      <c r="BQ34" s="124" t="e">
        <v>#N/A</v>
      </c>
      <c r="BR34" s="124" t="e">
        <v>#N/A</v>
      </c>
      <c r="BS34" s="124" t="e">
        <v>#N/A</v>
      </c>
      <c r="BT34" s="124" t="e">
        <v>#N/A</v>
      </c>
      <c r="BU34" s="124" t="e">
        <v>#N/A</v>
      </c>
      <c r="BV34" s="124" t="e">
        <v>#N/A</v>
      </c>
      <c r="BW34" s="124" t="e">
        <v>#N/A</v>
      </c>
      <c r="BX34" s="124" t="e">
        <v>#N/A</v>
      </c>
      <c r="BY34" s="124" t="e">
        <v>#N/A</v>
      </c>
      <c r="BZ34" s="124" t="e">
        <v>#N/A</v>
      </c>
      <c r="CA34" s="125"/>
      <c r="CB34" s="124" t="e">
        <v>#N/A</v>
      </c>
      <c r="CC34" s="126">
        <v>1</v>
      </c>
      <c r="CD34" s="127" t="s">
        <v>4201</v>
      </c>
      <c r="CE34" s="128"/>
      <c r="CF34" s="77" t="e">
        <v>#N/A</v>
      </c>
    </row>
    <row r="35" spans="1:84" ht="14.5" x14ac:dyDescent="0.35">
      <c r="A35" s="77">
        <v>34</v>
      </c>
      <c r="B35" s="106" t="s">
        <v>3994</v>
      </c>
      <c r="C35" s="107" t="s">
        <v>6712</v>
      </c>
      <c r="D35" s="108" t="s">
        <v>3995</v>
      </c>
      <c r="E35" s="109" t="s">
        <v>3996</v>
      </c>
      <c r="F35" s="110">
        <v>679916361</v>
      </c>
      <c r="G35" s="108" t="s">
        <v>1004</v>
      </c>
      <c r="H35" s="111" t="s">
        <v>3924</v>
      </c>
      <c r="I35" s="111" t="s">
        <v>180</v>
      </c>
      <c r="J35" s="111" t="s">
        <v>4648</v>
      </c>
      <c r="K35" s="111" t="s">
        <v>3159</v>
      </c>
      <c r="L35" s="112">
        <v>45582</v>
      </c>
      <c r="M35" s="111" t="s">
        <v>3104</v>
      </c>
      <c r="N35" s="113"/>
      <c r="O35" s="114" t="s">
        <v>257</v>
      </c>
      <c r="P35" s="114" t="s">
        <v>257</v>
      </c>
      <c r="Q35" s="114" t="s">
        <v>6198</v>
      </c>
      <c r="R35" s="114" t="s">
        <v>6198</v>
      </c>
      <c r="S35" s="114" t="s">
        <v>246</v>
      </c>
      <c r="T35" s="114" t="s">
        <v>183</v>
      </c>
      <c r="U35" s="114" t="s">
        <v>183</v>
      </c>
      <c r="V35" s="115"/>
      <c r="W35" s="116" t="s">
        <v>3997</v>
      </c>
      <c r="X35" s="116" t="s">
        <v>3998</v>
      </c>
      <c r="Y35" s="117">
        <v>3487011</v>
      </c>
      <c r="Z35" s="117">
        <v>3481522</v>
      </c>
      <c r="AA35" s="118"/>
      <c r="AB35" s="119" t="s">
        <v>5563</v>
      </c>
      <c r="AC35" s="119" t="s">
        <v>3999</v>
      </c>
      <c r="AD35" s="119">
        <v>5775</v>
      </c>
      <c r="AE35" s="119" t="s">
        <v>4000</v>
      </c>
      <c r="AF35" s="119" t="s">
        <v>7191</v>
      </c>
      <c r="AG35" s="120"/>
      <c r="AH35" s="121">
        <v>45582</v>
      </c>
      <c r="AI35" s="121">
        <v>45582</v>
      </c>
      <c r="AJ35" s="121">
        <v>45582</v>
      </c>
      <c r="AK35" s="122">
        <v>45582</v>
      </c>
      <c r="AL35" s="122" t="e">
        <v>#N/A</v>
      </c>
      <c r="AM35" s="121" t="e">
        <v>#N/A</v>
      </c>
      <c r="AN35" s="121" t="e">
        <v>#N/A</v>
      </c>
      <c r="AO35" s="121" t="e">
        <v>#N/A</v>
      </c>
      <c r="AP35" s="122" t="e">
        <v>#N/A</v>
      </c>
      <c r="AQ35" s="122" t="e">
        <v>#N/A</v>
      </c>
      <c r="AR35" s="122" t="e">
        <v>#N/A</v>
      </c>
      <c r="AS35" s="122" t="e">
        <v>#N/A</v>
      </c>
      <c r="AT35" s="122" t="e">
        <v>#N/A</v>
      </c>
      <c r="AU35" s="121" t="e">
        <v>#N/A</v>
      </c>
      <c r="AV35" s="122" t="e">
        <v>#N/A</v>
      </c>
      <c r="AW35" s="122">
        <v>45750</v>
      </c>
      <c r="AX35" s="122" t="e">
        <v>#N/A</v>
      </c>
      <c r="AY35" s="122" t="e">
        <v>#N/A</v>
      </c>
      <c r="AZ35" s="122" t="e">
        <v>#N/A</v>
      </c>
      <c r="BA35" s="122" t="e">
        <v>#N/A</v>
      </c>
      <c r="BB35" s="122" t="e">
        <v>#N/A</v>
      </c>
      <c r="BC35" s="122" t="e">
        <v>#N/A</v>
      </c>
      <c r="BD35" s="122" t="e">
        <v>#N/A</v>
      </c>
      <c r="BE35" s="122" t="e">
        <v>#N/A</v>
      </c>
      <c r="BF35" s="122" t="e">
        <v>#N/A</v>
      </c>
      <c r="BG35" s="122" t="e">
        <v>#N/A</v>
      </c>
      <c r="BH35" s="122" t="e">
        <v>#N/A</v>
      </c>
      <c r="BI35" s="122" t="e">
        <v>#N/A</v>
      </c>
      <c r="BJ35" s="122" t="e">
        <v>#N/A</v>
      </c>
      <c r="BK35" s="122">
        <v>45960</v>
      </c>
      <c r="BL35" s="123"/>
      <c r="BM35" s="124">
        <v>45873</v>
      </c>
      <c r="BN35" s="124">
        <v>45873</v>
      </c>
      <c r="BO35" s="124">
        <v>46006</v>
      </c>
      <c r="BP35" s="124">
        <v>45930</v>
      </c>
      <c r="BQ35" s="124" t="e">
        <v>#N/A</v>
      </c>
      <c r="BR35" s="124" t="e">
        <v>#N/A</v>
      </c>
      <c r="BS35" s="124" t="e">
        <v>#N/A</v>
      </c>
      <c r="BT35" s="124" t="e">
        <v>#N/A</v>
      </c>
      <c r="BU35" s="124" t="e">
        <v>#N/A</v>
      </c>
      <c r="BV35" s="124" t="e">
        <v>#N/A</v>
      </c>
      <c r="BW35" s="124" t="e">
        <v>#N/A</v>
      </c>
      <c r="BX35" s="124" t="e">
        <v>#N/A</v>
      </c>
      <c r="BY35" s="124" t="e">
        <v>#N/A</v>
      </c>
      <c r="BZ35" s="124" t="e">
        <v>#N/A</v>
      </c>
      <c r="CA35" s="125"/>
      <c r="CB35" s="124">
        <v>45728</v>
      </c>
      <c r="CC35" s="126">
        <v>1</v>
      </c>
      <c r="CD35" s="127" t="s">
        <v>4213</v>
      </c>
      <c r="CE35" s="128"/>
      <c r="CF35" s="77" t="e">
        <v>#N/A</v>
      </c>
    </row>
    <row r="36" spans="1:84" ht="14.5" x14ac:dyDescent="0.35">
      <c r="A36" s="77">
        <v>35</v>
      </c>
      <c r="B36" s="106" t="s">
        <v>3584</v>
      </c>
      <c r="C36" s="107" t="s">
        <v>6572</v>
      </c>
      <c r="D36" s="108" t="s">
        <v>3585</v>
      </c>
      <c r="E36" s="109" t="s">
        <v>3586</v>
      </c>
      <c r="F36" s="110">
        <v>627555942</v>
      </c>
      <c r="G36" s="108" t="s">
        <v>1004</v>
      </c>
      <c r="H36" s="111" t="s">
        <v>3925</v>
      </c>
      <c r="I36" s="111" t="s">
        <v>180</v>
      </c>
      <c r="J36" s="111" t="s">
        <v>4648</v>
      </c>
      <c r="K36" s="111" t="s">
        <v>3159</v>
      </c>
      <c r="L36" s="112">
        <v>45481</v>
      </c>
      <c r="M36" s="111" t="s">
        <v>2383</v>
      </c>
      <c r="N36" s="113"/>
      <c r="O36" s="114" t="s">
        <v>286</v>
      </c>
      <c r="P36" s="114" t="s">
        <v>286</v>
      </c>
      <c r="Q36" s="114" t="s">
        <v>4263</v>
      </c>
      <c r="R36" s="114" t="s">
        <v>7301</v>
      </c>
      <c r="S36" s="114" t="s">
        <v>286</v>
      </c>
      <c r="T36" s="114" t="s">
        <v>286</v>
      </c>
      <c r="U36" s="114" t="s">
        <v>183</v>
      </c>
      <c r="V36" s="115"/>
      <c r="W36" s="116" t="s">
        <v>3587</v>
      </c>
      <c r="X36" s="116" t="s">
        <v>3588</v>
      </c>
      <c r="Y36" s="117">
        <v>3485938</v>
      </c>
      <c r="Z36" s="117">
        <v>3486649</v>
      </c>
      <c r="AA36" s="118"/>
      <c r="AB36" s="119" t="s">
        <v>5558</v>
      </c>
      <c r="AC36" s="119" t="s">
        <v>3589</v>
      </c>
      <c r="AD36" s="119">
        <v>5676</v>
      </c>
      <c r="AE36" s="119" t="s">
        <v>3590</v>
      </c>
      <c r="AF36" s="119">
        <v>0</v>
      </c>
      <c r="AG36" s="120"/>
      <c r="AH36" s="121">
        <v>45195</v>
      </c>
      <c r="AI36" s="121">
        <v>45497</v>
      </c>
      <c r="AJ36" s="121">
        <v>45497</v>
      </c>
      <c r="AK36" s="122">
        <v>45497</v>
      </c>
      <c r="AL36" s="122">
        <v>45681</v>
      </c>
      <c r="AM36" s="121" t="e">
        <v>#N/A</v>
      </c>
      <c r="AN36" s="121" t="s">
        <v>7059</v>
      </c>
      <c r="AO36" s="121" t="e">
        <v>#N/A</v>
      </c>
      <c r="AP36" s="122" t="e">
        <v>#N/A</v>
      </c>
      <c r="AQ36" s="122" t="e">
        <v>#N/A</v>
      </c>
      <c r="AR36" s="122" t="e">
        <v>#N/A</v>
      </c>
      <c r="AS36" s="122" t="e">
        <v>#N/A</v>
      </c>
      <c r="AT36" s="122" t="e">
        <v>#N/A</v>
      </c>
      <c r="AU36" s="121" t="e">
        <v>#N/A</v>
      </c>
      <c r="AV36" s="122" t="e">
        <v>#N/A</v>
      </c>
      <c r="AW36" s="122">
        <v>45582</v>
      </c>
      <c r="AX36" s="122" t="e">
        <v>#N/A</v>
      </c>
      <c r="AY36" s="122" t="e">
        <v>#N/A</v>
      </c>
      <c r="AZ36" s="122" t="e">
        <v>#N/A</v>
      </c>
      <c r="BA36" s="122" t="e">
        <v>#N/A</v>
      </c>
      <c r="BB36" s="122" t="e">
        <v>#N/A</v>
      </c>
      <c r="BC36" s="122" t="e">
        <v>#N/A</v>
      </c>
      <c r="BD36" s="122" t="e">
        <v>#N/A</v>
      </c>
      <c r="BE36" s="122" t="e">
        <v>#N/A</v>
      </c>
      <c r="BF36" s="122" t="e">
        <v>#N/A</v>
      </c>
      <c r="BG36" s="122" t="e">
        <v>#N/A</v>
      </c>
      <c r="BH36" s="122" t="e">
        <v>#N/A</v>
      </c>
      <c r="BI36" s="122" t="e">
        <v>#N/A</v>
      </c>
      <c r="BJ36" s="122" t="e">
        <v>#N/A</v>
      </c>
      <c r="BK36" s="122" t="e">
        <v>#N/A</v>
      </c>
      <c r="BL36" s="123"/>
      <c r="BM36" s="124">
        <v>45812</v>
      </c>
      <c r="BN36" s="124">
        <v>45812</v>
      </c>
      <c r="BO36" s="124">
        <v>46006</v>
      </c>
      <c r="BP36" s="124" t="e">
        <v>#N/A</v>
      </c>
      <c r="BQ36" s="124" t="e">
        <v>#N/A</v>
      </c>
      <c r="BR36" s="124" t="e">
        <v>#N/A</v>
      </c>
      <c r="BS36" s="124">
        <v>45812</v>
      </c>
      <c r="BT36" s="124" t="e">
        <v>#N/A</v>
      </c>
      <c r="BU36" s="124" t="e">
        <v>#N/A</v>
      </c>
      <c r="BV36" s="124" t="e">
        <v>#N/A</v>
      </c>
      <c r="BW36" s="124" t="e">
        <v>#N/A</v>
      </c>
      <c r="BX36" s="124" t="e">
        <v>#N/A</v>
      </c>
      <c r="BY36" s="124" t="e">
        <v>#N/A</v>
      </c>
      <c r="BZ36" s="124" t="e">
        <v>#N/A</v>
      </c>
      <c r="CA36" s="125"/>
      <c r="CB36" s="124" t="e">
        <v>#N/A</v>
      </c>
      <c r="CC36" s="126">
        <v>1</v>
      </c>
      <c r="CD36" s="127" t="s">
        <v>4201</v>
      </c>
      <c r="CE36" s="128"/>
      <c r="CF36" s="77" t="e">
        <v>#N/A</v>
      </c>
    </row>
    <row r="37" spans="1:84" ht="14.5" x14ac:dyDescent="0.35">
      <c r="A37" s="77">
        <v>36</v>
      </c>
      <c r="B37" s="106" t="s">
        <v>3725</v>
      </c>
      <c r="C37" s="107" t="s">
        <v>6674</v>
      </c>
      <c r="D37" s="108" t="s">
        <v>3726</v>
      </c>
      <c r="E37" s="109" t="s">
        <v>3727</v>
      </c>
      <c r="F37" s="110">
        <v>626202042</v>
      </c>
      <c r="G37" s="108" t="s">
        <v>1004</v>
      </c>
      <c r="H37" s="111" t="s">
        <v>3925</v>
      </c>
      <c r="I37" s="111" t="s">
        <v>180</v>
      </c>
      <c r="J37" s="111" t="s">
        <v>4648</v>
      </c>
      <c r="K37" s="111" t="s">
        <v>3159</v>
      </c>
      <c r="L37" s="112">
        <v>45502</v>
      </c>
      <c r="M37" s="111" t="s">
        <v>2383</v>
      </c>
      <c r="N37" s="113"/>
      <c r="O37" s="114" t="s">
        <v>285</v>
      </c>
      <c r="P37" s="114" t="s">
        <v>6042</v>
      </c>
      <c r="Q37" s="114" t="s">
        <v>183</v>
      </c>
      <c r="R37" s="114" t="s">
        <v>7323</v>
      </c>
      <c r="S37" s="114" t="s">
        <v>6042</v>
      </c>
      <c r="T37" s="114" t="s">
        <v>6042</v>
      </c>
      <c r="U37" s="114" t="s">
        <v>183</v>
      </c>
      <c r="V37" s="115"/>
      <c r="W37" s="116" t="s">
        <v>3728</v>
      </c>
      <c r="X37" s="116" t="s">
        <v>3729</v>
      </c>
      <c r="Y37" s="117">
        <v>3487017</v>
      </c>
      <c r="Z37" s="117">
        <v>3481520</v>
      </c>
      <c r="AA37" s="118"/>
      <c r="AB37" s="119" t="s">
        <v>5564</v>
      </c>
      <c r="AC37" s="119" t="s">
        <v>3764</v>
      </c>
      <c r="AD37" s="119">
        <v>5971</v>
      </c>
      <c r="AE37" s="119" t="s">
        <v>3730</v>
      </c>
      <c r="AF37" s="119">
        <v>0</v>
      </c>
      <c r="AG37" s="120"/>
      <c r="AH37" s="121">
        <v>45514</v>
      </c>
      <c r="AI37" s="121">
        <v>45514</v>
      </c>
      <c r="AJ37" s="121">
        <v>45514</v>
      </c>
      <c r="AK37" s="122">
        <v>45514</v>
      </c>
      <c r="AL37" s="122" t="e">
        <v>#N/A</v>
      </c>
      <c r="AM37" s="121" t="e">
        <v>#N/A</v>
      </c>
      <c r="AN37" s="121" t="e">
        <v>#N/A</v>
      </c>
      <c r="AO37" s="121" t="e">
        <v>#N/A</v>
      </c>
      <c r="AP37" s="122" t="e">
        <v>#N/A</v>
      </c>
      <c r="AQ37" s="122" t="e">
        <v>#N/A</v>
      </c>
      <c r="AR37" s="122" t="e">
        <v>#N/A</v>
      </c>
      <c r="AS37" s="122" t="e">
        <v>#N/A</v>
      </c>
      <c r="AT37" s="122" t="e">
        <v>#N/A</v>
      </c>
      <c r="AU37" s="121">
        <v>45923</v>
      </c>
      <c r="AV37" s="122">
        <v>45611</v>
      </c>
      <c r="AW37" s="122">
        <v>45582</v>
      </c>
      <c r="AX37" s="122" t="e">
        <v>#N/A</v>
      </c>
      <c r="AY37" s="122" t="e">
        <v>#N/A</v>
      </c>
      <c r="AZ37" s="122" t="e">
        <v>#N/A</v>
      </c>
      <c r="BA37" s="122" t="e">
        <v>#N/A</v>
      </c>
      <c r="BB37" s="122" t="e">
        <v>#N/A</v>
      </c>
      <c r="BC37" s="122" t="e">
        <v>#N/A</v>
      </c>
      <c r="BD37" s="122" t="e">
        <v>#N/A</v>
      </c>
      <c r="BE37" s="122" t="e">
        <v>#N/A</v>
      </c>
      <c r="BF37" s="122" t="e">
        <v>#N/A</v>
      </c>
      <c r="BG37" s="122" t="e">
        <v>#N/A</v>
      </c>
      <c r="BH37" s="122" t="e">
        <v>#N/A</v>
      </c>
      <c r="BI37" s="122">
        <v>45569</v>
      </c>
      <c r="BJ37" s="122" t="e">
        <v>#N/A</v>
      </c>
      <c r="BK37" s="122" t="e">
        <v>#N/A</v>
      </c>
      <c r="BL37" s="123"/>
      <c r="BM37" s="124">
        <v>45812</v>
      </c>
      <c r="BN37" s="124">
        <v>45812</v>
      </c>
      <c r="BO37" s="124">
        <v>45937</v>
      </c>
      <c r="BP37" s="124" t="e">
        <v>#N/A</v>
      </c>
      <c r="BQ37" s="124" t="e">
        <v>#N/A</v>
      </c>
      <c r="BR37" s="124">
        <v>45986</v>
      </c>
      <c r="BS37" s="124">
        <v>45812</v>
      </c>
      <c r="BT37" s="124" t="e">
        <v>#N/A</v>
      </c>
      <c r="BU37" s="124" t="e">
        <v>#N/A</v>
      </c>
      <c r="BV37" s="124" t="e">
        <v>#N/A</v>
      </c>
      <c r="BW37" s="124" t="e">
        <v>#N/A</v>
      </c>
      <c r="BX37" s="124" t="e">
        <v>#N/A</v>
      </c>
      <c r="BY37" s="124" t="e">
        <v>#N/A</v>
      </c>
      <c r="BZ37" s="124" t="e">
        <v>#N/A</v>
      </c>
      <c r="CA37" s="125"/>
      <c r="CB37" s="124" t="e">
        <v>#N/A</v>
      </c>
      <c r="CC37" s="126">
        <v>1</v>
      </c>
      <c r="CD37" s="127" t="s">
        <v>4171</v>
      </c>
      <c r="CE37" s="128"/>
      <c r="CF37" s="77" t="e">
        <v>#N/A</v>
      </c>
    </row>
    <row r="38" spans="1:84" ht="14.5" x14ac:dyDescent="0.35">
      <c r="A38" s="77">
        <v>37</v>
      </c>
      <c r="B38" s="106" t="s">
        <v>3863</v>
      </c>
      <c r="C38" s="107" t="s">
        <v>6695</v>
      </c>
      <c r="D38" s="108" t="s">
        <v>3864</v>
      </c>
      <c r="E38" s="109" t="s">
        <v>3865</v>
      </c>
      <c r="F38" s="110">
        <v>679153184</v>
      </c>
      <c r="G38" s="108" t="s">
        <v>1004</v>
      </c>
      <c r="H38" s="111" t="s">
        <v>3925</v>
      </c>
      <c r="I38" s="111" t="s">
        <v>180</v>
      </c>
      <c r="J38" s="111" t="s">
        <v>4648</v>
      </c>
      <c r="K38" s="111" t="s">
        <v>3159</v>
      </c>
      <c r="L38" s="112">
        <v>45532</v>
      </c>
      <c r="M38" s="111" t="s">
        <v>2383</v>
      </c>
      <c r="N38" s="113"/>
      <c r="O38" s="114" t="s">
        <v>183</v>
      </c>
      <c r="P38" s="114" t="s">
        <v>7324</v>
      </c>
      <c r="Q38" s="114" t="s">
        <v>557</v>
      </c>
      <c r="R38" s="114" t="s">
        <v>7325</v>
      </c>
      <c r="S38" s="114" t="s">
        <v>7324</v>
      </c>
      <c r="T38" s="114" t="s">
        <v>7324</v>
      </c>
      <c r="U38" s="114" t="s">
        <v>183</v>
      </c>
      <c r="V38" s="115"/>
      <c r="W38" s="116" t="s">
        <v>3866</v>
      </c>
      <c r="X38" s="116" t="s">
        <v>3867</v>
      </c>
      <c r="Y38" s="117">
        <v>3485718</v>
      </c>
      <c r="Z38" s="117">
        <v>3486246</v>
      </c>
      <c r="AA38" s="118"/>
      <c r="AB38" s="119" t="s">
        <v>5565</v>
      </c>
      <c r="AC38" s="119" t="s">
        <v>3899</v>
      </c>
      <c r="AD38" s="119">
        <v>26080</v>
      </c>
      <c r="AE38" s="119" t="s">
        <v>3900</v>
      </c>
      <c r="AF38" s="119">
        <v>0</v>
      </c>
      <c r="AG38" s="120"/>
      <c r="AH38" s="121">
        <v>45547</v>
      </c>
      <c r="AI38" s="121">
        <v>45547</v>
      </c>
      <c r="AJ38" s="121">
        <v>45547</v>
      </c>
      <c r="AK38" s="122">
        <v>45547</v>
      </c>
      <c r="AL38" s="122" t="e">
        <v>#N/A</v>
      </c>
      <c r="AM38" s="121" t="e">
        <v>#N/A</v>
      </c>
      <c r="AN38" s="121" t="e">
        <v>#N/A</v>
      </c>
      <c r="AO38" s="121" t="e">
        <v>#N/A</v>
      </c>
      <c r="AP38" s="122" t="e">
        <v>#N/A</v>
      </c>
      <c r="AQ38" s="122" t="e">
        <v>#N/A</v>
      </c>
      <c r="AR38" s="122" t="e">
        <v>#N/A</v>
      </c>
      <c r="AS38" s="122" t="e">
        <v>#N/A</v>
      </c>
      <c r="AT38" s="122" t="e">
        <v>#N/A</v>
      </c>
      <c r="AU38" s="121">
        <v>45923</v>
      </c>
      <c r="AV38" s="122">
        <v>45623</v>
      </c>
      <c r="AW38" s="122">
        <v>45586</v>
      </c>
      <c r="AX38" s="122" t="e">
        <v>#N/A</v>
      </c>
      <c r="AY38" s="122" t="e">
        <v>#N/A</v>
      </c>
      <c r="AZ38" s="122" t="e">
        <v>#N/A</v>
      </c>
      <c r="BA38" s="122" t="e">
        <v>#N/A</v>
      </c>
      <c r="BB38" s="122" t="e">
        <v>#N/A</v>
      </c>
      <c r="BC38" s="122" t="e">
        <v>#N/A</v>
      </c>
      <c r="BD38" s="122" t="e">
        <v>#N/A</v>
      </c>
      <c r="BE38" s="122" t="e">
        <v>#N/A</v>
      </c>
      <c r="BF38" s="122" t="e">
        <v>#N/A</v>
      </c>
      <c r="BG38" s="122" t="e">
        <v>#N/A</v>
      </c>
      <c r="BH38" s="122" t="e">
        <v>#N/A</v>
      </c>
      <c r="BI38" s="122" t="e">
        <v>#N/A</v>
      </c>
      <c r="BJ38" s="122" t="e">
        <v>#N/A</v>
      </c>
      <c r="BK38" s="122" t="e">
        <v>#N/A</v>
      </c>
      <c r="BL38" s="123"/>
      <c r="BM38" s="124">
        <v>45812</v>
      </c>
      <c r="BN38" s="124">
        <v>45812</v>
      </c>
      <c r="BO38" s="124" t="e">
        <v>#N/A</v>
      </c>
      <c r="BP38" s="124" t="e">
        <v>#N/A</v>
      </c>
      <c r="BQ38" s="124" t="e">
        <v>#N/A</v>
      </c>
      <c r="BR38" s="124" t="e">
        <v>#N/A</v>
      </c>
      <c r="BS38" s="124">
        <v>45812</v>
      </c>
      <c r="BT38" s="124" t="e">
        <v>#N/A</v>
      </c>
      <c r="BU38" s="124" t="e">
        <v>#N/A</v>
      </c>
      <c r="BV38" s="124" t="e">
        <v>#N/A</v>
      </c>
      <c r="BW38" s="124" t="e">
        <v>#N/A</v>
      </c>
      <c r="BX38" s="124">
        <v>45944</v>
      </c>
      <c r="BY38" s="124" t="e">
        <v>#N/A</v>
      </c>
      <c r="BZ38" s="124" t="e">
        <v>#N/A</v>
      </c>
      <c r="CA38" s="125"/>
      <c r="CB38" s="124" t="e">
        <v>#N/A</v>
      </c>
      <c r="CC38" s="126">
        <v>1</v>
      </c>
      <c r="CD38" s="127" t="s">
        <v>4209</v>
      </c>
      <c r="CE38" s="128"/>
      <c r="CF38" s="77" t="e">
        <v>#N/A</v>
      </c>
    </row>
    <row r="39" spans="1:84" ht="14.5" x14ac:dyDescent="0.35">
      <c r="A39" s="77">
        <v>38</v>
      </c>
      <c r="B39" s="106" t="s">
        <v>3385</v>
      </c>
      <c r="C39" s="107" t="s">
        <v>6627</v>
      </c>
      <c r="D39" s="108" t="s">
        <v>3376</v>
      </c>
      <c r="E39" s="109" t="s">
        <v>3377</v>
      </c>
      <c r="F39" s="110">
        <v>613747157</v>
      </c>
      <c r="G39" s="108" t="s">
        <v>1004</v>
      </c>
      <c r="H39" s="111" t="s">
        <v>3925</v>
      </c>
      <c r="I39" s="111" t="s">
        <v>180</v>
      </c>
      <c r="J39" s="111" t="s">
        <v>4648</v>
      </c>
      <c r="K39" s="111" t="s">
        <v>3159</v>
      </c>
      <c r="L39" s="112">
        <v>45446</v>
      </c>
      <c r="M39" s="111" t="s">
        <v>728</v>
      </c>
      <c r="N39" s="113"/>
      <c r="O39" s="114" t="s">
        <v>225</v>
      </c>
      <c r="P39" s="114" t="s">
        <v>225</v>
      </c>
      <c r="Q39" s="114" t="s">
        <v>225</v>
      </c>
      <c r="R39" s="114" t="s">
        <v>225</v>
      </c>
      <c r="S39" s="114" t="s">
        <v>225</v>
      </c>
      <c r="T39" s="114" t="s">
        <v>183</v>
      </c>
      <c r="U39" s="114" t="s">
        <v>183</v>
      </c>
      <c r="V39" s="115"/>
      <c r="W39" s="116" t="s">
        <v>3378</v>
      </c>
      <c r="X39" s="116" t="s">
        <v>3379</v>
      </c>
      <c r="Y39" s="117">
        <v>3485953</v>
      </c>
      <c r="Z39" s="117">
        <v>3486653</v>
      </c>
      <c r="AA39" s="118"/>
      <c r="AB39" s="119" t="s">
        <v>3393</v>
      </c>
      <c r="AC39" s="119" t="s">
        <v>3508</v>
      </c>
      <c r="AD39" s="119">
        <v>5928</v>
      </c>
      <c r="AE39" s="119" t="s">
        <v>3411</v>
      </c>
      <c r="AF39" s="119" t="s">
        <v>7171</v>
      </c>
      <c r="AG39" s="120"/>
      <c r="AH39" s="121">
        <v>45460</v>
      </c>
      <c r="AI39" s="121">
        <v>45460</v>
      </c>
      <c r="AJ39" s="121">
        <v>45460</v>
      </c>
      <c r="AK39" s="122">
        <v>45460</v>
      </c>
      <c r="AL39" s="122">
        <v>45681</v>
      </c>
      <c r="AM39" s="121" t="e">
        <v>#N/A</v>
      </c>
      <c r="AN39" s="121" t="e">
        <v>#N/A</v>
      </c>
      <c r="AO39" s="121" t="e">
        <v>#N/A</v>
      </c>
      <c r="AP39" s="122" t="e">
        <v>#N/A</v>
      </c>
      <c r="AQ39" s="122" t="e">
        <v>#N/A</v>
      </c>
      <c r="AR39" s="122" t="e">
        <v>#N/A</v>
      </c>
      <c r="AS39" s="122" t="e">
        <v>#N/A</v>
      </c>
      <c r="AT39" s="122" t="e">
        <v>#N/A</v>
      </c>
      <c r="AU39" s="121" t="e">
        <v>#N/A</v>
      </c>
      <c r="AV39" s="122" t="e">
        <v>#N/A</v>
      </c>
      <c r="AW39" s="122">
        <v>45614</v>
      </c>
      <c r="AX39" s="122" t="e">
        <v>#N/A</v>
      </c>
      <c r="AY39" s="122" t="e">
        <v>#N/A</v>
      </c>
      <c r="AZ39" s="122" t="e">
        <v>#N/A</v>
      </c>
      <c r="BA39" s="122" t="e">
        <v>#N/A</v>
      </c>
      <c r="BB39" s="122" t="e">
        <v>#N/A</v>
      </c>
      <c r="BC39" s="122" t="e">
        <v>#N/A</v>
      </c>
      <c r="BD39" s="122" t="e">
        <v>#N/A</v>
      </c>
      <c r="BE39" s="122" t="e">
        <v>#N/A</v>
      </c>
      <c r="BF39" s="122" t="e">
        <v>#N/A</v>
      </c>
      <c r="BG39" s="122" t="e">
        <v>#N/A</v>
      </c>
      <c r="BH39" s="122" t="e">
        <v>#N/A</v>
      </c>
      <c r="BI39" s="122" t="e">
        <v>#N/A</v>
      </c>
      <c r="BJ39" s="122" t="e">
        <v>#N/A</v>
      </c>
      <c r="BK39" s="122">
        <v>45968</v>
      </c>
      <c r="BL39" s="123"/>
      <c r="BM39" s="124">
        <v>45812</v>
      </c>
      <c r="BN39" s="124">
        <v>45812</v>
      </c>
      <c r="BO39" s="124" t="e">
        <v>#N/A</v>
      </c>
      <c r="BP39" s="124">
        <v>45930</v>
      </c>
      <c r="BQ39" s="124" t="e">
        <v>#N/A</v>
      </c>
      <c r="BR39" s="124" t="e">
        <v>#N/A</v>
      </c>
      <c r="BS39" s="124">
        <v>45812</v>
      </c>
      <c r="BT39" s="124" t="e">
        <v>#N/A</v>
      </c>
      <c r="BU39" s="124" t="e">
        <v>#N/A</v>
      </c>
      <c r="BV39" s="124" t="e">
        <v>#N/A</v>
      </c>
      <c r="BW39" s="124" t="e">
        <v>#N/A</v>
      </c>
      <c r="BX39" s="124" t="e">
        <v>#N/A</v>
      </c>
      <c r="BY39" s="124" t="e">
        <v>#N/A</v>
      </c>
      <c r="BZ39" s="124" t="e">
        <v>#N/A</v>
      </c>
      <c r="CA39" s="125"/>
      <c r="CB39" s="124">
        <v>45726</v>
      </c>
      <c r="CC39" s="126">
        <v>1</v>
      </c>
      <c r="CD39" s="127" t="s">
        <v>4188</v>
      </c>
      <c r="CE39" s="128"/>
      <c r="CF39" s="77" t="e">
        <v>#N/A</v>
      </c>
    </row>
    <row r="40" spans="1:84" ht="14.5" x14ac:dyDescent="0.35">
      <c r="A40" s="77">
        <v>39</v>
      </c>
      <c r="B40" s="106" t="s">
        <v>3501</v>
      </c>
      <c r="C40" s="107" t="s">
        <v>6628</v>
      </c>
      <c r="D40" s="108" t="s">
        <v>3476</v>
      </c>
      <c r="E40" s="109" t="s">
        <v>3477</v>
      </c>
      <c r="F40" s="110">
        <v>687237556</v>
      </c>
      <c r="G40" s="108" t="s">
        <v>1004</v>
      </c>
      <c r="H40" s="111" t="s">
        <v>3925</v>
      </c>
      <c r="I40" s="111" t="s">
        <v>180</v>
      </c>
      <c r="J40" s="111" t="s">
        <v>4648</v>
      </c>
      <c r="K40" s="111" t="s">
        <v>3159</v>
      </c>
      <c r="L40" s="112">
        <v>45464</v>
      </c>
      <c r="M40" s="111" t="s">
        <v>597</v>
      </c>
      <c r="N40" s="113"/>
      <c r="O40" s="114" t="s">
        <v>285</v>
      </c>
      <c r="P40" s="114" t="s">
        <v>285</v>
      </c>
      <c r="Q40" s="114" t="s">
        <v>285</v>
      </c>
      <c r="R40" s="114" t="s">
        <v>7312</v>
      </c>
      <c r="S40" s="114" t="s">
        <v>285</v>
      </c>
      <c r="T40" s="114" t="s">
        <v>183</v>
      </c>
      <c r="U40" s="114" t="s">
        <v>183</v>
      </c>
      <c r="V40" s="115"/>
      <c r="W40" s="116" t="s">
        <v>3478</v>
      </c>
      <c r="X40" s="116" t="s">
        <v>3479</v>
      </c>
      <c r="Y40" s="117">
        <v>3485969</v>
      </c>
      <c r="Z40" s="117">
        <v>3486669</v>
      </c>
      <c r="AA40" s="118"/>
      <c r="AB40" s="119" t="s">
        <v>3480</v>
      </c>
      <c r="AC40" s="119" t="s">
        <v>3515</v>
      </c>
      <c r="AD40" s="119">
        <v>5690</v>
      </c>
      <c r="AE40" s="119" t="s">
        <v>3481</v>
      </c>
      <c r="AF40" s="119">
        <v>0</v>
      </c>
      <c r="AG40" s="120"/>
      <c r="AH40" s="121">
        <v>45481</v>
      </c>
      <c r="AI40" s="121">
        <v>45481</v>
      </c>
      <c r="AJ40" s="121">
        <v>45481</v>
      </c>
      <c r="AK40" s="122">
        <v>45481</v>
      </c>
      <c r="AL40" s="122" t="e">
        <v>#N/A</v>
      </c>
      <c r="AM40" s="122" t="e">
        <v>#N/A</v>
      </c>
      <c r="AN40" s="122" t="e">
        <v>#N/A</v>
      </c>
      <c r="AO40" s="121" t="e">
        <v>#N/A</v>
      </c>
      <c r="AP40" s="122" t="e">
        <v>#N/A</v>
      </c>
      <c r="AQ40" s="122" t="e">
        <v>#N/A</v>
      </c>
      <c r="AR40" s="122" t="e">
        <v>#N/A</v>
      </c>
      <c r="AS40" s="122" t="e">
        <v>#N/A</v>
      </c>
      <c r="AT40" s="122" t="e">
        <v>#N/A</v>
      </c>
      <c r="AU40" s="121" t="e">
        <v>#N/A</v>
      </c>
      <c r="AV40" s="122" t="e">
        <v>#N/A</v>
      </c>
      <c r="AW40" s="122">
        <v>45677</v>
      </c>
      <c r="AX40" s="122" t="e">
        <v>#N/A</v>
      </c>
      <c r="AY40" s="122" t="e">
        <v>#N/A</v>
      </c>
      <c r="AZ40" s="122" t="e">
        <v>#N/A</v>
      </c>
      <c r="BA40" s="122" t="e">
        <v>#N/A</v>
      </c>
      <c r="BB40" s="122" t="e">
        <v>#N/A</v>
      </c>
      <c r="BC40" s="122" t="e">
        <v>#N/A</v>
      </c>
      <c r="BD40" s="122" t="e">
        <v>#N/A</v>
      </c>
      <c r="BE40" s="122" t="e">
        <v>#N/A</v>
      </c>
      <c r="BF40" s="122" t="e">
        <v>#N/A</v>
      </c>
      <c r="BG40" s="122" t="e">
        <v>#N/A</v>
      </c>
      <c r="BH40" s="122" t="e">
        <v>#N/A</v>
      </c>
      <c r="BI40" s="122" t="e">
        <v>#N/A</v>
      </c>
      <c r="BJ40" s="122" t="e">
        <v>#N/A</v>
      </c>
      <c r="BK40" s="122" t="e">
        <v>#N/A</v>
      </c>
      <c r="BL40" s="123"/>
      <c r="BM40" s="124">
        <v>45862</v>
      </c>
      <c r="BN40" s="124">
        <v>45862</v>
      </c>
      <c r="BO40" s="124" t="e">
        <v>#N/A</v>
      </c>
      <c r="BP40" s="124" t="e">
        <v>#N/A</v>
      </c>
      <c r="BQ40" s="124" t="e">
        <v>#N/A</v>
      </c>
      <c r="BR40" s="124" t="e">
        <v>#N/A</v>
      </c>
      <c r="BS40" s="124">
        <v>45862</v>
      </c>
      <c r="BT40" s="124" t="e">
        <v>#N/A</v>
      </c>
      <c r="BU40" s="124" t="e">
        <v>#N/A</v>
      </c>
      <c r="BV40" s="124" t="e">
        <v>#N/A</v>
      </c>
      <c r="BW40" s="124" t="e">
        <v>#N/A</v>
      </c>
      <c r="BX40" s="124" t="e">
        <v>#N/A</v>
      </c>
      <c r="BY40" s="124" t="e">
        <v>#N/A</v>
      </c>
      <c r="BZ40" s="124" t="e">
        <v>#N/A</v>
      </c>
      <c r="CA40" s="125"/>
      <c r="CB40" s="124" t="e">
        <v>#N/A</v>
      </c>
      <c r="CC40" s="126">
        <v>1</v>
      </c>
      <c r="CD40" s="127" t="s">
        <v>4204</v>
      </c>
      <c r="CE40" s="128"/>
      <c r="CF40" s="77" t="e">
        <v>#N/A</v>
      </c>
    </row>
    <row r="41" spans="1:84" ht="14.5" x14ac:dyDescent="0.35">
      <c r="A41" s="77">
        <v>40</v>
      </c>
      <c r="B41" s="106" t="s">
        <v>3538</v>
      </c>
      <c r="C41" s="107" t="s">
        <v>6636</v>
      </c>
      <c r="D41" s="108" t="s">
        <v>3539</v>
      </c>
      <c r="E41" s="109" t="s">
        <v>3540</v>
      </c>
      <c r="F41" s="110">
        <v>647453305</v>
      </c>
      <c r="G41" s="108" t="s">
        <v>1004</v>
      </c>
      <c r="H41" s="111" t="s">
        <v>3925</v>
      </c>
      <c r="I41" s="111" t="s">
        <v>180</v>
      </c>
      <c r="J41" s="111" t="s">
        <v>4648</v>
      </c>
      <c r="K41" s="111" t="s">
        <v>3159</v>
      </c>
      <c r="L41" s="112">
        <v>45481</v>
      </c>
      <c r="M41" s="111" t="s">
        <v>597</v>
      </c>
      <c r="N41" s="113"/>
      <c r="O41" s="114" t="s">
        <v>813</v>
      </c>
      <c r="P41" s="114" t="s">
        <v>813</v>
      </c>
      <c r="Q41" s="114" t="s">
        <v>286</v>
      </c>
      <c r="R41" s="114" t="s">
        <v>813</v>
      </c>
      <c r="S41" s="114" t="s">
        <v>813</v>
      </c>
      <c r="T41" s="114" t="s">
        <v>183</v>
      </c>
      <c r="U41" s="114" t="s">
        <v>183</v>
      </c>
      <c r="V41" s="115"/>
      <c r="W41" s="116" t="s">
        <v>3541</v>
      </c>
      <c r="X41" s="116" t="s">
        <v>3542</v>
      </c>
      <c r="Y41" s="117">
        <v>3485901</v>
      </c>
      <c r="Z41" s="117">
        <v>3486642</v>
      </c>
      <c r="AA41" s="118"/>
      <c r="AB41" s="119" t="s">
        <v>5693</v>
      </c>
      <c r="AC41" s="119" t="s">
        <v>3543</v>
      </c>
      <c r="AD41" s="119">
        <v>5582</v>
      </c>
      <c r="AE41" s="119" t="s">
        <v>3544</v>
      </c>
      <c r="AF41" s="119">
        <v>0</v>
      </c>
      <c r="AG41" s="120"/>
      <c r="AH41" s="121">
        <v>45497</v>
      </c>
      <c r="AI41" s="121">
        <v>45497</v>
      </c>
      <c r="AJ41" s="121">
        <v>45497</v>
      </c>
      <c r="AK41" s="122">
        <v>45497</v>
      </c>
      <c r="AL41" s="122" t="e">
        <v>#N/A</v>
      </c>
      <c r="AM41" s="121" t="e">
        <v>#N/A</v>
      </c>
      <c r="AN41" s="121" t="e">
        <v>#N/A</v>
      </c>
      <c r="AO41" s="121" t="e">
        <v>#N/A</v>
      </c>
      <c r="AP41" s="122" t="e">
        <v>#N/A</v>
      </c>
      <c r="AQ41" s="122" t="e">
        <v>#N/A</v>
      </c>
      <c r="AR41" s="122" t="e">
        <v>#N/A</v>
      </c>
      <c r="AS41" s="122" t="e">
        <v>#N/A</v>
      </c>
      <c r="AT41" s="122" t="e">
        <v>#N/A</v>
      </c>
      <c r="AU41" s="121">
        <v>45922</v>
      </c>
      <c r="AV41" s="122">
        <v>45734</v>
      </c>
      <c r="AW41" s="122">
        <v>45698</v>
      </c>
      <c r="AX41" s="122" t="e">
        <v>#N/A</v>
      </c>
      <c r="AY41" s="122" t="e">
        <v>#N/A</v>
      </c>
      <c r="AZ41" s="122" t="e">
        <v>#N/A</v>
      </c>
      <c r="BA41" s="122" t="e">
        <v>#N/A</v>
      </c>
      <c r="BB41" s="122" t="e">
        <v>#N/A</v>
      </c>
      <c r="BC41" s="122" t="e">
        <v>#N/A</v>
      </c>
      <c r="BD41" s="122" t="e">
        <v>#N/A</v>
      </c>
      <c r="BE41" s="122" t="e">
        <v>#N/A</v>
      </c>
      <c r="BF41" s="122" t="e">
        <v>#N/A</v>
      </c>
      <c r="BG41" s="122" t="e">
        <v>#N/A</v>
      </c>
      <c r="BH41" s="122" t="e">
        <v>#N/A</v>
      </c>
      <c r="BI41" s="122" t="e">
        <v>#N/A</v>
      </c>
      <c r="BJ41" s="122" t="e">
        <v>#N/A</v>
      </c>
      <c r="BK41" s="122">
        <v>46010</v>
      </c>
      <c r="BL41" s="123"/>
      <c r="BM41" s="124">
        <v>45862</v>
      </c>
      <c r="BN41" s="124">
        <v>45862</v>
      </c>
      <c r="BO41" s="124" t="e">
        <v>#N/A</v>
      </c>
      <c r="BP41" s="124" t="e">
        <v>#N/A</v>
      </c>
      <c r="BQ41" s="124" t="e">
        <v>#N/A</v>
      </c>
      <c r="BR41" s="124" t="e">
        <v>#N/A</v>
      </c>
      <c r="BS41" s="124" t="e">
        <v>#N/A</v>
      </c>
      <c r="BT41" s="124" t="e">
        <v>#N/A</v>
      </c>
      <c r="BU41" s="124" t="e">
        <v>#N/A</v>
      </c>
      <c r="BV41" s="124" t="e">
        <v>#N/A</v>
      </c>
      <c r="BW41" s="124" t="e">
        <v>#N/A</v>
      </c>
      <c r="BX41" s="124" t="e">
        <v>#N/A</v>
      </c>
      <c r="BY41" s="124" t="e">
        <v>#N/A</v>
      </c>
      <c r="BZ41" s="124" t="e">
        <v>#N/A</v>
      </c>
      <c r="CA41" s="125"/>
      <c r="CB41" s="124" t="e">
        <v>#N/A</v>
      </c>
      <c r="CC41" s="126">
        <v>1</v>
      </c>
      <c r="CD41" s="127" t="s">
        <v>4201</v>
      </c>
      <c r="CE41" s="128"/>
      <c r="CF41" s="77" t="e">
        <v>#N/A</v>
      </c>
    </row>
    <row r="42" spans="1:84" ht="14.5" x14ac:dyDescent="0.35">
      <c r="A42" s="77">
        <v>41</v>
      </c>
      <c r="B42" s="106" t="s">
        <v>3806</v>
      </c>
      <c r="C42" s="107" t="s">
        <v>6689</v>
      </c>
      <c r="D42" s="108" t="s">
        <v>3807</v>
      </c>
      <c r="E42" s="109" t="s">
        <v>3808</v>
      </c>
      <c r="F42" s="110">
        <v>622642865</v>
      </c>
      <c r="G42" s="108" t="s">
        <v>1004</v>
      </c>
      <c r="H42" s="111" t="s">
        <v>3925</v>
      </c>
      <c r="I42" s="111" t="s">
        <v>180</v>
      </c>
      <c r="J42" s="111" t="s">
        <v>4648</v>
      </c>
      <c r="K42" s="111" t="s">
        <v>3159</v>
      </c>
      <c r="L42" s="112">
        <v>45516</v>
      </c>
      <c r="M42" s="111" t="s">
        <v>3104</v>
      </c>
      <c r="N42" s="113"/>
      <c r="O42" s="114" t="s">
        <v>813</v>
      </c>
      <c r="P42" s="114" t="s">
        <v>813</v>
      </c>
      <c r="Q42" s="114" t="s">
        <v>184</v>
      </c>
      <c r="R42" s="114" t="s">
        <v>7312</v>
      </c>
      <c r="S42" s="114" t="s">
        <v>4393</v>
      </c>
      <c r="T42" s="114" t="s">
        <v>4356</v>
      </c>
      <c r="U42" s="114" t="s">
        <v>4356</v>
      </c>
      <c r="V42" s="115"/>
      <c r="W42" s="116" t="s">
        <v>3809</v>
      </c>
      <c r="X42" s="116" t="s">
        <v>3810</v>
      </c>
      <c r="Y42" s="117">
        <v>3487052</v>
      </c>
      <c r="Z42" s="117">
        <v>3481556</v>
      </c>
      <c r="AA42" s="118"/>
      <c r="AB42" s="119" t="s">
        <v>3811</v>
      </c>
      <c r="AC42" s="119" t="s">
        <v>3833</v>
      </c>
      <c r="AD42" s="119">
        <v>5253</v>
      </c>
      <c r="AE42" s="119" t="s">
        <v>3812</v>
      </c>
      <c r="AF42" s="119" t="s">
        <v>7326</v>
      </c>
      <c r="AG42" s="120"/>
      <c r="AH42" s="121">
        <v>45531</v>
      </c>
      <c r="AI42" s="121">
        <v>45531</v>
      </c>
      <c r="AJ42" s="121">
        <v>45531</v>
      </c>
      <c r="AK42" s="122">
        <v>45531</v>
      </c>
      <c r="AL42" s="122">
        <v>45600</v>
      </c>
      <c r="AM42" s="121">
        <v>45600</v>
      </c>
      <c r="AN42" s="121" t="s">
        <v>4656</v>
      </c>
      <c r="AO42" s="121" t="e">
        <v>#N/A</v>
      </c>
      <c r="AP42" s="122" t="e">
        <v>#N/A</v>
      </c>
      <c r="AQ42" s="122" t="e">
        <v>#N/A</v>
      </c>
      <c r="AR42" s="122" t="e">
        <v>#N/A</v>
      </c>
      <c r="AS42" s="122" t="e">
        <v>#N/A</v>
      </c>
      <c r="AT42" s="122" t="e">
        <v>#N/A</v>
      </c>
      <c r="AU42" s="121" t="e">
        <v>#N/A</v>
      </c>
      <c r="AV42" s="122" t="e">
        <v>#N/A</v>
      </c>
      <c r="AW42" s="122">
        <v>45737</v>
      </c>
      <c r="AX42" s="122" t="e">
        <v>#N/A</v>
      </c>
      <c r="AY42" s="122" t="e">
        <v>#N/A</v>
      </c>
      <c r="AZ42" s="122" t="e">
        <v>#N/A</v>
      </c>
      <c r="BA42" s="122" t="e">
        <v>#N/A</v>
      </c>
      <c r="BB42" s="122" t="e">
        <v>#N/A</v>
      </c>
      <c r="BC42" s="122" t="e">
        <v>#N/A</v>
      </c>
      <c r="BD42" s="122" t="e">
        <v>#N/A</v>
      </c>
      <c r="BE42" s="122" t="e">
        <v>#N/A</v>
      </c>
      <c r="BF42" s="122" t="e">
        <v>#N/A</v>
      </c>
      <c r="BG42" s="122" t="e">
        <v>#N/A</v>
      </c>
      <c r="BH42" s="122" t="e">
        <v>#N/A</v>
      </c>
      <c r="BI42" s="122" t="e">
        <v>#N/A</v>
      </c>
      <c r="BJ42" s="122" t="e">
        <v>#N/A</v>
      </c>
      <c r="BK42" s="122">
        <v>45978</v>
      </c>
      <c r="BL42" s="123"/>
      <c r="BM42" s="124">
        <v>45873</v>
      </c>
      <c r="BN42" s="124">
        <v>45873</v>
      </c>
      <c r="BO42" s="124">
        <v>45915</v>
      </c>
      <c r="BP42" s="124" t="e">
        <v>#N/A</v>
      </c>
      <c r="BQ42" s="124">
        <v>45929</v>
      </c>
      <c r="BR42" s="124" t="e">
        <v>#N/A</v>
      </c>
      <c r="BS42" s="124" t="e">
        <v>#N/A</v>
      </c>
      <c r="BT42" s="124" t="e">
        <v>#N/A</v>
      </c>
      <c r="BU42" s="124" t="e">
        <v>#N/A</v>
      </c>
      <c r="BV42" s="124" t="e">
        <v>#N/A</v>
      </c>
      <c r="BW42" s="124" t="e">
        <v>#N/A</v>
      </c>
      <c r="BX42" s="124" t="e">
        <v>#N/A</v>
      </c>
      <c r="BY42" s="124" t="e">
        <v>#N/A</v>
      </c>
      <c r="BZ42" s="124" t="e">
        <v>#N/A</v>
      </c>
      <c r="CA42" s="125"/>
      <c r="CB42" s="124" t="e">
        <v>#N/A</v>
      </c>
      <c r="CC42" s="126">
        <v>1</v>
      </c>
      <c r="CD42" s="127" t="s">
        <v>4207</v>
      </c>
      <c r="CE42" s="128"/>
      <c r="CF42" s="77" t="e">
        <v>#N/A</v>
      </c>
    </row>
    <row r="43" spans="1:84" ht="14.5" x14ac:dyDescent="0.35">
      <c r="A43" s="77">
        <v>42</v>
      </c>
      <c r="B43" s="106" t="s">
        <v>2109</v>
      </c>
      <c r="C43" s="107" t="s">
        <v>6499</v>
      </c>
      <c r="D43" s="108" t="s">
        <v>2069</v>
      </c>
      <c r="E43" s="109" t="s">
        <v>2070</v>
      </c>
      <c r="F43" s="110" t="s">
        <v>2071</v>
      </c>
      <c r="G43" s="108" t="s">
        <v>1004</v>
      </c>
      <c r="H43" s="111" t="s">
        <v>3925</v>
      </c>
      <c r="I43" s="111" t="s">
        <v>180</v>
      </c>
      <c r="J43" s="111" t="s">
        <v>4648</v>
      </c>
      <c r="K43" s="111" t="s">
        <v>3159</v>
      </c>
      <c r="L43" s="112">
        <v>44959</v>
      </c>
      <c r="M43" s="111" t="s">
        <v>3104</v>
      </c>
      <c r="N43" s="113"/>
      <c r="O43" s="114" t="s">
        <v>4138</v>
      </c>
      <c r="P43" s="114" t="s">
        <v>4138</v>
      </c>
      <c r="Q43" s="114" t="s">
        <v>4138</v>
      </c>
      <c r="R43" s="114" t="s">
        <v>7327</v>
      </c>
      <c r="S43" s="114" t="s">
        <v>4138</v>
      </c>
      <c r="T43" s="114" t="s">
        <v>183</v>
      </c>
      <c r="U43" s="114" t="s">
        <v>183</v>
      </c>
      <c r="V43" s="115"/>
      <c r="W43" s="116" t="s">
        <v>2072</v>
      </c>
      <c r="X43" s="116" t="s">
        <v>2073</v>
      </c>
      <c r="Y43" s="117">
        <v>3485712</v>
      </c>
      <c r="Z43" s="117">
        <v>3481404</v>
      </c>
      <c r="AA43" s="118"/>
      <c r="AB43" s="119" t="s">
        <v>2074</v>
      </c>
      <c r="AC43" s="119" t="s">
        <v>2183</v>
      </c>
      <c r="AD43" s="119">
        <v>4101</v>
      </c>
      <c r="AE43" s="119" t="s">
        <v>2171</v>
      </c>
      <c r="AF43" s="119">
        <v>0</v>
      </c>
      <c r="AG43" s="120"/>
      <c r="AH43" s="121">
        <v>44775</v>
      </c>
      <c r="AI43" s="121">
        <v>44775</v>
      </c>
      <c r="AJ43" s="121">
        <v>44775</v>
      </c>
      <c r="AK43" s="122">
        <v>45057</v>
      </c>
      <c r="AL43" s="122">
        <v>45245</v>
      </c>
      <c r="AM43" s="121" t="e">
        <v>#N/A</v>
      </c>
      <c r="AN43" s="121" t="e">
        <v>#N/A</v>
      </c>
      <c r="AO43" s="121" t="e">
        <v>#N/A</v>
      </c>
      <c r="AP43" s="122" t="e">
        <v>#N/A</v>
      </c>
      <c r="AQ43" s="122">
        <v>45820</v>
      </c>
      <c r="AR43" s="122" t="e">
        <v>#N/A</v>
      </c>
      <c r="AS43" s="122" t="e">
        <v>#N/A</v>
      </c>
      <c r="AT43" s="122" t="e">
        <v>#N/A</v>
      </c>
      <c r="AU43" s="121" t="e">
        <v>#N/A</v>
      </c>
      <c r="AV43" s="122" t="e">
        <v>#N/A</v>
      </c>
      <c r="AW43" s="122">
        <v>45495</v>
      </c>
      <c r="AX43" s="122" t="e">
        <v>#N/A</v>
      </c>
      <c r="AY43" s="122" t="e">
        <v>#N/A</v>
      </c>
      <c r="AZ43" s="122" t="e">
        <v>#N/A</v>
      </c>
      <c r="BA43" s="122" t="e">
        <v>#N/A</v>
      </c>
      <c r="BB43" s="122" t="e">
        <v>#N/A</v>
      </c>
      <c r="BC43" s="122" t="e">
        <v>#N/A</v>
      </c>
      <c r="BD43" s="122" t="e">
        <v>#N/A</v>
      </c>
      <c r="BE43" s="122" t="e">
        <v>#N/A</v>
      </c>
      <c r="BF43" s="122" t="e">
        <v>#N/A</v>
      </c>
      <c r="BG43" s="122" t="e">
        <v>#N/A</v>
      </c>
      <c r="BH43" s="122" t="e">
        <v>#N/A</v>
      </c>
      <c r="BI43" s="122" t="e">
        <v>#N/A</v>
      </c>
      <c r="BJ43" s="122" t="e">
        <v>#N/A</v>
      </c>
      <c r="BK43" s="122" t="e">
        <v>#N/A</v>
      </c>
      <c r="BL43" s="123"/>
      <c r="BM43" s="124">
        <v>45875</v>
      </c>
      <c r="BN43" s="124">
        <v>45875</v>
      </c>
      <c r="BO43" s="124" t="e">
        <v>#N/A</v>
      </c>
      <c r="BP43" s="124" t="e">
        <v>#N/A</v>
      </c>
      <c r="BQ43" s="124" t="e">
        <v>#N/A</v>
      </c>
      <c r="BR43" s="124" t="e">
        <v>#N/A</v>
      </c>
      <c r="BS43" s="124" t="e">
        <v>#N/A</v>
      </c>
      <c r="BT43" s="124" t="e">
        <v>#N/A</v>
      </c>
      <c r="BU43" s="124" t="e">
        <v>#N/A</v>
      </c>
      <c r="BV43" s="124" t="e">
        <v>#N/A</v>
      </c>
      <c r="BW43" s="124" t="e">
        <v>#N/A</v>
      </c>
      <c r="BX43" s="124" t="e">
        <v>#N/A</v>
      </c>
      <c r="BY43" s="124" t="e">
        <v>#N/A</v>
      </c>
      <c r="BZ43" s="124" t="e">
        <v>#N/A</v>
      </c>
      <c r="CA43" s="125"/>
      <c r="CB43" s="124" t="e">
        <v>#N/A</v>
      </c>
      <c r="CC43" s="126">
        <v>1</v>
      </c>
      <c r="CD43" s="127" t="s">
        <v>4174</v>
      </c>
      <c r="CE43" s="128"/>
      <c r="CF43" s="77" t="e">
        <v>#N/A</v>
      </c>
    </row>
    <row r="44" spans="1:84" ht="14.5" x14ac:dyDescent="0.35">
      <c r="A44" s="77">
        <v>43</v>
      </c>
      <c r="B44" s="106" t="s">
        <v>3019</v>
      </c>
      <c r="C44" s="107" t="s">
        <v>6576</v>
      </c>
      <c r="D44" s="108" t="s">
        <v>3020</v>
      </c>
      <c r="E44" s="109" t="s">
        <v>3021</v>
      </c>
      <c r="F44" s="110">
        <v>609534912</v>
      </c>
      <c r="G44" s="108" t="s">
        <v>1004</v>
      </c>
      <c r="H44" s="111" t="s">
        <v>3925</v>
      </c>
      <c r="I44" s="111" t="s">
        <v>180</v>
      </c>
      <c r="J44" s="111" t="s">
        <v>4648</v>
      </c>
      <c r="K44" s="111" t="s">
        <v>3159</v>
      </c>
      <c r="L44" s="112">
        <v>45210</v>
      </c>
      <c r="M44" s="111" t="s">
        <v>3104</v>
      </c>
      <c r="N44" s="113"/>
      <c r="O44" s="114" t="s">
        <v>6101</v>
      </c>
      <c r="P44" s="114" t="s">
        <v>6101</v>
      </c>
      <c r="Q44" s="114" t="s">
        <v>6101</v>
      </c>
      <c r="R44" s="114" t="s">
        <v>7328</v>
      </c>
      <c r="S44" s="114" t="s">
        <v>6101</v>
      </c>
      <c r="T44" s="114" t="s">
        <v>183</v>
      </c>
      <c r="U44" s="114" t="s">
        <v>183</v>
      </c>
      <c r="V44" s="115"/>
      <c r="W44" s="116" t="s">
        <v>3022</v>
      </c>
      <c r="X44" s="116" t="s">
        <v>3023</v>
      </c>
      <c r="Y44" s="117">
        <v>3485847</v>
      </c>
      <c r="Z44" s="117">
        <v>3486106</v>
      </c>
      <c r="AA44" s="118"/>
      <c r="AB44" s="119" t="s">
        <v>5760</v>
      </c>
      <c r="AC44" s="119" t="s">
        <v>3024</v>
      </c>
      <c r="AD44" s="119">
        <v>5749</v>
      </c>
      <c r="AE44" s="119" t="s">
        <v>3267</v>
      </c>
      <c r="AF44" s="119">
        <v>0</v>
      </c>
      <c r="AG44" s="120"/>
      <c r="AH44" s="121">
        <v>45210</v>
      </c>
      <c r="AI44" s="121">
        <v>45351</v>
      </c>
      <c r="AJ44" s="121">
        <v>45210</v>
      </c>
      <c r="AK44" s="122">
        <v>45351</v>
      </c>
      <c r="AL44" s="122" t="e">
        <v>#N/A</v>
      </c>
      <c r="AM44" s="121" t="e">
        <v>#N/A</v>
      </c>
      <c r="AN44" s="121" t="e">
        <v>#N/A</v>
      </c>
      <c r="AO44" s="121" t="e">
        <v>#N/A</v>
      </c>
      <c r="AP44" s="122" t="e">
        <v>#N/A</v>
      </c>
      <c r="AQ44" s="122" t="e">
        <v>#N/A</v>
      </c>
      <c r="AR44" s="122" t="e">
        <v>#N/A</v>
      </c>
      <c r="AS44" s="122" t="e">
        <v>#N/A</v>
      </c>
      <c r="AT44" s="122" t="e">
        <v>#N/A</v>
      </c>
      <c r="AU44" s="121" t="e">
        <v>#N/A</v>
      </c>
      <c r="AV44" s="122">
        <v>36526</v>
      </c>
      <c r="AW44" s="122">
        <v>45861</v>
      </c>
      <c r="AX44" s="122" t="e">
        <v>#N/A</v>
      </c>
      <c r="AY44" s="122" t="e">
        <v>#N/A</v>
      </c>
      <c r="AZ44" s="122" t="e">
        <v>#N/A</v>
      </c>
      <c r="BA44" s="122" t="e">
        <v>#N/A</v>
      </c>
      <c r="BB44" s="122" t="e">
        <v>#N/A</v>
      </c>
      <c r="BC44" s="122" t="e">
        <v>#N/A</v>
      </c>
      <c r="BD44" s="122" t="e">
        <v>#N/A</v>
      </c>
      <c r="BE44" s="122" t="e">
        <v>#N/A</v>
      </c>
      <c r="BF44" s="122">
        <v>45275</v>
      </c>
      <c r="BG44" s="122" t="e">
        <v>#N/A</v>
      </c>
      <c r="BH44" s="122" t="e">
        <v>#N/A</v>
      </c>
      <c r="BI44" s="122" t="e">
        <v>#N/A</v>
      </c>
      <c r="BJ44" s="122" t="e">
        <v>#N/A</v>
      </c>
      <c r="BK44" s="122">
        <v>46010</v>
      </c>
      <c r="BL44" s="123"/>
      <c r="BM44" s="124">
        <v>45873</v>
      </c>
      <c r="BN44" s="124">
        <v>45873</v>
      </c>
      <c r="BO44" s="124">
        <v>45937</v>
      </c>
      <c r="BP44" s="124" t="e">
        <v>#N/A</v>
      </c>
      <c r="BQ44" s="124" t="e">
        <v>#N/A</v>
      </c>
      <c r="BR44" s="124" t="e">
        <v>#N/A</v>
      </c>
      <c r="BS44" s="124">
        <v>45979</v>
      </c>
      <c r="BT44" s="124">
        <v>45979</v>
      </c>
      <c r="BU44" s="124" t="e">
        <v>#N/A</v>
      </c>
      <c r="BV44" s="124" t="e">
        <v>#N/A</v>
      </c>
      <c r="BW44" s="124" t="e">
        <v>#N/A</v>
      </c>
      <c r="BX44" s="124">
        <v>45979</v>
      </c>
      <c r="BY44" s="124" t="e">
        <v>#N/A</v>
      </c>
      <c r="BZ44" s="124" t="e">
        <v>#N/A</v>
      </c>
      <c r="CA44" s="125"/>
      <c r="CB44" s="124" t="e">
        <v>#N/A</v>
      </c>
      <c r="CC44" s="126">
        <v>1</v>
      </c>
      <c r="CD44" s="127" t="s">
        <v>4193</v>
      </c>
      <c r="CE44" s="128"/>
      <c r="CF44" s="77" t="e">
        <v>#N/A</v>
      </c>
    </row>
    <row r="45" spans="1:84" ht="14.5" x14ac:dyDescent="0.35">
      <c r="A45" s="77">
        <v>44</v>
      </c>
      <c r="B45" s="106" t="s">
        <v>3868</v>
      </c>
      <c r="C45" s="107" t="s">
        <v>6700</v>
      </c>
      <c r="D45" s="108" t="s">
        <v>3869</v>
      </c>
      <c r="E45" s="109" t="s">
        <v>3870</v>
      </c>
      <c r="F45" s="110">
        <v>613183602</v>
      </c>
      <c r="G45" s="108" t="s">
        <v>1004</v>
      </c>
      <c r="H45" s="111" t="s">
        <v>3925</v>
      </c>
      <c r="I45" s="111" t="s">
        <v>180</v>
      </c>
      <c r="J45" s="111" t="s">
        <v>4648</v>
      </c>
      <c r="K45" s="111" t="s">
        <v>3159</v>
      </c>
      <c r="L45" s="112">
        <v>45532</v>
      </c>
      <c r="M45" s="111" t="s">
        <v>3104</v>
      </c>
      <c r="N45" s="113"/>
      <c r="O45" s="114" t="s">
        <v>4451</v>
      </c>
      <c r="P45" s="114" t="s">
        <v>4451</v>
      </c>
      <c r="Q45" s="114" t="s">
        <v>4451</v>
      </c>
      <c r="R45" s="114" t="s">
        <v>4451</v>
      </c>
      <c r="S45" s="114" t="s">
        <v>4451</v>
      </c>
      <c r="T45" s="114" t="s">
        <v>4356</v>
      </c>
      <c r="U45" s="114" t="s">
        <v>4356</v>
      </c>
      <c r="V45" s="115"/>
      <c r="W45" s="116" t="s">
        <v>3871</v>
      </c>
      <c r="X45" s="116" t="s">
        <v>3872</v>
      </c>
      <c r="Y45" s="117">
        <v>3485863</v>
      </c>
      <c r="Z45" s="117">
        <v>3481501</v>
      </c>
      <c r="AA45" s="118"/>
      <c r="AB45" s="119" t="s">
        <v>5730</v>
      </c>
      <c r="AC45" s="119" t="s">
        <v>3901</v>
      </c>
      <c r="AD45" s="119">
        <v>26084</v>
      </c>
      <c r="AE45" s="119" t="s">
        <v>3902</v>
      </c>
      <c r="AF45" s="119" t="s">
        <v>7329</v>
      </c>
      <c r="AG45" s="120"/>
      <c r="AH45" s="121">
        <v>45547</v>
      </c>
      <c r="AI45" s="121">
        <v>45547</v>
      </c>
      <c r="AJ45" s="121">
        <v>45547</v>
      </c>
      <c r="AK45" s="122">
        <v>45547</v>
      </c>
      <c r="AL45" s="122" t="e">
        <v>#N/A</v>
      </c>
      <c r="AM45" s="121" t="e">
        <v>#N/A</v>
      </c>
      <c r="AN45" s="121" t="e">
        <v>#N/A</v>
      </c>
      <c r="AO45" s="121" t="e">
        <v>#N/A</v>
      </c>
      <c r="AP45" s="122" t="e">
        <v>#N/A</v>
      </c>
      <c r="AQ45" s="122" t="e">
        <v>#N/A</v>
      </c>
      <c r="AR45" s="122" t="e">
        <v>#N/A</v>
      </c>
      <c r="AS45" s="122" t="e">
        <v>#N/A</v>
      </c>
      <c r="AT45" s="122" t="e">
        <v>#N/A</v>
      </c>
      <c r="AU45" s="121">
        <v>45923</v>
      </c>
      <c r="AV45" s="122">
        <v>45623</v>
      </c>
      <c r="AW45" s="122">
        <v>45583</v>
      </c>
      <c r="AX45" s="122" t="e">
        <v>#N/A</v>
      </c>
      <c r="AY45" s="122" t="e">
        <v>#N/A</v>
      </c>
      <c r="AZ45" s="122" t="e">
        <v>#N/A</v>
      </c>
      <c r="BA45" s="122" t="e">
        <v>#N/A</v>
      </c>
      <c r="BB45" s="122" t="e">
        <v>#N/A</v>
      </c>
      <c r="BC45" s="122" t="e">
        <v>#N/A</v>
      </c>
      <c r="BD45" s="122" t="e">
        <v>#N/A</v>
      </c>
      <c r="BE45" s="122" t="e">
        <v>#N/A</v>
      </c>
      <c r="BF45" s="122" t="e">
        <v>#N/A</v>
      </c>
      <c r="BG45" s="122" t="e">
        <v>#N/A</v>
      </c>
      <c r="BH45" s="122" t="e">
        <v>#N/A</v>
      </c>
      <c r="BI45" s="122" t="e">
        <v>#N/A</v>
      </c>
      <c r="BJ45" s="122" t="e">
        <v>#N/A</v>
      </c>
      <c r="BK45" s="122">
        <v>45981</v>
      </c>
      <c r="BL45" s="123"/>
      <c r="BM45" s="124">
        <v>45931</v>
      </c>
      <c r="BN45" s="124">
        <v>45931</v>
      </c>
      <c r="BO45" s="124">
        <v>45938</v>
      </c>
      <c r="BP45" s="124" t="e">
        <v>#N/A</v>
      </c>
      <c r="BQ45" s="124" t="e">
        <v>#N/A</v>
      </c>
      <c r="BR45" s="124" t="e">
        <v>#N/A</v>
      </c>
      <c r="BS45" s="124" t="e">
        <v>#N/A</v>
      </c>
      <c r="BT45" s="124" t="e">
        <v>#N/A</v>
      </c>
      <c r="BU45" s="124" t="e">
        <v>#N/A</v>
      </c>
      <c r="BV45" s="124" t="e">
        <v>#N/A</v>
      </c>
      <c r="BW45" s="124" t="e">
        <v>#N/A</v>
      </c>
      <c r="BX45" s="124" t="e">
        <v>#N/A</v>
      </c>
      <c r="BY45" s="124" t="e">
        <v>#N/A</v>
      </c>
      <c r="BZ45" s="124" t="e">
        <v>#N/A</v>
      </c>
      <c r="CA45" s="125"/>
      <c r="CB45" s="124" t="e">
        <v>#N/A</v>
      </c>
      <c r="CC45" s="126">
        <v>1</v>
      </c>
      <c r="CD45" s="127" t="s">
        <v>4209</v>
      </c>
      <c r="CE45" s="128"/>
      <c r="CF45" s="77" t="e">
        <v>#N/A</v>
      </c>
    </row>
    <row r="46" spans="1:84" ht="14.5" x14ac:dyDescent="0.35">
      <c r="A46" s="77">
        <v>45</v>
      </c>
      <c r="B46" s="106" t="s">
        <v>3858</v>
      </c>
      <c r="C46" s="107" t="s">
        <v>6693</v>
      </c>
      <c r="D46" s="108" t="s">
        <v>3859</v>
      </c>
      <c r="E46" s="109" t="s">
        <v>3860</v>
      </c>
      <c r="F46" s="110">
        <v>678283642</v>
      </c>
      <c r="G46" s="108" t="s">
        <v>1004</v>
      </c>
      <c r="H46" s="111" t="s">
        <v>3925</v>
      </c>
      <c r="I46" s="111" t="s">
        <v>180</v>
      </c>
      <c r="J46" s="111" t="s">
        <v>4648</v>
      </c>
      <c r="K46" s="111" t="s">
        <v>3159</v>
      </c>
      <c r="L46" s="112">
        <v>45532</v>
      </c>
      <c r="M46" s="111" t="s">
        <v>3661</v>
      </c>
      <c r="N46" s="113"/>
      <c r="O46" s="114" t="s">
        <v>285</v>
      </c>
      <c r="P46" s="114" t="s">
        <v>285</v>
      </c>
      <c r="Q46" s="114" t="s">
        <v>285</v>
      </c>
      <c r="R46" s="114" t="s">
        <v>7312</v>
      </c>
      <c r="S46" s="114" t="s">
        <v>285</v>
      </c>
      <c r="T46" s="114" t="s">
        <v>183</v>
      </c>
      <c r="U46" s="114" t="s">
        <v>183</v>
      </c>
      <c r="V46" s="115"/>
      <c r="W46" s="116" t="s">
        <v>3861</v>
      </c>
      <c r="X46" s="116" t="s">
        <v>3862</v>
      </c>
      <c r="Y46" s="117">
        <v>3485966</v>
      </c>
      <c r="Z46" s="117">
        <v>3481102</v>
      </c>
      <c r="AA46" s="118"/>
      <c r="AB46" s="119" t="s">
        <v>5831</v>
      </c>
      <c r="AC46" s="119" t="s">
        <v>3897</v>
      </c>
      <c r="AD46" s="119">
        <v>26076</v>
      </c>
      <c r="AE46" s="119" t="s">
        <v>3898</v>
      </c>
      <c r="AF46" s="119">
        <v>0</v>
      </c>
      <c r="AG46" s="120"/>
      <c r="AH46" s="121">
        <v>45547</v>
      </c>
      <c r="AI46" s="121">
        <v>45547</v>
      </c>
      <c r="AJ46" s="121">
        <v>45547</v>
      </c>
      <c r="AK46" s="122">
        <v>45547</v>
      </c>
      <c r="AL46" s="122" t="e">
        <v>#N/A</v>
      </c>
      <c r="AM46" s="121" t="e">
        <v>#N/A</v>
      </c>
      <c r="AN46" s="121" t="e">
        <v>#N/A</v>
      </c>
      <c r="AO46" s="121" t="e">
        <v>#N/A</v>
      </c>
      <c r="AP46" s="122" t="e">
        <v>#N/A</v>
      </c>
      <c r="AQ46" s="122" t="e">
        <v>#N/A</v>
      </c>
      <c r="AR46" s="122" t="e">
        <v>#N/A</v>
      </c>
      <c r="AS46" s="122" t="e">
        <v>#N/A</v>
      </c>
      <c r="AT46" s="122" t="e">
        <v>#N/A</v>
      </c>
      <c r="AU46" s="121">
        <v>45922</v>
      </c>
      <c r="AV46" s="122">
        <v>45734</v>
      </c>
      <c r="AW46" s="122">
        <v>45583</v>
      </c>
      <c r="AX46" s="122" t="e">
        <v>#N/A</v>
      </c>
      <c r="AY46" s="122" t="e">
        <v>#N/A</v>
      </c>
      <c r="AZ46" s="122" t="e">
        <v>#N/A</v>
      </c>
      <c r="BA46" s="122" t="e">
        <v>#N/A</v>
      </c>
      <c r="BB46" s="122" t="e">
        <v>#N/A</v>
      </c>
      <c r="BC46" s="122" t="e">
        <v>#N/A</v>
      </c>
      <c r="BD46" s="122" t="e">
        <v>#N/A</v>
      </c>
      <c r="BE46" s="122" t="e">
        <v>#N/A</v>
      </c>
      <c r="BF46" s="122" t="e">
        <v>#N/A</v>
      </c>
      <c r="BG46" s="122" t="e">
        <v>#N/A</v>
      </c>
      <c r="BH46" s="122" t="e">
        <v>#N/A</v>
      </c>
      <c r="BI46" s="122" t="e">
        <v>#N/A</v>
      </c>
      <c r="BJ46" s="122" t="e">
        <v>#N/A</v>
      </c>
      <c r="BK46" s="122" t="e">
        <v>#N/A</v>
      </c>
      <c r="BL46" s="123"/>
      <c r="BM46" s="124" t="e">
        <v>#N/A</v>
      </c>
      <c r="BN46" s="124" t="e">
        <v>#N/A</v>
      </c>
      <c r="BO46" s="124" t="e">
        <v>#N/A</v>
      </c>
      <c r="BP46" s="124" t="e">
        <v>#N/A</v>
      </c>
      <c r="BQ46" s="124" t="e">
        <v>#N/A</v>
      </c>
      <c r="BR46" s="124" t="e">
        <v>#N/A</v>
      </c>
      <c r="BS46" s="124" t="e">
        <v>#N/A</v>
      </c>
      <c r="BT46" s="124" t="e">
        <v>#N/A</v>
      </c>
      <c r="BU46" s="124" t="e">
        <v>#N/A</v>
      </c>
      <c r="BV46" s="124" t="e">
        <v>#N/A</v>
      </c>
      <c r="BW46" s="124" t="e">
        <v>#N/A</v>
      </c>
      <c r="BX46" s="124" t="e">
        <v>#N/A</v>
      </c>
      <c r="BY46" s="124" t="e">
        <v>#N/A</v>
      </c>
      <c r="BZ46" s="124" t="e">
        <v>#N/A</v>
      </c>
      <c r="CA46" s="125"/>
      <c r="CB46" s="124" t="e">
        <v>#N/A</v>
      </c>
      <c r="CC46" s="126">
        <v>1</v>
      </c>
      <c r="CD46" s="127" t="s">
        <v>4209</v>
      </c>
      <c r="CE46" s="128"/>
      <c r="CF46" s="77" t="e">
        <v>#N/A</v>
      </c>
    </row>
    <row r="47" spans="1:84" ht="14.5" x14ac:dyDescent="0.35">
      <c r="A47" s="77">
        <v>46</v>
      </c>
      <c r="B47" s="106" t="s">
        <v>4001</v>
      </c>
      <c r="C47" s="107" t="s">
        <v>6711</v>
      </c>
      <c r="D47" s="108" t="s">
        <v>4002</v>
      </c>
      <c r="E47" s="109" t="s">
        <v>4003</v>
      </c>
      <c r="F47" s="110">
        <v>633192449</v>
      </c>
      <c r="G47" s="108" t="s">
        <v>1004</v>
      </c>
      <c r="H47" s="111" t="s">
        <v>3925</v>
      </c>
      <c r="I47" s="111" t="s">
        <v>180</v>
      </c>
      <c r="J47" s="111" t="s">
        <v>4648</v>
      </c>
      <c r="K47" s="111" t="s">
        <v>3159</v>
      </c>
      <c r="L47" s="112">
        <v>45582</v>
      </c>
      <c r="M47" s="111" t="s">
        <v>3661</v>
      </c>
      <c r="N47" s="113"/>
      <c r="O47" s="114" t="s">
        <v>285</v>
      </c>
      <c r="P47" s="114" t="s">
        <v>285</v>
      </c>
      <c r="Q47" s="114" t="s">
        <v>285</v>
      </c>
      <c r="R47" s="114" t="s">
        <v>7312</v>
      </c>
      <c r="S47" s="114" t="s">
        <v>285</v>
      </c>
      <c r="T47" s="114" t="s">
        <v>183</v>
      </c>
      <c r="U47" s="114" t="s">
        <v>183</v>
      </c>
      <c r="V47" s="115"/>
      <c r="W47" s="116" t="s">
        <v>4004</v>
      </c>
      <c r="X47" s="116" t="s">
        <v>4005</v>
      </c>
      <c r="Y47" s="117">
        <v>3485653</v>
      </c>
      <c r="Z47" s="117">
        <v>3486687</v>
      </c>
      <c r="AA47" s="118"/>
      <c r="AB47" s="119" t="s">
        <v>5836</v>
      </c>
      <c r="AC47" s="119" t="s">
        <v>4006</v>
      </c>
      <c r="AD47" s="119">
        <v>5874</v>
      </c>
      <c r="AE47" s="119" t="s">
        <v>4007</v>
      </c>
      <c r="AF47" s="119" t="s">
        <v>7330</v>
      </c>
      <c r="AG47" s="120"/>
      <c r="AH47" s="121">
        <v>45582</v>
      </c>
      <c r="AI47" s="121">
        <v>45582</v>
      </c>
      <c r="AJ47" s="121">
        <v>45582</v>
      </c>
      <c r="AK47" s="122">
        <v>45582</v>
      </c>
      <c r="AL47" s="122">
        <v>45906</v>
      </c>
      <c r="AM47" s="121" t="e">
        <v>#N/A</v>
      </c>
      <c r="AN47" s="121" t="s">
        <v>7169</v>
      </c>
      <c r="AO47" s="121" t="e">
        <v>#N/A</v>
      </c>
      <c r="AP47" s="122">
        <v>45843</v>
      </c>
      <c r="AQ47" s="122">
        <v>45820</v>
      </c>
      <c r="AR47" s="122" t="e">
        <v>#N/A</v>
      </c>
      <c r="AS47" s="122" t="e">
        <v>#N/A</v>
      </c>
      <c r="AT47" s="122" t="e">
        <v>#N/A</v>
      </c>
      <c r="AU47" s="121" t="e">
        <v>#N/A</v>
      </c>
      <c r="AV47" s="122" t="e">
        <v>#N/A</v>
      </c>
      <c r="AW47" s="122">
        <v>45757</v>
      </c>
      <c r="AX47" s="122" t="e">
        <v>#N/A</v>
      </c>
      <c r="AY47" s="122" t="e">
        <v>#N/A</v>
      </c>
      <c r="AZ47" s="122" t="e">
        <v>#N/A</v>
      </c>
      <c r="BA47" s="122" t="e">
        <v>#N/A</v>
      </c>
      <c r="BB47" s="122" t="e">
        <v>#N/A</v>
      </c>
      <c r="BC47" s="122" t="e">
        <v>#N/A</v>
      </c>
      <c r="BD47" s="122" t="e">
        <v>#N/A</v>
      </c>
      <c r="BE47" s="122" t="e">
        <v>#N/A</v>
      </c>
      <c r="BF47" s="122" t="e">
        <v>#N/A</v>
      </c>
      <c r="BG47" s="122" t="e">
        <v>#N/A</v>
      </c>
      <c r="BH47" s="122" t="e">
        <v>#N/A</v>
      </c>
      <c r="BI47" s="122" t="e">
        <v>#N/A</v>
      </c>
      <c r="BJ47" s="122" t="e">
        <v>#N/A</v>
      </c>
      <c r="BK47" s="122">
        <v>46002</v>
      </c>
      <c r="BL47" s="123"/>
      <c r="BM47" s="124" t="e">
        <v>#N/A</v>
      </c>
      <c r="BN47" s="124" t="e">
        <v>#N/A</v>
      </c>
      <c r="BO47" s="124" t="e">
        <v>#N/A</v>
      </c>
      <c r="BP47" s="124" t="e">
        <v>#N/A</v>
      </c>
      <c r="BQ47" s="124" t="e">
        <v>#N/A</v>
      </c>
      <c r="BR47" s="124" t="e">
        <v>#N/A</v>
      </c>
      <c r="BS47" s="124" t="e">
        <v>#N/A</v>
      </c>
      <c r="BT47" s="124" t="e">
        <v>#N/A</v>
      </c>
      <c r="BU47" s="124" t="e">
        <v>#N/A</v>
      </c>
      <c r="BV47" s="124" t="e">
        <v>#N/A</v>
      </c>
      <c r="BW47" s="124" t="e">
        <v>#N/A</v>
      </c>
      <c r="BX47" s="124" t="e">
        <v>#N/A</v>
      </c>
      <c r="BY47" s="124" t="e">
        <v>#N/A</v>
      </c>
      <c r="BZ47" s="124" t="e">
        <v>#N/A</v>
      </c>
      <c r="CA47" s="125"/>
      <c r="CB47" s="124" t="e">
        <v>#N/A</v>
      </c>
      <c r="CC47" s="126">
        <v>1</v>
      </c>
      <c r="CD47" s="127" t="s">
        <v>4213</v>
      </c>
      <c r="CE47" s="128"/>
      <c r="CF47" s="77" t="e">
        <v>#N/A</v>
      </c>
    </row>
    <row r="48" spans="1:84" ht="14.5" x14ac:dyDescent="0.35">
      <c r="A48" s="77">
        <v>47</v>
      </c>
      <c r="B48" s="106" t="s">
        <v>3694</v>
      </c>
      <c r="C48" s="107" t="s">
        <v>6651</v>
      </c>
      <c r="D48" s="108" t="s">
        <v>3695</v>
      </c>
      <c r="E48" s="109" t="s">
        <v>3696</v>
      </c>
      <c r="F48" s="110">
        <v>604153167</v>
      </c>
      <c r="G48" s="108" t="s">
        <v>1004</v>
      </c>
      <c r="H48" s="111" t="s">
        <v>3925</v>
      </c>
      <c r="I48" s="111" t="s">
        <v>180</v>
      </c>
      <c r="J48" s="111" t="s">
        <v>4648</v>
      </c>
      <c r="K48" s="111" t="s">
        <v>199</v>
      </c>
      <c r="L48" s="112">
        <v>45490</v>
      </c>
      <c r="M48" s="111" t="s">
        <v>213</v>
      </c>
      <c r="N48" s="113"/>
      <c r="O48" s="114" t="s">
        <v>4477</v>
      </c>
      <c r="P48" s="114" t="s">
        <v>4477</v>
      </c>
      <c r="Q48" s="114" t="s">
        <v>4477</v>
      </c>
      <c r="R48" s="114" t="s">
        <v>4477</v>
      </c>
      <c r="S48" s="114" t="s">
        <v>4477</v>
      </c>
      <c r="T48" s="114" t="s">
        <v>4356</v>
      </c>
      <c r="U48" s="114" t="s">
        <v>4356</v>
      </c>
      <c r="V48" s="115"/>
      <c r="W48" s="116" t="s">
        <v>3697</v>
      </c>
      <c r="X48" s="116" t="s">
        <v>3698</v>
      </c>
      <c r="Y48" s="117">
        <v>3485922</v>
      </c>
      <c r="Z48" s="117">
        <v>3486356</v>
      </c>
      <c r="AA48" s="118"/>
      <c r="AB48" s="119" t="s">
        <v>5767</v>
      </c>
      <c r="AC48" s="119" t="s">
        <v>3699</v>
      </c>
      <c r="AD48" s="119">
        <v>5558</v>
      </c>
      <c r="AE48" s="119" t="s">
        <v>3700</v>
      </c>
      <c r="AF48" s="119" t="s">
        <v>7176</v>
      </c>
      <c r="AG48" s="120"/>
      <c r="AH48" s="121">
        <v>45514</v>
      </c>
      <c r="AI48" s="121">
        <v>45506</v>
      </c>
      <c r="AJ48" s="121">
        <v>45506</v>
      </c>
      <c r="AK48" s="122">
        <v>45506</v>
      </c>
      <c r="AL48" s="122" t="e">
        <v>#N/A</v>
      </c>
      <c r="AM48" s="121" t="e">
        <v>#N/A</v>
      </c>
      <c r="AN48" s="121" t="e">
        <v>#N/A</v>
      </c>
      <c r="AO48" s="121" t="e">
        <v>#N/A</v>
      </c>
      <c r="AP48" s="122" t="e">
        <v>#N/A</v>
      </c>
      <c r="AQ48" s="122" t="e">
        <v>#N/A</v>
      </c>
      <c r="AR48" s="122" t="e">
        <v>#N/A</v>
      </c>
      <c r="AS48" s="122" t="e">
        <v>#N/A</v>
      </c>
      <c r="AT48" s="122" t="e">
        <v>#N/A</v>
      </c>
      <c r="AU48" s="121" t="e">
        <v>#N/A</v>
      </c>
      <c r="AV48" s="122" t="e">
        <v>#N/A</v>
      </c>
      <c r="AW48" s="122">
        <v>45700</v>
      </c>
      <c r="AX48" s="122" t="e">
        <v>#N/A</v>
      </c>
      <c r="AY48" s="122" t="e">
        <v>#N/A</v>
      </c>
      <c r="AZ48" s="122" t="e">
        <v>#N/A</v>
      </c>
      <c r="BA48" s="122" t="e">
        <v>#N/A</v>
      </c>
      <c r="BB48" s="122" t="e">
        <v>#N/A</v>
      </c>
      <c r="BC48" s="122" t="e">
        <v>#N/A</v>
      </c>
      <c r="BD48" s="122" t="e">
        <v>#N/A</v>
      </c>
      <c r="BE48" s="122" t="e">
        <v>#N/A</v>
      </c>
      <c r="BF48" s="122" t="e">
        <v>#N/A</v>
      </c>
      <c r="BG48" s="122" t="e">
        <v>#N/A</v>
      </c>
      <c r="BH48" s="122" t="e">
        <v>#N/A</v>
      </c>
      <c r="BI48" s="122" t="e">
        <v>#N/A</v>
      </c>
      <c r="BJ48" s="122" t="e">
        <v>#N/A</v>
      </c>
      <c r="BK48" s="122">
        <v>45964</v>
      </c>
      <c r="BL48" s="123"/>
      <c r="BM48" s="124">
        <v>45957</v>
      </c>
      <c r="BN48" s="124">
        <v>45957</v>
      </c>
      <c r="BO48" s="124" t="e">
        <v>#N/A</v>
      </c>
      <c r="BP48" s="124" t="e">
        <v>#N/A</v>
      </c>
      <c r="BQ48" s="124" t="e">
        <v>#N/A</v>
      </c>
      <c r="BR48" s="124" t="e">
        <v>#N/A</v>
      </c>
      <c r="BS48" s="124" t="e">
        <v>#N/A</v>
      </c>
      <c r="BT48" s="124" t="e">
        <v>#N/A</v>
      </c>
      <c r="BU48" s="124" t="e">
        <v>#N/A</v>
      </c>
      <c r="BV48" s="124" t="e">
        <v>#N/A</v>
      </c>
      <c r="BW48" s="124" t="e">
        <v>#N/A</v>
      </c>
      <c r="BX48" s="124" t="e">
        <v>#N/A</v>
      </c>
      <c r="BY48" s="124" t="e">
        <v>#N/A</v>
      </c>
      <c r="BZ48" s="124" t="e">
        <v>#N/A</v>
      </c>
      <c r="CA48" s="125"/>
      <c r="CB48" s="124">
        <v>45729</v>
      </c>
      <c r="CC48" s="126">
        <v>1</v>
      </c>
      <c r="CD48" s="127" t="s">
        <v>4205</v>
      </c>
      <c r="CE48" s="128"/>
      <c r="CF48" s="77" t="e">
        <v>#N/A</v>
      </c>
    </row>
    <row r="49" spans="1:84" ht="14.5" x14ac:dyDescent="0.35">
      <c r="A49" s="77">
        <v>48</v>
      </c>
      <c r="B49" s="106" t="s">
        <v>3032</v>
      </c>
      <c r="C49" s="107" t="s">
        <v>6582</v>
      </c>
      <c r="D49" s="108" t="s">
        <v>3033</v>
      </c>
      <c r="E49" s="109" t="s">
        <v>3034</v>
      </c>
      <c r="F49" s="110">
        <v>652316704</v>
      </c>
      <c r="G49" s="108" t="s">
        <v>1004</v>
      </c>
      <c r="H49" s="111" t="s">
        <v>3925</v>
      </c>
      <c r="I49" s="111" t="s">
        <v>180</v>
      </c>
      <c r="J49" s="111" t="s">
        <v>4648</v>
      </c>
      <c r="K49" s="111" t="s">
        <v>3159</v>
      </c>
      <c r="L49" s="112">
        <v>45217</v>
      </c>
      <c r="M49" s="111" t="s">
        <v>2502</v>
      </c>
      <c r="N49" s="113"/>
      <c r="O49" s="114" t="s">
        <v>225</v>
      </c>
      <c r="P49" s="114" t="s">
        <v>225</v>
      </c>
      <c r="Q49" s="114" t="s">
        <v>226</v>
      </c>
      <c r="R49" s="114" t="s">
        <v>7331</v>
      </c>
      <c r="S49" s="114" t="s">
        <v>225</v>
      </c>
      <c r="T49" s="114" t="s">
        <v>183</v>
      </c>
      <c r="U49" s="114" t="s">
        <v>183</v>
      </c>
      <c r="V49" s="115"/>
      <c r="W49" s="116" t="s">
        <v>3035</v>
      </c>
      <c r="X49" s="116" t="s">
        <v>3036</v>
      </c>
      <c r="Y49" s="117">
        <v>3485578</v>
      </c>
      <c r="Z49" s="117">
        <v>3481179</v>
      </c>
      <c r="AA49" s="118"/>
      <c r="AB49" s="119" t="s">
        <v>3037</v>
      </c>
      <c r="AC49" s="119" t="s">
        <v>3038</v>
      </c>
      <c r="AD49" s="119">
        <v>4451</v>
      </c>
      <c r="AE49" s="119" t="s">
        <v>3039</v>
      </c>
      <c r="AF49" s="119" t="s">
        <v>7162</v>
      </c>
      <c r="AG49" s="120"/>
      <c r="AH49" s="121">
        <v>45217</v>
      </c>
      <c r="AI49" s="121">
        <v>45260</v>
      </c>
      <c r="AJ49" s="121">
        <v>45217</v>
      </c>
      <c r="AK49" s="122">
        <v>45260</v>
      </c>
      <c r="AL49" s="122" t="e">
        <v>#N/A</v>
      </c>
      <c r="AM49" s="121" t="e">
        <v>#N/A</v>
      </c>
      <c r="AN49" s="121" t="e">
        <v>#N/A</v>
      </c>
      <c r="AO49" s="121" t="e">
        <v>#N/A</v>
      </c>
      <c r="AP49" s="122" t="e">
        <v>#N/A</v>
      </c>
      <c r="AQ49" s="122" t="e">
        <v>#N/A</v>
      </c>
      <c r="AR49" s="122" t="e">
        <v>#N/A</v>
      </c>
      <c r="AS49" s="122" t="e">
        <v>#N/A</v>
      </c>
      <c r="AT49" s="122" t="e">
        <v>#N/A</v>
      </c>
      <c r="AU49" s="121" t="e">
        <v>#N/A</v>
      </c>
      <c r="AV49" s="122" t="e">
        <v>#N/A</v>
      </c>
      <c r="AW49" s="122">
        <v>45754</v>
      </c>
      <c r="AX49" s="122" t="e">
        <v>#N/A</v>
      </c>
      <c r="AY49" s="122" t="e">
        <v>#N/A</v>
      </c>
      <c r="AZ49" s="122" t="e">
        <v>#N/A</v>
      </c>
      <c r="BA49" s="122" t="e">
        <v>#N/A</v>
      </c>
      <c r="BB49" s="122" t="e">
        <v>#N/A</v>
      </c>
      <c r="BC49" s="122" t="e">
        <v>#N/A</v>
      </c>
      <c r="BD49" s="122" t="e">
        <v>#N/A</v>
      </c>
      <c r="BE49" s="122" t="e">
        <v>#N/A</v>
      </c>
      <c r="BF49" s="122" t="e">
        <v>#N/A</v>
      </c>
      <c r="BG49" s="122" t="e">
        <v>#N/A</v>
      </c>
      <c r="BH49" s="122" t="e">
        <v>#N/A</v>
      </c>
      <c r="BI49" s="122" t="e">
        <v>#N/A</v>
      </c>
      <c r="BJ49" s="122" t="e">
        <v>#N/A</v>
      </c>
      <c r="BK49" s="122">
        <v>45971</v>
      </c>
      <c r="BL49" s="123"/>
      <c r="BM49" s="124">
        <v>45931</v>
      </c>
      <c r="BN49" s="124">
        <v>45931</v>
      </c>
      <c r="BO49" s="124">
        <v>45938</v>
      </c>
      <c r="BP49" s="124" t="e">
        <v>#N/A</v>
      </c>
      <c r="BQ49" s="124" t="e">
        <v>#N/A</v>
      </c>
      <c r="BR49" s="124" t="e">
        <v>#N/A</v>
      </c>
      <c r="BS49" s="124" t="e">
        <v>#N/A</v>
      </c>
      <c r="BT49" s="124" t="e">
        <v>#N/A</v>
      </c>
      <c r="BU49" s="124" t="e">
        <v>#N/A</v>
      </c>
      <c r="BV49" s="124" t="e">
        <v>#N/A</v>
      </c>
      <c r="BW49" s="124" t="e">
        <v>#N/A</v>
      </c>
      <c r="BX49" s="124" t="e">
        <v>#N/A</v>
      </c>
      <c r="BY49" s="124" t="e">
        <v>#N/A</v>
      </c>
      <c r="BZ49" s="124" t="e">
        <v>#N/A</v>
      </c>
      <c r="CA49" s="125"/>
      <c r="CB49" s="124" t="e">
        <v>#N/A</v>
      </c>
      <c r="CC49" s="126">
        <v>1</v>
      </c>
      <c r="CD49" s="127" t="s">
        <v>4194</v>
      </c>
      <c r="CE49" s="128"/>
      <c r="CF49" s="77" t="e">
        <v>#N/A</v>
      </c>
    </row>
    <row r="50" spans="1:84" ht="14.5" x14ac:dyDescent="0.35">
      <c r="A50" s="77">
        <v>49</v>
      </c>
      <c r="B50" s="106" t="s">
        <v>4292</v>
      </c>
      <c r="C50" s="107" t="s">
        <v>6737</v>
      </c>
      <c r="D50" s="108" t="s">
        <v>4293</v>
      </c>
      <c r="E50" s="109" t="s">
        <v>4294</v>
      </c>
      <c r="F50" s="110">
        <v>671424997</v>
      </c>
      <c r="G50" s="108" t="s">
        <v>1004</v>
      </c>
      <c r="H50" s="111" t="s">
        <v>3925</v>
      </c>
      <c r="I50" s="111" t="s">
        <v>180</v>
      </c>
      <c r="J50" s="111" t="s">
        <v>4648</v>
      </c>
      <c r="K50" s="111" t="s">
        <v>3159</v>
      </c>
      <c r="L50" s="112">
        <v>45684</v>
      </c>
      <c r="M50" s="111" t="s">
        <v>3104</v>
      </c>
      <c r="N50" s="113"/>
      <c r="O50" s="114" t="s">
        <v>4470</v>
      </c>
      <c r="P50" s="114" t="s">
        <v>4470</v>
      </c>
      <c r="Q50" s="114" t="s">
        <v>7254</v>
      </c>
      <c r="R50" s="114" t="s">
        <v>7318</v>
      </c>
      <c r="S50" s="114" t="s">
        <v>4470</v>
      </c>
      <c r="T50" s="114" t="s">
        <v>183</v>
      </c>
      <c r="U50" s="114" t="s">
        <v>183</v>
      </c>
      <c r="V50" s="115"/>
      <c r="W50" s="116" t="s">
        <v>4295</v>
      </c>
      <c r="X50" s="116" t="s">
        <v>4296</v>
      </c>
      <c r="Y50" s="117">
        <v>3486007</v>
      </c>
      <c r="Z50" s="117">
        <v>3486636</v>
      </c>
      <c r="AA50" s="118"/>
      <c r="AB50" s="119" t="s">
        <v>5524</v>
      </c>
      <c r="AC50" s="119" t="s">
        <v>4297</v>
      </c>
      <c r="AD50" s="119" t="s">
        <v>4298</v>
      </c>
      <c r="AE50" s="119" t="s">
        <v>4299</v>
      </c>
      <c r="AF50" s="119" t="s">
        <v>7204</v>
      </c>
      <c r="AG50" s="120"/>
      <c r="AH50" s="121">
        <v>45684</v>
      </c>
      <c r="AI50" s="121">
        <v>45684</v>
      </c>
      <c r="AJ50" s="121">
        <v>45684</v>
      </c>
      <c r="AK50" s="122">
        <v>45684</v>
      </c>
      <c r="AL50" s="122" t="e">
        <v>#N/A</v>
      </c>
      <c r="AM50" s="121" t="e">
        <v>#N/A</v>
      </c>
      <c r="AN50" s="121" t="e">
        <v>#N/A</v>
      </c>
      <c r="AO50" s="121" t="e">
        <v>#N/A</v>
      </c>
      <c r="AP50" s="122" t="e">
        <v>#N/A</v>
      </c>
      <c r="AQ50" s="122" t="e">
        <v>#N/A</v>
      </c>
      <c r="AR50" s="122" t="e">
        <v>#N/A</v>
      </c>
      <c r="AS50" s="122" t="e">
        <v>#N/A</v>
      </c>
      <c r="AT50" s="122" t="e">
        <v>#N/A</v>
      </c>
      <c r="AU50" s="121" t="e">
        <v>#N/A</v>
      </c>
      <c r="AV50" s="122" t="e">
        <v>#N/A</v>
      </c>
      <c r="AW50" s="122">
        <v>45747</v>
      </c>
      <c r="AX50" s="122" t="e">
        <v>#N/A</v>
      </c>
      <c r="AY50" s="122" t="e">
        <v>#N/A</v>
      </c>
      <c r="AZ50" s="122" t="e">
        <v>#N/A</v>
      </c>
      <c r="BA50" s="122" t="e">
        <v>#N/A</v>
      </c>
      <c r="BB50" s="122" t="e">
        <v>#N/A</v>
      </c>
      <c r="BC50" s="122" t="e">
        <v>#N/A</v>
      </c>
      <c r="BD50" s="122" t="e">
        <v>#N/A</v>
      </c>
      <c r="BE50" s="122" t="e">
        <v>#N/A</v>
      </c>
      <c r="BF50" s="122" t="e">
        <v>#N/A</v>
      </c>
      <c r="BG50" s="122" t="e">
        <v>#N/A</v>
      </c>
      <c r="BH50" s="122" t="e">
        <v>#N/A</v>
      </c>
      <c r="BI50" s="122" t="e">
        <v>#N/A</v>
      </c>
      <c r="BJ50" s="122" t="e">
        <v>#N/A</v>
      </c>
      <c r="BK50" s="122">
        <v>45964</v>
      </c>
      <c r="BL50" s="123"/>
      <c r="BM50" s="124">
        <v>45873</v>
      </c>
      <c r="BN50" s="124">
        <v>45873</v>
      </c>
      <c r="BO50" s="124" t="e">
        <v>#N/A</v>
      </c>
      <c r="BP50" s="124" t="e">
        <v>#N/A</v>
      </c>
      <c r="BQ50" s="124">
        <v>45929</v>
      </c>
      <c r="BR50" s="124" t="e">
        <v>#N/A</v>
      </c>
      <c r="BS50" s="124" t="e">
        <v>#N/A</v>
      </c>
      <c r="BT50" s="124" t="e">
        <v>#N/A</v>
      </c>
      <c r="BU50" s="124" t="e">
        <v>#N/A</v>
      </c>
      <c r="BV50" s="124" t="e">
        <v>#N/A</v>
      </c>
      <c r="BW50" s="124" t="e">
        <v>#N/A</v>
      </c>
      <c r="BX50" s="124" t="e">
        <v>#N/A</v>
      </c>
      <c r="BY50" s="124" t="e">
        <v>#N/A</v>
      </c>
      <c r="BZ50" s="124" t="e">
        <v>#N/A</v>
      </c>
      <c r="CA50" s="125"/>
      <c r="CB50" s="124" t="e">
        <v>#N/A</v>
      </c>
      <c r="CC50" s="126">
        <v>1</v>
      </c>
      <c r="CD50" s="127" t="s">
        <v>4211</v>
      </c>
      <c r="CE50" s="128"/>
      <c r="CF50" s="77" t="e">
        <v>#N/A</v>
      </c>
    </row>
    <row r="51" spans="1:84" ht="14.5" x14ac:dyDescent="0.35">
      <c r="A51" s="77">
        <v>50</v>
      </c>
      <c r="B51" s="106" t="s">
        <v>4363</v>
      </c>
      <c r="C51" s="107" t="s">
        <v>6692</v>
      </c>
      <c r="D51" s="108" t="s">
        <v>4364</v>
      </c>
      <c r="E51" s="109" t="s">
        <v>4365</v>
      </c>
      <c r="F51" s="110">
        <v>607285607</v>
      </c>
      <c r="G51" s="108" t="s">
        <v>1004</v>
      </c>
      <c r="H51" s="111" t="s">
        <v>3925</v>
      </c>
      <c r="I51" s="111" t="s">
        <v>180</v>
      </c>
      <c r="J51" s="111" t="s">
        <v>4648</v>
      </c>
      <c r="K51" s="111" t="s">
        <v>3159</v>
      </c>
      <c r="L51" s="112">
        <v>45705</v>
      </c>
      <c r="M51" s="111" t="s">
        <v>1656</v>
      </c>
      <c r="N51" s="113"/>
      <c r="O51" s="114" t="s">
        <v>501</v>
      </c>
      <c r="P51" s="114" t="s">
        <v>501</v>
      </c>
      <c r="Q51" s="114" t="s">
        <v>501</v>
      </c>
      <c r="R51" s="114" t="s">
        <v>7321</v>
      </c>
      <c r="S51" s="114" t="s">
        <v>501</v>
      </c>
      <c r="T51" s="114" t="s">
        <v>183</v>
      </c>
      <c r="U51" s="114" t="s">
        <v>183</v>
      </c>
      <c r="V51" s="115"/>
      <c r="W51" s="116" t="s">
        <v>4366</v>
      </c>
      <c r="X51" s="116" t="s">
        <v>4367</v>
      </c>
      <c r="Y51" s="117">
        <v>3487059</v>
      </c>
      <c r="Z51" s="117">
        <v>3481563</v>
      </c>
      <c r="AA51" s="118"/>
      <c r="AB51" s="119" t="s">
        <v>4368</v>
      </c>
      <c r="AC51" s="119" t="s">
        <v>4369</v>
      </c>
      <c r="AD51" s="119">
        <v>5007</v>
      </c>
      <c r="AE51" s="119" t="s">
        <v>4378</v>
      </c>
      <c r="AF51" s="119" t="s">
        <v>7181</v>
      </c>
      <c r="AG51" s="120"/>
      <c r="AH51" s="121">
        <v>45531</v>
      </c>
      <c r="AI51" s="121">
        <v>45531</v>
      </c>
      <c r="AJ51" s="121">
        <v>45531</v>
      </c>
      <c r="AK51" s="122">
        <v>45531</v>
      </c>
      <c r="AL51" s="122">
        <v>45600</v>
      </c>
      <c r="AM51" s="122">
        <v>45600</v>
      </c>
      <c r="AN51" s="122" t="s">
        <v>4656</v>
      </c>
      <c r="AO51" s="121" t="e">
        <v>#N/A</v>
      </c>
      <c r="AP51" s="122" t="s">
        <v>4656</v>
      </c>
      <c r="AQ51" s="122" t="e">
        <v>#N/A</v>
      </c>
      <c r="AR51" s="122" t="e">
        <v>#N/A</v>
      </c>
      <c r="AS51" s="122" t="e">
        <v>#N/A</v>
      </c>
      <c r="AT51" s="122" t="e">
        <v>#N/A</v>
      </c>
      <c r="AU51" s="121" t="e">
        <v>#N/A</v>
      </c>
      <c r="AV51" s="122" t="e">
        <v>#N/A</v>
      </c>
      <c r="AW51" s="122">
        <v>45737</v>
      </c>
      <c r="AX51" s="122" t="e">
        <v>#N/A</v>
      </c>
      <c r="AY51" s="122" t="e">
        <v>#N/A</v>
      </c>
      <c r="AZ51" s="122" t="e">
        <v>#N/A</v>
      </c>
      <c r="BA51" s="122" t="e">
        <v>#N/A</v>
      </c>
      <c r="BB51" s="122" t="e">
        <v>#N/A</v>
      </c>
      <c r="BC51" s="122" t="e">
        <v>#N/A</v>
      </c>
      <c r="BD51" s="122" t="e">
        <v>#N/A</v>
      </c>
      <c r="BE51" s="122" t="e">
        <v>#N/A</v>
      </c>
      <c r="BF51" s="122" t="e">
        <v>#N/A</v>
      </c>
      <c r="BG51" s="122" t="e">
        <v>#N/A</v>
      </c>
      <c r="BH51" s="122" t="e">
        <v>#N/A</v>
      </c>
      <c r="BI51" s="122" t="e">
        <v>#N/A</v>
      </c>
      <c r="BJ51" s="122" t="e">
        <v>#N/A</v>
      </c>
      <c r="BK51" s="122">
        <v>45967</v>
      </c>
      <c r="BL51" s="123"/>
      <c r="BM51" s="124">
        <v>45862</v>
      </c>
      <c r="BN51" s="124">
        <v>45862</v>
      </c>
      <c r="BO51" s="124" t="e">
        <v>#N/A</v>
      </c>
      <c r="BP51" s="124" t="e">
        <v>#N/A</v>
      </c>
      <c r="BQ51" s="124" t="e">
        <v>#N/A</v>
      </c>
      <c r="BR51" s="124" t="e">
        <v>#N/A</v>
      </c>
      <c r="BS51" s="124">
        <v>45862</v>
      </c>
      <c r="BT51" s="124" t="e">
        <v>#N/A</v>
      </c>
      <c r="BU51" s="124" t="e">
        <v>#N/A</v>
      </c>
      <c r="BV51" s="124" t="e">
        <v>#N/A</v>
      </c>
      <c r="BW51" s="124" t="e">
        <v>#N/A</v>
      </c>
      <c r="BX51" s="124" t="e">
        <v>#N/A</v>
      </c>
      <c r="BY51" s="124" t="e">
        <v>#N/A</v>
      </c>
      <c r="BZ51" s="124" t="e">
        <v>#N/A</v>
      </c>
      <c r="CA51" s="125"/>
      <c r="CB51" s="124">
        <v>45729</v>
      </c>
      <c r="CC51" s="126">
        <v>1</v>
      </c>
      <c r="CD51" s="127" t="s">
        <v>4207</v>
      </c>
      <c r="CE51" s="128"/>
      <c r="CF51" s="77" t="e">
        <v>#N/A</v>
      </c>
    </row>
    <row r="52" spans="1:84" ht="14.5" x14ac:dyDescent="0.35">
      <c r="A52" s="77">
        <v>51</v>
      </c>
      <c r="B52" s="106" t="s">
        <v>4300</v>
      </c>
      <c r="C52" s="107" t="s">
        <v>6734</v>
      </c>
      <c r="D52" s="108" t="s">
        <v>4301</v>
      </c>
      <c r="E52" s="109" t="s">
        <v>4302</v>
      </c>
      <c r="F52" s="110">
        <v>656312394</v>
      </c>
      <c r="G52" s="108" t="s">
        <v>1004</v>
      </c>
      <c r="H52" s="111" t="s">
        <v>3925</v>
      </c>
      <c r="I52" s="111" t="s">
        <v>180</v>
      </c>
      <c r="J52" s="111" t="s">
        <v>4648</v>
      </c>
      <c r="K52" s="111" t="s">
        <v>3159</v>
      </c>
      <c r="L52" s="112">
        <v>45684</v>
      </c>
      <c r="M52" s="111" t="s">
        <v>3104</v>
      </c>
      <c r="N52" s="113"/>
      <c r="O52" s="114" t="s">
        <v>6018</v>
      </c>
      <c r="P52" s="114" t="s">
        <v>7332</v>
      </c>
      <c r="Q52" s="114" t="s">
        <v>7332</v>
      </c>
      <c r="R52" s="114" t="s">
        <v>7333</v>
      </c>
      <c r="S52" s="114" t="s">
        <v>7332</v>
      </c>
      <c r="T52" s="114" t="s">
        <v>183</v>
      </c>
      <c r="U52" s="114" t="s">
        <v>183</v>
      </c>
      <c r="V52" s="115"/>
      <c r="W52" s="116" t="s">
        <v>4303</v>
      </c>
      <c r="X52" s="116" t="s">
        <v>4304</v>
      </c>
      <c r="Y52" s="117">
        <v>3485532</v>
      </c>
      <c r="Z52" s="117">
        <v>3481570</v>
      </c>
      <c r="AA52" s="118"/>
      <c r="AB52" s="119" t="s">
        <v>4305</v>
      </c>
      <c r="AC52" s="119" t="s">
        <v>4306</v>
      </c>
      <c r="AD52" s="119" t="s">
        <v>4307</v>
      </c>
      <c r="AE52" s="119" t="s">
        <v>4308</v>
      </c>
      <c r="AF52" s="119">
        <v>0</v>
      </c>
      <c r="AG52" s="120"/>
      <c r="AH52" s="121">
        <v>45684</v>
      </c>
      <c r="AI52" s="121">
        <v>45684</v>
      </c>
      <c r="AJ52" s="121">
        <v>45684</v>
      </c>
      <c r="AK52" s="122">
        <v>45684</v>
      </c>
      <c r="AL52" s="122" t="e">
        <v>#N/A</v>
      </c>
      <c r="AM52" s="121" t="e">
        <v>#N/A</v>
      </c>
      <c r="AN52" s="121" t="e">
        <v>#N/A</v>
      </c>
      <c r="AO52" s="121" t="e">
        <v>#N/A</v>
      </c>
      <c r="AP52" s="122" t="e">
        <v>#N/A</v>
      </c>
      <c r="AQ52" s="122" t="e">
        <v>#N/A</v>
      </c>
      <c r="AR52" s="122" t="e">
        <v>#N/A</v>
      </c>
      <c r="AS52" s="122" t="e">
        <v>#N/A</v>
      </c>
      <c r="AT52" s="122" t="e">
        <v>#N/A</v>
      </c>
      <c r="AU52" s="121" t="e">
        <v>#N/A</v>
      </c>
      <c r="AV52" s="122" t="e">
        <v>#N/A</v>
      </c>
      <c r="AW52" s="122">
        <v>45755</v>
      </c>
      <c r="AX52" s="122" t="e">
        <v>#N/A</v>
      </c>
      <c r="AY52" s="122" t="e">
        <v>#N/A</v>
      </c>
      <c r="AZ52" s="122" t="e">
        <v>#N/A</v>
      </c>
      <c r="BA52" s="122" t="e">
        <v>#N/A</v>
      </c>
      <c r="BB52" s="122" t="e">
        <v>#N/A</v>
      </c>
      <c r="BC52" s="122" t="e">
        <v>#N/A</v>
      </c>
      <c r="BD52" s="122" t="e">
        <v>#N/A</v>
      </c>
      <c r="BE52" s="122" t="e">
        <v>#N/A</v>
      </c>
      <c r="BF52" s="122" t="e">
        <v>#N/A</v>
      </c>
      <c r="BG52" s="122" t="e">
        <v>#N/A</v>
      </c>
      <c r="BH52" s="122" t="e">
        <v>#N/A</v>
      </c>
      <c r="BI52" s="122" t="e">
        <v>#N/A</v>
      </c>
      <c r="BJ52" s="122" t="e">
        <v>#N/A</v>
      </c>
      <c r="BK52" s="122" t="e">
        <v>#N/A</v>
      </c>
      <c r="BL52" s="123"/>
      <c r="BM52" s="124">
        <v>45873</v>
      </c>
      <c r="BN52" s="124">
        <v>45873</v>
      </c>
      <c r="BO52" s="124">
        <v>45915</v>
      </c>
      <c r="BP52" s="124" t="e">
        <v>#N/A</v>
      </c>
      <c r="BQ52" s="124">
        <v>45929</v>
      </c>
      <c r="BR52" s="124" t="e">
        <v>#N/A</v>
      </c>
      <c r="BS52" s="124" t="e">
        <v>#N/A</v>
      </c>
      <c r="BT52" s="124" t="e">
        <v>#N/A</v>
      </c>
      <c r="BU52" s="124" t="e">
        <v>#N/A</v>
      </c>
      <c r="BV52" s="124" t="e">
        <v>#N/A</v>
      </c>
      <c r="BW52" s="124" t="e">
        <v>#N/A</v>
      </c>
      <c r="BX52" s="124" t="e">
        <v>#N/A</v>
      </c>
      <c r="BY52" s="124" t="e">
        <v>#N/A</v>
      </c>
      <c r="BZ52" s="124" t="e">
        <v>#N/A</v>
      </c>
      <c r="CA52" s="125"/>
      <c r="CB52" s="124" t="e">
        <v>#N/A</v>
      </c>
      <c r="CC52" s="126">
        <v>1</v>
      </c>
      <c r="CD52" s="127" t="s">
        <v>4211</v>
      </c>
      <c r="CE52" s="128"/>
      <c r="CF52" s="77" t="e">
        <v>#N/A</v>
      </c>
    </row>
    <row r="53" spans="1:84" ht="14.5" x14ac:dyDescent="0.35">
      <c r="A53" s="77">
        <v>52</v>
      </c>
      <c r="B53" s="106" t="s">
        <v>3359</v>
      </c>
      <c r="C53" s="107" t="s">
        <v>6615</v>
      </c>
      <c r="D53" s="108" t="s">
        <v>3330</v>
      </c>
      <c r="E53" s="109" t="s">
        <v>3331</v>
      </c>
      <c r="F53" s="110">
        <v>671739396</v>
      </c>
      <c r="G53" s="108" t="s">
        <v>1004</v>
      </c>
      <c r="H53" s="111" t="s">
        <v>3925</v>
      </c>
      <c r="I53" s="111" t="s">
        <v>180</v>
      </c>
      <c r="J53" s="111" t="s">
        <v>4648</v>
      </c>
      <c r="K53" s="111" t="s">
        <v>3159</v>
      </c>
      <c r="L53" s="112">
        <v>45432</v>
      </c>
      <c r="M53" s="111" t="s">
        <v>597</v>
      </c>
      <c r="N53" s="113"/>
      <c r="O53" s="114" t="s">
        <v>4469</v>
      </c>
      <c r="P53" s="114" t="s">
        <v>4469</v>
      </c>
      <c r="Q53" s="114" t="s">
        <v>4469</v>
      </c>
      <c r="R53" s="114" t="s">
        <v>4469</v>
      </c>
      <c r="S53" s="114" t="s">
        <v>4469</v>
      </c>
      <c r="T53" s="114" t="s">
        <v>4356</v>
      </c>
      <c r="U53" s="114" t="s">
        <v>4356</v>
      </c>
      <c r="V53" s="115"/>
      <c r="W53" s="116" t="s">
        <v>3332</v>
      </c>
      <c r="X53" s="116" t="s">
        <v>3603</v>
      </c>
      <c r="Y53" s="117">
        <v>3485861</v>
      </c>
      <c r="Z53" s="117">
        <v>3486592</v>
      </c>
      <c r="AA53" s="118"/>
      <c r="AB53" s="119" t="s">
        <v>5757</v>
      </c>
      <c r="AC53" s="119" t="s">
        <v>3360</v>
      </c>
      <c r="AD53" s="119">
        <v>5864</v>
      </c>
      <c r="AE53" s="119" t="s">
        <v>3333</v>
      </c>
      <c r="AF53" s="119" t="s">
        <v>6616</v>
      </c>
      <c r="AG53" s="120"/>
      <c r="AH53" s="121">
        <v>45448</v>
      </c>
      <c r="AI53" s="121">
        <v>45448</v>
      </c>
      <c r="AJ53" s="121">
        <v>45448</v>
      </c>
      <c r="AK53" s="122">
        <v>45448</v>
      </c>
      <c r="AL53" s="122" t="e">
        <v>#N/A</v>
      </c>
      <c r="AM53" s="122" t="e">
        <v>#N/A</v>
      </c>
      <c r="AN53" s="122" t="e">
        <v>#N/A</v>
      </c>
      <c r="AO53" s="121" t="e">
        <v>#N/A</v>
      </c>
      <c r="AP53" s="122" t="e">
        <v>#N/A</v>
      </c>
      <c r="AQ53" s="122" t="e">
        <v>#N/A</v>
      </c>
      <c r="AR53" s="122" t="e">
        <v>#N/A</v>
      </c>
      <c r="AS53" s="122" t="e">
        <v>#N/A</v>
      </c>
      <c r="AT53" s="122" t="e">
        <v>#N/A</v>
      </c>
      <c r="AU53" s="121">
        <v>45912</v>
      </c>
      <c r="AV53" s="122">
        <v>45611</v>
      </c>
      <c r="AW53" s="122">
        <v>45582</v>
      </c>
      <c r="AX53" s="122" t="e">
        <v>#N/A</v>
      </c>
      <c r="AY53" s="122" t="e">
        <v>#N/A</v>
      </c>
      <c r="AZ53" s="122" t="e">
        <v>#N/A</v>
      </c>
      <c r="BA53" s="122" t="e">
        <v>#N/A</v>
      </c>
      <c r="BB53" s="122" t="e">
        <v>#N/A</v>
      </c>
      <c r="BC53" s="122" t="e">
        <v>#N/A</v>
      </c>
      <c r="BD53" s="122" t="e">
        <v>#N/A</v>
      </c>
      <c r="BE53" s="122" t="e">
        <v>#N/A</v>
      </c>
      <c r="BF53" s="122" t="e">
        <v>#N/A</v>
      </c>
      <c r="BG53" s="122" t="e">
        <v>#N/A</v>
      </c>
      <c r="BH53" s="122" t="e">
        <v>#N/A</v>
      </c>
      <c r="BI53" s="122" t="e">
        <v>#N/A</v>
      </c>
      <c r="BJ53" s="122" t="e">
        <v>#N/A</v>
      </c>
      <c r="BK53" s="122" t="s">
        <v>6040</v>
      </c>
      <c r="BL53" s="123"/>
      <c r="BM53" s="124">
        <v>45812</v>
      </c>
      <c r="BN53" s="124">
        <v>45812</v>
      </c>
      <c r="BO53" s="124" t="e">
        <v>#N/A</v>
      </c>
      <c r="BP53" s="124">
        <v>45930</v>
      </c>
      <c r="BQ53" s="124" t="e">
        <v>#N/A</v>
      </c>
      <c r="BR53" s="124" t="e">
        <v>#N/A</v>
      </c>
      <c r="BS53" s="124">
        <v>45812</v>
      </c>
      <c r="BT53" s="124" t="e">
        <v>#N/A</v>
      </c>
      <c r="BU53" s="124" t="e">
        <v>#N/A</v>
      </c>
      <c r="BV53" s="124" t="e">
        <v>#N/A</v>
      </c>
      <c r="BW53" s="124" t="e">
        <v>#N/A</v>
      </c>
      <c r="BX53" s="124" t="e">
        <v>#N/A</v>
      </c>
      <c r="BY53" s="124" t="e">
        <v>#N/A</v>
      </c>
      <c r="BZ53" s="124" t="e">
        <v>#N/A</v>
      </c>
      <c r="CA53" s="125"/>
      <c r="CB53" s="124" t="e">
        <v>#N/A</v>
      </c>
      <c r="CC53" s="126">
        <v>1</v>
      </c>
      <c r="CD53" s="127" t="s">
        <v>4170</v>
      </c>
      <c r="CE53" s="128"/>
      <c r="CF53" s="77" t="e">
        <v>#N/A</v>
      </c>
    </row>
    <row r="54" spans="1:84" ht="14.5" x14ac:dyDescent="0.35">
      <c r="A54" s="77">
        <v>53</v>
      </c>
      <c r="B54" s="106" t="s">
        <v>107</v>
      </c>
      <c r="C54" s="107" t="s">
        <v>1199</v>
      </c>
      <c r="D54" s="108" t="s">
        <v>709</v>
      </c>
      <c r="E54" s="109" t="s">
        <v>710</v>
      </c>
      <c r="F54" s="110">
        <v>633697522</v>
      </c>
      <c r="G54" s="108" t="s">
        <v>190</v>
      </c>
      <c r="H54" s="111" t="s">
        <v>1705</v>
      </c>
      <c r="I54" s="111" t="s">
        <v>180</v>
      </c>
      <c r="J54" s="111" t="s">
        <v>4649</v>
      </c>
      <c r="K54" s="111" t="s">
        <v>2860</v>
      </c>
      <c r="L54" s="112">
        <v>44510</v>
      </c>
      <c r="M54" s="111" t="s">
        <v>3771</v>
      </c>
      <c r="N54" s="113"/>
      <c r="O54" s="114" t="s">
        <v>6020</v>
      </c>
      <c r="P54" s="114" t="s">
        <v>6020</v>
      </c>
      <c r="Q54" s="114" t="s">
        <v>6020</v>
      </c>
      <c r="R54" s="114" t="s">
        <v>7334</v>
      </c>
      <c r="S54" s="114" t="s">
        <v>6020</v>
      </c>
      <c r="T54" s="114" t="s">
        <v>183</v>
      </c>
      <c r="U54" s="114" t="s">
        <v>183</v>
      </c>
      <c r="V54" s="115"/>
      <c r="W54" s="116" t="s">
        <v>711</v>
      </c>
      <c r="X54" s="116" t="s">
        <v>712</v>
      </c>
      <c r="Y54" s="117">
        <v>3485463</v>
      </c>
      <c r="Z54" s="117">
        <v>3481115</v>
      </c>
      <c r="AA54" s="118"/>
      <c r="AB54" s="119" t="s">
        <v>5575</v>
      </c>
      <c r="AC54" s="119" t="s">
        <v>1200</v>
      </c>
      <c r="AD54" s="119">
        <v>5804</v>
      </c>
      <c r="AE54" s="119" t="s">
        <v>4471</v>
      </c>
      <c r="AF54" s="119">
        <v>0</v>
      </c>
      <c r="AG54" s="120"/>
      <c r="AH54" s="121">
        <v>36892</v>
      </c>
      <c r="AI54" s="121">
        <v>45810</v>
      </c>
      <c r="AJ54" s="121">
        <v>45810</v>
      </c>
      <c r="AK54" s="122">
        <v>45810</v>
      </c>
      <c r="AL54" s="122" t="e">
        <v>#N/A</v>
      </c>
      <c r="AM54" s="121" t="e">
        <v>#N/A</v>
      </c>
      <c r="AN54" s="121" t="e">
        <v>#N/A</v>
      </c>
      <c r="AO54" s="121" t="e">
        <v>#N/A</v>
      </c>
      <c r="AP54" s="122" t="e">
        <v>#N/A</v>
      </c>
      <c r="AQ54" s="122" t="e">
        <v>#N/A</v>
      </c>
      <c r="AR54" s="122" t="e">
        <v>#N/A</v>
      </c>
      <c r="AS54" s="122" t="e">
        <v>#N/A</v>
      </c>
      <c r="AT54" s="122" t="e">
        <v>#N/A</v>
      </c>
      <c r="AU54" s="121" t="e">
        <v>#N/A</v>
      </c>
      <c r="AV54" s="122" t="e">
        <v>#N/A</v>
      </c>
      <c r="AW54" s="122">
        <v>45807</v>
      </c>
      <c r="AX54" s="122" t="e">
        <v>#N/A</v>
      </c>
      <c r="AY54" s="122" t="e">
        <v>#N/A</v>
      </c>
      <c r="AZ54" s="122" t="e">
        <v>#N/A</v>
      </c>
      <c r="BA54" s="122" t="e">
        <v>#N/A</v>
      </c>
      <c r="BB54" s="122" t="e">
        <v>#N/A</v>
      </c>
      <c r="BC54" s="122" t="e">
        <v>#N/A</v>
      </c>
      <c r="BD54" s="122" t="e">
        <v>#N/A</v>
      </c>
      <c r="BE54" s="122" t="e">
        <v>#N/A</v>
      </c>
      <c r="BF54" s="122" t="e">
        <v>#N/A</v>
      </c>
      <c r="BG54" s="122" t="e">
        <v>#N/A</v>
      </c>
      <c r="BH54" s="122" t="e">
        <v>#N/A</v>
      </c>
      <c r="BI54" s="122" t="e">
        <v>#N/A</v>
      </c>
      <c r="BJ54" s="122" t="e">
        <v>#N/A</v>
      </c>
      <c r="BK54" s="122" t="e">
        <v>#N/A</v>
      </c>
      <c r="BL54" s="123"/>
      <c r="BM54" s="124" t="e">
        <v>#N/A</v>
      </c>
      <c r="BN54" s="124" t="e">
        <v>#N/A</v>
      </c>
      <c r="BO54" s="124" t="e">
        <v>#N/A</v>
      </c>
      <c r="BP54" s="124" t="e">
        <v>#N/A</v>
      </c>
      <c r="BQ54" s="124" t="e">
        <v>#N/A</v>
      </c>
      <c r="BR54" s="124" t="e">
        <v>#N/A</v>
      </c>
      <c r="BS54" s="124" t="e">
        <v>#N/A</v>
      </c>
      <c r="BT54" s="124" t="e">
        <v>#N/A</v>
      </c>
      <c r="BU54" s="124" t="e">
        <v>#N/A</v>
      </c>
      <c r="BV54" s="124" t="e">
        <v>#N/A</v>
      </c>
      <c r="BW54" s="124" t="e">
        <v>#N/A</v>
      </c>
      <c r="BX54" s="124" t="e">
        <v>#N/A</v>
      </c>
      <c r="BY54" s="124" t="e">
        <v>#N/A</v>
      </c>
      <c r="BZ54" s="124" t="e">
        <v>#N/A</v>
      </c>
      <c r="CA54" s="125"/>
      <c r="CB54" s="124" t="e">
        <v>#N/A</v>
      </c>
      <c r="CC54" s="126">
        <v>1</v>
      </c>
      <c r="CD54" s="127" t="s">
        <v>4169</v>
      </c>
      <c r="CE54" s="128"/>
      <c r="CF54" s="77" t="e">
        <v>#N/A</v>
      </c>
    </row>
    <row r="55" spans="1:84" ht="14.5" x14ac:dyDescent="0.35">
      <c r="A55" s="77">
        <v>54</v>
      </c>
      <c r="B55" s="106" t="s">
        <v>5566</v>
      </c>
      <c r="C55" s="107" t="s">
        <v>6399</v>
      </c>
      <c r="D55" s="108" t="s">
        <v>5567</v>
      </c>
      <c r="E55" s="109" t="s">
        <v>5568</v>
      </c>
      <c r="F55" s="110">
        <v>611172994</v>
      </c>
      <c r="G55" s="108" t="s">
        <v>1004</v>
      </c>
      <c r="H55" s="111" t="s">
        <v>1705</v>
      </c>
      <c r="I55" s="111" t="s">
        <v>180</v>
      </c>
      <c r="J55" s="111" t="s">
        <v>4649</v>
      </c>
      <c r="K55" s="111" t="s">
        <v>2860</v>
      </c>
      <c r="L55" s="112">
        <v>44886</v>
      </c>
      <c r="M55" s="111" t="s">
        <v>1920</v>
      </c>
      <c r="N55" s="113"/>
      <c r="O55" s="114" t="s">
        <v>182</v>
      </c>
      <c r="P55" s="114" t="s">
        <v>182</v>
      </c>
      <c r="Q55" s="114" t="s">
        <v>184</v>
      </c>
      <c r="R55" s="114" t="s">
        <v>7316</v>
      </c>
      <c r="S55" s="114" t="s">
        <v>182</v>
      </c>
      <c r="T55" s="114" t="s">
        <v>183</v>
      </c>
      <c r="U55" s="114" t="s">
        <v>183</v>
      </c>
      <c r="V55" s="115"/>
      <c r="W55" s="116" t="s">
        <v>5569</v>
      </c>
      <c r="X55" s="116" t="s">
        <v>5570</v>
      </c>
      <c r="Y55" s="117">
        <v>3487104</v>
      </c>
      <c r="Z55" s="117">
        <v>3486835</v>
      </c>
      <c r="AA55" s="118"/>
      <c r="AB55" s="119" t="s">
        <v>5571</v>
      </c>
      <c r="AC55" s="119" t="s">
        <v>5572</v>
      </c>
      <c r="AD55" s="119" t="s">
        <v>5573</v>
      </c>
      <c r="AE55" s="119" t="s">
        <v>5574</v>
      </c>
      <c r="AF55" s="119">
        <v>0</v>
      </c>
      <c r="AG55" s="120"/>
      <c r="AH55" s="121">
        <v>45901</v>
      </c>
      <c r="AI55" s="121">
        <v>45901</v>
      </c>
      <c r="AJ55" s="121">
        <v>45901</v>
      </c>
      <c r="AK55" s="122">
        <v>45901</v>
      </c>
      <c r="AL55" s="122" t="e">
        <v>#N/A</v>
      </c>
      <c r="AM55" s="122" t="e">
        <v>#N/A</v>
      </c>
      <c r="AN55" s="122" t="e">
        <v>#N/A</v>
      </c>
      <c r="AO55" s="121" t="e">
        <v>#N/A</v>
      </c>
      <c r="AP55" s="122" t="e">
        <v>#N/A</v>
      </c>
      <c r="AQ55" s="122" t="e">
        <v>#N/A</v>
      </c>
      <c r="AR55" s="122" t="e">
        <v>#N/A</v>
      </c>
      <c r="AS55" s="122" t="e">
        <v>#N/A</v>
      </c>
      <c r="AT55" s="122" t="e">
        <v>#N/A</v>
      </c>
      <c r="AU55" s="121" t="e">
        <v>#N/A</v>
      </c>
      <c r="AV55" s="122" t="e">
        <v>#N/A</v>
      </c>
      <c r="AW55" s="122">
        <v>45901</v>
      </c>
      <c r="AX55" s="122" t="e">
        <v>#N/A</v>
      </c>
      <c r="AY55" s="122" t="e">
        <v>#N/A</v>
      </c>
      <c r="AZ55" s="122" t="e">
        <v>#N/A</v>
      </c>
      <c r="BA55" s="122" t="e">
        <v>#N/A</v>
      </c>
      <c r="BB55" s="122" t="e">
        <v>#N/A</v>
      </c>
      <c r="BC55" s="122" t="e">
        <v>#N/A</v>
      </c>
      <c r="BD55" s="122" t="e">
        <v>#N/A</v>
      </c>
      <c r="BE55" s="122" t="e">
        <v>#N/A</v>
      </c>
      <c r="BF55" s="122" t="e">
        <v>#N/A</v>
      </c>
      <c r="BG55" s="122" t="e">
        <v>#N/A</v>
      </c>
      <c r="BH55" s="122" t="e">
        <v>#N/A</v>
      </c>
      <c r="BI55" s="122" t="e">
        <v>#N/A</v>
      </c>
      <c r="BJ55" s="122" t="e">
        <v>#N/A</v>
      </c>
      <c r="BK55" s="122" t="e">
        <v>#N/A</v>
      </c>
      <c r="BL55" s="123"/>
      <c r="BM55" s="124" t="e">
        <v>#N/A</v>
      </c>
      <c r="BN55" s="124" t="e">
        <v>#N/A</v>
      </c>
      <c r="BO55" s="124" t="e">
        <v>#N/A</v>
      </c>
      <c r="BP55" s="124" t="e">
        <v>#N/A</v>
      </c>
      <c r="BQ55" s="124" t="e">
        <v>#N/A</v>
      </c>
      <c r="BR55" s="124" t="e">
        <v>#N/A</v>
      </c>
      <c r="BS55" s="124" t="e">
        <v>#N/A</v>
      </c>
      <c r="BT55" s="124" t="e">
        <v>#N/A</v>
      </c>
      <c r="BU55" s="124" t="e">
        <v>#N/A</v>
      </c>
      <c r="BV55" s="124" t="e">
        <v>#N/A</v>
      </c>
      <c r="BW55" s="124" t="e">
        <v>#N/A</v>
      </c>
      <c r="BX55" s="124" t="e">
        <v>#N/A</v>
      </c>
      <c r="BY55" s="124" t="e">
        <v>#N/A</v>
      </c>
      <c r="BZ55" s="124" t="e">
        <v>#N/A</v>
      </c>
      <c r="CA55" s="125"/>
      <c r="CB55" s="124">
        <v>45870</v>
      </c>
      <c r="CC55" s="126">
        <v>1</v>
      </c>
      <c r="CD55" s="127" t="s">
        <v>5694</v>
      </c>
      <c r="CE55" s="128"/>
      <c r="CF55" s="77" t="e">
        <v>#N/A</v>
      </c>
    </row>
    <row r="56" spans="1:84" ht="14.5" x14ac:dyDescent="0.35">
      <c r="A56" s="77">
        <v>55</v>
      </c>
      <c r="B56" s="106" t="s">
        <v>5993</v>
      </c>
      <c r="C56" s="107" t="s">
        <v>6865</v>
      </c>
      <c r="D56" s="108" t="s">
        <v>6034</v>
      </c>
      <c r="E56" s="109" t="s">
        <v>6035</v>
      </c>
      <c r="F56" s="110">
        <v>955725332</v>
      </c>
      <c r="G56" s="108" t="s">
        <v>1004</v>
      </c>
      <c r="H56" s="111" t="s">
        <v>1705</v>
      </c>
      <c r="I56" s="111" t="s">
        <v>180</v>
      </c>
      <c r="J56" s="111" t="s">
        <v>4649</v>
      </c>
      <c r="K56" s="111" t="s">
        <v>2860</v>
      </c>
      <c r="L56" s="112">
        <v>45922</v>
      </c>
      <c r="M56" s="111" t="s">
        <v>2948</v>
      </c>
      <c r="N56" s="113"/>
      <c r="O56" s="114" t="s">
        <v>607</v>
      </c>
      <c r="P56" s="114" t="s">
        <v>557</v>
      </c>
      <c r="Q56" s="114" t="s">
        <v>607</v>
      </c>
      <c r="R56" s="114" t="s">
        <v>7297</v>
      </c>
      <c r="S56" s="114" t="s">
        <v>557</v>
      </c>
      <c r="T56" s="114" t="s">
        <v>183</v>
      </c>
      <c r="U56" s="114" t="s">
        <v>183</v>
      </c>
      <c r="V56" s="115"/>
      <c r="W56" s="116" t="s">
        <v>6036</v>
      </c>
      <c r="X56" s="116" t="s">
        <v>6037</v>
      </c>
      <c r="Y56" s="117">
        <v>3485379</v>
      </c>
      <c r="Z56" s="117">
        <v>3481468</v>
      </c>
      <c r="AA56" s="118"/>
      <c r="AB56" s="119" t="s">
        <v>6038</v>
      </c>
      <c r="AC56" s="119" t="s">
        <v>6039</v>
      </c>
      <c r="AD56" s="119" t="s">
        <v>6866</v>
      </c>
      <c r="AE56" s="119" t="s">
        <v>6867</v>
      </c>
      <c r="AF56" s="119" t="s">
        <v>7335</v>
      </c>
      <c r="AG56" s="120"/>
      <c r="AH56" s="121">
        <v>45922</v>
      </c>
      <c r="AI56" s="121">
        <v>45922</v>
      </c>
      <c r="AJ56" s="121">
        <v>45922</v>
      </c>
      <c r="AK56" s="122">
        <v>45922</v>
      </c>
      <c r="AL56" s="122" t="e">
        <v>#N/A</v>
      </c>
      <c r="AM56" s="121" t="e">
        <v>#N/A</v>
      </c>
      <c r="AN56" s="121" t="e">
        <v>#N/A</v>
      </c>
      <c r="AO56" s="121" t="e">
        <v>#N/A</v>
      </c>
      <c r="AP56" s="122" t="e">
        <v>#N/A</v>
      </c>
      <c r="AQ56" s="122" t="e">
        <v>#N/A</v>
      </c>
      <c r="AR56" s="122" t="e">
        <v>#N/A</v>
      </c>
      <c r="AS56" s="122" t="e">
        <v>#N/A</v>
      </c>
      <c r="AT56" s="122" t="e">
        <v>#N/A</v>
      </c>
      <c r="AU56" s="121" t="e">
        <v>#N/A</v>
      </c>
      <c r="AV56" s="122" t="e">
        <v>#N/A</v>
      </c>
      <c r="AW56" s="122">
        <v>45919</v>
      </c>
      <c r="AX56" s="122" t="e">
        <v>#N/A</v>
      </c>
      <c r="AY56" s="122" t="e">
        <v>#N/A</v>
      </c>
      <c r="AZ56" s="122" t="e">
        <v>#N/A</v>
      </c>
      <c r="BA56" s="122" t="e">
        <v>#N/A</v>
      </c>
      <c r="BB56" s="122" t="e">
        <v>#N/A</v>
      </c>
      <c r="BC56" s="122" t="e">
        <v>#N/A</v>
      </c>
      <c r="BD56" s="122" t="e">
        <v>#N/A</v>
      </c>
      <c r="BE56" s="122" t="e">
        <v>#N/A</v>
      </c>
      <c r="BF56" s="122" t="e">
        <v>#N/A</v>
      </c>
      <c r="BG56" s="122" t="e">
        <v>#N/A</v>
      </c>
      <c r="BH56" s="122" t="e">
        <v>#N/A</v>
      </c>
      <c r="BI56" s="122" t="e">
        <v>#N/A</v>
      </c>
      <c r="BJ56" s="122" t="e">
        <v>#N/A</v>
      </c>
      <c r="BK56" s="122">
        <v>45978</v>
      </c>
      <c r="BL56" s="123"/>
      <c r="BM56" s="124" t="e">
        <v>#N/A</v>
      </c>
      <c r="BN56" s="124" t="e">
        <v>#N/A</v>
      </c>
      <c r="BO56" s="124" t="e">
        <v>#N/A</v>
      </c>
      <c r="BP56" s="124" t="e">
        <v>#N/A</v>
      </c>
      <c r="BQ56" s="124" t="e">
        <v>#N/A</v>
      </c>
      <c r="BR56" s="124" t="e">
        <v>#N/A</v>
      </c>
      <c r="BS56" s="124" t="e">
        <v>#N/A</v>
      </c>
      <c r="BT56" s="124" t="e">
        <v>#N/A</v>
      </c>
      <c r="BU56" s="124" t="e">
        <v>#N/A</v>
      </c>
      <c r="BV56" s="124" t="e">
        <v>#N/A</v>
      </c>
      <c r="BW56" s="124" t="e">
        <v>#N/A</v>
      </c>
      <c r="BX56" s="124" t="e">
        <v>#N/A</v>
      </c>
      <c r="BY56" s="124" t="e">
        <v>#N/A</v>
      </c>
      <c r="BZ56" s="124" t="e">
        <v>#N/A</v>
      </c>
      <c r="CA56" s="125"/>
      <c r="CB56" s="124" t="e">
        <v>#N/A</v>
      </c>
      <c r="CC56" s="126">
        <v>1</v>
      </c>
      <c r="CD56" s="127" t="s">
        <v>5994</v>
      </c>
      <c r="CE56" s="128"/>
      <c r="CF56" s="77" t="e">
        <v>#N/A</v>
      </c>
    </row>
    <row r="57" spans="1:84" ht="14.5" x14ac:dyDescent="0.35">
      <c r="A57" s="77">
        <v>56</v>
      </c>
      <c r="B57" s="106" t="s">
        <v>5995</v>
      </c>
      <c r="C57" s="107" t="s">
        <v>6850</v>
      </c>
      <c r="D57" s="108" t="s">
        <v>5918</v>
      </c>
      <c r="E57" s="109" t="s">
        <v>5919</v>
      </c>
      <c r="F57" s="110">
        <v>645788252</v>
      </c>
      <c r="G57" s="108" t="s">
        <v>1004</v>
      </c>
      <c r="H57" s="111" t="s">
        <v>1705</v>
      </c>
      <c r="I57" s="111" t="s">
        <v>180</v>
      </c>
      <c r="J57" s="111" t="s">
        <v>4649</v>
      </c>
      <c r="K57" s="111" t="s">
        <v>2860</v>
      </c>
      <c r="L57" s="112">
        <v>45922</v>
      </c>
      <c r="M57" s="111" t="s">
        <v>2948</v>
      </c>
      <c r="N57" s="113"/>
      <c r="O57" s="114" t="s">
        <v>557</v>
      </c>
      <c r="P57" s="114" t="s">
        <v>183</v>
      </c>
      <c r="Q57" s="114" t="s">
        <v>557</v>
      </c>
      <c r="R57" s="114" t="s">
        <v>607</v>
      </c>
      <c r="S57" s="114" t="s">
        <v>183</v>
      </c>
      <c r="T57" s="114" t="s">
        <v>607</v>
      </c>
      <c r="U57" s="114" t="s">
        <v>607</v>
      </c>
      <c r="V57" s="115"/>
      <c r="W57" s="116" t="s">
        <v>5920</v>
      </c>
      <c r="X57" s="116" t="s">
        <v>5921</v>
      </c>
      <c r="Y57" s="117">
        <v>3485432</v>
      </c>
      <c r="Z57" s="117">
        <v>3481507</v>
      </c>
      <c r="AA57" s="118"/>
      <c r="AB57" s="119" t="s">
        <v>5922</v>
      </c>
      <c r="AC57" s="119" t="s">
        <v>5923</v>
      </c>
      <c r="AD57" s="119" t="s">
        <v>6851</v>
      </c>
      <c r="AE57" s="119" t="s">
        <v>6852</v>
      </c>
      <c r="AF57" s="119" t="s">
        <v>7336</v>
      </c>
      <c r="AG57" s="120"/>
      <c r="AH57" s="121">
        <v>45922</v>
      </c>
      <c r="AI57" s="121">
        <v>45922</v>
      </c>
      <c r="AJ57" s="121">
        <v>45922</v>
      </c>
      <c r="AK57" s="122">
        <v>45922</v>
      </c>
      <c r="AL57" s="122" t="e">
        <v>#N/A</v>
      </c>
      <c r="AM57" s="121" t="e">
        <v>#N/A</v>
      </c>
      <c r="AN57" s="121" t="e">
        <v>#N/A</v>
      </c>
      <c r="AO57" s="121" t="e">
        <v>#N/A</v>
      </c>
      <c r="AP57" s="122" t="e">
        <v>#N/A</v>
      </c>
      <c r="AQ57" s="122" t="e">
        <v>#N/A</v>
      </c>
      <c r="AR57" s="122" t="e">
        <v>#N/A</v>
      </c>
      <c r="AS57" s="122" t="e">
        <v>#N/A</v>
      </c>
      <c r="AT57" s="122" t="e">
        <v>#N/A</v>
      </c>
      <c r="AU57" s="121" t="e">
        <v>#N/A</v>
      </c>
      <c r="AV57" s="122" t="e">
        <v>#N/A</v>
      </c>
      <c r="AW57" s="122">
        <v>45919</v>
      </c>
      <c r="AX57" s="122" t="e">
        <v>#N/A</v>
      </c>
      <c r="AY57" s="122" t="e">
        <v>#N/A</v>
      </c>
      <c r="AZ57" s="122" t="e">
        <v>#N/A</v>
      </c>
      <c r="BA57" s="122" t="e">
        <v>#N/A</v>
      </c>
      <c r="BB57" s="122" t="e">
        <v>#N/A</v>
      </c>
      <c r="BC57" s="122" t="e">
        <v>#N/A</v>
      </c>
      <c r="BD57" s="122" t="e">
        <v>#N/A</v>
      </c>
      <c r="BE57" s="122" t="e">
        <v>#N/A</v>
      </c>
      <c r="BF57" s="122" t="e">
        <v>#N/A</v>
      </c>
      <c r="BG57" s="122" t="e">
        <v>#N/A</v>
      </c>
      <c r="BH57" s="122" t="e">
        <v>#N/A</v>
      </c>
      <c r="BI57" s="122" t="e">
        <v>#N/A</v>
      </c>
      <c r="BJ57" s="122" t="e">
        <v>#N/A</v>
      </c>
      <c r="BK57" s="122">
        <v>46001</v>
      </c>
      <c r="BL57" s="123"/>
      <c r="BM57" s="124" t="e">
        <v>#N/A</v>
      </c>
      <c r="BN57" s="124" t="e">
        <v>#N/A</v>
      </c>
      <c r="BO57" s="124" t="e">
        <v>#N/A</v>
      </c>
      <c r="BP57" s="124" t="e">
        <v>#N/A</v>
      </c>
      <c r="BQ57" s="124" t="e">
        <v>#N/A</v>
      </c>
      <c r="BR57" s="124" t="e">
        <v>#N/A</v>
      </c>
      <c r="BS57" s="124" t="e">
        <v>#N/A</v>
      </c>
      <c r="BT57" s="124" t="e">
        <v>#N/A</v>
      </c>
      <c r="BU57" s="124" t="e">
        <v>#N/A</v>
      </c>
      <c r="BV57" s="124" t="e">
        <v>#N/A</v>
      </c>
      <c r="BW57" s="124" t="e">
        <v>#N/A</v>
      </c>
      <c r="BX57" s="124" t="e">
        <v>#N/A</v>
      </c>
      <c r="BY57" s="124" t="e">
        <v>#N/A</v>
      </c>
      <c r="BZ57" s="124" t="e">
        <v>#N/A</v>
      </c>
      <c r="CA57" s="125"/>
      <c r="CB57" s="124" t="e">
        <v>#N/A</v>
      </c>
      <c r="CC57" s="126">
        <v>1</v>
      </c>
      <c r="CD57" s="127" t="e">
        <v>#N/A</v>
      </c>
      <c r="CE57" s="128"/>
      <c r="CF57" s="77" t="e">
        <v>#N/A</v>
      </c>
    </row>
    <row r="58" spans="1:84" ht="14.5" x14ac:dyDescent="0.35">
      <c r="A58" s="77">
        <v>57</v>
      </c>
      <c r="B58" s="106" t="s">
        <v>1500</v>
      </c>
      <c r="C58" s="107" t="s">
        <v>1501</v>
      </c>
      <c r="D58" s="108" t="s">
        <v>1502</v>
      </c>
      <c r="E58" s="109" t="s">
        <v>1503</v>
      </c>
      <c r="F58" s="110">
        <v>611125150</v>
      </c>
      <c r="G58" s="108" t="s">
        <v>1004</v>
      </c>
      <c r="H58" s="111" t="s">
        <v>1705</v>
      </c>
      <c r="I58" s="111" t="s">
        <v>180</v>
      </c>
      <c r="J58" s="111" t="s">
        <v>4649</v>
      </c>
      <c r="K58" s="111" t="s">
        <v>2860</v>
      </c>
      <c r="L58" s="112">
        <v>45904</v>
      </c>
      <c r="M58" s="111" t="s">
        <v>2948</v>
      </c>
      <c r="N58" s="113"/>
      <c r="O58" s="114" t="s">
        <v>310</v>
      </c>
      <c r="P58" s="114" t="s">
        <v>285</v>
      </c>
      <c r="Q58" s="114" t="s">
        <v>285</v>
      </c>
      <c r="R58" s="114" t="s">
        <v>7337</v>
      </c>
      <c r="S58" s="114" t="s">
        <v>310</v>
      </c>
      <c r="T58" s="114" t="s">
        <v>183</v>
      </c>
      <c r="U58" s="114" t="s">
        <v>183</v>
      </c>
      <c r="V58" s="115"/>
      <c r="W58" s="116" t="s">
        <v>1504</v>
      </c>
      <c r="X58" s="116" t="s">
        <v>1505</v>
      </c>
      <c r="Y58" s="117">
        <v>3485617</v>
      </c>
      <c r="Z58" s="117">
        <v>3486248</v>
      </c>
      <c r="AA58" s="118"/>
      <c r="AB58" s="119" t="s">
        <v>1506</v>
      </c>
      <c r="AC58" s="119" t="s">
        <v>1507</v>
      </c>
      <c r="AD58" s="119">
        <v>5217</v>
      </c>
      <c r="AE58" s="119" t="s">
        <v>6043</v>
      </c>
      <c r="AF58" s="119" t="s">
        <v>7118</v>
      </c>
      <c r="AG58" s="120"/>
      <c r="AH58" s="121">
        <v>44641</v>
      </c>
      <c r="AI58" s="121">
        <v>44641</v>
      </c>
      <c r="AJ58" s="121">
        <v>44641</v>
      </c>
      <c r="AK58" s="122">
        <v>44984</v>
      </c>
      <c r="AL58" s="122" t="e">
        <v>#N/A</v>
      </c>
      <c r="AM58" s="121" t="e">
        <v>#N/A</v>
      </c>
      <c r="AN58" s="121" t="e">
        <v>#N/A</v>
      </c>
      <c r="AO58" s="121" t="e">
        <v>#N/A</v>
      </c>
      <c r="AP58" s="122" t="e">
        <v>#N/A</v>
      </c>
      <c r="AQ58" s="122" t="e">
        <v>#N/A</v>
      </c>
      <c r="AR58" s="122" t="e">
        <v>#N/A</v>
      </c>
      <c r="AS58" s="122" t="e">
        <v>#N/A</v>
      </c>
      <c r="AT58" s="122" t="e">
        <v>#N/A</v>
      </c>
      <c r="AU58" s="121" t="e">
        <v>#N/A</v>
      </c>
      <c r="AV58" s="122" t="e">
        <v>#N/A</v>
      </c>
      <c r="AW58" s="122" t="e">
        <v>#N/A</v>
      </c>
      <c r="AX58" s="122" t="e">
        <v>#N/A</v>
      </c>
      <c r="AY58" s="122" t="e">
        <v>#N/A</v>
      </c>
      <c r="AZ58" s="122" t="e">
        <v>#N/A</v>
      </c>
      <c r="BA58" s="122" t="e">
        <v>#N/A</v>
      </c>
      <c r="BB58" s="122" t="e">
        <v>#N/A</v>
      </c>
      <c r="BC58" s="122" t="e">
        <v>#N/A</v>
      </c>
      <c r="BD58" s="122" t="e">
        <v>#N/A</v>
      </c>
      <c r="BE58" s="122" t="e">
        <v>#N/A</v>
      </c>
      <c r="BF58" s="122" t="e">
        <v>#N/A</v>
      </c>
      <c r="BG58" s="122" t="e">
        <v>#N/A</v>
      </c>
      <c r="BH58" s="122" t="e">
        <v>#N/A</v>
      </c>
      <c r="BI58" s="122" t="e">
        <v>#N/A</v>
      </c>
      <c r="BJ58" s="122" t="e">
        <v>#N/A</v>
      </c>
      <c r="BK58" s="122" t="e">
        <v>#N/A</v>
      </c>
      <c r="BL58" s="123"/>
      <c r="BM58" s="124" t="e">
        <v>#N/A</v>
      </c>
      <c r="BN58" s="124" t="e">
        <v>#N/A</v>
      </c>
      <c r="BO58" s="124" t="e">
        <v>#N/A</v>
      </c>
      <c r="BP58" s="124" t="e">
        <v>#N/A</v>
      </c>
      <c r="BQ58" s="124" t="e">
        <v>#N/A</v>
      </c>
      <c r="BR58" s="124" t="e">
        <v>#N/A</v>
      </c>
      <c r="BS58" s="124" t="e">
        <v>#N/A</v>
      </c>
      <c r="BT58" s="124" t="e">
        <v>#N/A</v>
      </c>
      <c r="BU58" s="124" t="e">
        <v>#N/A</v>
      </c>
      <c r="BV58" s="124" t="e">
        <v>#N/A</v>
      </c>
      <c r="BW58" s="124" t="e">
        <v>#N/A</v>
      </c>
      <c r="BX58" s="124" t="e">
        <v>#N/A</v>
      </c>
      <c r="BY58" s="124" t="e">
        <v>#N/A</v>
      </c>
      <c r="BZ58" s="124" t="e">
        <v>#N/A</v>
      </c>
      <c r="CA58" s="125"/>
      <c r="CB58" s="124" t="e">
        <v>#N/A</v>
      </c>
      <c r="CC58" s="126">
        <v>1</v>
      </c>
      <c r="CD58" s="127" t="s">
        <v>4151</v>
      </c>
      <c r="CE58" s="128"/>
      <c r="CF58" s="77" t="e">
        <v>#N/A</v>
      </c>
    </row>
    <row r="59" spans="1:84" ht="14.5" x14ac:dyDescent="0.35">
      <c r="A59" s="77">
        <v>58</v>
      </c>
      <c r="B59" s="106" t="s">
        <v>6044</v>
      </c>
      <c r="C59" s="107" t="s">
        <v>6886</v>
      </c>
      <c r="D59" s="108" t="s">
        <v>6926</v>
      </c>
      <c r="E59" s="109" t="s">
        <v>6045</v>
      </c>
      <c r="F59" s="110">
        <v>640262388</v>
      </c>
      <c r="G59" s="108" t="s">
        <v>1004</v>
      </c>
      <c r="H59" s="111" t="s">
        <v>1705</v>
      </c>
      <c r="I59" s="111" t="s">
        <v>180</v>
      </c>
      <c r="J59" s="111" t="s">
        <v>4649</v>
      </c>
      <c r="K59" s="111" t="s">
        <v>2860</v>
      </c>
      <c r="L59" s="112">
        <v>45957</v>
      </c>
      <c r="M59" s="111" t="s">
        <v>2948</v>
      </c>
      <c r="N59" s="113"/>
      <c r="O59" s="114" t="s">
        <v>182</v>
      </c>
      <c r="P59" s="114" t="s">
        <v>184</v>
      </c>
      <c r="Q59" s="114" t="s">
        <v>184</v>
      </c>
      <c r="R59" s="114" t="s">
        <v>7316</v>
      </c>
      <c r="S59" s="114" t="s">
        <v>182</v>
      </c>
      <c r="T59" s="114" t="s">
        <v>183</v>
      </c>
      <c r="U59" s="114" t="s">
        <v>183</v>
      </c>
      <c r="V59" s="115"/>
      <c r="W59" s="116" t="s">
        <v>6927</v>
      </c>
      <c r="X59" s="116" t="s">
        <v>6928</v>
      </c>
      <c r="Y59" s="117">
        <v>3485874</v>
      </c>
      <c r="Z59" s="117">
        <v>3486667</v>
      </c>
      <c r="AA59" s="118"/>
      <c r="AB59" s="119" t="s">
        <v>6929</v>
      </c>
      <c r="AC59" s="119" t="s">
        <v>6930</v>
      </c>
      <c r="AD59" s="119">
        <v>5013</v>
      </c>
      <c r="AE59" s="119" t="s">
        <v>6931</v>
      </c>
      <c r="AF59" s="119" t="s">
        <v>6932</v>
      </c>
      <c r="AG59" s="120"/>
      <c r="AH59" s="121">
        <v>45988</v>
      </c>
      <c r="AI59" s="121">
        <v>45988</v>
      </c>
      <c r="AJ59" s="121">
        <v>45988</v>
      </c>
      <c r="AK59" s="122">
        <v>45988</v>
      </c>
      <c r="AL59" s="122" t="e">
        <v>#N/A</v>
      </c>
      <c r="AM59" s="121" t="e">
        <v>#N/A</v>
      </c>
      <c r="AN59" s="121" t="e">
        <v>#N/A</v>
      </c>
      <c r="AO59" s="121" t="e">
        <v>#N/A</v>
      </c>
      <c r="AP59" s="122" t="e">
        <v>#N/A</v>
      </c>
      <c r="AQ59" s="122" t="e">
        <v>#N/A</v>
      </c>
      <c r="AR59" s="122" t="e">
        <v>#N/A</v>
      </c>
      <c r="AS59" s="122" t="e">
        <v>#N/A</v>
      </c>
      <c r="AT59" s="122" t="e">
        <v>#N/A</v>
      </c>
      <c r="AU59" s="121" t="e">
        <v>#N/A</v>
      </c>
      <c r="AV59" s="122" t="e">
        <v>#N/A</v>
      </c>
      <c r="AW59" s="122">
        <v>45988</v>
      </c>
      <c r="AX59" s="122" t="e">
        <v>#N/A</v>
      </c>
      <c r="AY59" s="122" t="e">
        <v>#N/A</v>
      </c>
      <c r="AZ59" s="122" t="e">
        <v>#N/A</v>
      </c>
      <c r="BA59" s="122" t="e">
        <v>#N/A</v>
      </c>
      <c r="BB59" s="122" t="e">
        <v>#N/A</v>
      </c>
      <c r="BC59" s="122" t="e">
        <v>#N/A</v>
      </c>
      <c r="BD59" s="122" t="e">
        <v>#N/A</v>
      </c>
      <c r="BE59" s="122" t="e">
        <v>#N/A</v>
      </c>
      <c r="BF59" s="122" t="e">
        <v>#N/A</v>
      </c>
      <c r="BG59" s="122" t="e">
        <v>#N/A</v>
      </c>
      <c r="BH59" s="122" t="e">
        <v>#N/A</v>
      </c>
      <c r="BI59" s="122" t="e">
        <v>#N/A</v>
      </c>
      <c r="BJ59" s="122" t="e">
        <v>#N/A</v>
      </c>
      <c r="BK59" s="122">
        <v>45988</v>
      </c>
      <c r="BL59" s="123"/>
      <c r="BM59" s="124" t="e">
        <v>#N/A</v>
      </c>
      <c r="BN59" s="124" t="e">
        <v>#N/A</v>
      </c>
      <c r="BO59" s="124" t="e">
        <v>#N/A</v>
      </c>
      <c r="BP59" s="124" t="e">
        <v>#N/A</v>
      </c>
      <c r="BQ59" s="124" t="e">
        <v>#N/A</v>
      </c>
      <c r="BR59" s="124" t="e">
        <v>#N/A</v>
      </c>
      <c r="BS59" s="124" t="e">
        <v>#N/A</v>
      </c>
      <c r="BT59" s="124" t="e">
        <v>#N/A</v>
      </c>
      <c r="BU59" s="124" t="e">
        <v>#N/A</v>
      </c>
      <c r="BV59" s="124" t="e">
        <v>#N/A</v>
      </c>
      <c r="BW59" s="124" t="e">
        <v>#N/A</v>
      </c>
      <c r="BX59" s="124" t="e">
        <v>#N/A</v>
      </c>
      <c r="BY59" s="124" t="e">
        <v>#N/A</v>
      </c>
      <c r="BZ59" s="124" t="e">
        <v>#N/A</v>
      </c>
      <c r="CA59" s="125"/>
      <c r="CB59" s="124">
        <v>45988</v>
      </c>
      <c r="CC59" s="126">
        <v>1</v>
      </c>
      <c r="CD59" s="127" t="s">
        <v>6933</v>
      </c>
      <c r="CE59" s="128"/>
      <c r="CF59" s="77" t="e">
        <v>#N/A</v>
      </c>
    </row>
    <row r="60" spans="1:84" ht="14.5" x14ac:dyDescent="0.35">
      <c r="A60" s="77">
        <v>59</v>
      </c>
      <c r="B60" s="106" t="s">
        <v>155</v>
      </c>
      <c r="C60" s="107" t="s">
        <v>1123</v>
      </c>
      <c r="D60" s="108" t="s">
        <v>872</v>
      </c>
      <c r="E60" s="109" t="s">
        <v>873</v>
      </c>
      <c r="F60" s="110">
        <v>658288630</v>
      </c>
      <c r="G60" s="108" t="s">
        <v>1004</v>
      </c>
      <c r="H60" s="111" t="s">
        <v>545</v>
      </c>
      <c r="I60" s="111" t="s">
        <v>180</v>
      </c>
      <c r="J60" s="111" t="s">
        <v>4649</v>
      </c>
      <c r="K60" s="111" t="s">
        <v>2860</v>
      </c>
      <c r="L60" s="112">
        <v>43418</v>
      </c>
      <c r="M60" s="111" t="s">
        <v>1037</v>
      </c>
      <c r="N60" s="113"/>
      <c r="O60" s="114" t="s">
        <v>182</v>
      </c>
      <c r="P60" s="114" t="s">
        <v>7338</v>
      </c>
      <c r="Q60" s="114" t="s">
        <v>7338</v>
      </c>
      <c r="R60" s="114" t="s">
        <v>7339</v>
      </c>
      <c r="S60" s="114" t="s">
        <v>7339</v>
      </c>
      <c r="T60" s="114" t="s">
        <v>183</v>
      </c>
      <c r="U60" s="114" t="s">
        <v>183</v>
      </c>
      <c r="V60" s="115"/>
      <c r="W60" s="116" t="s">
        <v>874</v>
      </c>
      <c r="X60" s="116" t="s">
        <v>875</v>
      </c>
      <c r="Y60" s="117">
        <v>3485603</v>
      </c>
      <c r="Z60" s="117">
        <v>3481362</v>
      </c>
      <c r="AA60" s="118"/>
      <c r="AB60" s="119" t="s">
        <v>5576</v>
      </c>
      <c r="AC60" s="119" t="s">
        <v>1124</v>
      </c>
      <c r="AD60" s="119">
        <v>5515</v>
      </c>
      <c r="AE60" s="119" t="s">
        <v>3259</v>
      </c>
      <c r="AF60" s="119" t="s">
        <v>7121</v>
      </c>
      <c r="AG60" s="120"/>
      <c r="AH60" s="121">
        <v>44197</v>
      </c>
      <c r="AI60" s="121">
        <v>44197</v>
      </c>
      <c r="AJ60" s="121">
        <v>44197</v>
      </c>
      <c r="AK60" s="122">
        <v>45376</v>
      </c>
      <c r="AL60" s="122">
        <v>45975</v>
      </c>
      <c r="AM60" s="121">
        <v>45092</v>
      </c>
      <c r="AN60" s="121">
        <v>45975</v>
      </c>
      <c r="AO60" s="121">
        <v>45975</v>
      </c>
      <c r="AP60" s="122" t="e">
        <v>#N/A</v>
      </c>
      <c r="AQ60" s="122">
        <v>45106</v>
      </c>
      <c r="AR60" s="122">
        <v>45975</v>
      </c>
      <c r="AS60" s="122" t="e">
        <v>#N/A</v>
      </c>
      <c r="AT60" s="122" t="e">
        <v>#N/A</v>
      </c>
      <c r="AU60" s="121" t="e">
        <v>#N/A</v>
      </c>
      <c r="AV60" s="122" t="e">
        <v>#N/A</v>
      </c>
      <c r="AW60" s="122">
        <v>45723</v>
      </c>
      <c r="AX60" s="122" t="e">
        <v>#N/A</v>
      </c>
      <c r="AY60" s="122" t="e">
        <v>#N/A</v>
      </c>
      <c r="AZ60" s="122" t="e">
        <v>#N/A</v>
      </c>
      <c r="BA60" s="122" t="e">
        <v>#N/A</v>
      </c>
      <c r="BB60" s="122" t="e">
        <v>#N/A</v>
      </c>
      <c r="BC60" s="122" t="e">
        <v>#N/A</v>
      </c>
      <c r="BD60" s="122" t="e">
        <v>#N/A</v>
      </c>
      <c r="BE60" s="122" t="e">
        <v>#N/A</v>
      </c>
      <c r="BF60" s="122" t="e">
        <v>#N/A</v>
      </c>
      <c r="BG60" s="122" t="e">
        <v>#N/A</v>
      </c>
      <c r="BH60" s="122" t="e">
        <v>#N/A</v>
      </c>
      <c r="BI60" s="122" t="e">
        <v>#N/A</v>
      </c>
      <c r="BJ60" s="122" t="e">
        <v>#N/A</v>
      </c>
      <c r="BK60" s="122">
        <v>45960</v>
      </c>
      <c r="BL60" s="123"/>
      <c r="BM60" s="124" t="e">
        <v>#N/A</v>
      </c>
      <c r="BN60" s="124" t="e">
        <v>#N/A</v>
      </c>
      <c r="BO60" s="124" t="e">
        <v>#N/A</v>
      </c>
      <c r="BP60" s="124" t="e">
        <v>#N/A</v>
      </c>
      <c r="BQ60" s="124" t="e">
        <v>#N/A</v>
      </c>
      <c r="BR60" s="124" t="e">
        <v>#N/A</v>
      </c>
      <c r="BS60" s="124" t="e">
        <v>#N/A</v>
      </c>
      <c r="BT60" s="124" t="e">
        <v>#N/A</v>
      </c>
      <c r="BU60" s="124" t="e">
        <v>#N/A</v>
      </c>
      <c r="BV60" s="124" t="e">
        <v>#N/A</v>
      </c>
      <c r="BW60" s="124" t="e">
        <v>#N/A</v>
      </c>
      <c r="BX60" s="124" t="e">
        <v>#N/A</v>
      </c>
      <c r="BY60" s="124" t="e">
        <v>#N/A</v>
      </c>
      <c r="BZ60" s="124" t="e">
        <v>#N/A</v>
      </c>
      <c r="CA60" s="125"/>
      <c r="CB60" s="124">
        <v>45841</v>
      </c>
      <c r="CC60" s="126">
        <v>1</v>
      </c>
      <c r="CD60" s="127" t="s">
        <v>4169</v>
      </c>
      <c r="CE60" s="128"/>
      <c r="CF60" s="77" t="e">
        <v>#N/A</v>
      </c>
    </row>
    <row r="61" spans="1:84" ht="14.5" x14ac:dyDescent="0.35">
      <c r="A61" s="77">
        <v>60</v>
      </c>
      <c r="B61" s="106" t="s">
        <v>151</v>
      </c>
      <c r="C61" s="107" t="s">
        <v>1453</v>
      </c>
      <c r="D61" s="108" t="s">
        <v>855</v>
      </c>
      <c r="E61" s="109" t="s">
        <v>856</v>
      </c>
      <c r="F61" s="110">
        <v>687152617</v>
      </c>
      <c r="G61" s="108" t="s">
        <v>190</v>
      </c>
      <c r="H61" s="111" t="s">
        <v>545</v>
      </c>
      <c r="I61" s="111" t="s">
        <v>180</v>
      </c>
      <c r="J61" s="111" t="s">
        <v>4649</v>
      </c>
      <c r="K61" s="111" t="s">
        <v>2860</v>
      </c>
      <c r="L61" s="112">
        <v>43587</v>
      </c>
      <c r="M61" s="111" t="s">
        <v>1920</v>
      </c>
      <c r="N61" s="113"/>
      <c r="O61" s="114" t="s">
        <v>4469</v>
      </c>
      <c r="P61" s="114" t="s">
        <v>4356</v>
      </c>
      <c r="Q61" s="114" t="s">
        <v>4469</v>
      </c>
      <c r="R61" s="114" t="s">
        <v>4469</v>
      </c>
      <c r="S61" s="114" t="s">
        <v>4356</v>
      </c>
      <c r="T61" s="114" t="s">
        <v>4469</v>
      </c>
      <c r="U61" s="114" t="s">
        <v>4469</v>
      </c>
      <c r="V61" s="115"/>
      <c r="W61" s="116" t="s">
        <v>1454</v>
      </c>
      <c r="X61" s="116" t="s">
        <v>857</v>
      </c>
      <c r="Y61" s="117">
        <v>3485022</v>
      </c>
      <c r="Z61" s="117">
        <v>3481050</v>
      </c>
      <c r="AA61" s="118"/>
      <c r="AB61" s="119" t="s">
        <v>5761</v>
      </c>
      <c r="AC61" s="119" t="s">
        <v>1455</v>
      </c>
      <c r="AD61" s="119">
        <v>4318</v>
      </c>
      <c r="AE61" s="119" t="s">
        <v>858</v>
      </c>
      <c r="AF61" s="119">
        <v>0</v>
      </c>
      <c r="AG61" s="120"/>
      <c r="AH61" s="121">
        <v>44197</v>
      </c>
      <c r="AI61" s="121">
        <v>44197</v>
      </c>
      <c r="AJ61" s="121">
        <v>44197</v>
      </c>
      <c r="AK61" s="122">
        <v>44197</v>
      </c>
      <c r="AL61" s="122" t="e">
        <v>#N/A</v>
      </c>
      <c r="AM61" s="121" t="e">
        <v>#N/A</v>
      </c>
      <c r="AN61" s="121" t="e">
        <v>#N/A</v>
      </c>
      <c r="AO61" s="121" t="e">
        <v>#N/A</v>
      </c>
      <c r="AP61" s="122" t="e">
        <v>#N/A</v>
      </c>
      <c r="AQ61" s="122" t="e">
        <v>#N/A</v>
      </c>
      <c r="AR61" s="122" t="e">
        <v>#N/A</v>
      </c>
      <c r="AS61" s="122" t="e">
        <v>#N/A</v>
      </c>
      <c r="AT61" s="122" t="e">
        <v>#N/A</v>
      </c>
      <c r="AU61" s="121" t="e">
        <v>#N/A</v>
      </c>
      <c r="AV61" s="122" t="e">
        <v>#N/A</v>
      </c>
      <c r="AW61" s="122" t="e">
        <v>#N/A</v>
      </c>
      <c r="AX61" s="122" t="e">
        <v>#N/A</v>
      </c>
      <c r="AY61" s="122" t="e">
        <v>#N/A</v>
      </c>
      <c r="AZ61" s="122" t="e">
        <v>#N/A</v>
      </c>
      <c r="BA61" s="122" t="e">
        <v>#N/A</v>
      </c>
      <c r="BB61" s="122" t="e">
        <v>#N/A</v>
      </c>
      <c r="BC61" s="122" t="e">
        <v>#N/A</v>
      </c>
      <c r="BD61" s="122" t="e">
        <v>#N/A</v>
      </c>
      <c r="BE61" s="122" t="e">
        <v>#N/A</v>
      </c>
      <c r="BF61" s="122" t="e">
        <v>#N/A</v>
      </c>
      <c r="BG61" s="122" t="e">
        <v>#N/A</v>
      </c>
      <c r="BH61" s="122" t="e">
        <v>#N/A</v>
      </c>
      <c r="BI61" s="122" t="e">
        <v>#N/A</v>
      </c>
      <c r="BJ61" s="122" t="e">
        <v>#N/A</v>
      </c>
      <c r="BK61" s="122" t="e">
        <v>#N/A</v>
      </c>
      <c r="BL61" s="123"/>
      <c r="BM61" s="124">
        <v>44197</v>
      </c>
      <c r="BN61" s="124">
        <v>44197</v>
      </c>
      <c r="BO61" s="124">
        <v>44197</v>
      </c>
      <c r="BP61" s="124">
        <v>44197</v>
      </c>
      <c r="BQ61" s="124">
        <v>44701</v>
      </c>
      <c r="BR61" s="124">
        <v>44714</v>
      </c>
      <c r="BS61" s="124">
        <v>44197</v>
      </c>
      <c r="BT61" s="124">
        <v>44197</v>
      </c>
      <c r="BU61" s="124">
        <v>44197</v>
      </c>
      <c r="BV61" s="124" t="e">
        <v>#N/A</v>
      </c>
      <c r="BW61" s="124" t="e">
        <v>#N/A</v>
      </c>
      <c r="BX61" s="124" t="e">
        <v>#N/A</v>
      </c>
      <c r="BY61" s="124" t="e">
        <v>#N/A</v>
      </c>
      <c r="BZ61" s="124" t="e">
        <v>#N/A</v>
      </c>
      <c r="CA61" s="125"/>
      <c r="CB61" s="124" t="e">
        <v>#N/A</v>
      </c>
      <c r="CC61" s="126">
        <v>1</v>
      </c>
      <c r="CD61" s="127" t="s">
        <v>4169</v>
      </c>
      <c r="CE61" s="128"/>
      <c r="CF61" s="77" t="e">
        <v>#N/A</v>
      </c>
    </row>
    <row r="62" spans="1:84" ht="14.5" x14ac:dyDescent="0.35">
      <c r="A62" s="77">
        <v>61</v>
      </c>
      <c r="B62" s="106" t="s">
        <v>2753</v>
      </c>
      <c r="C62" s="107" t="s">
        <v>6545</v>
      </c>
      <c r="D62" s="108" t="s">
        <v>2735</v>
      </c>
      <c r="E62" s="109" t="s">
        <v>2736</v>
      </c>
      <c r="F62" s="110">
        <v>654608127</v>
      </c>
      <c r="G62" s="108" t="s">
        <v>1004</v>
      </c>
      <c r="H62" s="111" t="s">
        <v>545</v>
      </c>
      <c r="I62" s="111" t="s">
        <v>180</v>
      </c>
      <c r="J62" s="111" t="s">
        <v>4649</v>
      </c>
      <c r="K62" s="111" t="s">
        <v>2860</v>
      </c>
      <c r="L62" s="112">
        <v>45096</v>
      </c>
      <c r="M62" s="111" t="s">
        <v>3381</v>
      </c>
      <c r="N62" s="113"/>
      <c r="O62" s="114" t="s">
        <v>607</v>
      </c>
      <c r="P62" s="114" t="s">
        <v>7340</v>
      </c>
      <c r="Q62" s="114" t="s">
        <v>607</v>
      </c>
      <c r="R62" s="114" t="s">
        <v>7297</v>
      </c>
      <c r="S62" s="114" t="s">
        <v>7340</v>
      </c>
      <c r="T62" s="114" t="s">
        <v>183</v>
      </c>
      <c r="U62" s="114" t="s">
        <v>183</v>
      </c>
      <c r="V62" s="115"/>
      <c r="W62" s="116" t="s">
        <v>2737</v>
      </c>
      <c r="X62" s="116" t="s">
        <v>2738</v>
      </c>
      <c r="Y62" s="117">
        <v>3485176</v>
      </c>
      <c r="Z62" s="117">
        <v>3481497</v>
      </c>
      <c r="AA62" s="118"/>
      <c r="AB62" s="119" t="s">
        <v>5497</v>
      </c>
      <c r="AC62" s="119" t="s">
        <v>2769</v>
      </c>
      <c r="AD62" s="119">
        <v>4091</v>
      </c>
      <c r="AE62" s="119" t="s">
        <v>2770</v>
      </c>
      <c r="AF62" s="119">
        <v>0</v>
      </c>
      <c r="AG62" s="120"/>
      <c r="AH62" s="121">
        <v>45093</v>
      </c>
      <c r="AI62" s="121">
        <v>45093</v>
      </c>
      <c r="AJ62" s="121">
        <v>45093</v>
      </c>
      <c r="AK62" s="122">
        <v>45093</v>
      </c>
      <c r="AL62" s="122" t="e">
        <v>#N/A</v>
      </c>
      <c r="AM62" s="122" t="e">
        <v>#N/A</v>
      </c>
      <c r="AN62" s="122" t="e">
        <v>#N/A</v>
      </c>
      <c r="AO62" s="121" t="e">
        <v>#N/A</v>
      </c>
      <c r="AP62" s="122" t="e">
        <v>#N/A</v>
      </c>
      <c r="AQ62" s="122" t="e">
        <v>#N/A</v>
      </c>
      <c r="AR62" s="122" t="e">
        <v>#N/A</v>
      </c>
      <c r="AS62" s="122" t="e">
        <v>#N/A</v>
      </c>
      <c r="AT62" s="122" t="e">
        <v>#N/A</v>
      </c>
      <c r="AU62" s="121" t="e">
        <v>#N/A</v>
      </c>
      <c r="AV62" s="122" t="e">
        <v>#N/A</v>
      </c>
      <c r="AW62" s="122">
        <v>45883</v>
      </c>
      <c r="AX62" s="122" t="e">
        <v>#N/A</v>
      </c>
      <c r="AY62" s="122" t="e">
        <v>#N/A</v>
      </c>
      <c r="AZ62" s="122" t="e">
        <v>#N/A</v>
      </c>
      <c r="BA62" s="122" t="e">
        <v>#N/A</v>
      </c>
      <c r="BB62" s="122" t="e">
        <v>#N/A</v>
      </c>
      <c r="BC62" s="122" t="e">
        <v>#N/A</v>
      </c>
      <c r="BD62" s="122" t="e">
        <v>#N/A</v>
      </c>
      <c r="BE62" s="122" t="e">
        <v>#N/A</v>
      </c>
      <c r="BF62" s="122" t="e">
        <v>#N/A</v>
      </c>
      <c r="BG62" s="122" t="e">
        <v>#N/A</v>
      </c>
      <c r="BH62" s="122" t="e">
        <v>#N/A</v>
      </c>
      <c r="BI62" s="122" t="e">
        <v>#N/A</v>
      </c>
      <c r="BJ62" s="122" t="e">
        <v>#N/A</v>
      </c>
      <c r="BK62" s="122" t="e">
        <v>#N/A</v>
      </c>
      <c r="BL62" s="123"/>
      <c r="BM62" s="124">
        <v>45371</v>
      </c>
      <c r="BN62" s="124">
        <v>45373</v>
      </c>
      <c r="BO62" s="124">
        <v>45583</v>
      </c>
      <c r="BP62" s="124" t="e">
        <v>#N/A</v>
      </c>
      <c r="BQ62" s="124" t="e">
        <v>#N/A</v>
      </c>
      <c r="BR62" s="124" t="e">
        <v>#N/A</v>
      </c>
      <c r="BS62" s="124">
        <v>45583</v>
      </c>
      <c r="BT62" s="124">
        <v>45583</v>
      </c>
      <c r="BU62" s="124" t="e">
        <v>#N/A</v>
      </c>
      <c r="BV62" s="124" t="e">
        <v>#N/A</v>
      </c>
      <c r="BW62" s="124" t="e">
        <v>#N/A</v>
      </c>
      <c r="BX62" s="124" t="e">
        <v>#N/A</v>
      </c>
      <c r="BY62" s="124" t="e">
        <v>#N/A</v>
      </c>
      <c r="BZ62" s="124" t="e">
        <v>#N/A</v>
      </c>
      <c r="CA62" s="125"/>
      <c r="CB62" s="124" t="e">
        <v>#N/A</v>
      </c>
      <c r="CC62" s="126">
        <v>1</v>
      </c>
      <c r="CD62" s="127" t="s">
        <v>4166</v>
      </c>
      <c r="CE62" s="128"/>
      <c r="CF62" s="77" t="e">
        <v>#N/A</v>
      </c>
    </row>
    <row r="63" spans="1:84" ht="14.5" x14ac:dyDescent="0.35">
      <c r="A63" s="77">
        <v>62</v>
      </c>
      <c r="B63" s="106" t="s">
        <v>118</v>
      </c>
      <c r="C63" s="107" t="s">
        <v>1180</v>
      </c>
      <c r="D63" s="108" t="s">
        <v>741</v>
      </c>
      <c r="E63" s="109" t="s">
        <v>742</v>
      </c>
      <c r="F63" s="110">
        <v>645627852</v>
      </c>
      <c r="G63" s="108" t="s">
        <v>1004</v>
      </c>
      <c r="H63" s="111" t="s">
        <v>545</v>
      </c>
      <c r="I63" s="111" t="s">
        <v>180</v>
      </c>
      <c r="J63" s="111" t="s">
        <v>4649</v>
      </c>
      <c r="K63" s="111" t="s">
        <v>2860</v>
      </c>
      <c r="L63" s="112">
        <v>43334</v>
      </c>
      <c r="M63" s="111" t="s">
        <v>3172</v>
      </c>
      <c r="N63" s="113"/>
      <c r="O63" s="114" t="s">
        <v>7341</v>
      </c>
      <c r="P63" s="114" t="s">
        <v>7342</v>
      </c>
      <c r="Q63" s="114" t="s">
        <v>7341</v>
      </c>
      <c r="R63" s="114" t="s">
        <v>7343</v>
      </c>
      <c r="S63" s="114" t="s">
        <v>7342</v>
      </c>
      <c r="T63" s="114" t="s">
        <v>183</v>
      </c>
      <c r="U63" s="114" t="s">
        <v>183</v>
      </c>
      <c r="V63" s="115"/>
      <c r="W63" s="116" t="s">
        <v>1181</v>
      </c>
      <c r="X63" s="116" t="s">
        <v>743</v>
      </c>
      <c r="Y63" s="117">
        <v>3485231</v>
      </c>
      <c r="Z63" s="117">
        <v>3481065</v>
      </c>
      <c r="AA63" s="118"/>
      <c r="AB63" s="119" t="s">
        <v>744</v>
      </c>
      <c r="AC63" s="119" t="s">
        <v>1182</v>
      </c>
      <c r="AD63" s="119">
        <v>27738</v>
      </c>
      <c r="AE63" s="119" t="s">
        <v>745</v>
      </c>
      <c r="AF63" s="119" t="s">
        <v>6221</v>
      </c>
      <c r="AG63" s="120"/>
      <c r="AH63" s="121">
        <v>44197</v>
      </c>
      <c r="AI63" s="121">
        <v>44197</v>
      </c>
      <c r="AJ63" s="121">
        <v>44197</v>
      </c>
      <c r="AK63" s="122">
        <v>44197</v>
      </c>
      <c r="AL63" s="122">
        <v>44197</v>
      </c>
      <c r="AM63" s="122" t="e">
        <v>#N/A</v>
      </c>
      <c r="AN63" s="122" t="e">
        <v>#N/A</v>
      </c>
      <c r="AO63" s="121" t="e">
        <v>#N/A</v>
      </c>
      <c r="AP63" s="122" t="e">
        <v>#N/A</v>
      </c>
      <c r="AQ63" s="122" t="e">
        <v>#N/A</v>
      </c>
      <c r="AR63" s="122" t="e">
        <v>#N/A</v>
      </c>
      <c r="AS63" s="122" t="e">
        <v>#N/A</v>
      </c>
      <c r="AT63" s="122" t="e">
        <v>#N/A</v>
      </c>
      <c r="AU63" s="121" t="e">
        <v>#N/A</v>
      </c>
      <c r="AV63" s="122" t="e">
        <v>#N/A</v>
      </c>
      <c r="AW63" s="122">
        <v>45734</v>
      </c>
      <c r="AX63" s="122" t="e">
        <v>#N/A</v>
      </c>
      <c r="AY63" s="122" t="e">
        <v>#N/A</v>
      </c>
      <c r="AZ63" s="122" t="e">
        <v>#N/A</v>
      </c>
      <c r="BA63" s="122" t="e">
        <v>#N/A</v>
      </c>
      <c r="BB63" s="122" t="e">
        <v>#N/A</v>
      </c>
      <c r="BC63" s="122" t="e">
        <v>#N/A</v>
      </c>
      <c r="BD63" s="122" t="e">
        <v>#N/A</v>
      </c>
      <c r="BE63" s="122" t="e">
        <v>#N/A</v>
      </c>
      <c r="BF63" s="122" t="e">
        <v>#N/A</v>
      </c>
      <c r="BG63" s="122" t="e">
        <v>#N/A</v>
      </c>
      <c r="BH63" s="122" t="e">
        <v>#N/A</v>
      </c>
      <c r="BI63" s="122" t="e">
        <v>#N/A</v>
      </c>
      <c r="BJ63" s="122" t="e">
        <v>#N/A</v>
      </c>
      <c r="BK63" s="122">
        <v>45958</v>
      </c>
      <c r="BL63" s="123"/>
      <c r="BM63" s="124" t="e">
        <v>#N/A</v>
      </c>
      <c r="BN63" s="124" t="e">
        <v>#N/A</v>
      </c>
      <c r="BO63" s="124" t="e">
        <v>#N/A</v>
      </c>
      <c r="BP63" s="124" t="e">
        <v>#N/A</v>
      </c>
      <c r="BQ63" s="124" t="e">
        <v>#N/A</v>
      </c>
      <c r="BR63" s="124" t="e">
        <v>#N/A</v>
      </c>
      <c r="BS63" s="124" t="e">
        <v>#N/A</v>
      </c>
      <c r="BT63" s="124" t="e">
        <v>#N/A</v>
      </c>
      <c r="BU63" s="124" t="e">
        <v>#N/A</v>
      </c>
      <c r="BV63" s="124" t="e">
        <v>#N/A</v>
      </c>
      <c r="BW63" s="124" t="e">
        <v>#N/A</v>
      </c>
      <c r="BX63" s="124" t="e">
        <v>#N/A</v>
      </c>
      <c r="BY63" s="124" t="e">
        <v>#N/A</v>
      </c>
      <c r="BZ63" s="124" t="e">
        <v>#N/A</v>
      </c>
      <c r="CA63" s="125"/>
      <c r="CB63" s="124" t="e">
        <v>#N/A</v>
      </c>
      <c r="CC63" s="126">
        <v>1</v>
      </c>
      <c r="CD63" s="127" t="s">
        <v>4169</v>
      </c>
      <c r="CE63" s="128"/>
      <c r="CF63" s="77" t="e">
        <v>#N/A</v>
      </c>
    </row>
    <row r="64" spans="1:84" ht="14.5" x14ac:dyDescent="0.35">
      <c r="A64" s="77">
        <v>63</v>
      </c>
      <c r="B64" s="106" t="s">
        <v>150</v>
      </c>
      <c r="C64" s="107" t="s">
        <v>1185</v>
      </c>
      <c r="D64" s="108" t="s">
        <v>853</v>
      </c>
      <c r="E64" s="109" t="s">
        <v>854</v>
      </c>
      <c r="F64" s="110">
        <v>633485115</v>
      </c>
      <c r="G64" s="108" t="s">
        <v>190</v>
      </c>
      <c r="H64" s="111" t="s">
        <v>545</v>
      </c>
      <c r="I64" s="111" t="s">
        <v>180</v>
      </c>
      <c r="J64" s="111" t="s">
        <v>4649</v>
      </c>
      <c r="K64" s="111" t="s">
        <v>2860</v>
      </c>
      <c r="L64" s="112">
        <v>45064</v>
      </c>
      <c r="M64" s="111" t="s">
        <v>1037</v>
      </c>
      <c r="N64" s="113"/>
      <c r="O64" s="114" t="s">
        <v>7344</v>
      </c>
      <c r="P64" s="114" t="s">
        <v>7344</v>
      </c>
      <c r="Q64" s="114" t="s">
        <v>7344</v>
      </c>
      <c r="R64" s="114" t="s">
        <v>7345</v>
      </c>
      <c r="S64" s="114" t="s">
        <v>7346</v>
      </c>
      <c r="T64" s="114" t="s">
        <v>183</v>
      </c>
      <c r="U64" s="114" t="s">
        <v>183</v>
      </c>
      <c r="V64" s="115"/>
      <c r="W64" s="116" t="s">
        <v>3208</v>
      </c>
      <c r="X64" s="116" t="s">
        <v>3209</v>
      </c>
      <c r="Y64" s="117">
        <v>3485789</v>
      </c>
      <c r="Z64" s="117">
        <v>3481489</v>
      </c>
      <c r="AA64" s="118"/>
      <c r="AB64" s="119" t="s">
        <v>5815</v>
      </c>
      <c r="AC64" s="119" t="s">
        <v>3210</v>
      </c>
      <c r="AD64" s="119">
        <v>5009</v>
      </c>
      <c r="AE64" s="119" t="s">
        <v>3263</v>
      </c>
      <c r="AF64" s="119">
        <v>0</v>
      </c>
      <c r="AG64" s="120"/>
      <c r="AH64" s="121">
        <v>44197</v>
      </c>
      <c r="AI64" s="121">
        <v>45237</v>
      </c>
      <c r="AJ64" s="121">
        <v>45124</v>
      </c>
      <c r="AK64" s="122">
        <v>45237</v>
      </c>
      <c r="AL64" s="122" t="e">
        <v>#N/A</v>
      </c>
      <c r="AM64" s="121" t="e">
        <v>#N/A</v>
      </c>
      <c r="AN64" s="121" t="e">
        <v>#N/A</v>
      </c>
      <c r="AO64" s="121" t="e">
        <v>#N/A</v>
      </c>
      <c r="AP64" s="122" t="e">
        <v>#N/A</v>
      </c>
      <c r="AQ64" s="122" t="e">
        <v>#N/A</v>
      </c>
      <c r="AR64" s="122" t="e">
        <v>#N/A</v>
      </c>
      <c r="AS64" s="122" t="e">
        <v>#N/A</v>
      </c>
      <c r="AT64" s="122" t="e">
        <v>#N/A</v>
      </c>
      <c r="AU64" s="121" t="e">
        <v>#N/A</v>
      </c>
      <c r="AV64" s="122" t="e">
        <v>#N/A</v>
      </c>
      <c r="AW64" s="122" t="e">
        <v>#N/A</v>
      </c>
      <c r="AX64" s="122" t="e">
        <v>#N/A</v>
      </c>
      <c r="AY64" s="122" t="e">
        <v>#N/A</v>
      </c>
      <c r="AZ64" s="122" t="e">
        <v>#N/A</v>
      </c>
      <c r="BA64" s="122" t="e">
        <v>#N/A</v>
      </c>
      <c r="BB64" s="122" t="e">
        <v>#N/A</v>
      </c>
      <c r="BC64" s="122" t="e">
        <v>#N/A</v>
      </c>
      <c r="BD64" s="122" t="e">
        <v>#N/A</v>
      </c>
      <c r="BE64" s="122" t="e">
        <v>#N/A</v>
      </c>
      <c r="BF64" s="122" t="e">
        <v>#N/A</v>
      </c>
      <c r="BG64" s="122" t="e">
        <v>#N/A</v>
      </c>
      <c r="BH64" s="122" t="e">
        <v>#N/A</v>
      </c>
      <c r="BI64" s="122" t="e">
        <v>#N/A</v>
      </c>
      <c r="BJ64" s="122" t="e">
        <v>#N/A</v>
      </c>
      <c r="BK64" s="122" t="e">
        <v>#N/A</v>
      </c>
      <c r="BL64" s="123"/>
      <c r="BM64" s="124" t="e">
        <v>#N/A</v>
      </c>
      <c r="BN64" s="124" t="e">
        <v>#N/A</v>
      </c>
      <c r="BO64" s="124" t="e">
        <v>#N/A</v>
      </c>
      <c r="BP64" s="124" t="e">
        <v>#N/A</v>
      </c>
      <c r="BQ64" s="124" t="e">
        <v>#N/A</v>
      </c>
      <c r="BR64" s="124" t="e">
        <v>#N/A</v>
      </c>
      <c r="BS64" s="124" t="e">
        <v>#N/A</v>
      </c>
      <c r="BT64" s="124" t="e">
        <v>#N/A</v>
      </c>
      <c r="BU64" s="124" t="e">
        <v>#N/A</v>
      </c>
      <c r="BV64" s="124" t="e">
        <v>#N/A</v>
      </c>
      <c r="BW64" s="124" t="e">
        <v>#N/A</v>
      </c>
      <c r="BX64" s="124" t="e">
        <v>#N/A</v>
      </c>
      <c r="BY64" s="124" t="e">
        <v>#N/A</v>
      </c>
      <c r="BZ64" s="124" t="e">
        <v>#N/A</v>
      </c>
      <c r="CA64" s="125"/>
      <c r="CB64" s="124" t="e">
        <v>#N/A</v>
      </c>
      <c r="CC64" s="126">
        <v>1</v>
      </c>
      <c r="CD64" s="127" t="s">
        <v>4169</v>
      </c>
      <c r="CE64" s="128"/>
      <c r="CF64" s="77" t="e">
        <v>#N/A</v>
      </c>
    </row>
    <row r="65" spans="1:85" ht="14.5" x14ac:dyDescent="0.35">
      <c r="A65" s="77">
        <v>64</v>
      </c>
      <c r="B65" s="106" t="s">
        <v>3287</v>
      </c>
      <c r="C65" s="107" t="s">
        <v>6613</v>
      </c>
      <c r="D65" s="108" t="s">
        <v>3288</v>
      </c>
      <c r="E65" s="109" t="s">
        <v>3289</v>
      </c>
      <c r="F65" s="110">
        <v>677633066</v>
      </c>
      <c r="G65" s="108" t="s">
        <v>1004</v>
      </c>
      <c r="H65" s="111" t="s">
        <v>545</v>
      </c>
      <c r="I65" s="111" t="s">
        <v>180</v>
      </c>
      <c r="J65" s="111" t="s">
        <v>4649</v>
      </c>
      <c r="K65" s="111" t="s">
        <v>2860</v>
      </c>
      <c r="L65" s="112">
        <v>45348</v>
      </c>
      <c r="M65" s="111" t="s">
        <v>1037</v>
      </c>
      <c r="N65" s="113"/>
      <c r="O65" s="114" t="s">
        <v>7342</v>
      </c>
      <c r="P65" s="114" t="s">
        <v>7342</v>
      </c>
      <c r="Q65" s="114" t="s">
        <v>183</v>
      </c>
      <c r="R65" s="114" t="s">
        <v>7347</v>
      </c>
      <c r="S65" s="114" t="s">
        <v>7342</v>
      </c>
      <c r="T65" s="114" t="s">
        <v>7342</v>
      </c>
      <c r="U65" s="114" t="s">
        <v>7342</v>
      </c>
      <c r="V65" s="115"/>
      <c r="W65" s="116" t="s">
        <v>3290</v>
      </c>
      <c r="X65" s="116" t="s">
        <v>3291</v>
      </c>
      <c r="Y65" s="117">
        <v>3485092</v>
      </c>
      <c r="Z65" s="117">
        <v>3481467</v>
      </c>
      <c r="AA65" s="118"/>
      <c r="AB65" s="119" t="s">
        <v>5816</v>
      </c>
      <c r="AC65" s="119" t="s">
        <v>3292</v>
      </c>
      <c r="AD65" s="119">
        <v>27168</v>
      </c>
      <c r="AE65" s="119" t="s">
        <v>3293</v>
      </c>
      <c r="AF65" s="119" t="s">
        <v>6614</v>
      </c>
      <c r="AG65" s="120"/>
      <c r="AH65" s="121">
        <v>45448</v>
      </c>
      <c r="AI65" s="121">
        <v>45448</v>
      </c>
      <c r="AJ65" s="121">
        <v>45448</v>
      </c>
      <c r="AK65" s="122">
        <v>45448</v>
      </c>
      <c r="AL65" s="122">
        <v>45769</v>
      </c>
      <c r="AM65" s="121" t="e">
        <v>#N/A</v>
      </c>
      <c r="AN65" s="121" t="s">
        <v>7134</v>
      </c>
      <c r="AO65" s="121" t="e">
        <v>#N/A</v>
      </c>
      <c r="AP65" s="122" t="e">
        <v>#N/A</v>
      </c>
      <c r="AQ65" s="122" t="e">
        <v>#N/A</v>
      </c>
      <c r="AR65" s="122" t="e">
        <v>#N/A</v>
      </c>
      <c r="AS65" s="122" t="e">
        <v>#N/A</v>
      </c>
      <c r="AT65" s="122" t="s">
        <v>4643</v>
      </c>
      <c r="AU65" s="121" t="e">
        <v>#N/A</v>
      </c>
      <c r="AV65" s="122">
        <v>45786</v>
      </c>
      <c r="AW65" s="122">
        <v>45730</v>
      </c>
      <c r="AX65" s="122" t="e">
        <v>#N/A</v>
      </c>
      <c r="AY65" s="122" t="e">
        <v>#N/A</v>
      </c>
      <c r="AZ65" s="122" t="e">
        <v>#N/A</v>
      </c>
      <c r="BA65" s="122" t="e">
        <v>#N/A</v>
      </c>
      <c r="BB65" s="122" t="e">
        <v>#N/A</v>
      </c>
      <c r="BC65" s="122" t="e">
        <v>#N/A</v>
      </c>
      <c r="BD65" s="122" t="e">
        <v>#N/A</v>
      </c>
      <c r="BE65" s="122" t="e">
        <v>#N/A</v>
      </c>
      <c r="BF65" s="122" t="e">
        <v>#N/A</v>
      </c>
      <c r="BG65" s="122" t="e">
        <v>#N/A</v>
      </c>
      <c r="BH65" s="122" t="e">
        <v>#N/A</v>
      </c>
      <c r="BI65" s="122" t="e">
        <v>#N/A</v>
      </c>
      <c r="BJ65" s="122" t="e">
        <v>#N/A</v>
      </c>
      <c r="BK65" s="122">
        <v>45957</v>
      </c>
      <c r="BL65" s="123"/>
      <c r="BM65" s="124" t="e">
        <v>#N/A</v>
      </c>
      <c r="BN65" s="124" t="e">
        <v>#N/A</v>
      </c>
      <c r="BO65" s="124" t="e">
        <v>#N/A</v>
      </c>
      <c r="BP65" s="124" t="e">
        <v>#N/A</v>
      </c>
      <c r="BQ65" s="124" t="e">
        <v>#N/A</v>
      </c>
      <c r="BR65" s="124" t="e">
        <v>#N/A</v>
      </c>
      <c r="BS65" s="124" t="e">
        <v>#N/A</v>
      </c>
      <c r="BT65" s="124" t="e">
        <v>#N/A</v>
      </c>
      <c r="BU65" s="124" t="e">
        <v>#N/A</v>
      </c>
      <c r="BV65" s="124" t="e">
        <v>#N/A</v>
      </c>
      <c r="BW65" s="124" t="e">
        <v>#N/A</v>
      </c>
      <c r="BX65" s="124" t="e">
        <v>#N/A</v>
      </c>
      <c r="BY65" s="124" t="e">
        <v>#N/A</v>
      </c>
      <c r="BZ65" s="124" t="e">
        <v>#N/A</v>
      </c>
      <c r="CA65" s="125"/>
      <c r="CB65" s="124">
        <v>45734</v>
      </c>
      <c r="CC65" s="126">
        <v>1</v>
      </c>
      <c r="CD65" s="127" t="s">
        <v>4200</v>
      </c>
      <c r="CE65" s="128"/>
      <c r="CF65" s="77" t="e">
        <v>#N/A</v>
      </c>
    </row>
    <row r="66" spans="1:85" ht="14.5" x14ac:dyDescent="0.35">
      <c r="A66" s="77">
        <v>65</v>
      </c>
      <c r="B66" s="106" t="s">
        <v>1730</v>
      </c>
      <c r="C66" s="107" t="s">
        <v>6491</v>
      </c>
      <c r="D66" s="108" t="s">
        <v>1731</v>
      </c>
      <c r="E66" s="109" t="s">
        <v>1732</v>
      </c>
      <c r="F66" s="110" t="s">
        <v>2471</v>
      </c>
      <c r="G66" s="108" t="s">
        <v>1004</v>
      </c>
      <c r="H66" s="111" t="s">
        <v>545</v>
      </c>
      <c r="I66" s="111" t="s">
        <v>180</v>
      </c>
      <c r="J66" s="111" t="s">
        <v>4649</v>
      </c>
      <c r="K66" s="111" t="s">
        <v>2860</v>
      </c>
      <c r="L66" s="112">
        <v>44918</v>
      </c>
      <c r="M66" s="111" t="s">
        <v>2651</v>
      </c>
      <c r="N66" s="113"/>
      <c r="O66" s="114" t="s">
        <v>607</v>
      </c>
      <c r="P66" s="114" t="s">
        <v>557</v>
      </c>
      <c r="Q66" s="114" t="s">
        <v>183</v>
      </c>
      <c r="R66" s="114" t="s">
        <v>7348</v>
      </c>
      <c r="S66" s="114" t="s">
        <v>557</v>
      </c>
      <c r="T66" s="114" t="s">
        <v>607</v>
      </c>
      <c r="U66" s="114" t="s">
        <v>607</v>
      </c>
      <c r="V66" s="115"/>
      <c r="W66" s="116" t="s">
        <v>1733</v>
      </c>
      <c r="X66" s="116" t="s">
        <v>1734</v>
      </c>
      <c r="Y66" s="117">
        <v>3485015</v>
      </c>
      <c r="Z66" s="117">
        <v>3486515</v>
      </c>
      <c r="AA66" s="118"/>
      <c r="AB66" s="119" t="s">
        <v>5723</v>
      </c>
      <c r="AC66" s="119" t="s">
        <v>1735</v>
      </c>
      <c r="AD66" s="119">
        <v>4404</v>
      </c>
      <c r="AE66" s="119" t="s">
        <v>1736</v>
      </c>
      <c r="AF66" s="119">
        <v>0</v>
      </c>
      <c r="AG66" s="120"/>
      <c r="AH66" s="121">
        <v>44733</v>
      </c>
      <c r="AI66" s="121">
        <v>45065</v>
      </c>
      <c r="AJ66" s="121">
        <v>45065</v>
      </c>
      <c r="AK66" s="122">
        <v>45065</v>
      </c>
      <c r="AL66" s="122" t="e">
        <v>#N/A</v>
      </c>
      <c r="AM66" s="121" t="e">
        <v>#N/A</v>
      </c>
      <c r="AN66" s="121" t="e">
        <v>#N/A</v>
      </c>
      <c r="AO66" s="121" t="e">
        <v>#N/A</v>
      </c>
      <c r="AP66" s="122" t="e">
        <v>#N/A</v>
      </c>
      <c r="AQ66" s="122" t="e">
        <v>#N/A</v>
      </c>
      <c r="AR66" s="122" t="e">
        <v>#N/A</v>
      </c>
      <c r="AS66" s="122" t="e">
        <v>#N/A</v>
      </c>
      <c r="AT66" s="122" t="e">
        <v>#N/A</v>
      </c>
      <c r="AU66" s="121" t="e">
        <v>#N/A</v>
      </c>
      <c r="AV66" s="122" t="e">
        <v>#N/A</v>
      </c>
      <c r="AW66" s="122">
        <v>45937</v>
      </c>
      <c r="AX66" s="122" t="e">
        <v>#N/A</v>
      </c>
      <c r="AY66" s="122" t="e">
        <v>#N/A</v>
      </c>
      <c r="AZ66" s="122" t="e">
        <v>#N/A</v>
      </c>
      <c r="BA66" s="122" t="e">
        <v>#N/A</v>
      </c>
      <c r="BB66" s="122" t="e">
        <v>#N/A</v>
      </c>
      <c r="BC66" s="122" t="e">
        <v>#N/A</v>
      </c>
      <c r="BD66" s="122" t="e">
        <v>#N/A</v>
      </c>
      <c r="BE66" s="122" t="e">
        <v>#N/A</v>
      </c>
      <c r="BF66" s="122" t="e">
        <v>#N/A</v>
      </c>
      <c r="BG66" s="122" t="e">
        <v>#N/A</v>
      </c>
      <c r="BH66" s="122" t="e">
        <v>#N/A</v>
      </c>
      <c r="BI66" s="122" t="e">
        <v>#N/A</v>
      </c>
      <c r="BJ66" s="122" t="e">
        <v>#N/A</v>
      </c>
      <c r="BK66" s="122" t="e">
        <v>#N/A</v>
      </c>
      <c r="BL66" s="123"/>
      <c r="BM66" s="124" t="e">
        <v>#N/A</v>
      </c>
      <c r="BN66" s="124" t="e">
        <v>#N/A</v>
      </c>
      <c r="BO66" s="124" t="e">
        <v>#N/A</v>
      </c>
      <c r="BP66" s="124" t="e">
        <v>#N/A</v>
      </c>
      <c r="BQ66" s="124" t="e">
        <v>#N/A</v>
      </c>
      <c r="BR66" s="124" t="e">
        <v>#N/A</v>
      </c>
      <c r="BS66" s="124" t="e">
        <v>#N/A</v>
      </c>
      <c r="BT66" s="124" t="e">
        <v>#N/A</v>
      </c>
      <c r="BU66" s="124" t="e">
        <v>#N/A</v>
      </c>
      <c r="BV66" s="124" t="e">
        <v>#N/A</v>
      </c>
      <c r="BW66" s="124" t="e">
        <v>#N/A</v>
      </c>
      <c r="BX66" s="124" t="e">
        <v>#N/A</v>
      </c>
      <c r="BY66" s="124" t="e">
        <v>#N/A</v>
      </c>
      <c r="BZ66" s="124" t="e">
        <v>#N/A</v>
      </c>
      <c r="CA66" s="125"/>
      <c r="CB66" s="124" t="e">
        <v>#N/A</v>
      </c>
      <c r="CC66" s="126">
        <v>1</v>
      </c>
      <c r="CD66" s="127" t="s">
        <v>4155</v>
      </c>
      <c r="CE66" s="128"/>
      <c r="CF66" s="77" t="e">
        <v>#N/A</v>
      </c>
    </row>
    <row r="67" spans="1:85" ht="14.5" x14ac:dyDescent="0.35">
      <c r="A67" s="77">
        <v>66</v>
      </c>
      <c r="B67" s="106" t="s">
        <v>2459</v>
      </c>
      <c r="C67" s="107" t="s">
        <v>6520</v>
      </c>
      <c r="D67" s="108" t="s">
        <v>2447</v>
      </c>
      <c r="E67" s="109" t="s">
        <v>2460</v>
      </c>
      <c r="F67" s="110" t="s">
        <v>2448</v>
      </c>
      <c r="G67" s="108" t="s">
        <v>1004</v>
      </c>
      <c r="H67" s="111" t="s">
        <v>545</v>
      </c>
      <c r="I67" s="111" t="s">
        <v>180</v>
      </c>
      <c r="J67" s="111" t="s">
        <v>4649</v>
      </c>
      <c r="K67" s="111" t="s">
        <v>2860</v>
      </c>
      <c r="L67" s="112">
        <v>44909</v>
      </c>
      <c r="M67" s="111" t="s">
        <v>2948</v>
      </c>
      <c r="N67" s="113"/>
      <c r="O67" s="114" t="s">
        <v>184</v>
      </c>
      <c r="P67" s="114" t="s">
        <v>183</v>
      </c>
      <c r="Q67" s="114" t="s">
        <v>184</v>
      </c>
      <c r="R67" s="114" t="s">
        <v>184</v>
      </c>
      <c r="S67" s="114" t="s">
        <v>183</v>
      </c>
      <c r="T67" s="114" t="s">
        <v>7342</v>
      </c>
      <c r="U67" s="114" t="s">
        <v>7342</v>
      </c>
      <c r="V67" s="115"/>
      <c r="W67" s="116" t="s">
        <v>2449</v>
      </c>
      <c r="X67" s="116" t="s">
        <v>2450</v>
      </c>
      <c r="Y67" s="117">
        <v>3485162</v>
      </c>
      <c r="Z67" s="117">
        <v>3486601</v>
      </c>
      <c r="AA67" s="118"/>
      <c r="AB67" s="119" t="s">
        <v>5817</v>
      </c>
      <c r="AC67" s="119" t="s">
        <v>2451</v>
      </c>
      <c r="AD67" s="119">
        <v>5881</v>
      </c>
      <c r="AE67" s="119" t="s">
        <v>3406</v>
      </c>
      <c r="AF67" s="119" t="s">
        <v>7137</v>
      </c>
      <c r="AG67" s="120"/>
      <c r="AH67" s="121">
        <v>44882</v>
      </c>
      <c r="AI67" s="121">
        <v>44908</v>
      </c>
      <c r="AJ67" s="121">
        <v>44908</v>
      </c>
      <c r="AK67" s="122">
        <v>44984</v>
      </c>
      <c r="AL67" s="122" t="e">
        <v>#N/A</v>
      </c>
      <c r="AM67" s="122" t="e">
        <v>#N/A</v>
      </c>
      <c r="AN67" s="122" t="e">
        <v>#N/A</v>
      </c>
      <c r="AO67" s="121" t="e">
        <v>#N/A</v>
      </c>
      <c r="AP67" s="122" t="e">
        <v>#N/A</v>
      </c>
      <c r="AQ67" s="122" t="e">
        <v>#N/A</v>
      </c>
      <c r="AR67" s="122">
        <v>45406</v>
      </c>
      <c r="AS67" s="122" t="e">
        <v>#N/A</v>
      </c>
      <c r="AT67" s="122" t="e">
        <v>#N/A</v>
      </c>
      <c r="AU67" s="121" t="e">
        <v>#N/A</v>
      </c>
      <c r="AV67" s="122" t="e">
        <v>#N/A</v>
      </c>
      <c r="AW67" s="122">
        <v>45671</v>
      </c>
      <c r="AX67" s="122" t="e">
        <v>#N/A</v>
      </c>
      <c r="AY67" s="122" t="e">
        <v>#N/A</v>
      </c>
      <c r="AZ67" s="122" t="e">
        <v>#N/A</v>
      </c>
      <c r="BA67" s="122" t="e">
        <v>#N/A</v>
      </c>
      <c r="BB67" s="122" t="e">
        <v>#N/A</v>
      </c>
      <c r="BC67" s="122" t="e">
        <v>#N/A</v>
      </c>
      <c r="BD67" s="122" t="e">
        <v>#N/A</v>
      </c>
      <c r="BE67" s="122" t="e">
        <v>#N/A</v>
      </c>
      <c r="BF67" s="122" t="e">
        <v>#N/A</v>
      </c>
      <c r="BG67" s="122" t="e">
        <v>#N/A</v>
      </c>
      <c r="BH67" s="122" t="e">
        <v>#N/A</v>
      </c>
      <c r="BI67" s="122" t="e">
        <v>#N/A</v>
      </c>
      <c r="BJ67" s="122" t="e">
        <v>#N/A</v>
      </c>
      <c r="BK67" s="122">
        <v>45960</v>
      </c>
      <c r="BL67" s="123"/>
      <c r="BM67" s="124" t="e">
        <v>#N/A</v>
      </c>
      <c r="BN67" s="124" t="e">
        <v>#N/A</v>
      </c>
      <c r="BO67" s="124" t="e">
        <v>#N/A</v>
      </c>
      <c r="BP67" s="124" t="e">
        <v>#N/A</v>
      </c>
      <c r="BQ67" s="124" t="e">
        <v>#N/A</v>
      </c>
      <c r="BR67" s="124" t="e">
        <v>#N/A</v>
      </c>
      <c r="BS67" s="124" t="e">
        <v>#N/A</v>
      </c>
      <c r="BT67" s="124" t="e">
        <v>#N/A</v>
      </c>
      <c r="BU67" s="124" t="e">
        <v>#N/A</v>
      </c>
      <c r="BV67" s="124" t="e">
        <v>#N/A</v>
      </c>
      <c r="BW67" s="124" t="e">
        <v>#N/A</v>
      </c>
      <c r="BX67" s="124" t="e">
        <v>#N/A</v>
      </c>
      <c r="BY67" s="124" t="e">
        <v>#N/A</v>
      </c>
      <c r="BZ67" s="124" t="e">
        <v>#N/A</v>
      </c>
      <c r="CA67" s="125"/>
      <c r="CB67" s="124">
        <v>45841</v>
      </c>
      <c r="CC67" s="126">
        <v>1</v>
      </c>
      <c r="CD67" s="127" t="s">
        <v>4192</v>
      </c>
      <c r="CE67" s="128" t="e">
        <v>#REF!</v>
      </c>
      <c r="CF67" s="77" t="e">
        <v>#N/A</v>
      </c>
      <c r="CG67" s="77" t="e">
        <v>#REF!</v>
      </c>
    </row>
    <row r="68" spans="1:85" ht="14.5" x14ac:dyDescent="0.35">
      <c r="A68" s="77">
        <v>67</v>
      </c>
      <c r="B68" s="106" t="s">
        <v>3314</v>
      </c>
      <c r="C68" s="107" t="s">
        <v>6612</v>
      </c>
      <c r="D68" s="108" t="s">
        <v>3315</v>
      </c>
      <c r="E68" s="109" t="s">
        <v>3316</v>
      </c>
      <c r="F68" s="110">
        <v>654741385</v>
      </c>
      <c r="G68" s="108" t="s">
        <v>1004</v>
      </c>
      <c r="H68" s="111" t="s">
        <v>545</v>
      </c>
      <c r="I68" s="111" t="s">
        <v>180</v>
      </c>
      <c r="J68" s="111" t="s">
        <v>4649</v>
      </c>
      <c r="K68" s="111" t="s">
        <v>2860</v>
      </c>
      <c r="L68" s="112">
        <v>45348</v>
      </c>
      <c r="M68" s="111" t="s">
        <v>2948</v>
      </c>
      <c r="N68" s="113"/>
      <c r="O68" s="114" t="s">
        <v>7349</v>
      </c>
      <c r="P68" s="114" t="s">
        <v>7349</v>
      </c>
      <c r="Q68" s="114" t="s">
        <v>4356</v>
      </c>
      <c r="R68" s="114" t="s">
        <v>4356</v>
      </c>
      <c r="S68" s="114" t="s">
        <v>7349</v>
      </c>
      <c r="T68" s="114" t="s">
        <v>7349</v>
      </c>
      <c r="U68" s="114" t="s">
        <v>7349</v>
      </c>
      <c r="V68" s="115"/>
      <c r="W68" s="116" t="s">
        <v>3317</v>
      </c>
      <c r="X68" s="116" t="s">
        <v>3318</v>
      </c>
      <c r="Y68" s="117">
        <v>3485829</v>
      </c>
      <c r="Z68" s="117">
        <v>3486439</v>
      </c>
      <c r="AA68" s="118"/>
      <c r="AB68" s="119" t="s">
        <v>3488</v>
      </c>
      <c r="AC68" s="119" t="s">
        <v>3319</v>
      </c>
      <c r="AD68" s="119">
        <v>27428</v>
      </c>
      <c r="AE68" s="119" t="s">
        <v>3320</v>
      </c>
      <c r="AF68" s="119">
        <v>0</v>
      </c>
      <c r="AG68" s="120"/>
      <c r="AH68" s="121">
        <v>45448</v>
      </c>
      <c r="AI68" s="121">
        <v>45448</v>
      </c>
      <c r="AJ68" s="121">
        <v>45448</v>
      </c>
      <c r="AK68" s="122">
        <v>45448</v>
      </c>
      <c r="AL68" s="122" t="e">
        <v>#N/A</v>
      </c>
      <c r="AM68" s="121" t="e">
        <v>#N/A</v>
      </c>
      <c r="AN68" s="121" t="e">
        <v>#N/A</v>
      </c>
      <c r="AO68" s="121" t="e">
        <v>#N/A</v>
      </c>
      <c r="AP68" s="122" t="e">
        <v>#N/A</v>
      </c>
      <c r="AQ68" s="122" t="e">
        <v>#N/A</v>
      </c>
      <c r="AR68" s="122" t="e">
        <v>#N/A</v>
      </c>
      <c r="AS68" s="122" t="e">
        <v>#N/A</v>
      </c>
      <c r="AT68" s="122">
        <v>45441</v>
      </c>
      <c r="AU68" s="121" t="e">
        <v>#N/A</v>
      </c>
      <c r="AV68" s="122" t="e">
        <v>#N/A</v>
      </c>
      <c r="AW68" s="122">
        <v>45671</v>
      </c>
      <c r="AX68" s="122" t="e">
        <v>#N/A</v>
      </c>
      <c r="AY68" s="122" t="e">
        <v>#N/A</v>
      </c>
      <c r="AZ68" s="122" t="e">
        <v>#N/A</v>
      </c>
      <c r="BA68" s="122" t="e">
        <v>#N/A</v>
      </c>
      <c r="BB68" s="122" t="e">
        <v>#N/A</v>
      </c>
      <c r="BC68" s="122" t="e">
        <v>#N/A</v>
      </c>
      <c r="BD68" s="122" t="e">
        <v>#N/A</v>
      </c>
      <c r="BE68" s="122" t="e">
        <v>#N/A</v>
      </c>
      <c r="BF68" s="122" t="e">
        <v>#N/A</v>
      </c>
      <c r="BG68" s="122" t="e">
        <v>#N/A</v>
      </c>
      <c r="BH68" s="122" t="e">
        <v>#N/A</v>
      </c>
      <c r="BI68" s="122" t="e">
        <v>#N/A</v>
      </c>
      <c r="BJ68" s="122" t="e">
        <v>#N/A</v>
      </c>
      <c r="BK68" s="122" t="e">
        <v>#N/A</v>
      </c>
      <c r="BL68" s="123"/>
      <c r="BM68" s="124" t="e">
        <v>#N/A</v>
      </c>
      <c r="BN68" s="124" t="e">
        <v>#N/A</v>
      </c>
      <c r="BO68" s="124" t="e">
        <v>#N/A</v>
      </c>
      <c r="BP68" s="124" t="e">
        <v>#N/A</v>
      </c>
      <c r="BQ68" s="124" t="e">
        <v>#N/A</v>
      </c>
      <c r="BR68" s="124" t="e">
        <v>#N/A</v>
      </c>
      <c r="BS68" s="124" t="e">
        <v>#N/A</v>
      </c>
      <c r="BT68" s="124" t="e">
        <v>#N/A</v>
      </c>
      <c r="BU68" s="124" t="e">
        <v>#N/A</v>
      </c>
      <c r="BV68" s="124" t="e">
        <v>#N/A</v>
      </c>
      <c r="BW68" s="124" t="e">
        <v>#N/A</v>
      </c>
      <c r="BX68" s="124" t="e">
        <v>#N/A</v>
      </c>
      <c r="BY68" s="124" t="e">
        <v>#N/A</v>
      </c>
      <c r="BZ68" s="124" t="e">
        <v>#N/A</v>
      </c>
      <c r="CA68" s="125"/>
      <c r="CB68" s="124">
        <v>45841</v>
      </c>
      <c r="CC68" s="126">
        <v>1</v>
      </c>
      <c r="CD68" s="127" t="s">
        <v>4170</v>
      </c>
      <c r="CE68" s="128"/>
      <c r="CF68" s="77" t="e">
        <v>#N/A</v>
      </c>
    </row>
    <row r="69" spans="1:85" ht="14.5" x14ac:dyDescent="0.35">
      <c r="A69" s="77">
        <v>68</v>
      </c>
      <c r="B69" s="106" t="s">
        <v>3276</v>
      </c>
      <c r="C69" s="107" t="s">
        <v>6469</v>
      </c>
      <c r="D69" s="108" t="s">
        <v>3277</v>
      </c>
      <c r="E69" s="109" t="s">
        <v>3278</v>
      </c>
      <c r="F69" s="110">
        <v>634636707</v>
      </c>
      <c r="G69" s="108" t="s">
        <v>1004</v>
      </c>
      <c r="H69" s="111" t="s">
        <v>545</v>
      </c>
      <c r="I69" s="111" t="s">
        <v>180</v>
      </c>
      <c r="J69" s="111" t="s">
        <v>4649</v>
      </c>
      <c r="K69" s="111" t="s">
        <v>2860</v>
      </c>
      <c r="L69" s="112">
        <v>44774</v>
      </c>
      <c r="M69" s="111" t="s">
        <v>224</v>
      </c>
      <c r="N69" s="113"/>
      <c r="O69" s="114" t="s">
        <v>7342</v>
      </c>
      <c r="P69" s="114" t="s">
        <v>183</v>
      </c>
      <c r="Q69" s="114" t="s">
        <v>7341</v>
      </c>
      <c r="R69" s="114" t="s">
        <v>7341</v>
      </c>
      <c r="S69" s="114" t="s">
        <v>183</v>
      </c>
      <c r="T69" s="114" t="s">
        <v>7341</v>
      </c>
      <c r="U69" s="114" t="s">
        <v>7341</v>
      </c>
      <c r="V69" s="115"/>
      <c r="W69" s="116" t="s">
        <v>3279</v>
      </c>
      <c r="X69" s="116" t="s">
        <v>6021</v>
      </c>
      <c r="Y69" s="117">
        <v>3485735</v>
      </c>
      <c r="Z69" s="117">
        <v>3486547</v>
      </c>
      <c r="AA69" s="118"/>
      <c r="AB69" s="119" t="s">
        <v>5535</v>
      </c>
      <c r="AC69" s="119" t="s">
        <v>3280</v>
      </c>
      <c r="AD69" s="119">
        <v>27724</v>
      </c>
      <c r="AE69" s="119" t="s">
        <v>3281</v>
      </c>
      <c r="AF69" s="119" t="s">
        <v>6226</v>
      </c>
      <c r="AG69" s="120"/>
      <c r="AH69" s="121">
        <v>45460</v>
      </c>
      <c r="AI69" s="121">
        <v>45448</v>
      </c>
      <c r="AJ69" s="121">
        <v>45448</v>
      </c>
      <c r="AK69" s="122">
        <v>45448</v>
      </c>
      <c r="AL69" s="122" t="e">
        <v>#N/A</v>
      </c>
      <c r="AM69" s="121" t="e">
        <v>#N/A</v>
      </c>
      <c r="AN69" s="121" t="e">
        <v>#N/A</v>
      </c>
      <c r="AO69" s="121" t="e">
        <v>#N/A</v>
      </c>
      <c r="AP69" s="122" t="e">
        <v>#N/A</v>
      </c>
      <c r="AQ69" s="122" t="e">
        <v>#N/A</v>
      </c>
      <c r="AR69" s="122" t="e">
        <v>#N/A</v>
      </c>
      <c r="AS69" s="122" t="e">
        <v>#N/A</v>
      </c>
      <c r="AT69" s="122">
        <v>45441</v>
      </c>
      <c r="AU69" s="121" t="e">
        <v>#N/A</v>
      </c>
      <c r="AV69" s="122" t="e">
        <v>#N/A</v>
      </c>
      <c r="AW69" s="122" t="e">
        <v>#N/A</v>
      </c>
      <c r="AX69" s="122" t="e">
        <v>#N/A</v>
      </c>
      <c r="AY69" s="122" t="e">
        <v>#N/A</v>
      </c>
      <c r="AZ69" s="122" t="e">
        <v>#N/A</v>
      </c>
      <c r="BA69" s="122" t="e">
        <v>#N/A</v>
      </c>
      <c r="BB69" s="122" t="e">
        <v>#N/A</v>
      </c>
      <c r="BC69" s="122" t="e">
        <v>#N/A</v>
      </c>
      <c r="BD69" s="122" t="e">
        <v>#N/A</v>
      </c>
      <c r="BE69" s="122" t="e">
        <v>#N/A</v>
      </c>
      <c r="BF69" s="122" t="e">
        <v>#N/A</v>
      </c>
      <c r="BG69" s="122" t="e">
        <v>#N/A</v>
      </c>
      <c r="BH69" s="122">
        <v>45446</v>
      </c>
      <c r="BI69" s="122" t="e">
        <v>#N/A</v>
      </c>
      <c r="BJ69" s="122" t="e">
        <v>#N/A</v>
      </c>
      <c r="BK69" s="122">
        <v>45952</v>
      </c>
      <c r="BL69" s="123"/>
      <c r="BM69" s="124" t="e">
        <v>#N/A</v>
      </c>
      <c r="BN69" s="124" t="e">
        <v>#N/A</v>
      </c>
      <c r="BO69" s="124" t="e">
        <v>#N/A</v>
      </c>
      <c r="BP69" s="124" t="e">
        <v>#N/A</v>
      </c>
      <c r="BQ69" s="124" t="e">
        <v>#N/A</v>
      </c>
      <c r="BR69" s="124" t="e">
        <v>#N/A</v>
      </c>
      <c r="BS69" s="124" t="e">
        <v>#N/A</v>
      </c>
      <c r="BT69" s="124" t="e">
        <v>#N/A</v>
      </c>
      <c r="BU69" s="124" t="e">
        <v>#N/A</v>
      </c>
      <c r="BV69" s="124" t="e">
        <v>#N/A</v>
      </c>
      <c r="BW69" s="124" t="e">
        <v>#N/A</v>
      </c>
      <c r="BX69" s="124" t="e">
        <v>#N/A</v>
      </c>
      <c r="BY69" s="124" t="e">
        <v>#N/A</v>
      </c>
      <c r="BZ69" s="124" t="e">
        <v>#N/A</v>
      </c>
      <c r="CA69" s="125"/>
      <c r="CB69" s="124">
        <v>45728</v>
      </c>
      <c r="CC69" s="126">
        <v>1</v>
      </c>
      <c r="CD69" s="127" t="s">
        <v>4170</v>
      </c>
      <c r="CE69" s="128"/>
      <c r="CF69" s="77" t="e">
        <v>#N/A</v>
      </c>
    </row>
    <row r="70" spans="1:85" ht="14.5" x14ac:dyDescent="0.35">
      <c r="A70" s="77">
        <v>69</v>
      </c>
      <c r="B70" s="106" t="s">
        <v>2623</v>
      </c>
      <c r="C70" s="107" t="s">
        <v>6398</v>
      </c>
      <c r="D70" s="108" t="s">
        <v>2624</v>
      </c>
      <c r="E70" s="109" t="s">
        <v>2625</v>
      </c>
      <c r="F70" s="110">
        <v>615789176</v>
      </c>
      <c r="G70" s="108" t="s">
        <v>1004</v>
      </c>
      <c r="H70" s="111" t="s">
        <v>545</v>
      </c>
      <c r="I70" s="111" t="s">
        <v>180</v>
      </c>
      <c r="J70" s="111" t="s">
        <v>4649</v>
      </c>
      <c r="K70" s="111" t="s">
        <v>2860</v>
      </c>
      <c r="L70" s="112">
        <v>44881</v>
      </c>
      <c r="M70" s="111" t="s">
        <v>1037</v>
      </c>
      <c r="N70" s="113"/>
      <c r="O70" s="114" t="s">
        <v>7350</v>
      </c>
      <c r="P70" s="114" t="s">
        <v>7350</v>
      </c>
      <c r="Q70" s="114" t="s">
        <v>7351</v>
      </c>
      <c r="R70" s="114" t="s">
        <v>7350</v>
      </c>
      <c r="S70" s="114" t="s">
        <v>7350</v>
      </c>
      <c r="T70" s="114" t="s">
        <v>183</v>
      </c>
      <c r="U70" s="114" t="s">
        <v>183</v>
      </c>
      <c r="V70" s="115"/>
      <c r="W70" s="116" t="s">
        <v>2654</v>
      </c>
      <c r="X70" s="116" t="s">
        <v>2655</v>
      </c>
      <c r="Y70" s="117">
        <v>3485778</v>
      </c>
      <c r="Z70" s="117">
        <v>3481498</v>
      </c>
      <c r="AA70" s="118"/>
      <c r="AB70" s="119" t="s">
        <v>5541</v>
      </c>
      <c r="AC70" s="119" t="s">
        <v>2762</v>
      </c>
      <c r="AD70" s="119">
        <v>4115</v>
      </c>
      <c r="AE70" s="119" t="s">
        <v>2763</v>
      </c>
      <c r="AF70" s="119" t="s">
        <v>7352</v>
      </c>
      <c r="AG70" s="120"/>
      <c r="AH70" s="121">
        <v>45093</v>
      </c>
      <c r="AI70" s="121">
        <v>45093</v>
      </c>
      <c r="AJ70" s="121">
        <v>45093</v>
      </c>
      <c r="AK70" s="122">
        <v>45093</v>
      </c>
      <c r="AL70" s="122" t="e">
        <v>#N/A</v>
      </c>
      <c r="AM70" s="121" t="e">
        <v>#N/A</v>
      </c>
      <c r="AN70" s="121" t="e">
        <v>#N/A</v>
      </c>
      <c r="AO70" s="121" t="e">
        <v>#N/A</v>
      </c>
      <c r="AP70" s="122" t="e">
        <v>#N/A</v>
      </c>
      <c r="AQ70" s="122" t="e">
        <v>#N/A</v>
      </c>
      <c r="AR70" s="122" t="e">
        <v>#N/A</v>
      </c>
      <c r="AS70" s="122" t="e">
        <v>#N/A</v>
      </c>
      <c r="AT70" s="122" t="e">
        <v>#N/A</v>
      </c>
      <c r="AU70" s="121" t="e">
        <v>#N/A</v>
      </c>
      <c r="AV70" s="122" t="e">
        <v>#N/A</v>
      </c>
      <c r="AW70" s="122" t="e">
        <v>#N/A</v>
      </c>
      <c r="AX70" s="122" t="e">
        <v>#N/A</v>
      </c>
      <c r="AY70" s="122" t="e">
        <v>#N/A</v>
      </c>
      <c r="AZ70" s="122" t="e">
        <v>#N/A</v>
      </c>
      <c r="BA70" s="122" t="e">
        <v>#N/A</v>
      </c>
      <c r="BB70" s="122" t="e">
        <v>#N/A</v>
      </c>
      <c r="BC70" s="122" t="e">
        <v>#N/A</v>
      </c>
      <c r="BD70" s="122" t="e">
        <v>#N/A</v>
      </c>
      <c r="BE70" s="122" t="e">
        <v>#N/A</v>
      </c>
      <c r="BF70" s="122" t="e">
        <v>#N/A</v>
      </c>
      <c r="BG70" s="122" t="e">
        <v>#N/A</v>
      </c>
      <c r="BH70" s="122" t="e">
        <v>#N/A</v>
      </c>
      <c r="BI70" s="122" t="e">
        <v>#N/A</v>
      </c>
      <c r="BJ70" s="122" t="e">
        <v>#N/A</v>
      </c>
      <c r="BK70" s="122">
        <v>45975</v>
      </c>
      <c r="BL70" s="123"/>
      <c r="BM70" s="124" t="e">
        <v>#N/A</v>
      </c>
      <c r="BN70" s="124" t="e">
        <v>#N/A</v>
      </c>
      <c r="BO70" s="124" t="e">
        <v>#N/A</v>
      </c>
      <c r="BP70" s="124" t="e">
        <v>#N/A</v>
      </c>
      <c r="BQ70" s="124" t="e">
        <v>#N/A</v>
      </c>
      <c r="BR70" s="124" t="e">
        <v>#N/A</v>
      </c>
      <c r="BS70" s="124" t="e">
        <v>#N/A</v>
      </c>
      <c r="BT70" s="124" t="e">
        <v>#N/A</v>
      </c>
      <c r="BU70" s="124" t="e">
        <v>#N/A</v>
      </c>
      <c r="BV70" s="124" t="e">
        <v>#N/A</v>
      </c>
      <c r="BW70" s="124" t="e">
        <v>#N/A</v>
      </c>
      <c r="BX70" s="124" t="e">
        <v>#N/A</v>
      </c>
      <c r="BY70" s="124" t="e">
        <v>#N/A</v>
      </c>
      <c r="BZ70" s="124" t="e">
        <v>#N/A</v>
      </c>
      <c r="CA70" s="125"/>
      <c r="CB70" s="124" t="e">
        <v>#N/A</v>
      </c>
      <c r="CC70" s="126">
        <v>1</v>
      </c>
      <c r="CD70" s="127" t="s">
        <v>4166</v>
      </c>
      <c r="CE70" s="128"/>
      <c r="CF70" s="77" t="e">
        <v>#N/A</v>
      </c>
    </row>
    <row r="71" spans="1:85" ht="14.5" x14ac:dyDescent="0.35">
      <c r="A71" s="77">
        <v>70</v>
      </c>
      <c r="B71" s="106" t="s">
        <v>2752</v>
      </c>
      <c r="C71" s="107" t="s">
        <v>6546</v>
      </c>
      <c r="D71" s="108" t="s">
        <v>2731</v>
      </c>
      <c r="E71" s="109" t="s">
        <v>2732</v>
      </c>
      <c r="F71" s="110">
        <v>633957105</v>
      </c>
      <c r="G71" s="108" t="s">
        <v>1004</v>
      </c>
      <c r="H71" s="111" t="s">
        <v>545</v>
      </c>
      <c r="I71" s="111" t="s">
        <v>180</v>
      </c>
      <c r="J71" s="111" t="s">
        <v>4649</v>
      </c>
      <c r="K71" s="111" t="s">
        <v>2860</v>
      </c>
      <c r="L71" s="112">
        <v>45096</v>
      </c>
      <c r="M71" s="111" t="s">
        <v>3381</v>
      </c>
      <c r="N71" s="113"/>
      <c r="O71" s="114" t="s">
        <v>7353</v>
      </c>
      <c r="P71" s="114" t="s">
        <v>183</v>
      </c>
      <c r="Q71" s="114" t="s">
        <v>7354</v>
      </c>
      <c r="R71" s="114" t="s">
        <v>7355</v>
      </c>
      <c r="S71" s="114" t="s">
        <v>183</v>
      </c>
      <c r="T71" s="114" t="s">
        <v>6899</v>
      </c>
      <c r="U71" s="114" t="s">
        <v>6899</v>
      </c>
      <c r="V71" s="115"/>
      <c r="W71" s="116" t="s">
        <v>2733</v>
      </c>
      <c r="X71" s="116" t="s">
        <v>2734</v>
      </c>
      <c r="Y71" s="117">
        <v>3485676</v>
      </c>
      <c r="Z71" s="117">
        <v>3481496</v>
      </c>
      <c r="AA71" s="118"/>
      <c r="AB71" s="119" t="s">
        <v>5814</v>
      </c>
      <c r="AC71" s="119" t="s">
        <v>2768</v>
      </c>
      <c r="AD71" s="119">
        <v>5108</v>
      </c>
      <c r="AE71" s="119" t="s">
        <v>5247</v>
      </c>
      <c r="AF71" s="119">
        <v>0</v>
      </c>
      <c r="AG71" s="120"/>
      <c r="AH71" s="121">
        <v>45093</v>
      </c>
      <c r="AI71" s="121">
        <v>45093</v>
      </c>
      <c r="AJ71" s="121">
        <v>45093</v>
      </c>
      <c r="AK71" s="122">
        <v>45093</v>
      </c>
      <c r="AL71" s="122">
        <v>45482</v>
      </c>
      <c r="AM71" s="122">
        <v>45482</v>
      </c>
      <c r="AN71" s="122">
        <v>45482</v>
      </c>
      <c r="AO71" s="121">
        <v>45975</v>
      </c>
      <c r="AP71" s="122" t="e">
        <v>#N/A</v>
      </c>
      <c r="AQ71" s="122">
        <v>45820</v>
      </c>
      <c r="AR71" s="122">
        <v>45482</v>
      </c>
      <c r="AS71" s="122" t="e">
        <v>#N/A</v>
      </c>
      <c r="AT71" s="122" t="e">
        <v>#N/A</v>
      </c>
      <c r="AU71" s="121">
        <v>45922</v>
      </c>
      <c r="AV71" s="122">
        <v>45611</v>
      </c>
      <c r="AW71" s="122">
        <v>45586</v>
      </c>
      <c r="AX71" s="122" t="e">
        <v>#N/A</v>
      </c>
      <c r="AY71" s="122" t="e">
        <v>#N/A</v>
      </c>
      <c r="AZ71" s="122" t="e">
        <v>#N/A</v>
      </c>
      <c r="BA71" s="122" t="e">
        <v>#N/A</v>
      </c>
      <c r="BB71" s="122" t="e">
        <v>#N/A</v>
      </c>
      <c r="BC71" s="122" t="e">
        <v>#N/A</v>
      </c>
      <c r="BD71" s="122" t="e">
        <v>#N/A</v>
      </c>
      <c r="BE71" s="122" t="e">
        <v>#N/A</v>
      </c>
      <c r="BF71" s="122" t="e">
        <v>#N/A</v>
      </c>
      <c r="BG71" s="122" t="e">
        <v>#N/A</v>
      </c>
      <c r="BH71" s="122" t="e">
        <v>#N/A</v>
      </c>
      <c r="BI71" s="122" t="e">
        <v>#N/A</v>
      </c>
      <c r="BJ71" s="122" t="e">
        <v>#N/A</v>
      </c>
      <c r="BK71" s="122" t="e">
        <v>#N/A</v>
      </c>
      <c r="BL71" s="123"/>
      <c r="BM71" s="124" t="e">
        <v>#N/A</v>
      </c>
      <c r="BN71" s="124" t="e">
        <v>#N/A</v>
      </c>
      <c r="BO71" s="124" t="e">
        <v>#N/A</v>
      </c>
      <c r="BP71" s="124" t="e">
        <v>#N/A</v>
      </c>
      <c r="BQ71" s="124" t="e">
        <v>#N/A</v>
      </c>
      <c r="BR71" s="124" t="e">
        <v>#N/A</v>
      </c>
      <c r="BS71" s="124" t="e">
        <v>#N/A</v>
      </c>
      <c r="BT71" s="124" t="e">
        <v>#N/A</v>
      </c>
      <c r="BU71" s="124" t="e">
        <v>#N/A</v>
      </c>
      <c r="BV71" s="124" t="e">
        <v>#N/A</v>
      </c>
      <c r="BW71" s="124" t="e">
        <v>#N/A</v>
      </c>
      <c r="BX71" s="124" t="e">
        <v>#N/A</v>
      </c>
      <c r="BY71" s="124" t="e">
        <v>#N/A</v>
      </c>
      <c r="BZ71" s="124" t="e">
        <v>#N/A</v>
      </c>
      <c r="CA71" s="125"/>
      <c r="CB71" s="124">
        <v>45728</v>
      </c>
      <c r="CC71" s="126">
        <v>1</v>
      </c>
      <c r="CD71" s="127" t="s">
        <v>4166</v>
      </c>
      <c r="CE71" s="128"/>
      <c r="CF71" s="77" t="e">
        <v>#N/A</v>
      </c>
    </row>
    <row r="72" spans="1:85" ht="14.5" x14ac:dyDescent="0.35">
      <c r="A72" s="77">
        <v>71</v>
      </c>
      <c r="B72" s="106" t="s">
        <v>6380</v>
      </c>
      <c r="C72" s="107" t="s">
        <v>1497</v>
      </c>
      <c r="D72" s="108" t="s">
        <v>1498</v>
      </c>
      <c r="E72" s="109" t="s">
        <v>1499</v>
      </c>
      <c r="F72" s="110" t="s">
        <v>1613</v>
      </c>
      <c r="G72" s="108" t="s">
        <v>1004</v>
      </c>
      <c r="H72" s="111" t="s">
        <v>545</v>
      </c>
      <c r="I72" s="111" t="s">
        <v>180</v>
      </c>
      <c r="J72" s="111" t="s">
        <v>4649</v>
      </c>
      <c r="K72" s="111" t="s">
        <v>2860</v>
      </c>
      <c r="L72" s="112">
        <v>45286</v>
      </c>
      <c r="M72" s="111" t="s">
        <v>2948</v>
      </c>
      <c r="N72" s="113"/>
      <c r="O72" s="114" t="s">
        <v>607</v>
      </c>
      <c r="P72" s="114" t="s">
        <v>7340</v>
      </c>
      <c r="Q72" s="114" t="s">
        <v>607</v>
      </c>
      <c r="R72" s="114" t="s">
        <v>607</v>
      </c>
      <c r="S72" s="114" t="s">
        <v>7340</v>
      </c>
      <c r="T72" s="114" t="s">
        <v>183</v>
      </c>
      <c r="U72" s="114" t="s">
        <v>183</v>
      </c>
      <c r="V72" s="115"/>
      <c r="W72" s="116" t="s">
        <v>3123</v>
      </c>
      <c r="X72" s="116" t="s">
        <v>3124</v>
      </c>
      <c r="Y72" s="117">
        <v>3485752</v>
      </c>
      <c r="Z72" s="117">
        <v>3486629</v>
      </c>
      <c r="AA72" s="118"/>
      <c r="AB72" s="119" t="s">
        <v>5695</v>
      </c>
      <c r="AC72" s="119" t="s">
        <v>3125</v>
      </c>
      <c r="AD72" s="119">
        <v>4142</v>
      </c>
      <c r="AE72" s="119" t="s">
        <v>3126</v>
      </c>
      <c r="AF72" s="119">
        <v>0</v>
      </c>
      <c r="AG72" s="120"/>
      <c r="AH72" s="121">
        <v>44641</v>
      </c>
      <c r="AI72" s="121">
        <v>45289</v>
      </c>
      <c r="AJ72" s="121">
        <v>45289</v>
      </c>
      <c r="AK72" s="122">
        <v>45289</v>
      </c>
      <c r="AL72" s="122" t="e">
        <v>#N/A</v>
      </c>
      <c r="AM72" s="121" t="e">
        <v>#N/A</v>
      </c>
      <c r="AN72" s="121" t="e">
        <v>#N/A</v>
      </c>
      <c r="AO72" s="121" t="e">
        <v>#N/A</v>
      </c>
      <c r="AP72" s="122" t="e">
        <v>#N/A</v>
      </c>
      <c r="AQ72" s="122" t="e">
        <v>#N/A</v>
      </c>
      <c r="AR72" s="122" t="e">
        <v>#N/A</v>
      </c>
      <c r="AS72" s="122" t="e">
        <v>#N/A</v>
      </c>
      <c r="AT72" s="122">
        <v>44197</v>
      </c>
      <c r="AU72" s="121" t="e">
        <v>#N/A</v>
      </c>
      <c r="AV72" s="122" t="e">
        <v>#N/A</v>
      </c>
      <c r="AW72" s="122">
        <v>45937</v>
      </c>
      <c r="AX72" s="122" t="e">
        <v>#N/A</v>
      </c>
      <c r="AY72" s="122" t="e">
        <v>#N/A</v>
      </c>
      <c r="AZ72" s="122" t="e">
        <v>#N/A</v>
      </c>
      <c r="BA72" s="122" t="e">
        <v>#N/A</v>
      </c>
      <c r="BB72" s="122" t="e">
        <v>#N/A</v>
      </c>
      <c r="BC72" s="122" t="e">
        <v>#N/A</v>
      </c>
      <c r="BD72" s="122" t="e">
        <v>#N/A</v>
      </c>
      <c r="BE72" s="122" t="e">
        <v>#N/A</v>
      </c>
      <c r="BF72" s="122" t="e">
        <v>#N/A</v>
      </c>
      <c r="BG72" s="122" t="e">
        <v>#N/A</v>
      </c>
      <c r="BH72" s="122" t="e">
        <v>#N/A</v>
      </c>
      <c r="BI72" s="122" t="e">
        <v>#N/A</v>
      </c>
      <c r="BJ72" s="122" t="e">
        <v>#N/A</v>
      </c>
      <c r="BK72" s="122" t="e">
        <v>#N/A</v>
      </c>
      <c r="BL72" s="123"/>
      <c r="BM72" s="124" t="e">
        <v>#N/A</v>
      </c>
      <c r="BN72" s="124" t="e">
        <v>#N/A</v>
      </c>
      <c r="BO72" s="124" t="e">
        <v>#N/A</v>
      </c>
      <c r="BP72" s="124" t="e">
        <v>#N/A</v>
      </c>
      <c r="BQ72" s="124" t="e">
        <v>#N/A</v>
      </c>
      <c r="BR72" s="124" t="e">
        <v>#N/A</v>
      </c>
      <c r="BS72" s="124" t="e">
        <v>#N/A</v>
      </c>
      <c r="BT72" s="124" t="e">
        <v>#N/A</v>
      </c>
      <c r="BU72" s="124" t="e">
        <v>#N/A</v>
      </c>
      <c r="BV72" s="124" t="e">
        <v>#N/A</v>
      </c>
      <c r="BW72" s="124" t="e">
        <v>#N/A</v>
      </c>
      <c r="BX72" s="124" t="e">
        <v>#N/A</v>
      </c>
      <c r="BY72" s="124" t="e">
        <v>#N/A</v>
      </c>
      <c r="BZ72" s="124" t="e">
        <v>#N/A</v>
      </c>
      <c r="CA72" s="125"/>
      <c r="CB72" s="124" t="e">
        <v>#N/A</v>
      </c>
      <c r="CC72" s="126">
        <v>1</v>
      </c>
      <c r="CD72" s="127" t="e">
        <v>#N/A</v>
      </c>
      <c r="CE72" s="128"/>
      <c r="CF72" s="77" t="e">
        <v>#N/A</v>
      </c>
    </row>
    <row r="73" spans="1:85" ht="14.5" x14ac:dyDescent="0.35">
      <c r="A73" s="77">
        <v>72</v>
      </c>
      <c r="B73" s="106" t="s">
        <v>57</v>
      </c>
      <c r="C73" s="107" t="s">
        <v>1470</v>
      </c>
      <c r="D73" s="108" t="s">
        <v>537</v>
      </c>
      <c r="E73" s="109" t="s">
        <v>538</v>
      </c>
      <c r="F73" s="110">
        <v>600732448</v>
      </c>
      <c r="G73" s="108" t="s">
        <v>1004</v>
      </c>
      <c r="H73" s="111" t="s">
        <v>2761</v>
      </c>
      <c r="I73" s="111" t="s">
        <v>180</v>
      </c>
      <c r="J73" s="111" t="s">
        <v>4649</v>
      </c>
      <c r="K73" s="111" t="s">
        <v>3159</v>
      </c>
      <c r="L73" s="112">
        <v>42864</v>
      </c>
      <c r="M73" s="111" t="s">
        <v>253</v>
      </c>
      <c r="N73" s="113"/>
      <c r="O73" s="114" t="s">
        <v>257</v>
      </c>
      <c r="P73" s="114" t="s">
        <v>257</v>
      </c>
      <c r="Q73" s="114" t="s">
        <v>257</v>
      </c>
      <c r="R73" s="114" t="s">
        <v>7356</v>
      </c>
      <c r="S73" s="114" t="s">
        <v>257</v>
      </c>
      <c r="T73" s="114" t="s">
        <v>183</v>
      </c>
      <c r="U73" s="114" t="s">
        <v>183</v>
      </c>
      <c r="V73" s="115"/>
      <c r="W73" s="116" t="s">
        <v>539</v>
      </c>
      <c r="X73" s="116" t="s">
        <v>540</v>
      </c>
      <c r="Y73" s="117">
        <v>3485235</v>
      </c>
      <c r="Z73" s="117">
        <v>3481145</v>
      </c>
      <c r="AA73" s="118"/>
      <c r="AB73" s="119" t="s">
        <v>541</v>
      </c>
      <c r="AC73" s="119" t="s">
        <v>1471</v>
      </c>
      <c r="AD73" s="119">
        <v>3095</v>
      </c>
      <c r="AE73" s="119" t="s">
        <v>542</v>
      </c>
      <c r="AF73" s="119" t="s">
        <v>7094</v>
      </c>
      <c r="AG73" s="120"/>
      <c r="AH73" s="121">
        <v>44197</v>
      </c>
      <c r="AI73" s="121">
        <v>44197</v>
      </c>
      <c r="AJ73" s="121">
        <v>44197</v>
      </c>
      <c r="AK73" s="122">
        <v>44197</v>
      </c>
      <c r="AL73" s="122">
        <v>44197</v>
      </c>
      <c r="AM73" s="121" t="e">
        <v>#N/A</v>
      </c>
      <c r="AN73" s="121">
        <v>44197</v>
      </c>
      <c r="AO73" s="121">
        <v>45870</v>
      </c>
      <c r="AP73" s="122" t="e">
        <v>#N/A</v>
      </c>
      <c r="AQ73" s="122">
        <v>44682</v>
      </c>
      <c r="AR73" s="122">
        <v>45975</v>
      </c>
      <c r="AS73" s="122" t="e">
        <v>#N/A</v>
      </c>
      <c r="AT73" s="122" t="e">
        <v>#N/A</v>
      </c>
      <c r="AU73" s="121" t="e">
        <v>#N/A</v>
      </c>
      <c r="AV73" s="122" t="e">
        <v>#N/A</v>
      </c>
      <c r="AW73" s="122">
        <v>45670</v>
      </c>
      <c r="AX73" s="122" t="e">
        <v>#N/A</v>
      </c>
      <c r="AY73" s="122" t="e">
        <v>#N/A</v>
      </c>
      <c r="AZ73" s="122">
        <v>44562</v>
      </c>
      <c r="BA73" s="122" t="e">
        <v>#N/A</v>
      </c>
      <c r="BB73" s="122" t="e">
        <v>#N/A</v>
      </c>
      <c r="BC73" s="122" t="e">
        <v>#N/A</v>
      </c>
      <c r="BD73" s="122" t="e">
        <v>#N/A</v>
      </c>
      <c r="BE73" s="122" t="e">
        <v>#N/A</v>
      </c>
      <c r="BF73" s="122" t="e">
        <v>#N/A</v>
      </c>
      <c r="BG73" s="122" t="e">
        <v>#N/A</v>
      </c>
      <c r="BH73" s="122" t="e">
        <v>#N/A</v>
      </c>
      <c r="BI73" s="122" t="e">
        <v>#N/A</v>
      </c>
      <c r="BJ73" s="122" t="e">
        <v>#N/A</v>
      </c>
      <c r="BK73" s="122">
        <v>45961</v>
      </c>
      <c r="BL73" s="123"/>
      <c r="BM73" s="124" t="e">
        <v>#N/A</v>
      </c>
      <c r="BN73" s="124" t="e">
        <v>#N/A</v>
      </c>
      <c r="BO73" s="124" t="e">
        <v>#N/A</v>
      </c>
      <c r="BP73" s="124" t="e">
        <v>#N/A</v>
      </c>
      <c r="BQ73" s="124" t="e">
        <v>#N/A</v>
      </c>
      <c r="BR73" s="124" t="e">
        <v>#N/A</v>
      </c>
      <c r="BS73" s="124" t="e">
        <v>#N/A</v>
      </c>
      <c r="BT73" s="124" t="e">
        <v>#N/A</v>
      </c>
      <c r="BU73" s="124" t="e">
        <v>#N/A</v>
      </c>
      <c r="BV73" s="124" t="e">
        <v>#N/A</v>
      </c>
      <c r="BW73" s="124" t="e">
        <v>#N/A</v>
      </c>
      <c r="BX73" s="124" t="e">
        <v>#N/A</v>
      </c>
      <c r="BY73" s="124" t="e">
        <v>#N/A</v>
      </c>
      <c r="BZ73" s="124" t="e">
        <v>#N/A</v>
      </c>
      <c r="CA73" s="125"/>
      <c r="CB73" s="124">
        <v>45728</v>
      </c>
      <c r="CC73" s="126">
        <v>1</v>
      </c>
      <c r="CD73" s="127" t="s">
        <v>4169</v>
      </c>
      <c r="CE73" s="128"/>
      <c r="CF73" s="77" t="e">
        <v>#N/A</v>
      </c>
    </row>
    <row r="74" spans="1:85" ht="14.5" x14ac:dyDescent="0.35">
      <c r="A74" s="77">
        <v>73</v>
      </c>
      <c r="B74" s="106" t="s">
        <v>85</v>
      </c>
      <c r="C74" s="107" t="s">
        <v>1158</v>
      </c>
      <c r="D74" s="108" t="s">
        <v>640</v>
      </c>
      <c r="E74" s="109" t="s">
        <v>641</v>
      </c>
      <c r="F74" s="110">
        <v>630145191</v>
      </c>
      <c r="G74" s="108" t="s">
        <v>1004</v>
      </c>
      <c r="H74" s="111" t="s">
        <v>2760</v>
      </c>
      <c r="I74" s="111" t="s">
        <v>180</v>
      </c>
      <c r="J74" s="111" t="s">
        <v>4649</v>
      </c>
      <c r="K74" s="111" t="s">
        <v>305</v>
      </c>
      <c r="L74" s="112">
        <v>42999</v>
      </c>
      <c r="M74" s="111" t="s">
        <v>253</v>
      </c>
      <c r="N74" s="113"/>
      <c r="O74" s="114" t="s">
        <v>225</v>
      </c>
      <c r="P74" s="114" t="s">
        <v>7357</v>
      </c>
      <c r="Q74" s="114" t="s">
        <v>225</v>
      </c>
      <c r="R74" s="114" t="s">
        <v>225</v>
      </c>
      <c r="S74" s="114" t="s">
        <v>7357</v>
      </c>
      <c r="T74" s="114" t="s">
        <v>183</v>
      </c>
      <c r="U74" s="114" t="s">
        <v>183</v>
      </c>
      <c r="V74" s="115"/>
      <c r="W74" s="116" t="s">
        <v>642</v>
      </c>
      <c r="X74" s="116" t="s">
        <v>643</v>
      </c>
      <c r="Y74" s="117">
        <v>3485559</v>
      </c>
      <c r="Z74" s="117">
        <v>3481164</v>
      </c>
      <c r="AA74" s="118"/>
      <c r="AB74" s="119" t="s">
        <v>5762</v>
      </c>
      <c r="AC74" s="119" t="s">
        <v>1159</v>
      </c>
      <c r="AD74" s="119">
        <v>27703</v>
      </c>
      <c r="AE74" s="119" t="s">
        <v>644</v>
      </c>
      <c r="AF74" s="119" t="s">
        <v>6209</v>
      </c>
      <c r="AG74" s="120"/>
      <c r="AH74" s="121">
        <v>44197</v>
      </c>
      <c r="AI74" s="121">
        <v>44197</v>
      </c>
      <c r="AJ74" s="121">
        <v>44197</v>
      </c>
      <c r="AK74" s="122">
        <v>44197</v>
      </c>
      <c r="AL74" s="122">
        <v>45985</v>
      </c>
      <c r="AM74" s="121">
        <v>44825</v>
      </c>
      <c r="AN74" s="121">
        <v>44825</v>
      </c>
      <c r="AO74" s="121">
        <v>45870</v>
      </c>
      <c r="AP74" s="122" t="e">
        <v>#N/A</v>
      </c>
      <c r="AQ74" s="122">
        <v>44682</v>
      </c>
      <c r="AR74" s="122">
        <v>44676</v>
      </c>
      <c r="AS74" s="122">
        <v>44652</v>
      </c>
      <c r="AT74" s="122" t="e">
        <v>#N/A</v>
      </c>
      <c r="AU74" s="121">
        <v>45912</v>
      </c>
      <c r="AV74" s="122">
        <v>45097</v>
      </c>
      <c r="AW74" s="122">
        <v>45034</v>
      </c>
      <c r="AX74" s="122" t="e">
        <v>#N/A</v>
      </c>
      <c r="AY74" s="122" t="e">
        <v>#N/A</v>
      </c>
      <c r="AZ74" s="122">
        <v>44562</v>
      </c>
      <c r="BA74" s="122" t="e">
        <v>#N/A</v>
      </c>
      <c r="BB74" s="122" t="e">
        <v>#N/A</v>
      </c>
      <c r="BC74" s="122" t="e">
        <v>#N/A</v>
      </c>
      <c r="BD74" s="122" t="e">
        <v>#N/A</v>
      </c>
      <c r="BE74" s="122" t="e">
        <v>#N/A</v>
      </c>
      <c r="BF74" s="122" t="e">
        <v>#N/A</v>
      </c>
      <c r="BG74" s="122" t="e">
        <v>#N/A</v>
      </c>
      <c r="BH74" s="122" t="e">
        <v>#N/A</v>
      </c>
      <c r="BI74" s="122" t="e">
        <v>#N/A</v>
      </c>
      <c r="BJ74" s="122" t="e">
        <v>#N/A</v>
      </c>
      <c r="BK74" s="122">
        <v>45959</v>
      </c>
      <c r="BL74" s="123"/>
      <c r="BM74" s="124" t="e">
        <v>#N/A</v>
      </c>
      <c r="BN74" s="124" t="e">
        <v>#N/A</v>
      </c>
      <c r="BO74" s="124" t="e">
        <v>#N/A</v>
      </c>
      <c r="BP74" s="124" t="e">
        <v>#N/A</v>
      </c>
      <c r="BQ74" s="124" t="e">
        <v>#N/A</v>
      </c>
      <c r="BR74" s="124" t="e">
        <v>#N/A</v>
      </c>
      <c r="BS74" s="124" t="e">
        <v>#N/A</v>
      </c>
      <c r="BT74" s="124" t="e">
        <v>#N/A</v>
      </c>
      <c r="BU74" s="124" t="e">
        <v>#N/A</v>
      </c>
      <c r="BV74" s="124" t="e">
        <v>#N/A</v>
      </c>
      <c r="BW74" s="124" t="e">
        <v>#N/A</v>
      </c>
      <c r="BX74" s="124" t="e">
        <v>#N/A</v>
      </c>
      <c r="BY74" s="124" t="e">
        <v>#N/A</v>
      </c>
      <c r="BZ74" s="124" t="e">
        <v>#N/A</v>
      </c>
      <c r="CA74" s="125"/>
      <c r="CB74" s="124">
        <v>45723</v>
      </c>
      <c r="CC74" s="126">
        <v>1</v>
      </c>
      <c r="CD74" s="127" t="s">
        <v>4169</v>
      </c>
      <c r="CE74" s="128" t="e">
        <v>#REF!</v>
      </c>
      <c r="CF74" s="77" t="e">
        <v>#N/A</v>
      </c>
      <c r="CG74" s="77" t="e">
        <v>#REF!</v>
      </c>
    </row>
    <row r="75" spans="1:85" ht="14.5" x14ac:dyDescent="0.35">
      <c r="A75" s="77">
        <v>74</v>
      </c>
      <c r="B75" s="106" t="s">
        <v>97</v>
      </c>
      <c r="C75" s="107" t="s">
        <v>1330</v>
      </c>
      <c r="D75" s="108" t="s">
        <v>677</v>
      </c>
      <c r="E75" s="109" t="s">
        <v>678</v>
      </c>
      <c r="F75" s="110">
        <v>675745177</v>
      </c>
      <c r="G75" s="108" t="s">
        <v>1004</v>
      </c>
      <c r="H75" s="111" t="s">
        <v>2760</v>
      </c>
      <c r="I75" s="111" t="s">
        <v>180</v>
      </c>
      <c r="J75" s="111" t="s">
        <v>4649</v>
      </c>
      <c r="K75" s="111" t="s">
        <v>3159</v>
      </c>
      <c r="L75" s="112">
        <v>45894</v>
      </c>
      <c r="M75" s="111" t="s">
        <v>253</v>
      </c>
      <c r="N75" s="113"/>
      <c r="O75" s="114" t="s">
        <v>7357</v>
      </c>
      <c r="P75" s="114" t="s">
        <v>7357</v>
      </c>
      <c r="Q75" s="114" t="s">
        <v>225</v>
      </c>
      <c r="R75" s="114" t="s">
        <v>7358</v>
      </c>
      <c r="S75" s="114" t="s">
        <v>7357</v>
      </c>
      <c r="T75" s="114" t="s">
        <v>183</v>
      </c>
      <c r="U75" s="114" t="s">
        <v>183</v>
      </c>
      <c r="V75" s="115"/>
      <c r="W75" s="116" t="s">
        <v>5577</v>
      </c>
      <c r="X75" s="116" t="s">
        <v>5578</v>
      </c>
      <c r="Y75" s="117">
        <v>3485239</v>
      </c>
      <c r="Z75" s="117">
        <v>3481147</v>
      </c>
      <c r="AA75" s="118"/>
      <c r="AB75" s="119" t="s">
        <v>5579</v>
      </c>
      <c r="AC75" s="119" t="s">
        <v>5580</v>
      </c>
      <c r="AD75" s="119">
        <v>4215</v>
      </c>
      <c r="AE75" s="119" t="s">
        <v>5581</v>
      </c>
      <c r="AF75" s="119" t="s">
        <v>6214</v>
      </c>
      <c r="AG75" s="120"/>
      <c r="AH75" s="121">
        <v>44197</v>
      </c>
      <c r="AI75" s="121">
        <v>44197</v>
      </c>
      <c r="AJ75" s="121">
        <v>44197</v>
      </c>
      <c r="AK75" s="122">
        <v>44197</v>
      </c>
      <c r="AL75" s="122" t="e">
        <v>#N/A</v>
      </c>
      <c r="AM75" s="121" t="e">
        <v>#N/A</v>
      </c>
      <c r="AN75" s="121" t="e">
        <v>#N/A</v>
      </c>
      <c r="AO75" s="121" t="e">
        <v>#N/A</v>
      </c>
      <c r="AP75" s="122" t="e">
        <v>#N/A</v>
      </c>
      <c r="AQ75" s="122">
        <v>44682</v>
      </c>
      <c r="AR75" s="122" t="e">
        <v>#N/A</v>
      </c>
      <c r="AS75" s="122">
        <v>44652</v>
      </c>
      <c r="AT75" s="122" t="e">
        <v>#N/A</v>
      </c>
      <c r="AU75" s="121" t="e">
        <v>#N/A</v>
      </c>
      <c r="AV75" s="122" t="e">
        <v>#N/A</v>
      </c>
      <c r="AW75" s="122">
        <v>45936</v>
      </c>
      <c r="AX75" s="122" t="e">
        <v>#N/A</v>
      </c>
      <c r="AY75" s="122" t="e">
        <v>#N/A</v>
      </c>
      <c r="AZ75" s="122" t="e">
        <v>#N/A</v>
      </c>
      <c r="BA75" s="122" t="e">
        <v>#N/A</v>
      </c>
      <c r="BB75" s="122" t="e">
        <v>#N/A</v>
      </c>
      <c r="BC75" s="122" t="e">
        <v>#N/A</v>
      </c>
      <c r="BD75" s="122" t="e">
        <v>#N/A</v>
      </c>
      <c r="BE75" s="122" t="e">
        <v>#N/A</v>
      </c>
      <c r="BF75" s="122" t="e">
        <v>#N/A</v>
      </c>
      <c r="BG75" s="122" t="e">
        <v>#N/A</v>
      </c>
      <c r="BH75" s="122" t="e">
        <v>#N/A</v>
      </c>
      <c r="BI75" s="122" t="e">
        <v>#N/A</v>
      </c>
      <c r="BJ75" s="122" t="e">
        <v>#N/A</v>
      </c>
      <c r="BK75" s="122">
        <v>45959</v>
      </c>
      <c r="BL75" s="123"/>
      <c r="BM75" s="124" t="e">
        <v>#N/A</v>
      </c>
      <c r="BN75" s="124" t="e">
        <v>#N/A</v>
      </c>
      <c r="BO75" s="124" t="e">
        <v>#N/A</v>
      </c>
      <c r="BP75" s="124" t="e">
        <v>#N/A</v>
      </c>
      <c r="BQ75" s="124" t="e">
        <v>#N/A</v>
      </c>
      <c r="BR75" s="124" t="e">
        <v>#N/A</v>
      </c>
      <c r="BS75" s="124" t="e">
        <v>#N/A</v>
      </c>
      <c r="BT75" s="124" t="e">
        <v>#N/A</v>
      </c>
      <c r="BU75" s="124" t="e">
        <v>#N/A</v>
      </c>
      <c r="BV75" s="124" t="e">
        <v>#N/A</v>
      </c>
      <c r="BW75" s="124" t="e">
        <v>#N/A</v>
      </c>
      <c r="BX75" s="124" t="e">
        <v>#N/A</v>
      </c>
      <c r="BY75" s="124" t="e">
        <v>#N/A</v>
      </c>
      <c r="BZ75" s="124" t="e">
        <v>#N/A</v>
      </c>
      <c r="CA75" s="125"/>
      <c r="CB75" s="124">
        <v>45728</v>
      </c>
      <c r="CC75" s="126">
        <v>1</v>
      </c>
      <c r="CD75" s="127" t="s">
        <v>4169</v>
      </c>
      <c r="CE75" s="128"/>
      <c r="CF75" s="77" t="e">
        <v>#N/A</v>
      </c>
    </row>
    <row r="76" spans="1:85" ht="14.5" x14ac:dyDescent="0.35">
      <c r="A76" s="77">
        <v>75</v>
      </c>
      <c r="B76" s="106" t="s">
        <v>2396</v>
      </c>
      <c r="C76" s="107" t="s">
        <v>6514</v>
      </c>
      <c r="D76" s="108" t="s">
        <v>2377</v>
      </c>
      <c r="E76" s="109" t="s">
        <v>2378</v>
      </c>
      <c r="F76" s="110" t="s">
        <v>2379</v>
      </c>
      <c r="G76" s="108" t="s">
        <v>1004</v>
      </c>
      <c r="H76" s="111" t="s">
        <v>3418</v>
      </c>
      <c r="I76" s="111" t="s">
        <v>180</v>
      </c>
      <c r="J76" s="111" t="s">
        <v>4649</v>
      </c>
      <c r="K76" s="111" t="s">
        <v>2860</v>
      </c>
      <c r="L76" s="112">
        <v>44970</v>
      </c>
      <c r="M76" s="111" t="s">
        <v>2948</v>
      </c>
      <c r="N76" s="113"/>
      <c r="O76" s="114" t="s">
        <v>7263</v>
      </c>
      <c r="P76" s="114" t="s">
        <v>182</v>
      </c>
      <c r="Q76" s="114" t="s">
        <v>184</v>
      </c>
      <c r="R76" s="114" t="s">
        <v>7316</v>
      </c>
      <c r="S76" s="114" t="s">
        <v>184</v>
      </c>
      <c r="T76" s="114" t="s">
        <v>183</v>
      </c>
      <c r="U76" s="114" t="s">
        <v>183</v>
      </c>
      <c r="V76" s="115"/>
      <c r="W76" s="116" t="s">
        <v>2380</v>
      </c>
      <c r="X76" s="116" t="s">
        <v>2381</v>
      </c>
      <c r="Y76" s="117">
        <v>3485688</v>
      </c>
      <c r="Z76" s="117">
        <v>3481432</v>
      </c>
      <c r="AA76" s="118"/>
      <c r="AB76" s="119" t="s">
        <v>3486</v>
      </c>
      <c r="AC76" s="119" t="s">
        <v>2388</v>
      </c>
      <c r="AD76" s="119">
        <v>4487</v>
      </c>
      <c r="AE76" s="119" t="s">
        <v>2389</v>
      </c>
      <c r="AF76" s="119" t="s">
        <v>6048</v>
      </c>
      <c r="AG76" s="120"/>
      <c r="AH76" s="121">
        <v>44844</v>
      </c>
      <c r="AI76" s="121">
        <v>44844</v>
      </c>
      <c r="AJ76" s="121">
        <v>44844</v>
      </c>
      <c r="AK76" s="122">
        <v>44984</v>
      </c>
      <c r="AL76" s="122" t="e">
        <v>#N/A</v>
      </c>
      <c r="AM76" s="122" t="e">
        <v>#N/A</v>
      </c>
      <c r="AN76" s="122" t="e">
        <v>#N/A</v>
      </c>
      <c r="AO76" s="121" t="e">
        <v>#N/A</v>
      </c>
      <c r="AP76" s="122" t="e">
        <v>#N/A</v>
      </c>
      <c r="AQ76" s="122" t="e">
        <v>#N/A</v>
      </c>
      <c r="AR76" s="122">
        <v>45771</v>
      </c>
      <c r="AS76" s="122" t="e">
        <v>#N/A</v>
      </c>
      <c r="AT76" s="122" t="e">
        <v>#N/A</v>
      </c>
      <c r="AU76" s="121" t="e">
        <v>#N/A</v>
      </c>
      <c r="AV76" s="122" t="e">
        <v>#N/A</v>
      </c>
      <c r="AW76" s="122">
        <v>45733</v>
      </c>
      <c r="AX76" s="122" t="e">
        <v>#N/A</v>
      </c>
      <c r="AY76" s="122" t="e">
        <v>#N/A</v>
      </c>
      <c r="AZ76" s="122" t="e">
        <v>#N/A</v>
      </c>
      <c r="BA76" s="122" t="e">
        <v>#N/A</v>
      </c>
      <c r="BB76" s="122" t="e">
        <v>#N/A</v>
      </c>
      <c r="BC76" s="122" t="e">
        <v>#N/A</v>
      </c>
      <c r="BD76" s="122" t="e">
        <v>#N/A</v>
      </c>
      <c r="BE76" s="122" t="e">
        <v>#N/A</v>
      </c>
      <c r="BF76" s="122">
        <v>45275</v>
      </c>
      <c r="BG76" s="122" t="e">
        <v>#N/A</v>
      </c>
      <c r="BH76" s="122" t="e">
        <v>#N/A</v>
      </c>
      <c r="BI76" s="122" t="e">
        <v>#N/A</v>
      </c>
      <c r="BJ76" s="122" t="e">
        <v>#N/A</v>
      </c>
      <c r="BK76" s="122">
        <v>45946</v>
      </c>
      <c r="BL76" s="123"/>
      <c r="BM76" s="124" t="e">
        <v>#N/A</v>
      </c>
      <c r="BN76" s="124" t="e">
        <v>#N/A</v>
      </c>
      <c r="BO76" s="124" t="e">
        <v>#N/A</v>
      </c>
      <c r="BP76" s="124" t="e">
        <v>#N/A</v>
      </c>
      <c r="BQ76" s="124" t="e">
        <v>#N/A</v>
      </c>
      <c r="BR76" s="124" t="e">
        <v>#N/A</v>
      </c>
      <c r="BS76" s="124" t="e">
        <v>#N/A</v>
      </c>
      <c r="BT76" s="124" t="e">
        <v>#N/A</v>
      </c>
      <c r="BU76" s="124" t="e">
        <v>#N/A</v>
      </c>
      <c r="BV76" s="124" t="e">
        <v>#N/A</v>
      </c>
      <c r="BW76" s="124" t="e">
        <v>#N/A</v>
      </c>
      <c r="BX76" s="124" t="e">
        <v>#N/A</v>
      </c>
      <c r="BY76" s="124" t="e">
        <v>#N/A</v>
      </c>
      <c r="BZ76" s="124" t="e">
        <v>#N/A</v>
      </c>
      <c r="CA76" s="125"/>
      <c r="CB76" s="124" t="e">
        <v>#N/A</v>
      </c>
      <c r="CC76" s="126">
        <v>1</v>
      </c>
      <c r="CD76" s="127" t="s">
        <v>4190</v>
      </c>
      <c r="CE76" s="128"/>
      <c r="CF76" s="77" t="e">
        <v>#N/A</v>
      </c>
    </row>
    <row r="77" spans="1:85" ht="14.5" x14ac:dyDescent="0.35">
      <c r="A77" s="77">
        <v>76</v>
      </c>
      <c r="B77" s="106" t="s">
        <v>2457</v>
      </c>
      <c r="C77" s="107" t="s">
        <v>6519</v>
      </c>
      <c r="D77" s="108" t="s">
        <v>2441</v>
      </c>
      <c r="E77" s="109" t="s">
        <v>2458</v>
      </c>
      <c r="F77" s="110" t="s">
        <v>2442</v>
      </c>
      <c r="G77" s="108" t="s">
        <v>1004</v>
      </c>
      <c r="H77" s="111" t="s">
        <v>3418</v>
      </c>
      <c r="I77" s="111" t="s">
        <v>180</v>
      </c>
      <c r="J77" s="111" t="s">
        <v>4649</v>
      </c>
      <c r="K77" s="111" t="s">
        <v>2860</v>
      </c>
      <c r="L77" s="112">
        <v>44909</v>
      </c>
      <c r="M77" s="111" t="s">
        <v>2948</v>
      </c>
      <c r="N77" s="113"/>
      <c r="O77" s="114" t="s">
        <v>184</v>
      </c>
      <c r="P77" s="114" t="s">
        <v>183</v>
      </c>
      <c r="Q77" s="114" t="s">
        <v>184</v>
      </c>
      <c r="R77" s="114" t="s">
        <v>182</v>
      </c>
      <c r="S77" s="114" t="s">
        <v>183</v>
      </c>
      <c r="T77" s="114" t="s">
        <v>4353</v>
      </c>
      <c r="U77" s="114" t="s">
        <v>4353</v>
      </c>
      <c r="V77" s="115"/>
      <c r="W77" s="116" t="s">
        <v>2443</v>
      </c>
      <c r="X77" s="116" t="s">
        <v>2444</v>
      </c>
      <c r="Y77" s="117">
        <v>3485150</v>
      </c>
      <c r="Z77" s="117">
        <v>3486600</v>
      </c>
      <c r="AA77" s="118"/>
      <c r="AB77" s="119" t="s">
        <v>5763</v>
      </c>
      <c r="AC77" s="119" t="s">
        <v>2445</v>
      </c>
      <c r="AD77" s="119">
        <v>4533</v>
      </c>
      <c r="AE77" s="119" t="s">
        <v>2446</v>
      </c>
      <c r="AF77" s="119" t="s">
        <v>7136</v>
      </c>
      <c r="AG77" s="120"/>
      <c r="AH77" s="121">
        <v>44908</v>
      </c>
      <c r="AI77" s="121">
        <v>44908</v>
      </c>
      <c r="AJ77" s="121">
        <v>44908</v>
      </c>
      <c r="AK77" s="122">
        <v>44974</v>
      </c>
      <c r="AL77" s="122" t="e">
        <v>#N/A</v>
      </c>
      <c r="AM77" s="122" t="e">
        <v>#N/A</v>
      </c>
      <c r="AN77" s="122" t="e">
        <v>#N/A</v>
      </c>
      <c r="AO77" s="121" t="e">
        <v>#N/A</v>
      </c>
      <c r="AP77" s="122" t="e">
        <v>#N/A</v>
      </c>
      <c r="AQ77" s="122" t="e">
        <v>#N/A</v>
      </c>
      <c r="AR77" s="122">
        <v>45771</v>
      </c>
      <c r="AS77" s="122" t="e">
        <v>#N/A</v>
      </c>
      <c r="AT77" s="122" t="e">
        <v>#N/A</v>
      </c>
      <c r="AU77" s="121" t="e">
        <v>#N/A</v>
      </c>
      <c r="AV77" s="122" t="e">
        <v>#N/A</v>
      </c>
      <c r="AW77" s="122">
        <v>45688</v>
      </c>
      <c r="AX77" s="122" t="e">
        <v>#N/A</v>
      </c>
      <c r="AY77" s="122" t="e">
        <v>#N/A</v>
      </c>
      <c r="AZ77" s="122" t="e">
        <v>#N/A</v>
      </c>
      <c r="BA77" s="122" t="e">
        <v>#N/A</v>
      </c>
      <c r="BB77" s="122" t="e">
        <v>#N/A</v>
      </c>
      <c r="BC77" s="122" t="e">
        <v>#N/A</v>
      </c>
      <c r="BD77" s="122" t="e">
        <v>#N/A</v>
      </c>
      <c r="BE77" s="122" t="e">
        <v>#N/A</v>
      </c>
      <c r="BF77" s="122">
        <v>45275</v>
      </c>
      <c r="BG77" s="122" t="e">
        <v>#N/A</v>
      </c>
      <c r="BH77" s="122" t="e">
        <v>#N/A</v>
      </c>
      <c r="BI77" s="122" t="e">
        <v>#N/A</v>
      </c>
      <c r="BJ77" s="122" t="e">
        <v>#N/A</v>
      </c>
      <c r="BK77" s="122">
        <v>45968</v>
      </c>
      <c r="BL77" s="123"/>
      <c r="BM77" s="124" t="e">
        <v>#N/A</v>
      </c>
      <c r="BN77" s="124" t="e">
        <v>#N/A</v>
      </c>
      <c r="BO77" s="124" t="e">
        <v>#N/A</v>
      </c>
      <c r="BP77" s="124" t="e">
        <v>#N/A</v>
      </c>
      <c r="BQ77" s="124" t="e">
        <v>#N/A</v>
      </c>
      <c r="BR77" s="124" t="e">
        <v>#N/A</v>
      </c>
      <c r="BS77" s="124" t="e">
        <v>#N/A</v>
      </c>
      <c r="BT77" s="124" t="e">
        <v>#N/A</v>
      </c>
      <c r="BU77" s="124" t="e">
        <v>#N/A</v>
      </c>
      <c r="BV77" s="124" t="e">
        <v>#N/A</v>
      </c>
      <c r="BW77" s="124" t="e">
        <v>#N/A</v>
      </c>
      <c r="BX77" s="124" t="e">
        <v>#N/A</v>
      </c>
      <c r="BY77" s="124" t="e">
        <v>#N/A</v>
      </c>
      <c r="BZ77" s="124" t="e">
        <v>#N/A</v>
      </c>
      <c r="CA77" s="125"/>
      <c r="CB77" s="124">
        <v>45726</v>
      </c>
      <c r="CC77" s="126">
        <v>1</v>
      </c>
      <c r="CD77" s="127" t="s">
        <v>4192</v>
      </c>
      <c r="CE77" s="128"/>
      <c r="CF77" s="77" t="e">
        <v>#N/A</v>
      </c>
    </row>
    <row r="78" spans="1:85" ht="14.5" x14ac:dyDescent="0.35">
      <c r="A78" s="77">
        <v>77</v>
      </c>
      <c r="B78" s="106" t="s">
        <v>2029</v>
      </c>
      <c r="C78" s="107" t="s">
        <v>6479</v>
      </c>
      <c r="D78" s="108" t="s">
        <v>2030</v>
      </c>
      <c r="E78" s="109" t="s">
        <v>2031</v>
      </c>
      <c r="F78" s="110">
        <v>637381651</v>
      </c>
      <c r="G78" s="108" t="s">
        <v>1004</v>
      </c>
      <c r="H78" s="111" t="s">
        <v>3400</v>
      </c>
      <c r="I78" s="111" t="s">
        <v>180</v>
      </c>
      <c r="J78" s="111" t="s">
        <v>4649</v>
      </c>
      <c r="K78" s="111" t="s">
        <v>199</v>
      </c>
      <c r="L78" s="112">
        <v>44197</v>
      </c>
      <c r="M78" s="111" t="s">
        <v>2122</v>
      </c>
      <c r="N78" s="113"/>
      <c r="O78" s="114" t="s">
        <v>7359</v>
      </c>
      <c r="P78" s="114" t="s">
        <v>7359</v>
      </c>
      <c r="Q78" s="114" t="s">
        <v>7359</v>
      </c>
      <c r="R78" s="114" t="s">
        <v>6564</v>
      </c>
      <c r="S78" s="114" t="s">
        <v>183</v>
      </c>
      <c r="T78" s="114" t="s">
        <v>183</v>
      </c>
      <c r="U78" s="114" t="s">
        <v>183</v>
      </c>
      <c r="V78" s="115"/>
      <c r="W78" s="116" t="s">
        <v>2032</v>
      </c>
      <c r="X78" s="116" t="s">
        <v>2033</v>
      </c>
      <c r="Y78" s="117">
        <v>3485569</v>
      </c>
      <c r="Z78" s="117">
        <v>3486141</v>
      </c>
      <c r="AA78" s="118"/>
      <c r="AB78" s="119" t="s">
        <v>2059</v>
      </c>
      <c r="AC78" s="119" t="s">
        <v>2170</v>
      </c>
      <c r="AD78" s="119">
        <v>5667</v>
      </c>
      <c r="AE78" s="119" t="s">
        <v>6900</v>
      </c>
      <c r="AF78" s="119" t="s">
        <v>7126</v>
      </c>
      <c r="AG78" s="120"/>
      <c r="AH78" s="121">
        <v>44771</v>
      </c>
      <c r="AI78" s="121">
        <v>44774</v>
      </c>
      <c r="AJ78" s="121">
        <v>44774</v>
      </c>
      <c r="AK78" s="122">
        <v>45056</v>
      </c>
      <c r="AL78" s="122" t="e">
        <v>#N/A</v>
      </c>
      <c r="AM78" s="121" t="e">
        <v>#N/A</v>
      </c>
      <c r="AN78" s="121" t="e">
        <v>#N/A</v>
      </c>
      <c r="AO78" s="121" t="e">
        <v>#N/A</v>
      </c>
      <c r="AP78" s="122" t="e">
        <v>#N/A</v>
      </c>
      <c r="AQ78" s="122" t="e">
        <v>#N/A</v>
      </c>
      <c r="AR78" s="122" t="e">
        <v>#N/A</v>
      </c>
      <c r="AS78" s="122" t="e">
        <v>#N/A</v>
      </c>
      <c r="AT78" s="122" t="e">
        <v>#N/A</v>
      </c>
      <c r="AU78" s="121" t="e">
        <v>#N/A</v>
      </c>
      <c r="AV78" s="122" t="e">
        <v>#N/A</v>
      </c>
      <c r="AW78" s="122">
        <v>45735</v>
      </c>
      <c r="AX78" s="122" t="e">
        <v>#N/A</v>
      </c>
      <c r="AY78" s="122" t="e">
        <v>#N/A</v>
      </c>
      <c r="AZ78" s="122" t="e">
        <v>#N/A</v>
      </c>
      <c r="BA78" s="122" t="e">
        <v>#N/A</v>
      </c>
      <c r="BB78" s="122" t="e">
        <v>#N/A</v>
      </c>
      <c r="BC78" s="122" t="e">
        <v>#N/A</v>
      </c>
      <c r="BD78" s="122" t="e">
        <v>#N/A</v>
      </c>
      <c r="BE78" s="122" t="e">
        <v>#N/A</v>
      </c>
      <c r="BF78" s="122">
        <v>45226</v>
      </c>
      <c r="BG78" s="122" t="e">
        <v>#N/A</v>
      </c>
      <c r="BH78" s="122" t="e">
        <v>#N/A</v>
      </c>
      <c r="BI78" s="122" t="e">
        <v>#N/A</v>
      </c>
      <c r="BJ78" s="122" t="e">
        <v>#N/A</v>
      </c>
      <c r="BK78" s="122">
        <v>45968</v>
      </c>
      <c r="BL78" s="123"/>
      <c r="BM78" s="124" t="e">
        <v>#N/A</v>
      </c>
      <c r="BN78" s="124" t="e">
        <v>#N/A</v>
      </c>
      <c r="BO78" s="124" t="e">
        <v>#N/A</v>
      </c>
      <c r="BP78" s="124" t="e">
        <v>#N/A</v>
      </c>
      <c r="BQ78" s="124" t="e">
        <v>#N/A</v>
      </c>
      <c r="BR78" s="124" t="e">
        <v>#N/A</v>
      </c>
      <c r="BS78" s="124" t="e">
        <v>#N/A</v>
      </c>
      <c r="BT78" s="124" t="e">
        <v>#N/A</v>
      </c>
      <c r="BU78" s="124" t="e">
        <v>#N/A</v>
      </c>
      <c r="BV78" s="124" t="e">
        <v>#N/A</v>
      </c>
      <c r="BW78" s="124" t="e">
        <v>#N/A</v>
      </c>
      <c r="BX78" s="124" t="e">
        <v>#N/A</v>
      </c>
      <c r="BY78" s="124" t="e">
        <v>#N/A</v>
      </c>
      <c r="BZ78" s="124" t="e">
        <v>#N/A</v>
      </c>
      <c r="CA78" s="125"/>
      <c r="CB78" s="124">
        <v>45734</v>
      </c>
      <c r="CC78" s="126">
        <v>1</v>
      </c>
      <c r="CD78" s="127" t="s">
        <v>4176</v>
      </c>
      <c r="CE78" s="128"/>
      <c r="CF78" s="77" t="e">
        <v>#N/A</v>
      </c>
    </row>
    <row r="79" spans="1:85" ht="14.5" x14ac:dyDescent="0.35">
      <c r="A79" s="77">
        <v>78</v>
      </c>
      <c r="B79" s="106" t="s">
        <v>1739</v>
      </c>
      <c r="C79" s="107" t="s">
        <v>6482</v>
      </c>
      <c r="D79" s="108" t="s">
        <v>1767</v>
      </c>
      <c r="E79" s="109" t="s">
        <v>1768</v>
      </c>
      <c r="F79" s="110">
        <v>670835074</v>
      </c>
      <c r="G79" s="108" t="s">
        <v>1004</v>
      </c>
      <c r="H79" s="111" t="s">
        <v>3400</v>
      </c>
      <c r="I79" s="111" t="s">
        <v>180</v>
      </c>
      <c r="J79" s="111" t="s">
        <v>4649</v>
      </c>
      <c r="K79" s="111" t="s">
        <v>199</v>
      </c>
      <c r="L79" s="112">
        <v>44197</v>
      </c>
      <c r="M79" s="111" t="s">
        <v>2122</v>
      </c>
      <c r="N79" s="113"/>
      <c r="O79" s="114" t="s">
        <v>7359</v>
      </c>
      <c r="P79" s="114" t="s">
        <v>7359</v>
      </c>
      <c r="Q79" s="114" t="s">
        <v>2055</v>
      </c>
      <c r="R79" s="114" t="s">
        <v>7360</v>
      </c>
      <c r="S79" s="114" t="s">
        <v>183</v>
      </c>
      <c r="T79" s="114" t="s">
        <v>183</v>
      </c>
      <c r="U79" s="114" t="s">
        <v>183</v>
      </c>
      <c r="V79" s="115"/>
      <c r="W79" s="116" t="s">
        <v>1769</v>
      </c>
      <c r="X79" s="116" t="s">
        <v>1770</v>
      </c>
      <c r="Y79" s="117">
        <v>3485680</v>
      </c>
      <c r="Z79" s="117">
        <v>3486530</v>
      </c>
      <c r="AA79" s="118"/>
      <c r="AB79" s="119" t="s">
        <v>5582</v>
      </c>
      <c r="AC79" s="119" t="s">
        <v>1771</v>
      </c>
      <c r="AD79" s="119">
        <v>4415</v>
      </c>
      <c r="AE79" s="119" t="s">
        <v>1772</v>
      </c>
      <c r="AF79" s="119" t="s">
        <v>6049</v>
      </c>
      <c r="AG79" s="120"/>
      <c r="AH79" s="121">
        <v>44753</v>
      </c>
      <c r="AI79" s="121">
        <v>44753</v>
      </c>
      <c r="AJ79" s="121">
        <v>44753</v>
      </c>
      <c r="AK79" s="122">
        <v>44994</v>
      </c>
      <c r="AL79" s="122" t="e">
        <v>#N/A</v>
      </c>
      <c r="AM79" s="121" t="e">
        <v>#N/A</v>
      </c>
      <c r="AN79" s="121" t="e">
        <v>#N/A</v>
      </c>
      <c r="AO79" s="121" t="e">
        <v>#N/A</v>
      </c>
      <c r="AP79" s="122" t="e">
        <v>#N/A</v>
      </c>
      <c r="AQ79" s="122">
        <v>45820</v>
      </c>
      <c r="AR79" s="122" t="e">
        <v>#N/A</v>
      </c>
      <c r="AS79" s="122" t="e">
        <v>#N/A</v>
      </c>
      <c r="AT79" s="122" t="e">
        <v>#N/A</v>
      </c>
      <c r="AU79" s="121" t="e">
        <v>#N/A</v>
      </c>
      <c r="AV79" s="122" t="e">
        <v>#N/A</v>
      </c>
      <c r="AW79" s="122">
        <v>45735</v>
      </c>
      <c r="AX79" s="122" t="e">
        <v>#N/A</v>
      </c>
      <c r="AY79" s="122" t="e">
        <v>#N/A</v>
      </c>
      <c r="AZ79" s="122" t="e">
        <v>#N/A</v>
      </c>
      <c r="BA79" s="122" t="e">
        <v>#N/A</v>
      </c>
      <c r="BB79" s="122" t="e">
        <v>#N/A</v>
      </c>
      <c r="BC79" s="122" t="e">
        <v>#N/A</v>
      </c>
      <c r="BD79" s="122" t="e">
        <v>#N/A</v>
      </c>
      <c r="BE79" s="122" t="e">
        <v>#N/A</v>
      </c>
      <c r="BF79" s="122" t="e">
        <v>#N/A</v>
      </c>
      <c r="BG79" s="122" t="e">
        <v>#N/A</v>
      </c>
      <c r="BH79" s="122" t="e">
        <v>#N/A</v>
      </c>
      <c r="BI79" s="122" t="e">
        <v>#N/A</v>
      </c>
      <c r="BJ79" s="122" t="e">
        <v>#N/A</v>
      </c>
      <c r="BK79" s="122">
        <v>45945</v>
      </c>
      <c r="BL79" s="123"/>
      <c r="BM79" s="124" t="e">
        <v>#N/A</v>
      </c>
      <c r="BN79" s="124" t="e">
        <v>#N/A</v>
      </c>
      <c r="BO79" s="124" t="e">
        <v>#N/A</v>
      </c>
      <c r="BP79" s="124" t="e">
        <v>#N/A</v>
      </c>
      <c r="BQ79" s="124" t="e">
        <v>#N/A</v>
      </c>
      <c r="BR79" s="124" t="e">
        <v>#N/A</v>
      </c>
      <c r="BS79" s="124" t="e">
        <v>#N/A</v>
      </c>
      <c r="BT79" s="124" t="e">
        <v>#N/A</v>
      </c>
      <c r="BU79" s="124" t="e">
        <v>#N/A</v>
      </c>
      <c r="BV79" s="124" t="e">
        <v>#N/A</v>
      </c>
      <c r="BW79" s="124" t="e">
        <v>#N/A</v>
      </c>
      <c r="BX79" s="124" t="e">
        <v>#N/A</v>
      </c>
      <c r="BY79" s="124" t="e">
        <v>#N/A</v>
      </c>
      <c r="BZ79" s="124" t="e">
        <v>#N/A</v>
      </c>
      <c r="CA79" s="125"/>
      <c r="CB79" s="124" t="e">
        <v>#N/A</v>
      </c>
      <c r="CC79" s="126">
        <v>1</v>
      </c>
      <c r="CD79" s="127" t="s">
        <v>4157</v>
      </c>
      <c r="CE79" s="128"/>
      <c r="CF79" s="77" t="e">
        <v>#N/A</v>
      </c>
    </row>
    <row r="80" spans="1:85" ht="14.5" x14ac:dyDescent="0.35">
      <c r="A80" s="77">
        <v>79</v>
      </c>
      <c r="B80" s="106" t="s">
        <v>1737</v>
      </c>
      <c r="C80" s="107" t="s">
        <v>6453</v>
      </c>
      <c r="D80" s="108" t="s">
        <v>1750</v>
      </c>
      <c r="E80" s="109" t="s">
        <v>1751</v>
      </c>
      <c r="F80" s="110">
        <v>670414456</v>
      </c>
      <c r="G80" s="108" t="s">
        <v>1004</v>
      </c>
      <c r="H80" s="111" t="s">
        <v>3400</v>
      </c>
      <c r="I80" s="111" t="s">
        <v>180</v>
      </c>
      <c r="J80" s="111" t="s">
        <v>4649</v>
      </c>
      <c r="K80" s="111" t="s">
        <v>199</v>
      </c>
      <c r="L80" s="112">
        <v>43132</v>
      </c>
      <c r="M80" s="111" t="s">
        <v>2122</v>
      </c>
      <c r="N80" s="113"/>
      <c r="O80" s="114" t="s">
        <v>226</v>
      </c>
      <c r="P80" s="114" t="s">
        <v>225</v>
      </c>
      <c r="Q80" s="114" t="s">
        <v>225</v>
      </c>
      <c r="R80" s="114" t="s">
        <v>7331</v>
      </c>
      <c r="S80" s="114" t="s">
        <v>226</v>
      </c>
      <c r="T80" s="114" t="s">
        <v>183</v>
      </c>
      <c r="U80" s="114" t="s">
        <v>183</v>
      </c>
      <c r="V80" s="115"/>
      <c r="W80" s="116" t="s">
        <v>1752</v>
      </c>
      <c r="X80" s="116" t="s">
        <v>1753</v>
      </c>
      <c r="Y80" s="117">
        <v>3485842</v>
      </c>
      <c r="Z80" s="117">
        <v>3486370</v>
      </c>
      <c r="AA80" s="118"/>
      <c r="AB80" s="119" t="s">
        <v>2054</v>
      </c>
      <c r="AC80" s="119" t="s">
        <v>1754</v>
      </c>
      <c r="AD80" s="119">
        <v>4434</v>
      </c>
      <c r="AE80" s="119" t="s">
        <v>1755</v>
      </c>
      <c r="AF80" s="119" t="s">
        <v>6050</v>
      </c>
      <c r="AG80" s="120"/>
      <c r="AH80" s="121">
        <v>44753</v>
      </c>
      <c r="AI80" s="121">
        <v>45240</v>
      </c>
      <c r="AJ80" s="121">
        <v>45210</v>
      </c>
      <c r="AK80" s="122">
        <v>45240</v>
      </c>
      <c r="AL80" s="122">
        <v>45238</v>
      </c>
      <c r="AM80" s="122">
        <v>45240</v>
      </c>
      <c r="AN80" s="122" t="e">
        <v>#N/A</v>
      </c>
      <c r="AO80" s="121" t="e">
        <v>#N/A</v>
      </c>
      <c r="AP80" s="122" t="e">
        <v>#N/A</v>
      </c>
      <c r="AQ80" s="122" t="e">
        <v>#N/A</v>
      </c>
      <c r="AR80" s="122">
        <v>45239</v>
      </c>
      <c r="AS80" s="122" t="e">
        <v>#N/A</v>
      </c>
      <c r="AT80" s="122" t="e">
        <v>#N/A</v>
      </c>
      <c r="AU80" s="121" t="e">
        <v>#N/A</v>
      </c>
      <c r="AV80" s="122" t="e">
        <v>#N/A</v>
      </c>
      <c r="AW80" s="122">
        <v>45642</v>
      </c>
      <c r="AX80" s="122" t="e">
        <v>#N/A</v>
      </c>
      <c r="AY80" s="122" t="e">
        <v>#N/A</v>
      </c>
      <c r="AZ80" s="122" t="e">
        <v>#N/A</v>
      </c>
      <c r="BA80" s="122" t="e">
        <v>#N/A</v>
      </c>
      <c r="BB80" s="122" t="e">
        <v>#N/A</v>
      </c>
      <c r="BC80" s="122" t="e">
        <v>#N/A</v>
      </c>
      <c r="BD80" s="122" t="e">
        <v>#N/A</v>
      </c>
      <c r="BE80" s="122" t="e">
        <v>#N/A</v>
      </c>
      <c r="BF80" s="122">
        <v>45460</v>
      </c>
      <c r="BG80" s="122" t="e">
        <v>#N/A</v>
      </c>
      <c r="BH80" s="122" t="e">
        <v>#N/A</v>
      </c>
      <c r="BI80" s="122" t="e">
        <v>#N/A</v>
      </c>
      <c r="BJ80" s="122" t="e">
        <v>#N/A</v>
      </c>
      <c r="BK80" s="122">
        <v>45946</v>
      </c>
      <c r="BL80" s="123"/>
      <c r="BM80" s="124" t="e">
        <v>#N/A</v>
      </c>
      <c r="BN80" s="124" t="e">
        <v>#N/A</v>
      </c>
      <c r="BO80" s="124" t="e">
        <v>#N/A</v>
      </c>
      <c r="BP80" s="124" t="e">
        <v>#N/A</v>
      </c>
      <c r="BQ80" s="124" t="e">
        <v>#N/A</v>
      </c>
      <c r="BR80" s="124" t="e">
        <v>#N/A</v>
      </c>
      <c r="BS80" s="124" t="e">
        <v>#N/A</v>
      </c>
      <c r="BT80" s="124" t="e">
        <v>#N/A</v>
      </c>
      <c r="BU80" s="124" t="e">
        <v>#N/A</v>
      </c>
      <c r="BV80" s="124" t="e">
        <v>#N/A</v>
      </c>
      <c r="BW80" s="124" t="e">
        <v>#N/A</v>
      </c>
      <c r="BX80" s="124" t="e">
        <v>#N/A</v>
      </c>
      <c r="BY80" s="124" t="e">
        <v>#N/A</v>
      </c>
      <c r="BZ80" s="124" t="e">
        <v>#N/A</v>
      </c>
      <c r="CA80" s="125"/>
      <c r="CB80" s="124">
        <v>45726</v>
      </c>
      <c r="CC80" s="126">
        <v>1</v>
      </c>
      <c r="CD80" s="127" t="s">
        <v>4157</v>
      </c>
      <c r="CE80" s="128"/>
      <c r="CF80" s="77" t="e">
        <v>#N/A</v>
      </c>
    </row>
    <row r="81" spans="1:84" ht="14.5" x14ac:dyDescent="0.35">
      <c r="A81" s="77">
        <v>80</v>
      </c>
      <c r="B81" s="106" t="s">
        <v>3114</v>
      </c>
      <c r="C81" s="107" t="s">
        <v>6590</v>
      </c>
      <c r="D81" s="108" t="s">
        <v>3093</v>
      </c>
      <c r="E81" s="109" t="s">
        <v>3094</v>
      </c>
      <c r="F81" s="110">
        <v>679751893</v>
      </c>
      <c r="G81" s="108" t="s">
        <v>190</v>
      </c>
      <c r="H81" s="111" t="s">
        <v>3400</v>
      </c>
      <c r="I81" s="111" t="s">
        <v>180</v>
      </c>
      <c r="J81" s="111" t="s">
        <v>4649</v>
      </c>
      <c r="K81" s="111" t="s">
        <v>199</v>
      </c>
      <c r="L81" s="112">
        <v>45275</v>
      </c>
      <c r="M81" s="111" t="s">
        <v>796</v>
      </c>
      <c r="N81" s="113"/>
      <c r="O81" s="114" t="s">
        <v>7361</v>
      </c>
      <c r="P81" s="114" t="s">
        <v>7361</v>
      </c>
      <c r="Q81" s="114" t="s">
        <v>183</v>
      </c>
      <c r="R81" s="114" t="s">
        <v>7362</v>
      </c>
      <c r="S81" s="114" t="s">
        <v>7361</v>
      </c>
      <c r="T81" s="114" t="s">
        <v>7361</v>
      </c>
      <c r="U81" s="114" t="s">
        <v>7361</v>
      </c>
      <c r="V81" s="115"/>
      <c r="W81" s="116" t="s">
        <v>3095</v>
      </c>
      <c r="X81" s="116" t="s">
        <v>3096</v>
      </c>
      <c r="Y81" s="117">
        <v>3485782</v>
      </c>
      <c r="Z81" s="117">
        <v>3486325</v>
      </c>
      <c r="AA81" s="118"/>
      <c r="AB81" s="119" t="s">
        <v>5583</v>
      </c>
      <c r="AC81" s="119" t="s">
        <v>3115</v>
      </c>
      <c r="AD81" s="119">
        <v>4262</v>
      </c>
      <c r="AE81" s="119" t="s">
        <v>3097</v>
      </c>
      <c r="AF81" s="119" t="s">
        <v>7164</v>
      </c>
      <c r="AG81" s="120"/>
      <c r="AH81" s="121">
        <v>45274</v>
      </c>
      <c r="AI81" s="121">
        <v>45359</v>
      </c>
      <c r="AJ81" s="121">
        <v>45274</v>
      </c>
      <c r="AK81" s="122">
        <v>45359</v>
      </c>
      <c r="AL81" s="122" t="e">
        <v>#N/A</v>
      </c>
      <c r="AM81" s="121" t="e">
        <v>#N/A</v>
      </c>
      <c r="AN81" s="121" t="e">
        <v>#N/A</v>
      </c>
      <c r="AO81" s="121" t="e">
        <v>#N/A</v>
      </c>
      <c r="AP81" s="122" t="e">
        <v>#N/A</v>
      </c>
      <c r="AQ81" s="122" t="e">
        <v>#N/A</v>
      </c>
      <c r="AR81" s="122" t="e">
        <v>#N/A</v>
      </c>
      <c r="AS81" s="122" t="e">
        <v>#N/A</v>
      </c>
      <c r="AT81" s="122" t="e">
        <v>#N/A</v>
      </c>
      <c r="AU81" s="121" t="e">
        <v>#N/A</v>
      </c>
      <c r="AV81" s="122" t="e">
        <v>#N/A</v>
      </c>
      <c r="AW81" s="122">
        <v>45946</v>
      </c>
      <c r="AX81" s="122" t="e">
        <v>#N/A</v>
      </c>
      <c r="AY81" s="122" t="e">
        <v>#N/A</v>
      </c>
      <c r="AZ81" s="122" t="e">
        <v>#N/A</v>
      </c>
      <c r="BA81" s="122" t="e">
        <v>#N/A</v>
      </c>
      <c r="BB81" s="122" t="e">
        <v>#N/A</v>
      </c>
      <c r="BC81" s="122" t="e">
        <v>#N/A</v>
      </c>
      <c r="BD81" s="122" t="e">
        <v>#N/A</v>
      </c>
      <c r="BE81" s="122" t="e">
        <v>#N/A</v>
      </c>
      <c r="BF81" s="122">
        <v>45460</v>
      </c>
      <c r="BG81" s="122" t="e">
        <v>#N/A</v>
      </c>
      <c r="BH81" s="122" t="e">
        <v>#N/A</v>
      </c>
      <c r="BI81" s="122" t="e">
        <v>#N/A</v>
      </c>
      <c r="BJ81" s="122" t="e">
        <v>#N/A</v>
      </c>
      <c r="BK81" s="122">
        <v>45968</v>
      </c>
      <c r="BL81" s="123"/>
      <c r="BM81" s="124" t="e">
        <v>#N/A</v>
      </c>
      <c r="BN81" s="124" t="e">
        <v>#N/A</v>
      </c>
      <c r="BO81" s="124" t="e">
        <v>#N/A</v>
      </c>
      <c r="BP81" s="124" t="e">
        <v>#N/A</v>
      </c>
      <c r="BQ81" s="124" t="e">
        <v>#N/A</v>
      </c>
      <c r="BR81" s="124" t="e">
        <v>#N/A</v>
      </c>
      <c r="BS81" s="124" t="e">
        <v>#N/A</v>
      </c>
      <c r="BT81" s="124" t="e">
        <v>#N/A</v>
      </c>
      <c r="BU81" s="124" t="e">
        <v>#N/A</v>
      </c>
      <c r="BV81" s="124" t="e">
        <v>#N/A</v>
      </c>
      <c r="BW81" s="124" t="e">
        <v>#N/A</v>
      </c>
      <c r="BX81" s="124" t="e">
        <v>#N/A</v>
      </c>
      <c r="BY81" s="124" t="e">
        <v>#N/A</v>
      </c>
      <c r="BZ81" s="124" t="e">
        <v>#N/A</v>
      </c>
      <c r="CA81" s="125"/>
      <c r="CB81" s="124" t="e">
        <v>#N/A</v>
      </c>
      <c r="CC81" s="126">
        <v>1</v>
      </c>
      <c r="CD81" s="127" t="s">
        <v>4196</v>
      </c>
      <c r="CE81" s="128"/>
      <c r="CF81" s="77" t="e">
        <v>#N/A</v>
      </c>
    </row>
    <row r="82" spans="1:84" ht="14.5" x14ac:dyDescent="0.35">
      <c r="A82" s="77">
        <v>81</v>
      </c>
      <c r="B82" s="106" t="s">
        <v>3116</v>
      </c>
      <c r="C82" s="107" t="s">
        <v>6589</v>
      </c>
      <c r="D82" s="108" t="s">
        <v>3098</v>
      </c>
      <c r="E82" s="109" t="s">
        <v>3099</v>
      </c>
      <c r="F82" s="110">
        <v>658810110</v>
      </c>
      <c r="G82" s="108" t="s">
        <v>1004</v>
      </c>
      <c r="H82" s="111" t="s">
        <v>3400</v>
      </c>
      <c r="I82" s="111" t="s">
        <v>180</v>
      </c>
      <c r="J82" s="111" t="s">
        <v>4649</v>
      </c>
      <c r="K82" s="111" t="s">
        <v>199</v>
      </c>
      <c r="L82" s="112">
        <v>45275</v>
      </c>
      <c r="M82" s="111" t="s">
        <v>796</v>
      </c>
      <c r="N82" s="113"/>
      <c r="O82" s="114" t="s">
        <v>246</v>
      </c>
      <c r="P82" s="114" t="s">
        <v>246</v>
      </c>
      <c r="Q82" s="114" t="s">
        <v>183</v>
      </c>
      <c r="R82" s="114" t="s">
        <v>7363</v>
      </c>
      <c r="S82" s="114" t="s">
        <v>246</v>
      </c>
      <c r="T82" s="114" t="s">
        <v>246</v>
      </c>
      <c r="U82" s="114" t="s">
        <v>246</v>
      </c>
      <c r="V82" s="115"/>
      <c r="W82" s="116" t="s">
        <v>3100</v>
      </c>
      <c r="X82" s="116" t="s">
        <v>3101</v>
      </c>
      <c r="Y82" s="117">
        <v>3485886</v>
      </c>
      <c r="Z82" s="117">
        <v>3486457</v>
      </c>
      <c r="AA82" s="118"/>
      <c r="AB82" s="119" t="s">
        <v>3102</v>
      </c>
      <c r="AC82" s="119" t="s">
        <v>3117</v>
      </c>
      <c r="AD82" s="119">
        <v>5673</v>
      </c>
      <c r="AE82" s="119" t="s">
        <v>6908</v>
      </c>
      <c r="AF82" s="119" t="s">
        <v>7163</v>
      </c>
      <c r="AG82" s="120"/>
      <c r="AH82" s="121">
        <v>45274</v>
      </c>
      <c r="AI82" s="121">
        <v>45351</v>
      </c>
      <c r="AJ82" s="121">
        <v>45274</v>
      </c>
      <c r="AK82" s="122">
        <v>45351</v>
      </c>
      <c r="AL82" s="122" t="e">
        <v>#N/A</v>
      </c>
      <c r="AM82" s="122" t="e">
        <v>#N/A</v>
      </c>
      <c r="AN82" s="122" t="e">
        <v>#N/A</v>
      </c>
      <c r="AO82" s="121" t="e">
        <v>#N/A</v>
      </c>
      <c r="AP82" s="122" t="e">
        <v>#N/A</v>
      </c>
      <c r="AQ82" s="122" t="e">
        <v>#N/A</v>
      </c>
      <c r="AR82" s="122" t="e">
        <v>#N/A</v>
      </c>
      <c r="AS82" s="122" t="e">
        <v>#N/A</v>
      </c>
      <c r="AT82" s="122" t="e">
        <v>#N/A</v>
      </c>
      <c r="AU82" s="121" t="e">
        <v>#N/A</v>
      </c>
      <c r="AV82" s="122" t="e">
        <v>#N/A</v>
      </c>
      <c r="AW82" s="122">
        <v>45772</v>
      </c>
      <c r="AX82" s="122" t="e">
        <v>#N/A</v>
      </c>
      <c r="AY82" s="122" t="e">
        <v>#N/A</v>
      </c>
      <c r="AZ82" s="122" t="e">
        <v>#N/A</v>
      </c>
      <c r="BA82" s="122" t="e">
        <v>#N/A</v>
      </c>
      <c r="BB82" s="122" t="e">
        <v>#N/A</v>
      </c>
      <c r="BC82" s="122" t="e">
        <v>#N/A</v>
      </c>
      <c r="BD82" s="122" t="e">
        <v>#N/A</v>
      </c>
      <c r="BE82" s="122" t="e">
        <v>#N/A</v>
      </c>
      <c r="BF82" s="122">
        <v>45460</v>
      </c>
      <c r="BG82" s="122" t="e">
        <v>#N/A</v>
      </c>
      <c r="BH82" s="122" t="e">
        <v>#N/A</v>
      </c>
      <c r="BI82" s="122" t="e">
        <v>#N/A</v>
      </c>
      <c r="BJ82" s="122" t="e">
        <v>#N/A</v>
      </c>
      <c r="BK82" s="122">
        <v>45968</v>
      </c>
      <c r="BL82" s="123"/>
      <c r="BM82" s="124" t="e">
        <v>#N/A</v>
      </c>
      <c r="BN82" s="124" t="e">
        <v>#N/A</v>
      </c>
      <c r="BO82" s="124" t="e">
        <v>#N/A</v>
      </c>
      <c r="BP82" s="124" t="e">
        <v>#N/A</v>
      </c>
      <c r="BQ82" s="124" t="e">
        <v>#N/A</v>
      </c>
      <c r="BR82" s="124" t="e">
        <v>#N/A</v>
      </c>
      <c r="BS82" s="124" t="e">
        <v>#N/A</v>
      </c>
      <c r="BT82" s="124" t="e">
        <v>#N/A</v>
      </c>
      <c r="BU82" s="124" t="e">
        <v>#N/A</v>
      </c>
      <c r="BV82" s="124" t="e">
        <v>#N/A</v>
      </c>
      <c r="BW82" s="124" t="e">
        <v>#N/A</v>
      </c>
      <c r="BX82" s="124" t="e">
        <v>#N/A</v>
      </c>
      <c r="BY82" s="124" t="e">
        <v>#N/A</v>
      </c>
      <c r="BZ82" s="124" t="e">
        <v>#N/A</v>
      </c>
      <c r="CA82" s="125"/>
      <c r="CB82" s="124" t="e">
        <v>#N/A</v>
      </c>
      <c r="CC82" s="126">
        <v>1</v>
      </c>
      <c r="CD82" s="127" t="s">
        <v>4196</v>
      </c>
      <c r="CE82" s="128"/>
      <c r="CF82" s="77" t="e">
        <v>#N/A</v>
      </c>
    </row>
    <row r="83" spans="1:84" ht="14.5" x14ac:dyDescent="0.35">
      <c r="A83" s="77">
        <v>82</v>
      </c>
      <c r="B83" s="106" t="s">
        <v>4041</v>
      </c>
      <c r="C83" s="107" t="s">
        <v>6718</v>
      </c>
      <c r="D83" s="108" t="s">
        <v>4072</v>
      </c>
      <c r="E83" s="109" t="s">
        <v>4073</v>
      </c>
      <c r="F83" s="110">
        <v>697117844</v>
      </c>
      <c r="G83" s="108" t="s">
        <v>1004</v>
      </c>
      <c r="H83" s="111" t="s">
        <v>3400</v>
      </c>
      <c r="I83" s="111" t="s">
        <v>180</v>
      </c>
      <c r="J83" s="111" t="s">
        <v>4649</v>
      </c>
      <c r="K83" s="111" t="s">
        <v>199</v>
      </c>
      <c r="L83" s="112">
        <v>45600</v>
      </c>
      <c r="M83" s="111" t="s">
        <v>2122</v>
      </c>
      <c r="N83" s="113"/>
      <c r="O83" s="114" t="s">
        <v>585</v>
      </c>
      <c r="P83" s="114" t="s">
        <v>585</v>
      </c>
      <c r="Q83" s="114" t="s">
        <v>459</v>
      </c>
      <c r="R83" s="114" t="s">
        <v>585</v>
      </c>
      <c r="S83" s="114" t="s">
        <v>585</v>
      </c>
      <c r="T83" s="114" t="s">
        <v>183</v>
      </c>
      <c r="U83" s="114" t="s">
        <v>183</v>
      </c>
      <c r="V83" s="115"/>
      <c r="W83" s="116" t="s">
        <v>4074</v>
      </c>
      <c r="X83" s="116" t="s">
        <v>4075</v>
      </c>
      <c r="Y83" s="117">
        <v>3485982</v>
      </c>
      <c r="Z83" s="117">
        <v>3486628</v>
      </c>
      <c r="AA83" s="118"/>
      <c r="AB83" s="119" t="s">
        <v>5764</v>
      </c>
      <c r="AC83" s="119" t="s">
        <v>4076</v>
      </c>
      <c r="AD83" s="119">
        <v>5921</v>
      </c>
      <c r="AE83" s="119" t="s">
        <v>4077</v>
      </c>
      <c r="AF83" s="119" t="s">
        <v>7194</v>
      </c>
      <c r="AG83" s="120"/>
      <c r="AH83" s="121">
        <v>45600</v>
      </c>
      <c r="AI83" s="121">
        <v>45600</v>
      </c>
      <c r="AJ83" s="121">
        <v>45600</v>
      </c>
      <c r="AK83" s="122">
        <v>45600</v>
      </c>
      <c r="AL83" s="122" t="e">
        <v>#N/A</v>
      </c>
      <c r="AM83" s="121" t="e">
        <v>#N/A</v>
      </c>
      <c r="AN83" s="121" t="e">
        <v>#N/A</v>
      </c>
      <c r="AO83" s="121" t="e">
        <v>#N/A</v>
      </c>
      <c r="AP83" s="122" t="e">
        <v>#N/A</v>
      </c>
      <c r="AQ83" s="122" t="e">
        <v>#N/A</v>
      </c>
      <c r="AR83" s="122" t="e">
        <v>#N/A</v>
      </c>
      <c r="AS83" s="122" t="e">
        <v>#N/A</v>
      </c>
      <c r="AT83" s="122" t="e">
        <v>#N/A</v>
      </c>
      <c r="AU83" s="121" t="e">
        <v>#N/A</v>
      </c>
      <c r="AV83" s="122" t="e">
        <v>#N/A</v>
      </c>
      <c r="AW83" s="122">
        <v>45736</v>
      </c>
      <c r="AX83" s="122" t="e">
        <v>#N/A</v>
      </c>
      <c r="AY83" s="122" t="e">
        <v>#N/A</v>
      </c>
      <c r="AZ83" s="122" t="e">
        <v>#N/A</v>
      </c>
      <c r="BA83" s="122" t="e">
        <v>#N/A</v>
      </c>
      <c r="BB83" s="122" t="e">
        <v>#N/A</v>
      </c>
      <c r="BC83" s="122" t="e">
        <v>#N/A</v>
      </c>
      <c r="BD83" s="122" t="e">
        <v>#N/A</v>
      </c>
      <c r="BE83" s="122" t="e">
        <v>#N/A</v>
      </c>
      <c r="BF83" s="122">
        <v>45818</v>
      </c>
      <c r="BG83" s="122" t="e">
        <v>#N/A</v>
      </c>
      <c r="BH83" s="122" t="e">
        <v>#N/A</v>
      </c>
      <c r="BI83" s="122" t="e">
        <v>#N/A</v>
      </c>
      <c r="BJ83" s="122" t="e">
        <v>#N/A</v>
      </c>
      <c r="BK83" s="122">
        <v>45968</v>
      </c>
      <c r="BL83" s="123"/>
      <c r="BM83" s="124" t="e">
        <v>#N/A</v>
      </c>
      <c r="BN83" s="124" t="e">
        <v>#N/A</v>
      </c>
      <c r="BO83" s="124" t="e">
        <v>#N/A</v>
      </c>
      <c r="BP83" s="124" t="e">
        <v>#N/A</v>
      </c>
      <c r="BQ83" s="124" t="e">
        <v>#N/A</v>
      </c>
      <c r="BR83" s="124" t="e">
        <v>#N/A</v>
      </c>
      <c r="BS83" s="124" t="e">
        <v>#N/A</v>
      </c>
      <c r="BT83" s="124" t="e">
        <v>#N/A</v>
      </c>
      <c r="BU83" s="124" t="e">
        <v>#N/A</v>
      </c>
      <c r="BV83" s="124" t="e">
        <v>#N/A</v>
      </c>
      <c r="BW83" s="124" t="e">
        <v>#N/A</v>
      </c>
      <c r="BX83" s="124" t="e">
        <v>#N/A</v>
      </c>
      <c r="BY83" s="124" t="e">
        <v>#N/A</v>
      </c>
      <c r="BZ83" s="124" t="e">
        <v>#N/A</v>
      </c>
      <c r="CA83" s="125"/>
      <c r="CB83" s="124" t="e">
        <v>#N/A</v>
      </c>
      <c r="CC83" s="126">
        <v>1</v>
      </c>
      <c r="CD83" s="127" t="s">
        <v>4211</v>
      </c>
      <c r="CE83" s="128"/>
      <c r="CF83" s="77" t="e">
        <v>#N/A</v>
      </c>
    </row>
    <row r="84" spans="1:84" ht="14.5" x14ac:dyDescent="0.35">
      <c r="A84" s="77">
        <v>83</v>
      </c>
      <c r="B84" s="106" t="s">
        <v>6280</v>
      </c>
      <c r="C84" s="107" t="s">
        <v>6281</v>
      </c>
      <c r="D84" s="108" t="s">
        <v>1762</v>
      </c>
      <c r="E84" s="109" t="s">
        <v>1763</v>
      </c>
      <c r="F84" s="110">
        <v>669605589</v>
      </c>
      <c r="G84" s="108" t="s">
        <v>1004</v>
      </c>
      <c r="H84" s="111" t="s">
        <v>3400</v>
      </c>
      <c r="I84" s="111" t="s">
        <v>180</v>
      </c>
      <c r="J84" s="111" t="s">
        <v>4649</v>
      </c>
      <c r="K84" s="111" t="s">
        <v>199</v>
      </c>
      <c r="L84" s="112">
        <v>38443</v>
      </c>
      <c r="M84" s="111" t="s">
        <v>796</v>
      </c>
      <c r="N84" s="113"/>
      <c r="O84" s="114" t="s">
        <v>6198</v>
      </c>
      <c r="P84" s="114" t="s">
        <v>6198</v>
      </c>
      <c r="Q84" s="114" t="s">
        <v>6198</v>
      </c>
      <c r="R84" s="114" t="s">
        <v>246</v>
      </c>
      <c r="S84" s="114" t="s">
        <v>257</v>
      </c>
      <c r="T84" s="114" t="s">
        <v>183</v>
      </c>
      <c r="U84" s="114" t="s">
        <v>183</v>
      </c>
      <c r="V84" s="115"/>
      <c r="W84" s="116" t="s">
        <v>1764</v>
      </c>
      <c r="X84" s="116" t="s">
        <v>1765</v>
      </c>
      <c r="Y84" s="117">
        <v>3485679</v>
      </c>
      <c r="Z84" s="117">
        <v>3486529</v>
      </c>
      <c r="AA84" s="118"/>
      <c r="AB84" s="119" t="s">
        <v>5260</v>
      </c>
      <c r="AC84" s="119" t="s">
        <v>1766</v>
      </c>
      <c r="AD84" s="119">
        <v>5707</v>
      </c>
      <c r="AE84" s="119" t="s">
        <v>3820</v>
      </c>
      <c r="AF84" s="119" t="s">
        <v>6051</v>
      </c>
      <c r="AG84" s="120"/>
      <c r="AH84" s="121">
        <v>44753</v>
      </c>
      <c r="AI84" s="121">
        <v>44753</v>
      </c>
      <c r="AJ84" s="121">
        <v>44753</v>
      </c>
      <c r="AK84" s="122">
        <v>44974</v>
      </c>
      <c r="AL84" s="122" t="e">
        <v>#N/A</v>
      </c>
      <c r="AM84" s="121" t="e">
        <v>#N/A</v>
      </c>
      <c r="AN84" s="121" t="e">
        <v>#N/A</v>
      </c>
      <c r="AO84" s="121" t="e">
        <v>#N/A</v>
      </c>
      <c r="AP84" s="122" t="e">
        <v>#N/A</v>
      </c>
      <c r="AQ84" s="122" t="e">
        <v>#N/A</v>
      </c>
      <c r="AR84" s="122" t="e">
        <v>#N/A</v>
      </c>
      <c r="AS84" s="122" t="e">
        <v>#N/A</v>
      </c>
      <c r="AT84" s="122" t="e">
        <v>#N/A</v>
      </c>
      <c r="AU84" s="121" t="e">
        <v>#N/A</v>
      </c>
      <c r="AV84" s="122" t="e">
        <v>#N/A</v>
      </c>
      <c r="AW84" s="122">
        <v>45642</v>
      </c>
      <c r="AX84" s="122" t="e">
        <v>#N/A</v>
      </c>
      <c r="AY84" s="122" t="e">
        <v>#N/A</v>
      </c>
      <c r="AZ84" s="122" t="e">
        <v>#N/A</v>
      </c>
      <c r="BA84" s="122" t="e">
        <v>#N/A</v>
      </c>
      <c r="BB84" s="122" t="e">
        <v>#N/A</v>
      </c>
      <c r="BC84" s="122" t="e">
        <v>#N/A</v>
      </c>
      <c r="BD84" s="122" t="e">
        <v>#N/A</v>
      </c>
      <c r="BE84" s="122" t="e">
        <v>#N/A</v>
      </c>
      <c r="BF84" s="122" t="e">
        <v>#N/A</v>
      </c>
      <c r="BG84" s="122" t="e">
        <v>#N/A</v>
      </c>
      <c r="BH84" s="122" t="e">
        <v>#N/A</v>
      </c>
      <c r="BI84" s="122" t="e">
        <v>#N/A</v>
      </c>
      <c r="BJ84" s="122" t="e">
        <v>#N/A</v>
      </c>
      <c r="BK84" s="122">
        <v>45945</v>
      </c>
      <c r="BL84" s="123"/>
      <c r="BM84" s="124" t="e">
        <v>#N/A</v>
      </c>
      <c r="BN84" s="124" t="e">
        <v>#N/A</v>
      </c>
      <c r="BO84" s="124" t="e">
        <v>#N/A</v>
      </c>
      <c r="BP84" s="124" t="e">
        <v>#N/A</v>
      </c>
      <c r="BQ84" s="124" t="e">
        <v>#N/A</v>
      </c>
      <c r="BR84" s="124" t="e">
        <v>#N/A</v>
      </c>
      <c r="BS84" s="124" t="e">
        <v>#N/A</v>
      </c>
      <c r="BT84" s="124" t="e">
        <v>#N/A</v>
      </c>
      <c r="BU84" s="124" t="e">
        <v>#N/A</v>
      </c>
      <c r="BV84" s="124" t="e">
        <v>#N/A</v>
      </c>
      <c r="BW84" s="124" t="e">
        <v>#N/A</v>
      </c>
      <c r="BX84" s="124" t="e">
        <v>#N/A</v>
      </c>
      <c r="BY84" s="124" t="e">
        <v>#N/A</v>
      </c>
      <c r="BZ84" s="124" t="e">
        <v>#N/A</v>
      </c>
      <c r="CA84" s="125"/>
      <c r="CB84" s="124">
        <v>45841</v>
      </c>
      <c r="CC84" s="126">
        <v>1</v>
      </c>
      <c r="CD84" s="127" t="e">
        <v>#N/A</v>
      </c>
      <c r="CE84" s="128"/>
      <c r="CF84" s="77" t="e">
        <v>#N/A</v>
      </c>
    </row>
    <row r="85" spans="1:84" ht="14.5" x14ac:dyDescent="0.35">
      <c r="A85" s="77">
        <v>84</v>
      </c>
      <c r="B85" s="106" t="s">
        <v>1537</v>
      </c>
      <c r="C85" s="107" t="s">
        <v>1538</v>
      </c>
      <c r="D85" s="108" t="s">
        <v>1539</v>
      </c>
      <c r="E85" s="109" t="s">
        <v>1540</v>
      </c>
      <c r="F85" s="110">
        <v>656694947</v>
      </c>
      <c r="G85" s="108" t="s">
        <v>1004</v>
      </c>
      <c r="H85" s="111" t="s">
        <v>3400</v>
      </c>
      <c r="I85" s="111" t="s">
        <v>180</v>
      </c>
      <c r="J85" s="111" t="s">
        <v>4649</v>
      </c>
      <c r="K85" s="111" t="s">
        <v>199</v>
      </c>
      <c r="L85" s="112">
        <v>39939</v>
      </c>
      <c r="M85" s="111" t="s">
        <v>181</v>
      </c>
      <c r="N85" s="113"/>
      <c r="O85" s="114" t="s">
        <v>257</v>
      </c>
      <c r="P85" s="114" t="s">
        <v>183</v>
      </c>
      <c r="Q85" s="114" t="s">
        <v>257</v>
      </c>
      <c r="R85" s="114" t="s">
        <v>7364</v>
      </c>
      <c r="S85" s="114" t="s">
        <v>183</v>
      </c>
      <c r="T85" s="114" t="s">
        <v>246</v>
      </c>
      <c r="U85" s="114" t="s">
        <v>246</v>
      </c>
      <c r="V85" s="115"/>
      <c r="W85" s="116" t="s">
        <v>1541</v>
      </c>
      <c r="X85" s="116" t="s">
        <v>1542</v>
      </c>
      <c r="Y85" s="117">
        <v>3485642</v>
      </c>
      <c r="Z85" s="117">
        <v>3481167</v>
      </c>
      <c r="AA85" s="118"/>
      <c r="AB85" s="119" t="s">
        <v>5241</v>
      </c>
      <c r="AC85" s="119" t="s">
        <v>1600</v>
      </c>
      <c r="AD85" s="119">
        <v>4352</v>
      </c>
      <c r="AE85" s="119" t="s">
        <v>1601</v>
      </c>
      <c r="AF85" s="119" t="s">
        <v>6052</v>
      </c>
      <c r="AG85" s="120"/>
      <c r="AH85" s="121">
        <v>44641</v>
      </c>
      <c r="AI85" s="121">
        <v>44641</v>
      </c>
      <c r="AJ85" s="121">
        <v>44641</v>
      </c>
      <c r="AK85" s="122">
        <v>44641</v>
      </c>
      <c r="AL85" s="122" t="e">
        <v>#N/A</v>
      </c>
      <c r="AM85" s="121" t="e">
        <v>#N/A</v>
      </c>
      <c r="AN85" s="121" t="e">
        <v>#N/A</v>
      </c>
      <c r="AO85" s="121" t="e">
        <v>#N/A</v>
      </c>
      <c r="AP85" s="122" t="e">
        <v>#N/A</v>
      </c>
      <c r="AQ85" s="122" t="e">
        <v>#N/A</v>
      </c>
      <c r="AR85" s="122" t="e">
        <v>#N/A</v>
      </c>
      <c r="AS85" s="122" t="e">
        <v>#N/A</v>
      </c>
      <c r="AT85" s="122" t="e">
        <v>#N/A</v>
      </c>
      <c r="AU85" s="121" t="e">
        <v>#N/A</v>
      </c>
      <c r="AV85" s="122" t="e">
        <v>#N/A</v>
      </c>
      <c r="AW85" s="122">
        <v>45756</v>
      </c>
      <c r="AX85" s="122" t="e">
        <v>#N/A</v>
      </c>
      <c r="AY85" s="122" t="e">
        <v>#N/A</v>
      </c>
      <c r="AZ85" s="122" t="e">
        <v>#N/A</v>
      </c>
      <c r="BA85" s="122" t="e">
        <v>#N/A</v>
      </c>
      <c r="BB85" s="122">
        <v>45057</v>
      </c>
      <c r="BC85" s="122" t="e">
        <v>#N/A</v>
      </c>
      <c r="BD85" s="122" t="e">
        <v>#N/A</v>
      </c>
      <c r="BE85" s="122" t="e">
        <v>#N/A</v>
      </c>
      <c r="BF85" s="122">
        <v>45226</v>
      </c>
      <c r="BG85" s="122" t="e">
        <v>#N/A</v>
      </c>
      <c r="BH85" s="122" t="e">
        <v>#N/A</v>
      </c>
      <c r="BI85" s="122" t="e">
        <v>#N/A</v>
      </c>
      <c r="BJ85" s="122" t="e">
        <v>#N/A</v>
      </c>
      <c r="BK85" s="122">
        <v>45953</v>
      </c>
      <c r="BL85" s="123"/>
      <c r="BM85" s="124" t="e">
        <v>#N/A</v>
      </c>
      <c r="BN85" s="124" t="e">
        <v>#N/A</v>
      </c>
      <c r="BO85" s="124" t="e">
        <v>#N/A</v>
      </c>
      <c r="BP85" s="124" t="e">
        <v>#N/A</v>
      </c>
      <c r="BQ85" s="124" t="e">
        <v>#N/A</v>
      </c>
      <c r="BR85" s="124" t="e">
        <v>#N/A</v>
      </c>
      <c r="BS85" s="124" t="e">
        <v>#N/A</v>
      </c>
      <c r="BT85" s="124" t="e">
        <v>#N/A</v>
      </c>
      <c r="BU85" s="124" t="e">
        <v>#N/A</v>
      </c>
      <c r="BV85" s="124" t="e">
        <v>#N/A</v>
      </c>
      <c r="BW85" s="124" t="e">
        <v>#N/A</v>
      </c>
      <c r="BX85" s="124" t="e">
        <v>#N/A</v>
      </c>
      <c r="BY85" s="124" t="e">
        <v>#N/A</v>
      </c>
      <c r="BZ85" s="124" t="e">
        <v>#N/A</v>
      </c>
      <c r="CA85" s="125"/>
      <c r="CB85" s="124">
        <v>45728</v>
      </c>
      <c r="CC85" s="126">
        <v>1</v>
      </c>
      <c r="CD85" s="127" t="s">
        <v>4151</v>
      </c>
      <c r="CE85" s="128"/>
      <c r="CF85" s="77" t="e">
        <v>#N/A</v>
      </c>
    </row>
    <row r="86" spans="1:84" ht="14.5" x14ac:dyDescent="0.35">
      <c r="A86" s="77">
        <v>85</v>
      </c>
      <c r="B86" s="106" t="s">
        <v>2975</v>
      </c>
      <c r="C86" s="107" t="s">
        <v>6569</v>
      </c>
      <c r="D86" s="108" t="s">
        <v>2937</v>
      </c>
      <c r="E86" s="109" t="s">
        <v>2938</v>
      </c>
      <c r="F86" s="110">
        <v>657187677</v>
      </c>
      <c r="G86" s="108" t="s">
        <v>1004</v>
      </c>
      <c r="H86" s="111" t="s">
        <v>4650</v>
      </c>
      <c r="I86" s="111" t="s">
        <v>180</v>
      </c>
      <c r="J86" s="111" t="s">
        <v>4649</v>
      </c>
      <c r="K86" s="111" t="s">
        <v>400</v>
      </c>
      <c r="L86" s="112">
        <v>45195</v>
      </c>
      <c r="M86" s="111" t="s">
        <v>796</v>
      </c>
      <c r="N86" s="113"/>
      <c r="O86" s="114" t="s">
        <v>585</v>
      </c>
      <c r="P86" s="114" t="s">
        <v>585</v>
      </c>
      <c r="Q86" s="114" t="s">
        <v>585</v>
      </c>
      <c r="R86" s="114" t="s">
        <v>7296</v>
      </c>
      <c r="S86" s="114" t="s">
        <v>585</v>
      </c>
      <c r="T86" s="114" t="s">
        <v>183</v>
      </c>
      <c r="U86" s="114" t="s">
        <v>183</v>
      </c>
      <c r="V86" s="115"/>
      <c r="W86" s="116" t="s">
        <v>2939</v>
      </c>
      <c r="X86" s="116" t="s">
        <v>2940</v>
      </c>
      <c r="Y86" s="117">
        <v>3485834</v>
      </c>
      <c r="Z86" s="117">
        <v>3486588</v>
      </c>
      <c r="AA86" s="118"/>
      <c r="AB86" s="119" t="s">
        <v>5765</v>
      </c>
      <c r="AC86" s="119" t="s">
        <v>2976</v>
      </c>
      <c r="AD86" s="119">
        <v>4176</v>
      </c>
      <c r="AE86" s="119" t="s">
        <v>2941</v>
      </c>
      <c r="AF86" s="119" t="s">
        <v>6906</v>
      </c>
      <c r="AG86" s="120"/>
      <c r="AH86" s="121">
        <v>45195</v>
      </c>
      <c r="AI86" s="121">
        <v>45237</v>
      </c>
      <c r="AJ86" s="121">
        <v>45195</v>
      </c>
      <c r="AK86" s="122">
        <v>45237</v>
      </c>
      <c r="AL86" s="122">
        <v>45238</v>
      </c>
      <c r="AM86" s="122">
        <v>45240</v>
      </c>
      <c r="AN86" s="122" t="e">
        <v>#N/A</v>
      </c>
      <c r="AO86" s="121" t="e">
        <v>#N/A</v>
      </c>
      <c r="AP86" s="122" t="e">
        <v>#N/A</v>
      </c>
      <c r="AQ86" s="122" t="e">
        <v>#N/A</v>
      </c>
      <c r="AR86" s="122">
        <v>45239</v>
      </c>
      <c r="AS86" s="122" t="e">
        <v>#N/A</v>
      </c>
      <c r="AT86" s="122" t="e">
        <v>#N/A</v>
      </c>
      <c r="AU86" s="121" t="e">
        <v>#N/A</v>
      </c>
      <c r="AV86" s="122" t="e">
        <v>#N/A</v>
      </c>
      <c r="AW86" s="122">
        <v>45754</v>
      </c>
      <c r="AX86" s="122">
        <v>45812</v>
      </c>
      <c r="AY86" s="122" t="e">
        <v>#N/A</v>
      </c>
      <c r="AZ86" s="122" t="e">
        <v>#N/A</v>
      </c>
      <c r="BA86" s="122" t="e">
        <v>#N/A</v>
      </c>
      <c r="BB86" s="122" t="e">
        <v>#N/A</v>
      </c>
      <c r="BC86" s="122" t="e">
        <v>#N/A</v>
      </c>
      <c r="BD86" s="122" t="e">
        <v>#N/A</v>
      </c>
      <c r="BE86" s="122" t="e">
        <v>#N/A</v>
      </c>
      <c r="BF86" s="122">
        <v>45818</v>
      </c>
      <c r="BG86" s="122" t="e">
        <v>#N/A</v>
      </c>
      <c r="BH86" s="122" t="e">
        <v>#N/A</v>
      </c>
      <c r="BI86" s="122" t="e">
        <v>#N/A</v>
      </c>
      <c r="BJ86" s="122" t="e">
        <v>#N/A</v>
      </c>
      <c r="BK86" s="122">
        <v>45968</v>
      </c>
      <c r="BL86" s="123"/>
      <c r="BM86" s="124">
        <v>45523</v>
      </c>
      <c r="BN86" s="124">
        <v>45523</v>
      </c>
      <c r="BO86" s="124" t="e">
        <v>#N/A</v>
      </c>
      <c r="BP86" s="124" t="e">
        <v>#N/A</v>
      </c>
      <c r="BQ86" s="124" t="e">
        <v>#N/A</v>
      </c>
      <c r="BR86" s="124" t="e">
        <v>#N/A</v>
      </c>
      <c r="BS86" s="124" t="e">
        <v>#N/A</v>
      </c>
      <c r="BT86" s="124" t="e">
        <v>#N/A</v>
      </c>
      <c r="BU86" s="124" t="e">
        <v>#N/A</v>
      </c>
      <c r="BV86" s="124" t="e">
        <v>#N/A</v>
      </c>
      <c r="BW86" s="124" t="e">
        <v>#N/A</v>
      </c>
      <c r="BX86" s="124" t="e">
        <v>#N/A</v>
      </c>
      <c r="BY86" s="124" t="e">
        <v>#N/A</v>
      </c>
      <c r="BZ86" s="124" t="e">
        <v>#N/A</v>
      </c>
      <c r="CA86" s="125"/>
      <c r="CB86" s="124" t="e">
        <v>#N/A</v>
      </c>
      <c r="CC86" s="126">
        <v>1</v>
      </c>
      <c r="CD86" s="127" t="s">
        <v>4181</v>
      </c>
      <c r="CE86" s="128"/>
      <c r="CF86" s="77" t="e">
        <v>#N/A</v>
      </c>
    </row>
    <row r="87" spans="1:84" ht="14.5" x14ac:dyDescent="0.35">
      <c r="A87" s="77">
        <v>86</v>
      </c>
      <c r="B87" s="106" t="s">
        <v>131</v>
      </c>
      <c r="C87" s="107" t="s">
        <v>1374</v>
      </c>
      <c r="D87" s="108" t="s">
        <v>788</v>
      </c>
      <c r="E87" s="109" t="s">
        <v>789</v>
      </c>
      <c r="F87" s="110">
        <v>675925491</v>
      </c>
      <c r="G87" s="108" t="s">
        <v>1004</v>
      </c>
      <c r="H87" s="111" t="s">
        <v>4650</v>
      </c>
      <c r="I87" s="111" t="s">
        <v>180</v>
      </c>
      <c r="J87" s="111" t="s">
        <v>4649</v>
      </c>
      <c r="K87" s="111" t="s">
        <v>400</v>
      </c>
      <c r="L87" s="112">
        <v>43862</v>
      </c>
      <c r="M87" s="111" t="s">
        <v>2122</v>
      </c>
      <c r="N87" s="113"/>
      <c r="O87" s="114" t="s">
        <v>226</v>
      </c>
      <c r="P87" s="114" t="s">
        <v>225</v>
      </c>
      <c r="Q87" s="114" t="s">
        <v>183</v>
      </c>
      <c r="R87" s="114" t="s">
        <v>7365</v>
      </c>
      <c r="S87" s="114" t="s">
        <v>225</v>
      </c>
      <c r="T87" s="114" t="s">
        <v>226</v>
      </c>
      <c r="U87" s="114" t="s">
        <v>226</v>
      </c>
      <c r="V87" s="115"/>
      <c r="W87" s="116" t="s">
        <v>790</v>
      </c>
      <c r="X87" s="116" t="s">
        <v>791</v>
      </c>
      <c r="Y87" s="117">
        <v>3485579</v>
      </c>
      <c r="Z87" s="117">
        <v>3481262</v>
      </c>
      <c r="AA87" s="118"/>
      <c r="AB87" s="119" t="s">
        <v>5696</v>
      </c>
      <c r="AC87" s="119" t="s">
        <v>1375</v>
      </c>
      <c r="AD87" s="119">
        <v>27775</v>
      </c>
      <c r="AE87" s="119" t="s">
        <v>792</v>
      </c>
      <c r="AF87" s="119" t="s">
        <v>7113</v>
      </c>
      <c r="AG87" s="120"/>
      <c r="AH87" s="121">
        <v>44197</v>
      </c>
      <c r="AI87" s="121">
        <v>44197</v>
      </c>
      <c r="AJ87" s="121">
        <v>44197</v>
      </c>
      <c r="AK87" s="122">
        <v>44197</v>
      </c>
      <c r="AL87" s="122">
        <v>45075</v>
      </c>
      <c r="AM87" s="121">
        <v>45091</v>
      </c>
      <c r="AN87" s="121" t="s">
        <v>5691</v>
      </c>
      <c r="AO87" s="121" t="e">
        <v>#N/A</v>
      </c>
      <c r="AP87" s="122" t="e">
        <v>#N/A</v>
      </c>
      <c r="AQ87" s="122" t="e">
        <v>#N/A</v>
      </c>
      <c r="AR87" s="122">
        <v>45091</v>
      </c>
      <c r="AS87" s="122" t="e">
        <v>#N/A</v>
      </c>
      <c r="AT87" s="122" t="e">
        <v>#N/A</v>
      </c>
      <c r="AU87" s="121" t="e">
        <v>#N/A</v>
      </c>
      <c r="AV87" s="122" t="e">
        <v>#N/A</v>
      </c>
      <c r="AW87" s="122">
        <v>45670</v>
      </c>
      <c r="AX87" s="122" t="e">
        <v>#N/A</v>
      </c>
      <c r="AY87" s="122" t="e">
        <v>#N/A</v>
      </c>
      <c r="AZ87" s="122" t="e">
        <v>#N/A</v>
      </c>
      <c r="BA87" s="122">
        <v>45091</v>
      </c>
      <c r="BB87" s="122" t="e">
        <v>#N/A</v>
      </c>
      <c r="BC87" s="122" t="e">
        <v>#N/A</v>
      </c>
      <c r="BD87" s="122" t="e">
        <v>#N/A</v>
      </c>
      <c r="BE87" s="122" t="e">
        <v>#N/A</v>
      </c>
      <c r="BF87" s="122">
        <v>45818</v>
      </c>
      <c r="BG87" s="122" t="e">
        <v>#N/A</v>
      </c>
      <c r="BH87" s="122" t="e">
        <v>#N/A</v>
      </c>
      <c r="BI87" s="122" t="e">
        <v>#N/A</v>
      </c>
      <c r="BJ87" s="122" t="e">
        <v>#N/A</v>
      </c>
      <c r="BK87" s="122">
        <v>45968</v>
      </c>
      <c r="BL87" s="123"/>
      <c r="BM87" s="124" t="e">
        <v>#N/A</v>
      </c>
      <c r="BN87" s="124" t="e">
        <v>#N/A</v>
      </c>
      <c r="BO87" s="124" t="e">
        <v>#N/A</v>
      </c>
      <c r="BP87" s="124" t="e">
        <v>#N/A</v>
      </c>
      <c r="BQ87" s="124" t="e">
        <v>#N/A</v>
      </c>
      <c r="BR87" s="124" t="e">
        <v>#N/A</v>
      </c>
      <c r="BS87" s="124" t="e">
        <v>#N/A</v>
      </c>
      <c r="BT87" s="124" t="e">
        <v>#N/A</v>
      </c>
      <c r="BU87" s="124" t="e">
        <v>#N/A</v>
      </c>
      <c r="BV87" s="124" t="e">
        <v>#N/A</v>
      </c>
      <c r="BW87" s="124" t="e">
        <v>#N/A</v>
      </c>
      <c r="BX87" s="124" t="e">
        <v>#N/A</v>
      </c>
      <c r="BY87" s="124" t="e">
        <v>#N/A</v>
      </c>
      <c r="BZ87" s="124" t="e">
        <v>#N/A</v>
      </c>
      <c r="CA87" s="125"/>
      <c r="CB87" s="124" t="e">
        <v>#N/A</v>
      </c>
      <c r="CC87" s="126">
        <v>1</v>
      </c>
      <c r="CD87" s="127" t="s">
        <v>4169</v>
      </c>
      <c r="CE87" s="128"/>
      <c r="CF87" s="77" t="e">
        <v>#N/A</v>
      </c>
    </row>
    <row r="88" spans="1:84" ht="14.5" x14ac:dyDescent="0.35">
      <c r="A88" s="77">
        <v>87</v>
      </c>
      <c r="B88" s="106" t="s">
        <v>2216</v>
      </c>
      <c r="C88" s="107" t="s">
        <v>6507</v>
      </c>
      <c r="D88" s="108" t="s">
        <v>2205</v>
      </c>
      <c r="E88" s="109" t="s">
        <v>2206</v>
      </c>
      <c r="F88" s="110" t="s">
        <v>2346</v>
      </c>
      <c r="G88" s="108" t="s">
        <v>1004</v>
      </c>
      <c r="H88" s="111" t="s">
        <v>3402</v>
      </c>
      <c r="I88" s="111" t="s">
        <v>180</v>
      </c>
      <c r="J88" s="111" t="s">
        <v>4649</v>
      </c>
      <c r="K88" s="111" t="s">
        <v>3159</v>
      </c>
      <c r="L88" s="112">
        <v>44922</v>
      </c>
      <c r="M88" s="111" t="s">
        <v>796</v>
      </c>
      <c r="N88" s="113"/>
      <c r="O88" s="114" t="s">
        <v>7366</v>
      </c>
      <c r="P88" s="114" t="s">
        <v>7366</v>
      </c>
      <c r="Q88" s="114" t="s">
        <v>183</v>
      </c>
      <c r="R88" s="114" t="s">
        <v>7367</v>
      </c>
      <c r="S88" s="114" t="s">
        <v>183</v>
      </c>
      <c r="T88" s="114" t="s">
        <v>557</v>
      </c>
      <c r="U88" s="114" t="s">
        <v>557</v>
      </c>
      <c r="V88" s="115"/>
      <c r="W88" s="116" t="s">
        <v>2207</v>
      </c>
      <c r="X88" s="116" t="s">
        <v>2208</v>
      </c>
      <c r="Y88" s="117">
        <v>3485370</v>
      </c>
      <c r="Z88" s="117">
        <v>3481433</v>
      </c>
      <c r="AA88" s="118"/>
      <c r="AB88" s="119" t="s">
        <v>2209</v>
      </c>
      <c r="AC88" s="119" t="s">
        <v>2279</v>
      </c>
      <c r="AD88" s="119">
        <v>4375</v>
      </c>
      <c r="AE88" s="119" t="s">
        <v>2280</v>
      </c>
      <c r="AF88" s="119" t="s">
        <v>7368</v>
      </c>
      <c r="AG88" s="120"/>
      <c r="AH88" s="121">
        <v>44802</v>
      </c>
      <c r="AI88" s="121">
        <v>44802</v>
      </c>
      <c r="AJ88" s="121">
        <v>44802</v>
      </c>
      <c r="AK88" s="122">
        <v>45057</v>
      </c>
      <c r="AL88" s="122" t="e">
        <v>#N/A</v>
      </c>
      <c r="AM88" s="122" t="e">
        <v>#N/A</v>
      </c>
      <c r="AN88" s="122" t="e">
        <v>#N/A</v>
      </c>
      <c r="AO88" s="121" t="e">
        <v>#N/A</v>
      </c>
      <c r="AP88" s="122" t="e">
        <v>#N/A</v>
      </c>
      <c r="AQ88" s="122" t="e">
        <v>#N/A</v>
      </c>
      <c r="AR88" s="122" t="e">
        <v>#N/A</v>
      </c>
      <c r="AS88" s="122" t="e">
        <v>#N/A</v>
      </c>
      <c r="AT88" s="122" t="e">
        <v>#N/A</v>
      </c>
      <c r="AU88" s="121" t="e">
        <v>#N/A</v>
      </c>
      <c r="AV88" s="122" t="e">
        <v>#N/A</v>
      </c>
      <c r="AW88" s="122">
        <v>45756</v>
      </c>
      <c r="AX88" s="122" t="e">
        <v>#N/A</v>
      </c>
      <c r="AY88" s="122" t="e">
        <v>#N/A</v>
      </c>
      <c r="AZ88" s="122" t="e">
        <v>#N/A</v>
      </c>
      <c r="BA88" s="122" t="e">
        <v>#N/A</v>
      </c>
      <c r="BB88" s="122" t="e">
        <v>#N/A</v>
      </c>
      <c r="BC88" s="122" t="e">
        <v>#N/A</v>
      </c>
      <c r="BD88" s="122" t="e">
        <v>#N/A</v>
      </c>
      <c r="BE88" s="122" t="e">
        <v>#N/A</v>
      </c>
      <c r="BF88" s="122">
        <v>45226</v>
      </c>
      <c r="BG88" s="122" t="e">
        <v>#N/A</v>
      </c>
      <c r="BH88" s="122" t="e">
        <v>#N/A</v>
      </c>
      <c r="BI88" s="122" t="e">
        <v>#N/A</v>
      </c>
      <c r="BJ88" s="122" t="e">
        <v>#N/A</v>
      </c>
      <c r="BK88" s="122">
        <v>45981</v>
      </c>
      <c r="BL88" s="123"/>
      <c r="BM88" s="124" t="e">
        <v>#N/A</v>
      </c>
      <c r="BN88" s="124" t="e">
        <v>#N/A</v>
      </c>
      <c r="BO88" s="124" t="e">
        <v>#N/A</v>
      </c>
      <c r="BP88" s="124" t="e">
        <v>#N/A</v>
      </c>
      <c r="BQ88" s="124" t="e">
        <v>#N/A</v>
      </c>
      <c r="BR88" s="124" t="e">
        <v>#N/A</v>
      </c>
      <c r="BS88" s="124" t="e">
        <v>#N/A</v>
      </c>
      <c r="BT88" s="124" t="e">
        <v>#N/A</v>
      </c>
      <c r="BU88" s="124" t="e">
        <v>#N/A</v>
      </c>
      <c r="BV88" s="124" t="e">
        <v>#N/A</v>
      </c>
      <c r="BW88" s="124" t="e">
        <v>#N/A</v>
      </c>
      <c r="BX88" s="124" t="e">
        <v>#N/A</v>
      </c>
      <c r="BY88" s="124" t="e">
        <v>#N/A</v>
      </c>
      <c r="BZ88" s="124" t="e">
        <v>#N/A</v>
      </c>
      <c r="CA88" s="125"/>
      <c r="CB88" s="124" t="e">
        <v>#N/A</v>
      </c>
      <c r="CC88" s="126">
        <v>1</v>
      </c>
      <c r="CD88" s="127" t="s">
        <v>4185</v>
      </c>
      <c r="CE88" s="128"/>
      <c r="CF88" s="77" t="e">
        <v>#N/A</v>
      </c>
    </row>
    <row r="89" spans="1:84" ht="14.5" x14ac:dyDescent="0.35">
      <c r="A89" s="77">
        <v>88</v>
      </c>
      <c r="B89" s="106" t="s">
        <v>2983</v>
      </c>
      <c r="C89" s="107" t="s">
        <v>6573</v>
      </c>
      <c r="D89" s="108" t="s">
        <v>2942</v>
      </c>
      <c r="E89" s="109" t="s">
        <v>2943</v>
      </c>
      <c r="F89" s="110">
        <v>633488445</v>
      </c>
      <c r="G89" s="108" t="s">
        <v>1004</v>
      </c>
      <c r="H89" s="111" t="s">
        <v>3402</v>
      </c>
      <c r="I89" s="111" t="s">
        <v>180</v>
      </c>
      <c r="J89" s="111" t="s">
        <v>4649</v>
      </c>
      <c r="K89" s="111" t="s">
        <v>3159</v>
      </c>
      <c r="L89" s="112">
        <v>45195</v>
      </c>
      <c r="M89" s="111" t="s">
        <v>2122</v>
      </c>
      <c r="N89" s="113"/>
      <c r="O89" s="114" t="s">
        <v>7369</v>
      </c>
      <c r="P89" s="114" t="s">
        <v>4470</v>
      </c>
      <c r="Q89" s="114" t="s">
        <v>7309</v>
      </c>
      <c r="R89" s="114" t="s">
        <v>7318</v>
      </c>
      <c r="S89" s="114" t="s">
        <v>7309</v>
      </c>
      <c r="T89" s="114" t="s">
        <v>183</v>
      </c>
      <c r="U89" s="114" t="s">
        <v>183</v>
      </c>
      <c r="V89" s="115"/>
      <c r="W89" s="116" t="s">
        <v>2944</v>
      </c>
      <c r="X89" s="116" t="s">
        <v>2945</v>
      </c>
      <c r="Y89" s="117">
        <v>3485838</v>
      </c>
      <c r="Z89" s="117">
        <v>3486367</v>
      </c>
      <c r="AA89" s="118"/>
      <c r="AB89" s="119" t="s">
        <v>5584</v>
      </c>
      <c r="AC89" s="119" t="s">
        <v>2984</v>
      </c>
      <c r="AD89" s="119">
        <v>4355</v>
      </c>
      <c r="AE89" s="119" t="s">
        <v>2946</v>
      </c>
      <c r="AF89" s="119" t="s">
        <v>6053</v>
      </c>
      <c r="AG89" s="120"/>
      <c r="AH89" s="121">
        <v>45195</v>
      </c>
      <c r="AI89" s="121">
        <v>45240</v>
      </c>
      <c r="AJ89" s="121">
        <v>45195</v>
      </c>
      <c r="AK89" s="122">
        <v>45240</v>
      </c>
      <c r="AL89" s="122" t="e">
        <v>#N/A</v>
      </c>
      <c r="AM89" s="122" t="e">
        <v>#N/A</v>
      </c>
      <c r="AN89" s="122" t="e">
        <v>#N/A</v>
      </c>
      <c r="AO89" s="121" t="e">
        <v>#N/A</v>
      </c>
      <c r="AP89" s="122" t="e">
        <v>#N/A</v>
      </c>
      <c r="AQ89" s="122" t="e">
        <v>#N/A</v>
      </c>
      <c r="AR89" s="122" t="e">
        <v>#N/A</v>
      </c>
      <c r="AS89" s="122" t="e">
        <v>#N/A</v>
      </c>
      <c r="AT89" s="122" t="e">
        <v>#N/A</v>
      </c>
      <c r="AU89" s="121" t="e">
        <v>#N/A</v>
      </c>
      <c r="AV89" s="122" t="e">
        <v>#N/A</v>
      </c>
      <c r="AW89" s="122">
        <v>45747</v>
      </c>
      <c r="AX89" s="122" t="e">
        <v>#N/A</v>
      </c>
      <c r="AY89" s="122" t="e">
        <v>#N/A</v>
      </c>
      <c r="AZ89" s="122" t="e">
        <v>#N/A</v>
      </c>
      <c r="BA89" s="122" t="e">
        <v>#N/A</v>
      </c>
      <c r="BB89" s="122" t="e">
        <v>#N/A</v>
      </c>
      <c r="BC89" s="122" t="e">
        <v>#N/A</v>
      </c>
      <c r="BD89" s="122" t="e">
        <v>#N/A</v>
      </c>
      <c r="BE89" s="122" t="e">
        <v>#N/A</v>
      </c>
      <c r="BF89" s="122">
        <v>45275</v>
      </c>
      <c r="BG89" s="122" t="e">
        <v>#N/A</v>
      </c>
      <c r="BH89" s="122" t="e">
        <v>#N/A</v>
      </c>
      <c r="BI89" s="122" t="e">
        <v>#N/A</v>
      </c>
      <c r="BJ89" s="122" t="e">
        <v>#N/A</v>
      </c>
      <c r="BK89" s="122">
        <v>45946</v>
      </c>
      <c r="BL89" s="123"/>
      <c r="BM89" s="124" t="e">
        <v>#N/A</v>
      </c>
      <c r="BN89" s="124" t="e">
        <v>#N/A</v>
      </c>
      <c r="BO89" s="124" t="e">
        <v>#N/A</v>
      </c>
      <c r="BP89" s="124" t="e">
        <v>#N/A</v>
      </c>
      <c r="BQ89" s="124" t="e">
        <v>#N/A</v>
      </c>
      <c r="BR89" s="124" t="e">
        <v>#N/A</v>
      </c>
      <c r="BS89" s="124" t="e">
        <v>#N/A</v>
      </c>
      <c r="BT89" s="124" t="e">
        <v>#N/A</v>
      </c>
      <c r="BU89" s="124" t="e">
        <v>#N/A</v>
      </c>
      <c r="BV89" s="124" t="e">
        <v>#N/A</v>
      </c>
      <c r="BW89" s="124" t="e">
        <v>#N/A</v>
      </c>
      <c r="BX89" s="124" t="e">
        <v>#N/A</v>
      </c>
      <c r="BY89" s="124" t="e">
        <v>#N/A</v>
      </c>
      <c r="BZ89" s="124" t="e">
        <v>#N/A</v>
      </c>
      <c r="CA89" s="125"/>
      <c r="CB89" s="124" t="e">
        <v>#N/A</v>
      </c>
      <c r="CC89" s="126">
        <v>1</v>
      </c>
      <c r="CD89" s="127" t="s">
        <v>4181</v>
      </c>
      <c r="CE89" s="128"/>
      <c r="CF89" s="77" t="e">
        <v>#N/A</v>
      </c>
    </row>
    <row r="90" spans="1:84" ht="14.5" x14ac:dyDescent="0.35">
      <c r="A90" s="77">
        <v>89</v>
      </c>
      <c r="B90" s="106" t="s">
        <v>6273</v>
      </c>
      <c r="C90" s="107" t="s">
        <v>6274</v>
      </c>
      <c r="D90" s="108" t="s">
        <v>2610</v>
      </c>
      <c r="E90" s="109" t="s">
        <v>2611</v>
      </c>
      <c r="F90" s="110">
        <v>617022366</v>
      </c>
      <c r="G90" s="108" t="s">
        <v>1004</v>
      </c>
      <c r="H90" s="111" t="s">
        <v>3402</v>
      </c>
      <c r="I90" s="111" t="s">
        <v>180</v>
      </c>
      <c r="J90" s="111" t="s">
        <v>4649</v>
      </c>
      <c r="K90" s="111" t="s">
        <v>3159</v>
      </c>
      <c r="L90" s="112">
        <v>44956</v>
      </c>
      <c r="M90" s="111" t="s">
        <v>181</v>
      </c>
      <c r="N90" s="113"/>
      <c r="O90" s="114" t="s">
        <v>184</v>
      </c>
      <c r="P90" s="114" t="s">
        <v>184</v>
      </c>
      <c r="Q90" s="114" t="s">
        <v>184</v>
      </c>
      <c r="R90" s="114" t="s">
        <v>7370</v>
      </c>
      <c r="S90" s="114" t="s">
        <v>184</v>
      </c>
      <c r="T90" s="114" t="s">
        <v>183</v>
      </c>
      <c r="U90" s="114" t="s">
        <v>183</v>
      </c>
      <c r="V90" s="115"/>
      <c r="W90" s="116" t="s">
        <v>2612</v>
      </c>
      <c r="X90" s="116" t="s">
        <v>2613</v>
      </c>
      <c r="Y90" s="117">
        <v>3485152</v>
      </c>
      <c r="Z90" s="117">
        <v>3481457</v>
      </c>
      <c r="AA90" s="118"/>
      <c r="AB90" s="119" t="s">
        <v>5548</v>
      </c>
      <c r="AC90" s="119" t="s">
        <v>2704</v>
      </c>
      <c r="AD90" s="119">
        <v>4607</v>
      </c>
      <c r="AE90" s="119" t="s">
        <v>2621</v>
      </c>
      <c r="AF90" s="119" t="s">
        <v>6054</v>
      </c>
      <c r="AG90" s="120"/>
      <c r="AH90" s="121">
        <v>45058</v>
      </c>
      <c r="AI90" s="121">
        <v>45062</v>
      </c>
      <c r="AJ90" s="121">
        <v>45062</v>
      </c>
      <c r="AK90" s="122">
        <v>45062</v>
      </c>
      <c r="AL90" s="122" t="e">
        <v>#N/A</v>
      </c>
      <c r="AM90" s="121" t="e">
        <v>#N/A</v>
      </c>
      <c r="AN90" s="121" t="e">
        <v>#N/A</v>
      </c>
      <c r="AO90" s="121" t="e">
        <v>#N/A</v>
      </c>
      <c r="AP90" s="122" t="e">
        <v>#N/A</v>
      </c>
      <c r="AQ90" s="122" t="e">
        <v>#N/A</v>
      </c>
      <c r="AR90" s="122" t="e">
        <v>#N/A</v>
      </c>
      <c r="AS90" s="122" t="e">
        <v>#N/A</v>
      </c>
      <c r="AT90" s="122" t="e">
        <v>#N/A</v>
      </c>
      <c r="AU90" s="121" t="e">
        <v>#N/A</v>
      </c>
      <c r="AV90" s="122" t="e">
        <v>#N/A</v>
      </c>
      <c r="AW90" s="122">
        <v>45733</v>
      </c>
      <c r="AX90" s="122" t="e">
        <v>#N/A</v>
      </c>
      <c r="AY90" s="122" t="e">
        <v>#N/A</v>
      </c>
      <c r="AZ90" s="122" t="e">
        <v>#N/A</v>
      </c>
      <c r="BA90" s="122" t="e">
        <v>#N/A</v>
      </c>
      <c r="BB90" s="122" t="e">
        <v>#N/A</v>
      </c>
      <c r="BC90" s="122" t="e">
        <v>#N/A</v>
      </c>
      <c r="BD90" s="122" t="e">
        <v>#N/A</v>
      </c>
      <c r="BE90" s="122" t="e">
        <v>#N/A</v>
      </c>
      <c r="BF90" s="122" t="e">
        <v>#N/A</v>
      </c>
      <c r="BG90" s="122" t="e">
        <v>#N/A</v>
      </c>
      <c r="BH90" s="122" t="e">
        <v>#N/A</v>
      </c>
      <c r="BI90" s="122" t="e">
        <v>#N/A</v>
      </c>
      <c r="BJ90" s="122" t="e">
        <v>#N/A</v>
      </c>
      <c r="BK90" s="122">
        <v>45945</v>
      </c>
      <c r="BL90" s="123"/>
      <c r="BM90" s="124" t="e">
        <v>#N/A</v>
      </c>
      <c r="BN90" s="124" t="e">
        <v>#N/A</v>
      </c>
      <c r="BO90" s="124" t="e">
        <v>#N/A</v>
      </c>
      <c r="BP90" s="124" t="e">
        <v>#N/A</v>
      </c>
      <c r="BQ90" s="124" t="e">
        <v>#N/A</v>
      </c>
      <c r="BR90" s="124" t="e">
        <v>#N/A</v>
      </c>
      <c r="BS90" s="124" t="e">
        <v>#N/A</v>
      </c>
      <c r="BT90" s="124" t="e">
        <v>#N/A</v>
      </c>
      <c r="BU90" s="124" t="e">
        <v>#N/A</v>
      </c>
      <c r="BV90" s="124" t="e">
        <v>#N/A</v>
      </c>
      <c r="BW90" s="124" t="e">
        <v>#N/A</v>
      </c>
      <c r="BX90" s="124" t="e">
        <v>#N/A</v>
      </c>
      <c r="BY90" s="124" t="e">
        <v>#N/A</v>
      </c>
      <c r="BZ90" s="124" t="e">
        <v>#N/A</v>
      </c>
      <c r="CA90" s="125"/>
      <c r="CB90" s="124" t="e">
        <v>#N/A</v>
      </c>
      <c r="CC90" s="126">
        <v>1</v>
      </c>
      <c r="CD90" s="127" t="e">
        <v>#N/A</v>
      </c>
      <c r="CE90" s="128"/>
      <c r="CF90" s="77" t="e">
        <v>#N/A</v>
      </c>
    </row>
    <row r="91" spans="1:84" ht="14.5" x14ac:dyDescent="0.35">
      <c r="A91" s="77">
        <v>90</v>
      </c>
      <c r="B91" s="106" t="s">
        <v>4223</v>
      </c>
      <c r="C91" s="107" t="s">
        <v>6728</v>
      </c>
      <c r="D91" s="108" t="s">
        <v>4224</v>
      </c>
      <c r="E91" s="109" t="s">
        <v>4225</v>
      </c>
      <c r="F91" s="110">
        <v>637475522</v>
      </c>
      <c r="G91" s="108" t="s">
        <v>1004</v>
      </c>
      <c r="H91" s="111" t="s">
        <v>3401</v>
      </c>
      <c r="I91" s="111" t="s">
        <v>180</v>
      </c>
      <c r="J91" s="111" t="s">
        <v>4649</v>
      </c>
      <c r="K91" s="111" t="s">
        <v>3367</v>
      </c>
      <c r="L91" s="112">
        <v>45644</v>
      </c>
      <c r="M91" s="111" t="s">
        <v>2122</v>
      </c>
      <c r="N91" s="113"/>
      <c r="O91" s="114" t="s">
        <v>310</v>
      </c>
      <c r="P91" s="114" t="s">
        <v>7371</v>
      </c>
      <c r="Q91" s="114" t="s">
        <v>285</v>
      </c>
      <c r="R91" s="114" t="s">
        <v>310</v>
      </c>
      <c r="S91" s="114" t="s">
        <v>7372</v>
      </c>
      <c r="T91" s="114" t="s">
        <v>183</v>
      </c>
      <c r="U91" s="114" t="s">
        <v>183</v>
      </c>
      <c r="V91" s="115"/>
      <c r="W91" s="116" t="s">
        <v>4226</v>
      </c>
      <c r="X91" s="116" t="s">
        <v>4227</v>
      </c>
      <c r="Y91" s="117">
        <v>3485260</v>
      </c>
      <c r="Z91" s="117">
        <v>3486464</v>
      </c>
      <c r="AA91" s="118"/>
      <c r="AB91" s="119" t="s">
        <v>5585</v>
      </c>
      <c r="AC91" s="119" t="s">
        <v>4228</v>
      </c>
      <c r="AD91" s="119">
        <v>5208</v>
      </c>
      <c r="AE91" s="119" t="s">
        <v>4229</v>
      </c>
      <c r="AF91" s="119" t="s">
        <v>7373</v>
      </c>
      <c r="AG91" s="120"/>
      <c r="AH91" s="121">
        <v>45644</v>
      </c>
      <c r="AI91" s="121">
        <v>45644</v>
      </c>
      <c r="AJ91" s="121">
        <v>45644</v>
      </c>
      <c r="AK91" s="122">
        <v>45733</v>
      </c>
      <c r="AL91" s="122" t="e">
        <v>#N/A</v>
      </c>
      <c r="AM91" s="121" t="e">
        <v>#N/A</v>
      </c>
      <c r="AN91" s="121" t="e">
        <v>#N/A</v>
      </c>
      <c r="AO91" s="121" t="e">
        <v>#N/A</v>
      </c>
      <c r="AP91" s="122" t="e">
        <v>#N/A</v>
      </c>
      <c r="AQ91" s="122" t="e">
        <v>#N/A</v>
      </c>
      <c r="AR91" s="122" t="e">
        <v>#N/A</v>
      </c>
      <c r="AS91" s="122" t="e">
        <v>#N/A</v>
      </c>
      <c r="AT91" s="122" t="e">
        <v>#N/A</v>
      </c>
      <c r="AU91" s="121" t="e">
        <v>#N/A</v>
      </c>
      <c r="AV91" s="122" t="e">
        <v>#N/A</v>
      </c>
      <c r="AW91" s="122">
        <v>45748</v>
      </c>
      <c r="AX91" s="122" t="e">
        <v>#N/A</v>
      </c>
      <c r="AY91" s="122" t="e">
        <v>#N/A</v>
      </c>
      <c r="AZ91" s="122" t="e">
        <v>#N/A</v>
      </c>
      <c r="BA91" s="122" t="e">
        <v>#N/A</v>
      </c>
      <c r="BB91" s="122" t="e">
        <v>#N/A</v>
      </c>
      <c r="BC91" s="122" t="e">
        <v>#N/A</v>
      </c>
      <c r="BD91" s="122" t="e">
        <v>#N/A</v>
      </c>
      <c r="BE91" s="122" t="e">
        <v>#N/A</v>
      </c>
      <c r="BF91" s="122">
        <v>45818</v>
      </c>
      <c r="BG91" s="122" t="e">
        <v>#N/A</v>
      </c>
      <c r="BH91" s="122" t="e">
        <v>#N/A</v>
      </c>
      <c r="BI91" s="122" t="e">
        <v>#N/A</v>
      </c>
      <c r="BJ91" s="122" t="e">
        <v>#N/A</v>
      </c>
      <c r="BK91" s="122">
        <v>45981</v>
      </c>
      <c r="BL91" s="123"/>
      <c r="BM91" s="124" t="e">
        <v>#N/A</v>
      </c>
      <c r="BN91" s="124" t="e">
        <v>#N/A</v>
      </c>
      <c r="BO91" s="124" t="e">
        <v>#N/A</v>
      </c>
      <c r="BP91" s="124" t="e">
        <v>#N/A</v>
      </c>
      <c r="BQ91" s="124" t="e">
        <v>#N/A</v>
      </c>
      <c r="BR91" s="124" t="e">
        <v>#N/A</v>
      </c>
      <c r="BS91" s="124" t="e">
        <v>#N/A</v>
      </c>
      <c r="BT91" s="124" t="e">
        <v>#N/A</v>
      </c>
      <c r="BU91" s="124" t="e">
        <v>#N/A</v>
      </c>
      <c r="BV91" s="124" t="e">
        <v>#N/A</v>
      </c>
      <c r="BW91" s="124" t="e">
        <v>#N/A</v>
      </c>
      <c r="BX91" s="124" t="e">
        <v>#N/A</v>
      </c>
      <c r="BY91" s="124" t="e">
        <v>#N/A</v>
      </c>
      <c r="BZ91" s="124" t="e">
        <v>#N/A</v>
      </c>
      <c r="CA91" s="125"/>
      <c r="CB91" s="124" t="e">
        <v>#N/A</v>
      </c>
      <c r="CC91" s="126">
        <v>1</v>
      </c>
      <c r="CD91" s="127" t="s">
        <v>4211</v>
      </c>
      <c r="CE91" s="128"/>
      <c r="CF91" s="77" t="e">
        <v>#N/A</v>
      </c>
    </row>
    <row r="92" spans="1:84" ht="14.5" x14ac:dyDescent="0.35">
      <c r="A92" s="77">
        <v>91</v>
      </c>
      <c r="B92" s="106" t="s">
        <v>2086</v>
      </c>
      <c r="C92" s="107" t="s">
        <v>6493</v>
      </c>
      <c r="D92" s="108" t="s">
        <v>2034</v>
      </c>
      <c r="E92" s="109" t="s">
        <v>2035</v>
      </c>
      <c r="F92" s="110" t="s">
        <v>2036</v>
      </c>
      <c r="G92" s="108" t="s">
        <v>1004</v>
      </c>
      <c r="H92" s="111" t="s">
        <v>3401</v>
      </c>
      <c r="I92" s="111" t="s">
        <v>180</v>
      </c>
      <c r="J92" s="111" t="s">
        <v>4649</v>
      </c>
      <c r="K92" s="111" t="s">
        <v>2861</v>
      </c>
      <c r="L92" s="112">
        <v>44952</v>
      </c>
      <c r="M92" s="111" t="s">
        <v>2122</v>
      </c>
      <c r="N92" s="113"/>
      <c r="O92" s="114" t="s">
        <v>184</v>
      </c>
      <c r="P92" s="114" t="s">
        <v>184</v>
      </c>
      <c r="Q92" s="114" t="s">
        <v>183</v>
      </c>
      <c r="R92" s="114" t="s">
        <v>7374</v>
      </c>
      <c r="S92" s="114" t="s">
        <v>184</v>
      </c>
      <c r="T92" s="114" t="s">
        <v>184</v>
      </c>
      <c r="U92" s="114" t="s">
        <v>184</v>
      </c>
      <c r="V92" s="115"/>
      <c r="W92" s="116" t="s">
        <v>2037</v>
      </c>
      <c r="X92" s="116" t="s">
        <v>2038</v>
      </c>
      <c r="Y92" s="117">
        <v>3485705</v>
      </c>
      <c r="Z92" s="117">
        <v>3486244</v>
      </c>
      <c r="AA92" s="118"/>
      <c r="AB92" s="119" t="s">
        <v>2060</v>
      </c>
      <c r="AC92" s="119" t="s">
        <v>2061</v>
      </c>
      <c r="AD92" s="119">
        <v>4444</v>
      </c>
      <c r="AE92" s="119" t="s">
        <v>2062</v>
      </c>
      <c r="AF92" s="119" t="s">
        <v>7375</v>
      </c>
      <c r="AG92" s="120"/>
      <c r="AH92" s="121">
        <v>44754</v>
      </c>
      <c r="AI92" s="121">
        <v>44771</v>
      </c>
      <c r="AJ92" s="121">
        <v>44771</v>
      </c>
      <c r="AK92" s="122">
        <v>44988</v>
      </c>
      <c r="AL92" s="122" t="e">
        <v>#N/A</v>
      </c>
      <c r="AM92" s="121" t="e">
        <v>#N/A</v>
      </c>
      <c r="AN92" s="121" t="e">
        <v>#N/A</v>
      </c>
      <c r="AO92" s="121" t="e">
        <v>#N/A</v>
      </c>
      <c r="AP92" s="122" t="e">
        <v>#N/A</v>
      </c>
      <c r="AQ92" s="122" t="e">
        <v>#N/A</v>
      </c>
      <c r="AR92" s="122" t="e">
        <v>#N/A</v>
      </c>
      <c r="AS92" s="122" t="e">
        <v>#N/A</v>
      </c>
      <c r="AT92" s="122" t="e">
        <v>#N/A</v>
      </c>
      <c r="AU92" s="121" t="e">
        <v>#N/A</v>
      </c>
      <c r="AV92" s="122" t="e">
        <v>#N/A</v>
      </c>
      <c r="AW92" s="122">
        <v>45688</v>
      </c>
      <c r="AX92" s="122" t="e">
        <v>#N/A</v>
      </c>
      <c r="AY92" s="122" t="e">
        <v>#N/A</v>
      </c>
      <c r="AZ92" s="122" t="e">
        <v>#N/A</v>
      </c>
      <c r="BA92" s="122" t="e">
        <v>#N/A</v>
      </c>
      <c r="BB92" s="122" t="e">
        <v>#N/A</v>
      </c>
      <c r="BC92" s="122">
        <v>45406</v>
      </c>
      <c r="BD92" s="122" t="e">
        <v>#N/A</v>
      </c>
      <c r="BE92" s="122" t="e">
        <v>#N/A</v>
      </c>
      <c r="BF92" s="122">
        <v>45226</v>
      </c>
      <c r="BG92" s="122" t="e">
        <v>#N/A</v>
      </c>
      <c r="BH92" s="122" t="e">
        <v>#N/A</v>
      </c>
      <c r="BI92" s="122" t="e">
        <v>#N/A</v>
      </c>
      <c r="BJ92" s="122" t="e">
        <v>#N/A</v>
      </c>
      <c r="BK92" s="122">
        <v>46007</v>
      </c>
      <c r="BL92" s="123"/>
      <c r="BM92" s="124" t="e">
        <v>#N/A</v>
      </c>
      <c r="BN92" s="124" t="e">
        <v>#N/A</v>
      </c>
      <c r="BO92" s="124" t="e">
        <v>#N/A</v>
      </c>
      <c r="BP92" s="124" t="e">
        <v>#N/A</v>
      </c>
      <c r="BQ92" s="124" t="e">
        <v>#N/A</v>
      </c>
      <c r="BR92" s="124" t="e">
        <v>#N/A</v>
      </c>
      <c r="BS92" s="124" t="e">
        <v>#N/A</v>
      </c>
      <c r="BT92" s="124" t="e">
        <v>#N/A</v>
      </c>
      <c r="BU92" s="124" t="e">
        <v>#N/A</v>
      </c>
      <c r="BV92" s="124" t="e">
        <v>#N/A</v>
      </c>
      <c r="BW92" s="124" t="e">
        <v>#N/A</v>
      </c>
      <c r="BX92" s="124" t="e">
        <v>#N/A</v>
      </c>
      <c r="BY92" s="124" t="e">
        <v>#N/A</v>
      </c>
      <c r="BZ92" s="124" t="e">
        <v>#N/A</v>
      </c>
      <c r="CA92" s="125"/>
      <c r="CB92" s="124" t="e">
        <v>#N/A</v>
      </c>
      <c r="CC92" s="126">
        <v>1</v>
      </c>
      <c r="CD92" s="127" t="s">
        <v>4159</v>
      </c>
      <c r="CE92" s="128"/>
      <c r="CF92" s="77" t="e">
        <v>#N/A</v>
      </c>
    </row>
    <row r="93" spans="1:84" ht="14.5" x14ac:dyDescent="0.35">
      <c r="A93" s="77">
        <v>92</v>
      </c>
      <c r="B93" s="106" t="s">
        <v>122</v>
      </c>
      <c r="C93" s="107" t="s">
        <v>1115</v>
      </c>
      <c r="D93" s="108" t="s">
        <v>755</v>
      </c>
      <c r="E93" s="109" t="s">
        <v>756</v>
      </c>
      <c r="F93" s="110">
        <v>658475471</v>
      </c>
      <c r="G93" s="108" t="s">
        <v>1004</v>
      </c>
      <c r="H93" s="111" t="s">
        <v>3390</v>
      </c>
      <c r="I93" s="111" t="s">
        <v>180</v>
      </c>
      <c r="J93" s="111" t="s">
        <v>4649</v>
      </c>
      <c r="K93" s="111" t="s">
        <v>3156</v>
      </c>
      <c r="L93" s="112">
        <v>43242</v>
      </c>
      <c r="M93" s="111" t="s">
        <v>984</v>
      </c>
      <c r="N93" s="113"/>
      <c r="O93" s="114" t="s">
        <v>7108</v>
      </c>
      <c r="P93" s="114" t="s">
        <v>7108</v>
      </c>
      <c r="Q93" s="114" t="s">
        <v>7108</v>
      </c>
      <c r="R93" s="114" t="s">
        <v>7108</v>
      </c>
      <c r="S93" s="114" t="s">
        <v>7108</v>
      </c>
      <c r="T93" s="114" t="s">
        <v>183</v>
      </c>
      <c r="U93" s="114" t="s">
        <v>183</v>
      </c>
      <c r="V93" s="115"/>
      <c r="W93" s="116" t="s">
        <v>757</v>
      </c>
      <c r="X93" s="116" t="s">
        <v>758</v>
      </c>
      <c r="Y93" s="117">
        <v>3486032</v>
      </c>
      <c r="Z93" s="117">
        <v>3481094</v>
      </c>
      <c r="AA93" s="118"/>
      <c r="AB93" s="119" t="s">
        <v>759</v>
      </c>
      <c r="AC93" s="119" t="s">
        <v>1116</v>
      </c>
      <c r="AD93" s="119">
        <v>27896</v>
      </c>
      <c r="AE93" s="119" t="s">
        <v>4608</v>
      </c>
      <c r="AF93" s="119" t="s">
        <v>7109</v>
      </c>
      <c r="AG93" s="120"/>
      <c r="AH93" s="121">
        <v>44197</v>
      </c>
      <c r="AI93" s="121">
        <v>44197</v>
      </c>
      <c r="AJ93" s="121">
        <v>44197</v>
      </c>
      <c r="AK93" s="122">
        <v>44197</v>
      </c>
      <c r="AL93" s="122">
        <v>44851</v>
      </c>
      <c r="AM93" s="122" t="e">
        <v>#N/A</v>
      </c>
      <c r="AN93" s="122" t="s">
        <v>7059</v>
      </c>
      <c r="AO93" s="121" t="e">
        <v>#N/A</v>
      </c>
      <c r="AP93" s="122" t="e">
        <v>#N/A</v>
      </c>
      <c r="AQ93" s="122" t="e">
        <v>#N/A</v>
      </c>
      <c r="AR93" s="122" t="e">
        <v>#N/A</v>
      </c>
      <c r="AS93" s="122" t="e">
        <v>#N/A</v>
      </c>
      <c r="AT93" s="122" t="e">
        <v>#N/A</v>
      </c>
      <c r="AU93" s="121" t="e">
        <v>#N/A</v>
      </c>
      <c r="AV93" s="122" t="e">
        <v>#N/A</v>
      </c>
      <c r="AW93" s="122">
        <v>45643</v>
      </c>
      <c r="AX93" s="122" t="e">
        <v>#N/A</v>
      </c>
      <c r="AY93" s="122" t="e">
        <v>#N/A</v>
      </c>
      <c r="AZ93" s="122" t="e">
        <v>#N/A</v>
      </c>
      <c r="BA93" s="122" t="e">
        <v>#N/A</v>
      </c>
      <c r="BB93" s="122" t="e">
        <v>#N/A</v>
      </c>
      <c r="BC93" s="122" t="e">
        <v>#N/A</v>
      </c>
      <c r="BD93" s="122" t="e">
        <v>#N/A</v>
      </c>
      <c r="BE93" s="122" t="e">
        <v>#N/A</v>
      </c>
      <c r="BF93" s="122" t="e">
        <v>#N/A</v>
      </c>
      <c r="BG93" s="122" t="e">
        <v>#N/A</v>
      </c>
      <c r="BH93" s="122" t="e">
        <v>#N/A</v>
      </c>
      <c r="BI93" s="122" t="e">
        <v>#N/A</v>
      </c>
      <c r="BJ93" s="122" t="e">
        <v>#N/A</v>
      </c>
      <c r="BK93" s="122">
        <v>45964</v>
      </c>
      <c r="BL93" s="123"/>
      <c r="BM93" s="124" t="e">
        <v>#N/A</v>
      </c>
      <c r="BN93" s="124" t="e">
        <v>#N/A</v>
      </c>
      <c r="BO93" s="124" t="e">
        <v>#N/A</v>
      </c>
      <c r="BP93" s="124" t="e">
        <v>#N/A</v>
      </c>
      <c r="BQ93" s="124" t="e">
        <v>#N/A</v>
      </c>
      <c r="BR93" s="124" t="e">
        <v>#N/A</v>
      </c>
      <c r="BS93" s="124" t="e">
        <v>#N/A</v>
      </c>
      <c r="BT93" s="124" t="e">
        <v>#N/A</v>
      </c>
      <c r="BU93" s="124" t="e">
        <v>#N/A</v>
      </c>
      <c r="BV93" s="124" t="e">
        <v>#N/A</v>
      </c>
      <c r="BW93" s="124" t="e">
        <v>#N/A</v>
      </c>
      <c r="BX93" s="124" t="e">
        <v>#N/A</v>
      </c>
      <c r="BY93" s="124" t="e">
        <v>#N/A</v>
      </c>
      <c r="BZ93" s="124" t="e">
        <v>#N/A</v>
      </c>
      <c r="CA93" s="125"/>
      <c r="CB93" s="124">
        <v>45728</v>
      </c>
      <c r="CC93" s="126">
        <v>1</v>
      </c>
      <c r="CD93" s="127" t="s">
        <v>4169</v>
      </c>
      <c r="CE93" s="128"/>
      <c r="CF93" s="77" t="e">
        <v>#N/A</v>
      </c>
    </row>
    <row r="94" spans="1:84" ht="14.5" x14ac:dyDescent="0.35">
      <c r="A94" s="77">
        <v>93</v>
      </c>
      <c r="B94" s="106" t="s">
        <v>2699</v>
      </c>
      <c r="C94" s="107" t="s">
        <v>6467</v>
      </c>
      <c r="D94" s="108" t="s">
        <v>2700</v>
      </c>
      <c r="E94" s="109" t="s">
        <v>2701</v>
      </c>
      <c r="F94" s="110">
        <v>616509872</v>
      </c>
      <c r="G94" s="108" t="s">
        <v>1004</v>
      </c>
      <c r="H94" s="111" t="s">
        <v>3390</v>
      </c>
      <c r="I94" s="111" t="s">
        <v>180</v>
      </c>
      <c r="J94" s="111" t="s">
        <v>4649</v>
      </c>
      <c r="K94" s="111" t="s">
        <v>3156</v>
      </c>
      <c r="L94" s="112">
        <v>45065</v>
      </c>
      <c r="M94" s="111" t="s">
        <v>2967</v>
      </c>
      <c r="N94" s="113"/>
      <c r="O94" s="114" t="s">
        <v>2055</v>
      </c>
      <c r="P94" s="114" t="s">
        <v>286</v>
      </c>
      <c r="Q94" s="114" t="s">
        <v>183</v>
      </c>
      <c r="R94" s="114" t="s">
        <v>7376</v>
      </c>
      <c r="S94" s="114" t="s">
        <v>286</v>
      </c>
      <c r="T94" s="114" t="s">
        <v>2055</v>
      </c>
      <c r="U94" s="114" t="s">
        <v>2055</v>
      </c>
      <c r="V94" s="115"/>
      <c r="W94" s="116" t="s">
        <v>2702</v>
      </c>
      <c r="X94" s="116" t="s">
        <v>2703</v>
      </c>
      <c r="Y94" s="117">
        <v>3485777</v>
      </c>
      <c r="Z94" s="117">
        <v>3481466</v>
      </c>
      <c r="AA94" s="118"/>
      <c r="AB94" s="119" t="s">
        <v>5586</v>
      </c>
      <c r="AC94" s="119" t="s">
        <v>2724</v>
      </c>
      <c r="AD94" s="119">
        <v>26381</v>
      </c>
      <c r="AE94" s="119" t="s">
        <v>4126</v>
      </c>
      <c r="AF94" s="119" t="s">
        <v>7377</v>
      </c>
      <c r="AG94" s="120"/>
      <c r="AH94" s="121">
        <v>45064</v>
      </c>
      <c r="AI94" s="121">
        <v>45064</v>
      </c>
      <c r="AJ94" s="121">
        <v>45064</v>
      </c>
      <c r="AK94" s="122">
        <v>45064</v>
      </c>
      <c r="AL94" s="122" t="e">
        <v>#N/A</v>
      </c>
      <c r="AM94" s="121" t="e">
        <v>#N/A</v>
      </c>
      <c r="AN94" s="121" t="s">
        <v>7116</v>
      </c>
      <c r="AO94" s="121" t="e">
        <v>#N/A</v>
      </c>
      <c r="AP94" s="122" t="e">
        <v>#N/A</v>
      </c>
      <c r="AQ94" s="122" t="e">
        <v>#N/A</v>
      </c>
      <c r="AR94" s="122" t="e">
        <v>#N/A</v>
      </c>
      <c r="AS94" s="122" t="e">
        <v>#N/A</v>
      </c>
      <c r="AT94" s="122" t="e">
        <v>#N/A</v>
      </c>
      <c r="AU94" s="121" t="e">
        <v>#N/A</v>
      </c>
      <c r="AV94" s="122" t="e">
        <v>#N/A</v>
      </c>
      <c r="AW94" s="122">
        <v>45755</v>
      </c>
      <c r="AX94" s="122" t="e">
        <v>#N/A</v>
      </c>
      <c r="AY94" s="122">
        <v>45173</v>
      </c>
      <c r="AZ94" s="122" t="e">
        <v>#N/A</v>
      </c>
      <c r="BA94" s="122">
        <v>45244</v>
      </c>
      <c r="BB94" s="122" t="e">
        <v>#N/A</v>
      </c>
      <c r="BC94" s="122" t="e">
        <v>#N/A</v>
      </c>
      <c r="BD94" s="122" t="e">
        <v>#N/A</v>
      </c>
      <c r="BE94" s="122" t="e">
        <v>#N/A</v>
      </c>
      <c r="BF94" s="122" t="e">
        <v>#N/A</v>
      </c>
      <c r="BG94" s="122" t="e">
        <v>#N/A</v>
      </c>
      <c r="BH94" s="122" t="e">
        <v>#N/A</v>
      </c>
      <c r="BI94" s="122" t="e">
        <v>#N/A</v>
      </c>
      <c r="BJ94" s="122" t="e">
        <v>#N/A</v>
      </c>
      <c r="BK94" s="122">
        <v>45978</v>
      </c>
      <c r="BL94" s="123"/>
      <c r="BM94" s="124" t="e">
        <v>#N/A</v>
      </c>
      <c r="BN94" s="124" t="e">
        <v>#N/A</v>
      </c>
      <c r="BO94" s="124" t="e">
        <v>#N/A</v>
      </c>
      <c r="BP94" s="124" t="e">
        <v>#N/A</v>
      </c>
      <c r="BQ94" s="124" t="e">
        <v>#N/A</v>
      </c>
      <c r="BR94" s="124" t="e">
        <v>#N/A</v>
      </c>
      <c r="BS94" s="124" t="e">
        <v>#N/A</v>
      </c>
      <c r="BT94" s="124" t="e">
        <v>#N/A</v>
      </c>
      <c r="BU94" s="124" t="e">
        <v>#N/A</v>
      </c>
      <c r="BV94" s="124" t="e">
        <v>#N/A</v>
      </c>
      <c r="BW94" s="124" t="e">
        <v>#N/A</v>
      </c>
      <c r="BX94" s="124" t="e">
        <v>#N/A</v>
      </c>
      <c r="BY94" s="124" t="e">
        <v>#N/A</v>
      </c>
      <c r="BZ94" s="124" t="e">
        <v>#N/A</v>
      </c>
      <c r="CA94" s="125"/>
      <c r="CB94" s="124">
        <v>45734</v>
      </c>
      <c r="CC94" s="126">
        <v>1</v>
      </c>
      <c r="CD94" s="127" t="s">
        <v>4165</v>
      </c>
      <c r="CE94" s="128"/>
      <c r="CF94" s="77" t="e">
        <v>#N/A</v>
      </c>
    </row>
    <row r="95" spans="1:84" ht="14.5" x14ac:dyDescent="0.35">
      <c r="A95" s="77">
        <v>94</v>
      </c>
      <c r="B95" s="106" t="s">
        <v>81</v>
      </c>
      <c r="C95" s="107" t="s">
        <v>1351</v>
      </c>
      <c r="D95" s="108" t="s">
        <v>625</v>
      </c>
      <c r="E95" s="109" t="s">
        <v>626</v>
      </c>
      <c r="F95" s="110">
        <v>673213172</v>
      </c>
      <c r="G95" s="108" t="s">
        <v>1004</v>
      </c>
      <c r="H95" s="111" t="s">
        <v>627</v>
      </c>
      <c r="I95" s="111" t="s">
        <v>180</v>
      </c>
      <c r="J95" s="111" t="s">
        <v>4649</v>
      </c>
      <c r="K95" s="111" t="s">
        <v>909</v>
      </c>
      <c r="L95" s="112">
        <v>42515</v>
      </c>
      <c r="M95" s="111" t="s">
        <v>491</v>
      </c>
      <c r="N95" s="113"/>
      <c r="O95" s="114" t="s">
        <v>6024</v>
      </c>
      <c r="P95" s="114" t="s">
        <v>6024</v>
      </c>
      <c r="Q95" s="114" t="s">
        <v>628</v>
      </c>
      <c r="R95" s="114" t="s">
        <v>7378</v>
      </c>
      <c r="S95" s="114" t="s">
        <v>628</v>
      </c>
      <c r="T95" s="114" t="s">
        <v>183</v>
      </c>
      <c r="U95" s="114" t="s">
        <v>183</v>
      </c>
      <c r="V95" s="115"/>
      <c r="W95" s="116" t="s">
        <v>629</v>
      </c>
      <c r="X95" s="116" t="s">
        <v>630</v>
      </c>
      <c r="Y95" s="117">
        <v>3485190</v>
      </c>
      <c r="Z95" s="117">
        <v>3486213</v>
      </c>
      <c r="AA95" s="118"/>
      <c r="AB95" s="119" t="s">
        <v>5587</v>
      </c>
      <c r="AC95" s="119" t="s">
        <v>1352</v>
      </c>
      <c r="AD95" s="119">
        <v>5675</v>
      </c>
      <c r="AE95" s="119" t="s">
        <v>631</v>
      </c>
      <c r="AF95" s="119">
        <v>0</v>
      </c>
      <c r="AG95" s="120"/>
      <c r="AH95" s="121">
        <v>44197</v>
      </c>
      <c r="AI95" s="121">
        <v>44197</v>
      </c>
      <c r="AJ95" s="121">
        <v>44197</v>
      </c>
      <c r="AK95" s="122">
        <v>44197</v>
      </c>
      <c r="AL95" s="122" t="e">
        <v>#N/A</v>
      </c>
      <c r="AM95" s="122">
        <v>45614</v>
      </c>
      <c r="AN95" s="122" t="e">
        <v>#N/A</v>
      </c>
      <c r="AO95" s="121" t="e">
        <v>#N/A</v>
      </c>
      <c r="AP95" s="122" t="e">
        <v>#N/A</v>
      </c>
      <c r="AQ95" s="122" t="e">
        <v>#N/A</v>
      </c>
      <c r="AR95" s="122" t="e">
        <v>#N/A</v>
      </c>
      <c r="AS95" s="122" t="e">
        <v>#N/A</v>
      </c>
      <c r="AT95" s="122" t="e">
        <v>#N/A</v>
      </c>
      <c r="AU95" s="121" t="e">
        <v>#N/A</v>
      </c>
      <c r="AV95" s="122" t="e">
        <v>#N/A</v>
      </c>
      <c r="AW95" s="122" t="e">
        <v>#N/A</v>
      </c>
      <c r="AX95" s="122" t="e">
        <v>#N/A</v>
      </c>
      <c r="AY95" s="122" t="e">
        <v>#N/A</v>
      </c>
      <c r="AZ95" s="122" t="e">
        <v>#N/A</v>
      </c>
      <c r="BA95" s="122" t="e">
        <v>#N/A</v>
      </c>
      <c r="BB95" s="122" t="e">
        <v>#N/A</v>
      </c>
      <c r="BC95" s="122" t="e">
        <v>#N/A</v>
      </c>
      <c r="BD95" s="122" t="e">
        <v>#N/A</v>
      </c>
      <c r="BE95" s="122" t="e">
        <v>#N/A</v>
      </c>
      <c r="BF95" s="122" t="e">
        <v>#N/A</v>
      </c>
      <c r="BG95" s="122" t="e">
        <v>#N/A</v>
      </c>
      <c r="BH95" s="122" t="e">
        <v>#N/A</v>
      </c>
      <c r="BI95" s="122" t="e">
        <v>#N/A</v>
      </c>
      <c r="BJ95" s="122" t="e">
        <v>#N/A</v>
      </c>
      <c r="BK95" s="122" t="e">
        <v>#N/A</v>
      </c>
      <c r="BL95" s="123"/>
      <c r="BM95" s="124" t="e">
        <v>#N/A</v>
      </c>
      <c r="BN95" s="124" t="e">
        <v>#N/A</v>
      </c>
      <c r="BO95" s="124" t="e">
        <v>#N/A</v>
      </c>
      <c r="BP95" s="124" t="e">
        <v>#N/A</v>
      </c>
      <c r="BQ95" s="124" t="e">
        <v>#N/A</v>
      </c>
      <c r="BR95" s="124" t="e">
        <v>#N/A</v>
      </c>
      <c r="BS95" s="124" t="e">
        <v>#N/A</v>
      </c>
      <c r="BT95" s="124" t="e">
        <v>#N/A</v>
      </c>
      <c r="BU95" s="124" t="e">
        <v>#N/A</v>
      </c>
      <c r="BV95" s="124" t="e">
        <v>#N/A</v>
      </c>
      <c r="BW95" s="124" t="e">
        <v>#N/A</v>
      </c>
      <c r="BX95" s="124" t="e">
        <v>#N/A</v>
      </c>
      <c r="BY95" s="124" t="e">
        <v>#N/A</v>
      </c>
      <c r="BZ95" s="124" t="e">
        <v>#N/A</v>
      </c>
      <c r="CA95" s="125"/>
      <c r="CB95" s="124" t="e">
        <v>#N/A</v>
      </c>
      <c r="CC95" s="126">
        <v>1</v>
      </c>
      <c r="CD95" s="127" t="s">
        <v>4169</v>
      </c>
      <c r="CE95" s="128"/>
      <c r="CF95" s="77" t="e">
        <v>#N/A</v>
      </c>
    </row>
    <row r="96" spans="1:84" ht="14.5" x14ac:dyDescent="0.35">
      <c r="A96" s="77">
        <v>95</v>
      </c>
      <c r="B96" s="106" t="s">
        <v>165</v>
      </c>
      <c r="C96" s="107" t="s">
        <v>1246</v>
      </c>
      <c r="D96" s="108" t="s">
        <v>907</v>
      </c>
      <c r="E96" s="109" t="s">
        <v>908</v>
      </c>
      <c r="F96" s="110">
        <v>651153919</v>
      </c>
      <c r="G96" s="108" t="s">
        <v>1004</v>
      </c>
      <c r="H96" s="111" t="s">
        <v>627</v>
      </c>
      <c r="I96" s="111" t="s">
        <v>180</v>
      </c>
      <c r="J96" s="111" t="s">
        <v>4649</v>
      </c>
      <c r="K96" s="111" t="s">
        <v>909</v>
      </c>
      <c r="L96" s="112">
        <v>43710</v>
      </c>
      <c r="M96" s="111" t="s">
        <v>2463</v>
      </c>
      <c r="N96" s="113"/>
      <c r="O96" s="114" t="s">
        <v>628</v>
      </c>
      <c r="P96" s="114" t="s">
        <v>628</v>
      </c>
      <c r="Q96" s="114" t="s">
        <v>6024</v>
      </c>
      <c r="R96" s="114" t="s">
        <v>7378</v>
      </c>
      <c r="S96" s="114" t="s">
        <v>7379</v>
      </c>
      <c r="T96" s="114" t="s">
        <v>183</v>
      </c>
      <c r="U96" s="114" t="s">
        <v>183</v>
      </c>
      <c r="V96" s="115"/>
      <c r="W96" s="116" t="s">
        <v>910</v>
      </c>
      <c r="X96" s="116" t="s">
        <v>911</v>
      </c>
      <c r="Y96" s="117">
        <v>3485517</v>
      </c>
      <c r="Z96" s="117">
        <v>3481136</v>
      </c>
      <c r="AA96" s="118"/>
      <c r="AB96" s="119" t="s">
        <v>5588</v>
      </c>
      <c r="AC96" s="119" t="s">
        <v>1247</v>
      </c>
      <c r="AD96" s="119">
        <v>4490</v>
      </c>
      <c r="AE96" s="119" t="s">
        <v>2391</v>
      </c>
      <c r="AF96" s="119">
        <v>0</v>
      </c>
      <c r="AG96" s="120"/>
      <c r="AH96" s="121">
        <v>44197</v>
      </c>
      <c r="AI96" s="121">
        <v>44197</v>
      </c>
      <c r="AJ96" s="121">
        <v>44197</v>
      </c>
      <c r="AK96" s="122">
        <v>44197</v>
      </c>
      <c r="AL96" s="122" t="e">
        <v>#N/A</v>
      </c>
      <c r="AM96" s="122">
        <v>45614</v>
      </c>
      <c r="AN96" s="122" t="e">
        <v>#N/A</v>
      </c>
      <c r="AO96" s="121" t="e">
        <v>#N/A</v>
      </c>
      <c r="AP96" s="122" t="e">
        <v>#N/A</v>
      </c>
      <c r="AQ96" s="122" t="e">
        <v>#N/A</v>
      </c>
      <c r="AR96" s="122" t="e">
        <v>#N/A</v>
      </c>
      <c r="AS96" s="122" t="e">
        <v>#N/A</v>
      </c>
      <c r="AT96" s="122" t="e">
        <v>#N/A</v>
      </c>
      <c r="AU96" s="121" t="e">
        <v>#N/A</v>
      </c>
      <c r="AV96" s="122" t="e">
        <v>#N/A</v>
      </c>
      <c r="AW96" s="122" t="e">
        <v>#N/A</v>
      </c>
      <c r="AX96" s="122" t="e">
        <v>#N/A</v>
      </c>
      <c r="AY96" s="122" t="e">
        <v>#N/A</v>
      </c>
      <c r="AZ96" s="122" t="e">
        <v>#N/A</v>
      </c>
      <c r="BA96" s="122" t="e">
        <v>#N/A</v>
      </c>
      <c r="BB96" s="122" t="e">
        <v>#N/A</v>
      </c>
      <c r="BC96" s="122" t="e">
        <v>#N/A</v>
      </c>
      <c r="BD96" s="122" t="e">
        <v>#N/A</v>
      </c>
      <c r="BE96" s="122" t="e">
        <v>#N/A</v>
      </c>
      <c r="BF96" s="122" t="e">
        <v>#N/A</v>
      </c>
      <c r="BG96" s="122" t="e">
        <v>#N/A</v>
      </c>
      <c r="BH96" s="122" t="e">
        <v>#N/A</v>
      </c>
      <c r="BI96" s="122" t="e">
        <v>#N/A</v>
      </c>
      <c r="BJ96" s="122" t="e">
        <v>#N/A</v>
      </c>
      <c r="BK96" s="122" t="e">
        <v>#N/A</v>
      </c>
      <c r="BL96" s="123"/>
      <c r="BM96" s="124" t="e">
        <v>#N/A</v>
      </c>
      <c r="BN96" s="124" t="e">
        <v>#N/A</v>
      </c>
      <c r="BO96" s="124" t="e">
        <v>#N/A</v>
      </c>
      <c r="BP96" s="124" t="e">
        <v>#N/A</v>
      </c>
      <c r="BQ96" s="124" t="e">
        <v>#N/A</v>
      </c>
      <c r="BR96" s="124" t="e">
        <v>#N/A</v>
      </c>
      <c r="BS96" s="124" t="e">
        <v>#N/A</v>
      </c>
      <c r="BT96" s="124" t="e">
        <v>#N/A</v>
      </c>
      <c r="BU96" s="124" t="e">
        <v>#N/A</v>
      </c>
      <c r="BV96" s="124" t="e">
        <v>#N/A</v>
      </c>
      <c r="BW96" s="124" t="e">
        <v>#N/A</v>
      </c>
      <c r="BX96" s="124" t="e">
        <v>#N/A</v>
      </c>
      <c r="BY96" s="124" t="e">
        <v>#N/A</v>
      </c>
      <c r="BZ96" s="124" t="e">
        <v>#N/A</v>
      </c>
      <c r="CA96" s="125"/>
      <c r="CB96" s="124" t="e">
        <v>#N/A</v>
      </c>
      <c r="CC96" s="126">
        <v>1</v>
      </c>
      <c r="CD96" s="127" t="s">
        <v>4169</v>
      </c>
      <c r="CE96" s="128"/>
      <c r="CF96" s="77" t="e">
        <v>#N/A</v>
      </c>
    </row>
    <row r="97" spans="1:84" ht="14.5" x14ac:dyDescent="0.35">
      <c r="A97" s="77">
        <v>96</v>
      </c>
      <c r="B97" s="106" t="s">
        <v>2218</v>
      </c>
      <c r="C97" s="107" t="s">
        <v>6409</v>
      </c>
      <c r="D97" s="108" t="s">
        <v>2228</v>
      </c>
      <c r="E97" s="109" t="s">
        <v>2229</v>
      </c>
      <c r="F97" s="110">
        <v>657061737</v>
      </c>
      <c r="G97" s="108" t="s">
        <v>190</v>
      </c>
      <c r="H97" s="111" t="s">
        <v>198</v>
      </c>
      <c r="I97" s="111" t="s">
        <v>180</v>
      </c>
      <c r="J97" s="111" t="s">
        <v>4649</v>
      </c>
      <c r="K97" s="111" t="s">
        <v>199</v>
      </c>
      <c r="L97" s="112">
        <v>40206</v>
      </c>
      <c r="M97" s="111" t="s">
        <v>1920</v>
      </c>
      <c r="N97" s="113"/>
      <c r="O97" s="114" t="s">
        <v>6899</v>
      </c>
      <c r="P97" s="114" t="s">
        <v>6899</v>
      </c>
      <c r="Q97" s="114" t="s">
        <v>6899</v>
      </c>
      <c r="R97" s="114" t="s">
        <v>6899</v>
      </c>
      <c r="S97" s="114" t="s">
        <v>6899</v>
      </c>
      <c r="T97" s="114" t="s">
        <v>6899</v>
      </c>
      <c r="U97" s="114" t="s">
        <v>6899</v>
      </c>
      <c r="V97" s="115"/>
      <c r="W97" s="116" t="s">
        <v>2230</v>
      </c>
      <c r="X97" s="116" t="s">
        <v>2231</v>
      </c>
      <c r="Y97" s="117">
        <v>3485080</v>
      </c>
      <c r="Z97" s="117">
        <v>3481320</v>
      </c>
      <c r="AA97" s="118"/>
      <c r="AB97" s="119" t="s">
        <v>5179</v>
      </c>
      <c r="AC97" s="119" t="s">
        <v>2232</v>
      </c>
      <c r="AD97" s="119">
        <v>5159</v>
      </c>
      <c r="AE97" s="119" t="s">
        <v>6895</v>
      </c>
      <c r="AF97" s="119">
        <v>0</v>
      </c>
      <c r="AG97" s="120"/>
      <c r="AH97" s="121">
        <v>44817</v>
      </c>
      <c r="AI97" s="121">
        <v>44817</v>
      </c>
      <c r="AJ97" s="121">
        <v>44817</v>
      </c>
      <c r="AK97" s="122">
        <v>44984</v>
      </c>
      <c r="AL97" s="122" t="e">
        <v>#N/A</v>
      </c>
      <c r="AM97" s="121" t="e">
        <v>#N/A</v>
      </c>
      <c r="AN97" s="121" t="e">
        <v>#N/A</v>
      </c>
      <c r="AO97" s="121" t="e">
        <v>#N/A</v>
      </c>
      <c r="AP97" s="122" t="e">
        <v>#N/A</v>
      </c>
      <c r="AQ97" s="122" t="e">
        <v>#N/A</v>
      </c>
      <c r="AR97" s="122" t="e">
        <v>#N/A</v>
      </c>
      <c r="AS97" s="122" t="e">
        <v>#N/A</v>
      </c>
      <c r="AT97" s="122" t="e">
        <v>#N/A</v>
      </c>
      <c r="AU97" s="121" t="e">
        <v>#N/A</v>
      </c>
      <c r="AV97" s="122" t="e">
        <v>#N/A</v>
      </c>
      <c r="AW97" s="122" t="e">
        <v>#N/A</v>
      </c>
      <c r="AX97" s="122" t="e">
        <v>#N/A</v>
      </c>
      <c r="AY97" s="122" t="e">
        <v>#N/A</v>
      </c>
      <c r="AZ97" s="122" t="e">
        <v>#N/A</v>
      </c>
      <c r="BA97" s="122" t="e">
        <v>#N/A</v>
      </c>
      <c r="BB97" s="122" t="e">
        <v>#N/A</v>
      </c>
      <c r="BC97" s="122" t="e">
        <v>#N/A</v>
      </c>
      <c r="BD97" s="122" t="e">
        <v>#N/A</v>
      </c>
      <c r="BE97" s="122" t="e">
        <v>#N/A</v>
      </c>
      <c r="BF97" s="122" t="e">
        <v>#N/A</v>
      </c>
      <c r="BG97" s="122" t="e">
        <v>#N/A</v>
      </c>
      <c r="BH97" s="122" t="e">
        <v>#N/A</v>
      </c>
      <c r="BI97" s="122" t="e">
        <v>#N/A</v>
      </c>
      <c r="BJ97" s="122" t="e">
        <v>#N/A</v>
      </c>
      <c r="BK97" s="122" t="e">
        <v>#N/A</v>
      </c>
      <c r="BL97" s="123"/>
      <c r="BM97" s="124" t="e">
        <v>#N/A</v>
      </c>
      <c r="BN97" s="124" t="e">
        <v>#N/A</v>
      </c>
      <c r="BO97" s="124" t="e">
        <v>#N/A</v>
      </c>
      <c r="BP97" s="124" t="e">
        <v>#N/A</v>
      </c>
      <c r="BQ97" s="124" t="e">
        <v>#N/A</v>
      </c>
      <c r="BR97" s="124" t="e">
        <v>#N/A</v>
      </c>
      <c r="BS97" s="124" t="e">
        <v>#N/A</v>
      </c>
      <c r="BT97" s="124" t="e">
        <v>#N/A</v>
      </c>
      <c r="BU97" s="124" t="e">
        <v>#N/A</v>
      </c>
      <c r="BV97" s="124" t="e">
        <v>#N/A</v>
      </c>
      <c r="BW97" s="124" t="e">
        <v>#N/A</v>
      </c>
      <c r="BX97" s="124" t="e">
        <v>#N/A</v>
      </c>
      <c r="BY97" s="124" t="e">
        <v>#N/A</v>
      </c>
      <c r="BZ97" s="124" t="e">
        <v>#N/A</v>
      </c>
      <c r="CA97" s="125"/>
      <c r="CB97" s="124" t="e">
        <v>#N/A</v>
      </c>
      <c r="CC97" s="126">
        <v>1</v>
      </c>
      <c r="CD97" s="127" t="s">
        <v>4186</v>
      </c>
      <c r="CE97" s="128"/>
      <c r="CF97" s="77" t="e">
        <v>#N/A</v>
      </c>
    </row>
    <row r="98" spans="1:84" ht="14.5" x14ac:dyDescent="0.35">
      <c r="A98" s="77">
        <v>97</v>
      </c>
      <c r="B98" s="106" t="s">
        <v>6263</v>
      </c>
      <c r="C98" s="107" t="s">
        <v>1301</v>
      </c>
      <c r="D98" s="108" t="s">
        <v>196</v>
      </c>
      <c r="E98" s="109" t="s">
        <v>197</v>
      </c>
      <c r="F98" s="110" t="s">
        <v>1011</v>
      </c>
      <c r="G98" s="108" t="s">
        <v>1004</v>
      </c>
      <c r="H98" s="111" t="s">
        <v>198</v>
      </c>
      <c r="I98" s="111" t="s">
        <v>180</v>
      </c>
      <c r="J98" s="111" t="s">
        <v>4649</v>
      </c>
      <c r="K98" s="111" t="s">
        <v>199</v>
      </c>
      <c r="L98" s="112">
        <v>42380</v>
      </c>
      <c r="M98" s="111" t="s">
        <v>984</v>
      </c>
      <c r="N98" s="113"/>
      <c r="O98" s="114" t="s">
        <v>330</v>
      </c>
      <c r="P98" s="114" t="s">
        <v>330</v>
      </c>
      <c r="Q98" s="114" t="s">
        <v>330</v>
      </c>
      <c r="R98" s="114" t="s">
        <v>7380</v>
      </c>
      <c r="S98" s="114" t="s">
        <v>330</v>
      </c>
      <c r="T98" s="114" t="s">
        <v>183</v>
      </c>
      <c r="U98" s="114" t="s">
        <v>183</v>
      </c>
      <c r="V98" s="115"/>
      <c r="W98" s="116" t="s">
        <v>202</v>
      </c>
      <c r="X98" s="116" t="s">
        <v>203</v>
      </c>
      <c r="Y98" s="117">
        <v>3485065</v>
      </c>
      <c r="Z98" s="117">
        <v>3481241</v>
      </c>
      <c r="AA98" s="118"/>
      <c r="AB98" s="119" t="s">
        <v>5697</v>
      </c>
      <c r="AC98" s="119" t="s">
        <v>1302</v>
      </c>
      <c r="AD98" s="119">
        <v>27084</v>
      </c>
      <c r="AE98" s="119" t="s">
        <v>204</v>
      </c>
      <c r="AF98" s="119" t="s">
        <v>6055</v>
      </c>
      <c r="AG98" s="120"/>
      <c r="AH98" s="121">
        <v>44197</v>
      </c>
      <c r="AI98" s="121">
        <v>44197</v>
      </c>
      <c r="AJ98" s="121">
        <v>44197</v>
      </c>
      <c r="AK98" s="122">
        <v>44197</v>
      </c>
      <c r="AL98" s="122" t="e">
        <v>#N/A</v>
      </c>
      <c r="AM98" s="121" t="e">
        <v>#N/A</v>
      </c>
      <c r="AN98" s="121" t="e">
        <v>#N/A</v>
      </c>
      <c r="AO98" s="121" t="e">
        <v>#N/A</v>
      </c>
      <c r="AP98" s="122" t="e">
        <v>#N/A</v>
      </c>
      <c r="AQ98" s="122" t="e">
        <v>#N/A</v>
      </c>
      <c r="AR98" s="122" t="e">
        <v>#N/A</v>
      </c>
      <c r="AS98" s="122" t="e">
        <v>#N/A</v>
      </c>
      <c r="AT98" s="122">
        <v>44652</v>
      </c>
      <c r="AU98" s="121" t="e">
        <v>#N/A</v>
      </c>
      <c r="AV98" s="122" t="e">
        <v>#N/A</v>
      </c>
      <c r="AW98" s="122">
        <v>45643</v>
      </c>
      <c r="AX98" s="122" t="e">
        <v>#N/A</v>
      </c>
      <c r="AY98" s="122" t="e">
        <v>#N/A</v>
      </c>
      <c r="AZ98" s="122" t="e">
        <v>#N/A</v>
      </c>
      <c r="BA98" s="122">
        <v>45244</v>
      </c>
      <c r="BB98" s="122" t="e">
        <v>#N/A</v>
      </c>
      <c r="BC98" s="122" t="e">
        <v>#N/A</v>
      </c>
      <c r="BD98" s="122" t="e">
        <v>#N/A</v>
      </c>
      <c r="BE98" s="122" t="e">
        <v>#N/A</v>
      </c>
      <c r="BF98" s="122" t="e">
        <v>#N/A</v>
      </c>
      <c r="BG98" s="122" t="e">
        <v>#N/A</v>
      </c>
      <c r="BH98" s="122" t="e">
        <v>#N/A</v>
      </c>
      <c r="BI98" s="122" t="e">
        <v>#N/A</v>
      </c>
      <c r="BJ98" s="122" t="e">
        <v>#N/A</v>
      </c>
      <c r="BK98" s="122" t="s">
        <v>6040</v>
      </c>
      <c r="BL98" s="123"/>
      <c r="BM98" s="124" t="e">
        <v>#N/A</v>
      </c>
      <c r="BN98" s="124" t="e">
        <v>#N/A</v>
      </c>
      <c r="BO98" s="124" t="e">
        <v>#N/A</v>
      </c>
      <c r="BP98" s="124" t="e">
        <v>#N/A</v>
      </c>
      <c r="BQ98" s="124" t="e">
        <v>#N/A</v>
      </c>
      <c r="BR98" s="124" t="e">
        <v>#N/A</v>
      </c>
      <c r="BS98" s="124" t="e">
        <v>#N/A</v>
      </c>
      <c r="BT98" s="124" t="e">
        <v>#N/A</v>
      </c>
      <c r="BU98" s="124" t="e">
        <v>#N/A</v>
      </c>
      <c r="BV98" s="124" t="e">
        <v>#N/A</v>
      </c>
      <c r="BW98" s="124" t="e">
        <v>#N/A</v>
      </c>
      <c r="BX98" s="124" t="e">
        <v>#N/A</v>
      </c>
      <c r="BY98" s="124" t="e">
        <v>#N/A</v>
      </c>
      <c r="BZ98" s="124" t="e">
        <v>#N/A</v>
      </c>
      <c r="CA98" s="125"/>
      <c r="CB98" s="124">
        <v>45726</v>
      </c>
      <c r="CC98" s="126">
        <v>1</v>
      </c>
      <c r="CD98" s="127" t="e">
        <v>#N/A</v>
      </c>
      <c r="CE98" s="128"/>
      <c r="CF98" s="77" t="e">
        <v>#N/A</v>
      </c>
    </row>
    <row r="99" spans="1:84" ht="14.5" x14ac:dyDescent="0.35">
      <c r="A99" s="77">
        <v>98</v>
      </c>
      <c r="B99" s="106" t="s">
        <v>2656</v>
      </c>
      <c r="C99" s="107" t="s">
        <v>6534</v>
      </c>
      <c r="D99" s="108" t="s">
        <v>2634</v>
      </c>
      <c r="E99" s="109" t="s">
        <v>2635</v>
      </c>
      <c r="F99" s="110">
        <v>605070008</v>
      </c>
      <c r="G99" s="108" t="s">
        <v>1004</v>
      </c>
      <c r="H99" s="111" t="s">
        <v>198</v>
      </c>
      <c r="I99" s="111" t="s">
        <v>180</v>
      </c>
      <c r="J99" s="111" t="s">
        <v>4649</v>
      </c>
      <c r="K99" s="111" t="s">
        <v>199</v>
      </c>
      <c r="L99" s="112">
        <v>45061</v>
      </c>
      <c r="M99" s="111" t="s">
        <v>2967</v>
      </c>
      <c r="N99" s="113"/>
      <c r="O99" s="114" t="s">
        <v>2910</v>
      </c>
      <c r="P99" s="114" t="s">
        <v>2910</v>
      </c>
      <c r="Q99" s="114" t="s">
        <v>183</v>
      </c>
      <c r="R99" s="114" t="s">
        <v>7381</v>
      </c>
      <c r="S99" s="114" t="s">
        <v>2910</v>
      </c>
      <c r="T99" s="114" t="s">
        <v>2910</v>
      </c>
      <c r="U99" s="114" t="s">
        <v>2910</v>
      </c>
      <c r="V99" s="115"/>
      <c r="W99" s="116" t="s">
        <v>2636</v>
      </c>
      <c r="X99" s="116" t="s">
        <v>2637</v>
      </c>
      <c r="Y99" s="117">
        <v>3485079</v>
      </c>
      <c r="Z99" s="117">
        <v>3481110</v>
      </c>
      <c r="AA99" s="118"/>
      <c r="AB99" s="119" t="s">
        <v>2638</v>
      </c>
      <c r="AC99" s="119" t="s">
        <v>2706</v>
      </c>
      <c r="AD99" s="119">
        <v>4587</v>
      </c>
      <c r="AE99" s="119" t="s">
        <v>2639</v>
      </c>
      <c r="AF99" s="119" t="s">
        <v>6239</v>
      </c>
      <c r="AG99" s="120"/>
      <c r="AH99" s="121">
        <v>45058</v>
      </c>
      <c r="AI99" s="121">
        <v>45058</v>
      </c>
      <c r="AJ99" s="121">
        <v>45058</v>
      </c>
      <c r="AK99" s="122">
        <v>45058</v>
      </c>
      <c r="AL99" s="122">
        <v>46007</v>
      </c>
      <c r="AM99" s="122" t="e">
        <v>#N/A</v>
      </c>
      <c r="AN99" s="122">
        <v>46007</v>
      </c>
      <c r="AO99" s="121">
        <v>46008</v>
      </c>
      <c r="AP99" s="122" t="e">
        <v>#N/A</v>
      </c>
      <c r="AQ99" s="122" t="e">
        <v>#N/A</v>
      </c>
      <c r="AR99" s="122">
        <v>46007</v>
      </c>
      <c r="AS99" s="122" t="e">
        <v>#N/A</v>
      </c>
      <c r="AT99" s="122" t="e">
        <v>#N/A</v>
      </c>
      <c r="AU99" s="121" t="e">
        <v>#N/A</v>
      </c>
      <c r="AV99" s="122" t="e">
        <v>#N/A</v>
      </c>
      <c r="AW99" s="122">
        <v>45883</v>
      </c>
      <c r="AX99" s="122" t="e">
        <v>#N/A</v>
      </c>
      <c r="AY99" s="122" t="e">
        <v>#N/A</v>
      </c>
      <c r="AZ99" s="122">
        <v>46007</v>
      </c>
      <c r="BA99" s="122" t="e">
        <v>#N/A</v>
      </c>
      <c r="BB99" s="122" t="e">
        <v>#N/A</v>
      </c>
      <c r="BC99" s="122" t="e">
        <v>#N/A</v>
      </c>
      <c r="BD99" s="122" t="e">
        <v>#N/A</v>
      </c>
      <c r="BE99" s="122" t="e">
        <v>#N/A</v>
      </c>
      <c r="BF99" s="122" t="e">
        <v>#N/A</v>
      </c>
      <c r="BG99" s="122" t="e">
        <v>#N/A</v>
      </c>
      <c r="BH99" s="122" t="e">
        <v>#N/A</v>
      </c>
      <c r="BI99" s="122" t="e">
        <v>#N/A</v>
      </c>
      <c r="BJ99" s="122" t="e">
        <v>#N/A</v>
      </c>
      <c r="BK99" s="122" t="s">
        <v>6040</v>
      </c>
      <c r="BL99" s="123"/>
      <c r="BM99" s="124" t="e">
        <v>#N/A</v>
      </c>
      <c r="BN99" s="124" t="e">
        <v>#N/A</v>
      </c>
      <c r="BO99" s="124" t="e">
        <v>#N/A</v>
      </c>
      <c r="BP99" s="124" t="e">
        <v>#N/A</v>
      </c>
      <c r="BQ99" s="124" t="e">
        <v>#N/A</v>
      </c>
      <c r="BR99" s="124" t="e">
        <v>#N/A</v>
      </c>
      <c r="BS99" s="124" t="e">
        <v>#N/A</v>
      </c>
      <c r="BT99" s="124" t="e">
        <v>#N/A</v>
      </c>
      <c r="BU99" s="124" t="e">
        <v>#N/A</v>
      </c>
      <c r="BV99" s="124" t="e">
        <v>#N/A</v>
      </c>
      <c r="BW99" s="124" t="e">
        <v>#N/A</v>
      </c>
      <c r="BX99" s="124" t="e">
        <v>#N/A</v>
      </c>
      <c r="BY99" s="124" t="e">
        <v>#N/A</v>
      </c>
      <c r="BZ99" s="124" t="e">
        <v>#N/A</v>
      </c>
      <c r="CA99" s="125"/>
      <c r="CB99" s="124" t="e">
        <v>#N/A</v>
      </c>
      <c r="CC99" s="126">
        <v>1</v>
      </c>
      <c r="CD99" s="127" t="s">
        <v>4163</v>
      </c>
      <c r="CE99" s="128"/>
      <c r="CF99" s="77" t="e">
        <v>#N/A</v>
      </c>
    </row>
    <row r="100" spans="1:84" ht="14.5" x14ac:dyDescent="0.35">
      <c r="A100" s="77">
        <v>99</v>
      </c>
      <c r="B100" s="106" t="s">
        <v>6305</v>
      </c>
      <c r="C100" s="107" t="s">
        <v>1289</v>
      </c>
      <c r="D100" s="108" t="s">
        <v>1290</v>
      </c>
      <c r="E100" s="109" t="s">
        <v>274</v>
      </c>
      <c r="F100" s="110">
        <v>661508328</v>
      </c>
      <c r="G100" s="108" t="s">
        <v>190</v>
      </c>
      <c r="H100" s="111" t="s">
        <v>198</v>
      </c>
      <c r="I100" s="111" t="s">
        <v>180</v>
      </c>
      <c r="J100" s="111" t="s">
        <v>4649</v>
      </c>
      <c r="K100" s="111" t="s">
        <v>199</v>
      </c>
      <c r="L100" s="112">
        <v>38600</v>
      </c>
      <c r="M100" s="111" t="s">
        <v>1920</v>
      </c>
      <c r="N100" s="113"/>
      <c r="O100" s="114" t="s">
        <v>3798</v>
      </c>
      <c r="P100" s="114" t="s">
        <v>3798</v>
      </c>
      <c r="Q100" s="114" t="s">
        <v>3798</v>
      </c>
      <c r="R100" s="114" t="s">
        <v>7356</v>
      </c>
      <c r="S100" s="114" t="s">
        <v>5526</v>
      </c>
      <c r="T100" s="114" t="s">
        <v>183</v>
      </c>
      <c r="U100" s="114" t="s">
        <v>183</v>
      </c>
      <c r="V100" s="115"/>
      <c r="W100" s="116" t="s">
        <v>275</v>
      </c>
      <c r="X100" s="116" t="s">
        <v>276</v>
      </c>
      <c r="Y100" s="117">
        <v>3485118</v>
      </c>
      <c r="Z100" s="117">
        <v>3481160</v>
      </c>
      <c r="AA100" s="118"/>
      <c r="AB100" s="119" t="s">
        <v>5769</v>
      </c>
      <c r="AC100" s="119" t="s">
        <v>1291</v>
      </c>
      <c r="AD100" s="119">
        <v>5706</v>
      </c>
      <c r="AE100" s="119" t="s">
        <v>3823</v>
      </c>
      <c r="AF100" s="119">
        <v>0</v>
      </c>
      <c r="AG100" s="120"/>
      <c r="AH100" s="121">
        <v>44197</v>
      </c>
      <c r="AI100" s="121">
        <v>45514</v>
      </c>
      <c r="AJ100" s="121">
        <v>45514</v>
      </c>
      <c r="AK100" s="122">
        <v>45514</v>
      </c>
      <c r="AL100" s="122" t="e">
        <v>#N/A</v>
      </c>
      <c r="AM100" s="121" t="e">
        <v>#N/A</v>
      </c>
      <c r="AN100" s="121" t="e">
        <v>#N/A</v>
      </c>
      <c r="AO100" s="121" t="e">
        <v>#N/A</v>
      </c>
      <c r="AP100" s="122" t="e">
        <v>#N/A</v>
      </c>
      <c r="AQ100" s="122" t="e">
        <v>#N/A</v>
      </c>
      <c r="AR100" s="122" t="e">
        <v>#N/A</v>
      </c>
      <c r="AS100" s="122" t="e">
        <v>#N/A</v>
      </c>
      <c r="AT100" s="122" t="e">
        <v>#N/A</v>
      </c>
      <c r="AU100" s="121" t="e">
        <v>#N/A</v>
      </c>
      <c r="AV100" s="122" t="e">
        <v>#N/A</v>
      </c>
      <c r="AW100" s="122" t="e">
        <v>#N/A</v>
      </c>
      <c r="AX100" s="122" t="e">
        <v>#N/A</v>
      </c>
      <c r="AY100" s="122" t="e">
        <v>#N/A</v>
      </c>
      <c r="AZ100" s="122" t="e">
        <v>#N/A</v>
      </c>
      <c r="BA100" s="122" t="e">
        <v>#N/A</v>
      </c>
      <c r="BB100" s="122" t="e">
        <v>#N/A</v>
      </c>
      <c r="BC100" s="122" t="e">
        <v>#N/A</v>
      </c>
      <c r="BD100" s="122" t="e">
        <v>#N/A</v>
      </c>
      <c r="BE100" s="122" t="e">
        <v>#N/A</v>
      </c>
      <c r="BF100" s="122" t="e">
        <v>#N/A</v>
      </c>
      <c r="BG100" s="122" t="e">
        <v>#N/A</v>
      </c>
      <c r="BH100" s="122" t="e">
        <v>#N/A</v>
      </c>
      <c r="BI100" s="122" t="e">
        <v>#N/A</v>
      </c>
      <c r="BJ100" s="122" t="e">
        <v>#N/A</v>
      </c>
      <c r="BK100" s="122" t="e">
        <v>#N/A</v>
      </c>
      <c r="BL100" s="123"/>
      <c r="BM100" s="124" t="e">
        <v>#N/A</v>
      </c>
      <c r="BN100" s="124" t="e">
        <v>#N/A</v>
      </c>
      <c r="BO100" s="124" t="e">
        <v>#N/A</v>
      </c>
      <c r="BP100" s="124" t="e">
        <v>#N/A</v>
      </c>
      <c r="BQ100" s="124" t="e">
        <v>#N/A</v>
      </c>
      <c r="BR100" s="124" t="e">
        <v>#N/A</v>
      </c>
      <c r="BS100" s="124" t="e">
        <v>#N/A</v>
      </c>
      <c r="BT100" s="124" t="e">
        <v>#N/A</v>
      </c>
      <c r="BU100" s="124" t="e">
        <v>#N/A</v>
      </c>
      <c r="BV100" s="124" t="e">
        <v>#N/A</v>
      </c>
      <c r="BW100" s="124" t="e">
        <v>#N/A</v>
      </c>
      <c r="BX100" s="124" t="e">
        <v>#N/A</v>
      </c>
      <c r="BY100" s="124" t="e">
        <v>#N/A</v>
      </c>
      <c r="BZ100" s="124" t="e">
        <v>#N/A</v>
      </c>
      <c r="CA100" s="125"/>
      <c r="CB100" s="124" t="e">
        <v>#N/A</v>
      </c>
      <c r="CC100" s="126">
        <v>1</v>
      </c>
      <c r="CD100" s="127" t="e">
        <v>#N/A</v>
      </c>
      <c r="CE100" s="128"/>
      <c r="CF100" s="77" t="e">
        <v>#N/A</v>
      </c>
    </row>
    <row r="101" spans="1:84" ht="14.5" x14ac:dyDescent="0.35">
      <c r="A101" s="77">
        <v>100</v>
      </c>
      <c r="B101" s="106" t="s">
        <v>154</v>
      </c>
      <c r="C101" s="107" t="s">
        <v>1121</v>
      </c>
      <c r="D101" s="108" t="s">
        <v>867</v>
      </c>
      <c r="E101" s="109" t="s">
        <v>868</v>
      </c>
      <c r="F101" s="110">
        <v>678181683</v>
      </c>
      <c r="G101" s="108" t="s">
        <v>190</v>
      </c>
      <c r="H101" s="111" t="s">
        <v>198</v>
      </c>
      <c r="I101" s="111" t="s">
        <v>180</v>
      </c>
      <c r="J101" s="111" t="s">
        <v>4649</v>
      </c>
      <c r="K101" s="111" t="s">
        <v>199</v>
      </c>
      <c r="L101" s="112">
        <v>43831</v>
      </c>
      <c r="M101" s="111" t="s">
        <v>1920</v>
      </c>
      <c r="N101" s="113"/>
      <c r="O101" s="114" t="s">
        <v>4473</v>
      </c>
      <c r="P101" s="114" t="s">
        <v>183</v>
      </c>
      <c r="Q101" s="114" t="s">
        <v>4473</v>
      </c>
      <c r="R101" s="114" t="s">
        <v>7380</v>
      </c>
      <c r="S101" s="114" t="s">
        <v>183</v>
      </c>
      <c r="T101" s="114" t="s">
        <v>4473</v>
      </c>
      <c r="U101" s="114" t="s">
        <v>4473</v>
      </c>
      <c r="V101" s="115"/>
      <c r="W101" s="116" t="s">
        <v>869</v>
      </c>
      <c r="X101" s="116" t="s">
        <v>870</v>
      </c>
      <c r="Y101" s="117">
        <v>3486031</v>
      </c>
      <c r="Z101" s="117">
        <v>3486241</v>
      </c>
      <c r="AA101" s="118"/>
      <c r="AB101" s="119" t="s">
        <v>871</v>
      </c>
      <c r="AC101" s="119" t="s">
        <v>1122</v>
      </c>
      <c r="AD101" s="119">
        <v>26226</v>
      </c>
      <c r="AE101" s="119" t="s">
        <v>4114</v>
      </c>
      <c r="AF101" s="119">
        <v>0</v>
      </c>
      <c r="AG101" s="120"/>
      <c r="AH101" s="121">
        <v>44197</v>
      </c>
      <c r="AI101" s="121">
        <v>44197</v>
      </c>
      <c r="AJ101" s="121">
        <v>44197</v>
      </c>
      <c r="AK101" s="122">
        <v>44197</v>
      </c>
      <c r="AL101" s="122" t="e">
        <v>#N/A</v>
      </c>
      <c r="AM101" s="121" t="e">
        <v>#N/A</v>
      </c>
      <c r="AN101" s="121" t="e">
        <v>#N/A</v>
      </c>
      <c r="AO101" s="121" t="e">
        <v>#N/A</v>
      </c>
      <c r="AP101" s="122" t="e">
        <v>#N/A</v>
      </c>
      <c r="AQ101" s="122" t="e">
        <v>#N/A</v>
      </c>
      <c r="AR101" s="122" t="e">
        <v>#N/A</v>
      </c>
      <c r="AS101" s="122" t="e">
        <v>#N/A</v>
      </c>
      <c r="AT101" s="122" t="e">
        <v>#N/A</v>
      </c>
      <c r="AU101" s="121" t="e">
        <v>#N/A</v>
      </c>
      <c r="AV101" s="122" t="e">
        <v>#N/A</v>
      </c>
      <c r="AW101" s="122" t="e">
        <v>#N/A</v>
      </c>
      <c r="AX101" s="122" t="e">
        <v>#N/A</v>
      </c>
      <c r="AY101" s="122" t="e">
        <v>#N/A</v>
      </c>
      <c r="AZ101" s="122" t="e">
        <v>#N/A</v>
      </c>
      <c r="BA101" s="122" t="e">
        <v>#N/A</v>
      </c>
      <c r="BB101" s="122" t="e">
        <v>#N/A</v>
      </c>
      <c r="BC101" s="122" t="e">
        <v>#N/A</v>
      </c>
      <c r="BD101" s="122" t="e">
        <v>#N/A</v>
      </c>
      <c r="BE101" s="122" t="e">
        <v>#N/A</v>
      </c>
      <c r="BF101" s="122" t="e">
        <v>#N/A</v>
      </c>
      <c r="BG101" s="122" t="e">
        <v>#N/A</v>
      </c>
      <c r="BH101" s="122" t="e">
        <v>#N/A</v>
      </c>
      <c r="BI101" s="122" t="e">
        <v>#N/A</v>
      </c>
      <c r="BJ101" s="122" t="e">
        <v>#N/A</v>
      </c>
      <c r="BK101" s="122" t="e">
        <v>#N/A</v>
      </c>
      <c r="BL101" s="123"/>
      <c r="BM101" s="124" t="e">
        <v>#N/A</v>
      </c>
      <c r="BN101" s="124" t="e">
        <v>#N/A</v>
      </c>
      <c r="BO101" s="124" t="e">
        <v>#N/A</v>
      </c>
      <c r="BP101" s="124" t="e">
        <v>#N/A</v>
      </c>
      <c r="BQ101" s="124" t="e">
        <v>#N/A</v>
      </c>
      <c r="BR101" s="124" t="e">
        <v>#N/A</v>
      </c>
      <c r="BS101" s="124" t="e">
        <v>#N/A</v>
      </c>
      <c r="BT101" s="124" t="e">
        <v>#N/A</v>
      </c>
      <c r="BU101" s="124" t="e">
        <v>#N/A</v>
      </c>
      <c r="BV101" s="124" t="e">
        <v>#N/A</v>
      </c>
      <c r="BW101" s="124" t="e">
        <v>#N/A</v>
      </c>
      <c r="BX101" s="124" t="e">
        <v>#N/A</v>
      </c>
      <c r="BY101" s="124" t="e">
        <v>#N/A</v>
      </c>
      <c r="BZ101" s="124" t="e">
        <v>#N/A</v>
      </c>
      <c r="CA101" s="125"/>
      <c r="CB101" s="124" t="e">
        <v>#N/A</v>
      </c>
      <c r="CC101" s="126">
        <v>1</v>
      </c>
      <c r="CD101" s="127" t="s">
        <v>4169</v>
      </c>
      <c r="CE101" s="128"/>
      <c r="CF101" s="77" t="e">
        <v>#N/A</v>
      </c>
    </row>
    <row r="102" spans="1:84" ht="14.5" x14ac:dyDescent="0.35">
      <c r="A102" s="77">
        <v>101</v>
      </c>
      <c r="B102" s="106" t="s">
        <v>4460</v>
      </c>
      <c r="C102" s="107" t="s">
        <v>6745</v>
      </c>
      <c r="D102" s="108" t="s">
        <v>4410</v>
      </c>
      <c r="E102" s="109" t="s">
        <v>4411</v>
      </c>
      <c r="F102" s="110">
        <v>692369889</v>
      </c>
      <c r="G102" s="108" t="s">
        <v>1004</v>
      </c>
      <c r="H102" s="111" t="s">
        <v>198</v>
      </c>
      <c r="I102" s="111" t="s">
        <v>180</v>
      </c>
      <c r="J102" s="111" t="s">
        <v>4649</v>
      </c>
      <c r="K102" s="111" t="s">
        <v>199</v>
      </c>
      <c r="L102" s="112">
        <v>45782</v>
      </c>
      <c r="M102" s="111" t="s">
        <v>2792</v>
      </c>
      <c r="N102" s="113"/>
      <c r="O102" s="114" t="s">
        <v>7279</v>
      </c>
      <c r="P102" s="114" t="s">
        <v>3831</v>
      </c>
      <c r="Q102" s="114" t="s">
        <v>585</v>
      </c>
      <c r="R102" s="114" t="s">
        <v>7382</v>
      </c>
      <c r="S102" s="114" t="s">
        <v>3831</v>
      </c>
      <c r="T102" s="114" t="s">
        <v>183</v>
      </c>
      <c r="U102" s="114" t="s">
        <v>183</v>
      </c>
      <c r="V102" s="115"/>
      <c r="W102" s="116" t="s">
        <v>4412</v>
      </c>
      <c r="X102" s="116" t="s">
        <v>4413</v>
      </c>
      <c r="Y102" s="117">
        <v>3487002</v>
      </c>
      <c r="Z102" s="117">
        <v>3486643</v>
      </c>
      <c r="AA102" s="118"/>
      <c r="AB102" s="119" t="s">
        <v>5589</v>
      </c>
      <c r="AC102" s="119" t="s">
        <v>4414</v>
      </c>
      <c r="AD102" s="119">
        <v>5190</v>
      </c>
      <c r="AE102" s="119" t="s">
        <v>4415</v>
      </c>
      <c r="AF102" s="119" t="s">
        <v>7383</v>
      </c>
      <c r="AG102" s="120"/>
      <c r="AH102" s="121">
        <v>45777</v>
      </c>
      <c r="AI102" s="121">
        <v>45777</v>
      </c>
      <c r="AJ102" s="121">
        <v>45777</v>
      </c>
      <c r="AK102" s="122">
        <v>45777</v>
      </c>
      <c r="AL102" s="122" t="e">
        <v>#N/A</v>
      </c>
      <c r="AM102" s="122" t="e">
        <v>#N/A</v>
      </c>
      <c r="AN102" s="122" t="e">
        <v>#N/A</v>
      </c>
      <c r="AO102" s="121" t="e">
        <v>#N/A</v>
      </c>
      <c r="AP102" s="122" t="e">
        <v>#N/A</v>
      </c>
      <c r="AQ102" s="122" t="e">
        <v>#N/A</v>
      </c>
      <c r="AR102" s="122" t="e">
        <v>#N/A</v>
      </c>
      <c r="AS102" s="122" t="e">
        <v>#N/A</v>
      </c>
      <c r="AT102" s="122" t="e">
        <v>#N/A</v>
      </c>
      <c r="AU102" s="121" t="e">
        <v>#N/A</v>
      </c>
      <c r="AV102" s="122" t="e">
        <v>#N/A</v>
      </c>
      <c r="AW102" s="122">
        <v>45777</v>
      </c>
      <c r="AX102" s="122" t="e">
        <v>#N/A</v>
      </c>
      <c r="AY102" s="122" t="e">
        <v>#N/A</v>
      </c>
      <c r="AZ102" s="122" t="e">
        <v>#N/A</v>
      </c>
      <c r="BA102" s="122" t="e">
        <v>#N/A</v>
      </c>
      <c r="BB102" s="122" t="e">
        <v>#N/A</v>
      </c>
      <c r="BC102" s="122" t="e">
        <v>#N/A</v>
      </c>
      <c r="BD102" s="122" t="e">
        <v>#N/A</v>
      </c>
      <c r="BE102" s="122" t="e">
        <v>#N/A</v>
      </c>
      <c r="BF102" s="122" t="e">
        <v>#N/A</v>
      </c>
      <c r="BG102" s="122" t="e">
        <v>#N/A</v>
      </c>
      <c r="BH102" s="122" t="e">
        <v>#N/A</v>
      </c>
      <c r="BI102" s="122" t="e">
        <v>#N/A</v>
      </c>
      <c r="BJ102" s="122" t="e">
        <v>#N/A</v>
      </c>
      <c r="BK102" s="122">
        <v>45971</v>
      </c>
      <c r="BL102" s="123"/>
      <c r="BM102" s="124" t="e">
        <v>#N/A</v>
      </c>
      <c r="BN102" s="124" t="e">
        <v>#N/A</v>
      </c>
      <c r="BO102" s="124" t="e">
        <v>#N/A</v>
      </c>
      <c r="BP102" s="124" t="e">
        <v>#N/A</v>
      </c>
      <c r="BQ102" s="124" t="e">
        <v>#N/A</v>
      </c>
      <c r="BR102" s="124" t="e">
        <v>#N/A</v>
      </c>
      <c r="BS102" s="124" t="e">
        <v>#N/A</v>
      </c>
      <c r="BT102" s="124" t="e">
        <v>#N/A</v>
      </c>
      <c r="BU102" s="124" t="e">
        <v>#N/A</v>
      </c>
      <c r="BV102" s="124" t="e">
        <v>#N/A</v>
      </c>
      <c r="BW102" s="124" t="e">
        <v>#N/A</v>
      </c>
      <c r="BX102" s="124" t="e">
        <v>#N/A</v>
      </c>
      <c r="BY102" s="124" t="e">
        <v>#N/A</v>
      </c>
      <c r="BZ102" s="124" t="e">
        <v>#N/A</v>
      </c>
      <c r="CA102" s="125"/>
      <c r="CB102" s="124">
        <v>45740</v>
      </c>
      <c r="CC102" s="126">
        <v>1</v>
      </c>
      <c r="CD102" s="127" t="s">
        <v>4394</v>
      </c>
      <c r="CE102" s="128"/>
      <c r="CF102" s="77" t="e">
        <v>#N/A</v>
      </c>
    </row>
    <row r="103" spans="1:84" ht="14.5" x14ac:dyDescent="0.35">
      <c r="A103" s="77">
        <v>102</v>
      </c>
      <c r="B103" s="106" t="s">
        <v>4462</v>
      </c>
      <c r="C103" s="107" t="s">
        <v>6748</v>
      </c>
      <c r="D103" s="108" t="s">
        <v>4424</v>
      </c>
      <c r="E103" s="109" t="s">
        <v>4425</v>
      </c>
      <c r="F103" s="110">
        <v>613989665</v>
      </c>
      <c r="G103" s="108" t="s">
        <v>1004</v>
      </c>
      <c r="H103" s="111" t="s">
        <v>198</v>
      </c>
      <c r="I103" s="111" t="s">
        <v>180</v>
      </c>
      <c r="J103" s="111" t="s">
        <v>4649</v>
      </c>
      <c r="K103" s="111" t="s">
        <v>199</v>
      </c>
      <c r="L103" s="112">
        <v>45782</v>
      </c>
      <c r="M103" s="111" t="s">
        <v>2792</v>
      </c>
      <c r="N103" s="113"/>
      <c r="O103" s="114" t="s">
        <v>285</v>
      </c>
      <c r="P103" s="114" t="s">
        <v>285</v>
      </c>
      <c r="Q103" s="114" t="s">
        <v>7384</v>
      </c>
      <c r="R103" s="114" t="s">
        <v>7312</v>
      </c>
      <c r="S103" s="114" t="s">
        <v>285</v>
      </c>
      <c r="T103" s="114" t="s">
        <v>183</v>
      </c>
      <c r="U103" s="114" t="s">
        <v>183</v>
      </c>
      <c r="V103" s="115"/>
      <c r="W103" s="116" t="s">
        <v>4426</v>
      </c>
      <c r="X103" s="116" t="s">
        <v>4427</v>
      </c>
      <c r="Y103" s="117">
        <v>3485959</v>
      </c>
      <c r="Z103" s="117">
        <v>3486453</v>
      </c>
      <c r="AA103" s="118"/>
      <c r="AB103" s="119" t="s">
        <v>5590</v>
      </c>
      <c r="AC103" s="119" t="s">
        <v>4428</v>
      </c>
      <c r="AD103" s="119">
        <v>5835</v>
      </c>
      <c r="AE103" s="119" t="s">
        <v>4429</v>
      </c>
      <c r="AF103" s="119" t="s">
        <v>6058</v>
      </c>
      <c r="AG103" s="120"/>
      <c r="AH103" s="121">
        <v>45777</v>
      </c>
      <c r="AI103" s="121">
        <v>45777</v>
      </c>
      <c r="AJ103" s="121">
        <v>45777</v>
      </c>
      <c r="AK103" s="122">
        <v>45777</v>
      </c>
      <c r="AL103" s="122" t="e">
        <v>#N/A</v>
      </c>
      <c r="AM103" s="122" t="e">
        <v>#N/A</v>
      </c>
      <c r="AN103" s="122" t="e">
        <v>#N/A</v>
      </c>
      <c r="AO103" s="121" t="e">
        <v>#N/A</v>
      </c>
      <c r="AP103" s="122" t="e">
        <v>#N/A</v>
      </c>
      <c r="AQ103" s="122" t="e">
        <v>#N/A</v>
      </c>
      <c r="AR103" s="122" t="e">
        <v>#N/A</v>
      </c>
      <c r="AS103" s="122" t="e">
        <v>#N/A</v>
      </c>
      <c r="AT103" s="122" t="e">
        <v>#N/A</v>
      </c>
      <c r="AU103" s="121" t="e">
        <v>#N/A</v>
      </c>
      <c r="AV103" s="122" t="e">
        <v>#N/A</v>
      </c>
      <c r="AW103" s="122">
        <v>45777</v>
      </c>
      <c r="AX103" s="122" t="e">
        <v>#N/A</v>
      </c>
      <c r="AY103" s="122" t="e">
        <v>#N/A</v>
      </c>
      <c r="AZ103" s="122" t="e">
        <v>#N/A</v>
      </c>
      <c r="BA103" s="122" t="e">
        <v>#N/A</v>
      </c>
      <c r="BB103" s="122" t="e">
        <v>#N/A</v>
      </c>
      <c r="BC103" s="122" t="e">
        <v>#N/A</v>
      </c>
      <c r="BD103" s="122" t="e">
        <v>#N/A</v>
      </c>
      <c r="BE103" s="122" t="e">
        <v>#N/A</v>
      </c>
      <c r="BF103" s="122" t="e">
        <v>#N/A</v>
      </c>
      <c r="BG103" s="122" t="e">
        <v>#N/A</v>
      </c>
      <c r="BH103" s="122" t="e">
        <v>#N/A</v>
      </c>
      <c r="BI103" s="122" t="e">
        <v>#N/A</v>
      </c>
      <c r="BJ103" s="122" t="e">
        <v>#N/A</v>
      </c>
      <c r="BK103" s="122">
        <v>45950</v>
      </c>
      <c r="BL103" s="123"/>
      <c r="BM103" s="124" t="e">
        <v>#N/A</v>
      </c>
      <c r="BN103" s="124" t="e">
        <v>#N/A</v>
      </c>
      <c r="BO103" s="124" t="e">
        <v>#N/A</v>
      </c>
      <c r="BP103" s="124" t="e">
        <v>#N/A</v>
      </c>
      <c r="BQ103" s="124" t="e">
        <v>#N/A</v>
      </c>
      <c r="BR103" s="124" t="e">
        <v>#N/A</v>
      </c>
      <c r="BS103" s="124" t="e">
        <v>#N/A</v>
      </c>
      <c r="BT103" s="124" t="e">
        <v>#N/A</v>
      </c>
      <c r="BU103" s="124" t="e">
        <v>#N/A</v>
      </c>
      <c r="BV103" s="124" t="e">
        <v>#N/A</v>
      </c>
      <c r="BW103" s="124" t="e">
        <v>#N/A</v>
      </c>
      <c r="BX103" s="124" t="e">
        <v>#N/A</v>
      </c>
      <c r="BY103" s="124" t="e">
        <v>#N/A</v>
      </c>
      <c r="BZ103" s="124" t="e">
        <v>#N/A</v>
      </c>
      <c r="CA103" s="125"/>
      <c r="CB103" s="124">
        <v>45740</v>
      </c>
      <c r="CC103" s="126">
        <v>1</v>
      </c>
      <c r="CD103" s="127" t="s">
        <v>4395</v>
      </c>
      <c r="CE103" s="128"/>
      <c r="CF103" s="77" t="e">
        <v>#N/A</v>
      </c>
    </row>
    <row r="104" spans="1:84" ht="14.5" x14ac:dyDescent="0.35">
      <c r="A104" s="77">
        <v>103</v>
      </c>
      <c r="B104" s="106" t="s">
        <v>4466</v>
      </c>
      <c r="C104" s="107" t="s">
        <v>6743</v>
      </c>
      <c r="D104" s="108" t="s">
        <v>4444</v>
      </c>
      <c r="E104" s="109" t="s">
        <v>4445</v>
      </c>
      <c r="F104" s="110">
        <v>722115310</v>
      </c>
      <c r="G104" s="108" t="s">
        <v>1004</v>
      </c>
      <c r="H104" s="111" t="s">
        <v>198</v>
      </c>
      <c r="I104" s="111" t="s">
        <v>180</v>
      </c>
      <c r="J104" s="111" t="s">
        <v>4649</v>
      </c>
      <c r="K104" s="111" t="s">
        <v>199</v>
      </c>
      <c r="L104" s="112">
        <v>45782</v>
      </c>
      <c r="M104" s="111" t="s">
        <v>2933</v>
      </c>
      <c r="N104" s="113"/>
      <c r="O104" s="114" t="s">
        <v>286</v>
      </c>
      <c r="P104" s="114" t="s">
        <v>286</v>
      </c>
      <c r="Q104" s="114" t="s">
        <v>286</v>
      </c>
      <c r="R104" s="114" t="s">
        <v>7301</v>
      </c>
      <c r="S104" s="114" t="s">
        <v>286</v>
      </c>
      <c r="T104" s="114" t="s">
        <v>183</v>
      </c>
      <c r="U104" s="114" t="s">
        <v>183</v>
      </c>
      <c r="V104" s="115"/>
      <c r="W104" s="116" t="s">
        <v>4446</v>
      </c>
      <c r="X104" s="116" t="s">
        <v>4447</v>
      </c>
      <c r="Y104" s="117">
        <v>3485927</v>
      </c>
      <c r="Z104" s="117">
        <v>3486372</v>
      </c>
      <c r="AA104" s="118"/>
      <c r="AB104" s="119" t="s">
        <v>5699</v>
      </c>
      <c r="AC104" s="119" t="s">
        <v>4448</v>
      </c>
      <c r="AD104" s="119">
        <v>5849</v>
      </c>
      <c r="AE104" s="119" t="s">
        <v>4449</v>
      </c>
      <c r="AF104" s="119" t="s">
        <v>7385</v>
      </c>
      <c r="AG104" s="120"/>
      <c r="AH104" s="121">
        <v>45777</v>
      </c>
      <c r="AI104" s="121">
        <v>45777</v>
      </c>
      <c r="AJ104" s="121">
        <v>45777</v>
      </c>
      <c r="AK104" s="122">
        <v>45777</v>
      </c>
      <c r="AL104" s="122" t="e">
        <v>#N/A</v>
      </c>
      <c r="AM104" s="121" t="e">
        <v>#N/A</v>
      </c>
      <c r="AN104" s="121" t="e">
        <v>#N/A</v>
      </c>
      <c r="AO104" s="121" t="e">
        <v>#N/A</v>
      </c>
      <c r="AP104" s="122" t="e">
        <v>#N/A</v>
      </c>
      <c r="AQ104" s="122" t="e">
        <v>#N/A</v>
      </c>
      <c r="AR104" s="122" t="e">
        <v>#N/A</v>
      </c>
      <c r="AS104" s="122" t="e">
        <v>#N/A</v>
      </c>
      <c r="AT104" s="122" t="e">
        <v>#N/A</v>
      </c>
      <c r="AU104" s="121" t="e">
        <v>#N/A</v>
      </c>
      <c r="AV104" s="122" t="e">
        <v>#N/A</v>
      </c>
      <c r="AW104" s="122">
        <v>45785</v>
      </c>
      <c r="AX104" s="122" t="e">
        <v>#N/A</v>
      </c>
      <c r="AY104" s="122" t="e">
        <v>#N/A</v>
      </c>
      <c r="AZ104" s="122" t="e">
        <v>#N/A</v>
      </c>
      <c r="BA104" s="122" t="e">
        <v>#N/A</v>
      </c>
      <c r="BB104" s="122" t="e">
        <v>#N/A</v>
      </c>
      <c r="BC104" s="122" t="e">
        <v>#N/A</v>
      </c>
      <c r="BD104" s="122" t="e">
        <v>#N/A</v>
      </c>
      <c r="BE104" s="122" t="e">
        <v>#N/A</v>
      </c>
      <c r="BF104" s="122" t="e">
        <v>#N/A</v>
      </c>
      <c r="BG104" s="122" t="e">
        <v>#N/A</v>
      </c>
      <c r="BH104" s="122" t="e">
        <v>#N/A</v>
      </c>
      <c r="BI104" s="122" t="e">
        <v>#N/A</v>
      </c>
      <c r="BJ104" s="122" t="e">
        <v>#N/A</v>
      </c>
      <c r="BK104" s="122">
        <v>45971</v>
      </c>
      <c r="BL104" s="123"/>
      <c r="BM104" s="124" t="e">
        <v>#N/A</v>
      </c>
      <c r="BN104" s="124" t="e">
        <v>#N/A</v>
      </c>
      <c r="BO104" s="124" t="e">
        <v>#N/A</v>
      </c>
      <c r="BP104" s="124" t="e">
        <v>#N/A</v>
      </c>
      <c r="BQ104" s="124" t="e">
        <v>#N/A</v>
      </c>
      <c r="BR104" s="124" t="e">
        <v>#N/A</v>
      </c>
      <c r="BS104" s="124" t="e">
        <v>#N/A</v>
      </c>
      <c r="BT104" s="124" t="e">
        <v>#N/A</v>
      </c>
      <c r="BU104" s="124" t="e">
        <v>#N/A</v>
      </c>
      <c r="BV104" s="124" t="e">
        <v>#N/A</v>
      </c>
      <c r="BW104" s="124" t="e">
        <v>#N/A</v>
      </c>
      <c r="BX104" s="124" t="e">
        <v>#N/A</v>
      </c>
      <c r="BY104" s="124" t="e">
        <v>#N/A</v>
      </c>
      <c r="BZ104" s="124" t="e">
        <v>#N/A</v>
      </c>
      <c r="CA104" s="125"/>
      <c r="CB104" s="124">
        <v>45740</v>
      </c>
      <c r="CC104" s="126">
        <v>1</v>
      </c>
      <c r="CD104" s="127" t="s">
        <v>4395</v>
      </c>
      <c r="CE104" s="128"/>
      <c r="CF104" s="77" t="e">
        <v>#N/A</v>
      </c>
    </row>
    <row r="105" spans="1:84" ht="14.5" x14ac:dyDescent="0.35">
      <c r="A105" s="77">
        <v>104</v>
      </c>
      <c r="B105" s="106" t="s">
        <v>4463</v>
      </c>
      <c r="C105" s="107" t="s">
        <v>6749</v>
      </c>
      <c r="D105" s="108" t="s">
        <v>4430</v>
      </c>
      <c r="E105" s="109" t="s">
        <v>4431</v>
      </c>
      <c r="F105" s="110">
        <v>654034231</v>
      </c>
      <c r="G105" s="108" t="s">
        <v>1004</v>
      </c>
      <c r="H105" s="111" t="s">
        <v>198</v>
      </c>
      <c r="I105" s="111" t="s">
        <v>180</v>
      </c>
      <c r="J105" s="111" t="s">
        <v>4649</v>
      </c>
      <c r="K105" s="111" t="s">
        <v>199</v>
      </c>
      <c r="L105" s="112">
        <v>45782</v>
      </c>
      <c r="M105" s="111" t="s">
        <v>2792</v>
      </c>
      <c r="N105" s="113"/>
      <c r="O105" s="114" t="s">
        <v>3831</v>
      </c>
      <c r="P105" s="114" t="s">
        <v>3831</v>
      </c>
      <c r="Q105" s="114" t="s">
        <v>585</v>
      </c>
      <c r="R105" s="114" t="s">
        <v>7382</v>
      </c>
      <c r="S105" s="114" t="s">
        <v>3831</v>
      </c>
      <c r="T105" s="114" t="s">
        <v>183</v>
      </c>
      <c r="U105" s="114" t="s">
        <v>183</v>
      </c>
      <c r="V105" s="115"/>
      <c r="W105" s="116" t="s">
        <v>4432</v>
      </c>
      <c r="X105" s="116" t="s">
        <v>4433</v>
      </c>
      <c r="Y105" s="117">
        <v>3487001</v>
      </c>
      <c r="Z105" s="117">
        <v>3486639</v>
      </c>
      <c r="AA105" s="118"/>
      <c r="AB105" s="119" t="s">
        <v>4434</v>
      </c>
      <c r="AC105" s="119" t="s">
        <v>4435</v>
      </c>
      <c r="AD105" s="119">
        <v>5238</v>
      </c>
      <c r="AE105" s="119" t="s">
        <v>4436</v>
      </c>
      <c r="AF105" s="119" t="s">
        <v>6056</v>
      </c>
      <c r="AG105" s="120"/>
      <c r="AH105" s="121">
        <v>45777</v>
      </c>
      <c r="AI105" s="121">
        <v>45777</v>
      </c>
      <c r="AJ105" s="121">
        <v>45777</v>
      </c>
      <c r="AK105" s="122">
        <v>45777</v>
      </c>
      <c r="AL105" s="122" t="e">
        <v>#N/A</v>
      </c>
      <c r="AM105" s="121" t="e">
        <v>#N/A</v>
      </c>
      <c r="AN105" s="121" t="e">
        <v>#N/A</v>
      </c>
      <c r="AO105" s="121" t="e">
        <v>#N/A</v>
      </c>
      <c r="AP105" s="122" t="e">
        <v>#N/A</v>
      </c>
      <c r="AQ105" s="122" t="e">
        <v>#N/A</v>
      </c>
      <c r="AR105" s="122" t="e">
        <v>#N/A</v>
      </c>
      <c r="AS105" s="122" t="e">
        <v>#N/A</v>
      </c>
      <c r="AT105" s="122" t="e">
        <v>#N/A</v>
      </c>
      <c r="AU105" s="121" t="e">
        <v>#N/A</v>
      </c>
      <c r="AV105" s="122" t="e">
        <v>#N/A</v>
      </c>
      <c r="AW105" s="122">
        <v>45777</v>
      </c>
      <c r="AX105" s="122" t="e">
        <v>#N/A</v>
      </c>
      <c r="AY105" s="122" t="e">
        <v>#N/A</v>
      </c>
      <c r="AZ105" s="122" t="e">
        <v>#N/A</v>
      </c>
      <c r="BA105" s="122" t="e">
        <v>#N/A</v>
      </c>
      <c r="BB105" s="122" t="e">
        <v>#N/A</v>
      </c>
      <c r="BC105" s="122" t="e">
        <v>#N/A</v>
      </c>
      <c r="BD105" s="122" t="e">
        <v>#N/A</v>
      </c>
      <c r="BE105" s="122" t="e">
        <v>#N/A</v>
      </c>
      <c r="BF105" s="122" t="e">
        <v>#N/A</v>
      </c>
      <c r="BG105" s="122" t="e">
        <v>#N/A</v>
      </c>
      <c r="BH105" s="122" t="e">
        <v>#N/A</v>
      </c>
      <c r="BI105" s="122" t="e">
        <v>#N/A</v>
      </c>
      <c r="BJ105" s="122" t="e">
        <v>#N/A</v>
      </c>
      <c r="BK105" s="122">
        <v>45950</v>
      </c>
      <c r="BL105" s="123"/>
      <c r="BM105" s="124" t="e">
        <v>#N/A</v>
      </c>
      <c r="BN105" s="124" t="e">
        <v>#N/A</v>
      </c>
      <c r="BO105" s="124" t="e">
        <v>#N/A</v>
      </c>
      <c r="BP105" s="124" t="e">
        <v>#N/A</v>
      </c>
      <c r="BQ105" s="124" t="e">
        <v>#N/A</v>
      </c>
      <c r="BR105" s="124" t="e">
        <v>#N/A</v>
      </c>
      <c r="BS105" s="124" t="e">
        <v>#N/A</v>
      </c>
      <c r="BT105" s="124" t="e">
        <v>#N/A</v>
      </c>
      <c r="BU105" s="124" t="e">
        <v>#N/A</v>
      </c>
      <c r="BV105" s="124" t="e">
        <v>#N/A</v>
      </c>
      <c r="BW105" s="124" t="e">
        <v>#N/A</v>
      </c>
      <c r="BX105" s="124" t="e">
        <v>#N/A</v>
      </c>
      <c r="BY105" s="124" t="e">
        <v>#N/A</v>
      </c>
      <c r="BZ105" s="124" t="e">
        <v>#N/A</v>
      </c>
      <c r="CA105" s="125"/>
      <c r="CB105" s="124">
        <v>45740</v>
      </c>
      <c r="CC105" s="126">
        <v>1</v>
      </c>
      <c r="CD105" s="127" t="s">
        <v>4394</v>
      </c>
      <c r="CE105" s="128"/>
      <c r="CF105" s="77" t="s">
        <v>4186</v>
      </c>
    </row>
    <row r="106" spans="1:84" ht="14.5" x14ac:dyDescent="0.35">
      <c r="A106" s="77">
        <v>105</v>
      </c>
      <c r="B106" s="106" t="s">
        <v>4465</v>
      </c>
      <c r="C106" s="107" t="s">
        <v>6747</v>
      </c>
      <c r="D106" s="108" t="s">
        <v>4437</v>
      </c>
      <c r="E106" s="109" t="s">
        <v>4438</v>
      </c>
      <c r="F106" s="110">
        <v>674840851</v>
      </c>
      <c r="G106" s="108" t="s">
        <v>1004</v>
      </c>
      <c r="H106" s="111" t="s">
        <v>198</v>
      </c>
      <c r="I106" s="111" t="s">
        <v>180</v>
      </c>
      <c r="J106" s="111" t="s">
        <v>4649</v>
      </c>
      <c r="K106" s="111" t="s">
        <v>199</v>
      </c>
      <c r="L106" s="112">
        <v>45782</v>
      </c>
      <c r="M106" s="111" t="s">
        <v>2792</v>
      </c>
      <c r="N106" s="113"/>
      <c r="O106" s="114" t="s">
        <v>585</v>
      </c>
      <c r="P106" s="114" t="s">
        <v>585</v>
      </c>
      <c r="Q106" s="114" t="s">
        <v>183</v>
      </c>
      <c r="R106" s="114" t="s">
        <v>7386</v>
      </c>
      <c r="S106" s="114" t="s">
        <v>585</v>
      </c>
      <c r="T106" s="114" t="s">
        <v>585</v>
      </c>
      <c r="U106" s="114" t="s">
        <v>585</v>
      </c>
      <c r="V106" s="115"/>
      <c r="W106" s="116" t="s">
        <v>4439</v>
      </c>
      <c r="X106" s="116" t="s">
        <v>4440</v>
      </c>
      <c r="Y106" s="117">
        <v>3485958</v>
      </c>
      <c r="Z106" s="117">
        <v>3486445</v>
      </c>
      <c r="AA106" s="118"/>
      <c r="AB106" s="119" t="s">
        <v>4441</v>
      </c>
      <c r="AC106" s="119" t="s">
        <v>4442</v>
      </c>
      <c r="AD106" s="119">
        <v>5836</v>
      </c>
      <c r="AE106" s="119" t="s">
        <v>4443</v>
      </c>
      <c r="AF106" s="119" t="s">
        <v>7387</v>
      </c>
      <c r="AG106" s="120"/>
      <c r="AH106" s="121">
        <v>45777</v>
      </c>
      <c r="AI106" s="121">
        <v>45777</v>
      </c>
      <c r="AJ106" s="121">
        <v>45777</v>
      </c>
      <c r="AK106" s="122">
        <v>45777</v>
      </c>
      <c r="AL106" s="122" t="e">
        <v>#N/A</v>
      </c>
      <c r="AM106" s="121" t="e">
        <v>#N/A</v>
      </c>
      <c r="AN106" s="121" t="e">
        <v>#N/A</v>
      </c>
      <c r="AO106" s="121" t="e">
        <v>#N/A</v>
      </c>
      <c r="AP106" s="122" t="e">
        <v>#N/A</v>
      </c>
      <c r="AQ106" s="122" t="e">
        <v>#N/A</v>
      </c>
      <c r="AR106" s="122" t="e">
        <v>#N/A</v>
      </c>
      <c r="AS106" s="122" t="e">
        <v>#N/A</v>
      </c>
      <c r="AT106" s="122" t="e">
        <v>#N/A</v>
      </c>
      <c r="AU106" s="121" t="e">
        <v>#N/A</v>
      </c>
      <c r="AV106" s="122" t="e">
        <v>#N/A</v>
      </c>
      <c r="AW106" s="122">
        <v>45785</v>
      </c>
      <c r="AX106" s="122" t="e">
        <v>#N/A</v>
      </c>
      <c r="AY106" s="122" t="e">
        <v>#N/A</v>
      </c>
      <c r="AZ106" s="122" t="e">
        <v>#N/A</v>
      </c>
      <c r="BA106" s="122" t="e">
        <v>#N/A</v>
      </c>
      <c r="BB106" s="122" t="e">
        <v>#N/A</v>
      </c>
      <c r="BC106" s="122" t="e">
        <v>#N/A</v>
      </c>
      <c r="BD106" s="122" t="e">
        <v>#N/A</v>
      </c>
      <c r="BE106" s="122" t="e">
        <v>#N/A</v>
      </c>
      <c r="BF106" s="122" t="e">
        <v>#N/A</v>
      </c>
      <c r="BG106" s="122" t="e">
        <v>#N/A</v>
      </c>
      <c r="BH106" s="122" t="e">
        <v>#N/A</v>
      </c>
      <c r="BI106" s="122" t="e">
        <v>#N/A</v>
      </c>
      <c r="BJ106" s="122" t="e">
        <v>#N/A</v>
      </c>
      <c r="BK106" s="122">
        <v>45967</v>
      </c>
      <c r="BL106" s="123"/>
      <c r="BM106" s="124" t="e">
        <v>#N/A</v>
      </c>
      <c r="BN106" s="124" t="e">
        <v>#N/A</v>
      </c>
      <c r="BO106" s="124" t="e">
        <v>#N/A</v>
      </c>
      <c r="BP106" s="124" t="e">
        <v>#N/A</v>
      </c>
      <c r="BQ106" s="124" t="e">
        <v>#N/A</v>
      </c>
      <c r="BR106" s="124" t="e">
        <v>#N/A</v>
      </c>
      <c r="BS106" s="124" t="e">
        <v>#N/A</v>
      </c>
      <c r="BT106" s="124" t="e">
        <v>#N/A</v>
      </c>
      <c r="BU106" s="124" t="e">
        <v>#N/A</v>
      </c>
      <c r="BV106" s="124" t="e">
        <v>#N/A</v>
      </c>
      <c r="BW106" s="124" t="e">
        <v>#N/A</v>
      </c>
      <c r="BX106" s="124" t="e">
        <v>#N/A</v>
      </c>
      <c r="BY106" s="124" t="e">
        <v>#N/A</v>
      </c>
      <c r="BZ106" s="124" t="e">
        <v>#N/A</v>
      </c>
      <c r="CA106" s="125"/>
      <c r="CB106" s="124">
        <v>45740</v>
      </c>
      <c r="CC106" s="126">
        <v>1</v>
      </c>
      <c r="CD106" s="127" t="s">
        <v>4395</v>
      </c>
      <c r="CE106" s="128"/>
      <c r="CF106" s="77" t="s">
        <v>4180</v>
      </c>
    </row>
    <row r="107" spans="1:84" ht="14.5" x14ac:dyDescent="0.35">
      <c r="A107" s="77">
        <v>106</v>
      </c>
      <c r="B107" s="106" t="s">
        <v>40</v>
      </c>
      <c r="C107" s="107" t="s">
        <v>1273</v>
      </c>
      <c r="D107" s="108" t="s">
        <v>476</v>
      </c>
      <c r="E107" s="109" t="s">
        <v>477</v>
      </c>
      <c r="F107" s="110">
        <v>615085485</v>
      </c>
      <c r="G107" s="108" t="s">
        <v>190</v>
      </c>
      <c r="H107" s="111" t="s">
        <v>198</v>
      </c>
      <c r="I107" s="111" t="s">
        <v>180</v>
      </c>
      <c r="J107" s="111" t="s">
        <v>4649</v>
      </c>
      <c r="K107" s="111" t="s">
        <v>199</v>
      </c>
      <c r="L107" s="112">
        <v>40945</v>
      </c>
      <c r="M107" s="111" t="s">
        <v>2628</v>
      </c>
      <c r="N107" s="113"/>
      <c r="O107" s="114" t="s">
        <v>2653</v>
      </c>
      <c r="P107" s="114" t="s">
        <v>183</v>
      </c>
      <c r="Q107" s="114" t="s">
        <v>7271</v>
      </c>
      <c r="R107" s="114" t="s">
        <v>6924</v>
      </c>
      <c r="S107" s="114" t="s">
        <v>4356</v>
      </c>
      <c r="T107" s="114" t="s">
        <v>7271</v>
      </c>
      <c r="U107" s="114" t="s">
        <v>7271</v>
      </c>
      <c r="V107" s="115"/>
      <c r="W107" s="116" t="s">
        <v>6059</v>
      </c>
      <c r="X107" s="116" t="s">
        <v>6060</v>
      </c>
      <c r="Y107" s="117">
        <v>3485711</v>
      </c>
      <c r="Z107" s="117">
        <v>3486635</v>
      </c>
      <c r="AA107" s="118"/>
      <c r="AB107" s="119" t="s">
        <v>6061</v>
      </c>
      <c r="AC107" s="119" t="s">
        <v>6062</v>
      </c>
      <c r="AD107" s="119" t="s">
        <v>6063</v>
      </c>
      <c r="AE107" s="119" t="s">
        <v>6064</v>
      </c>
      <c r="AF107" s="119">
        <v>0</v>
      </c>
      <c r="AG107" s="120"/>
      <c r="AH107" s="121">
        <v>44673</v>
      </c>
      <c r="AI107" s="121">
        <v>45560</v>
      </c>
      <c r="AJ107" s="121">
        <v>45560</v>
      </c>
      <c r="AK107" s="122">
        <v>45560</v>
      </c>
      <c r="AL107" s="122" t="e">
        <v>#N/A</v>
      </c>
      <c r="AM107" s="121" t="e">
        <v>#N/A</v>
      </c>
      <c r="AN107" s="121" t="e">
        <v>#N/A</v>
      </c>
      <c r="AO107" s="121" t="e">
        <v>#N/A</v>
      </c>
      <c r="AP107" s="122" t="e">
        <v>#N/A</v>
      </c>
      <c r="AQ107" s="122" t="e">
        <v>#N/A</v>
      </c>
      <c r="AR107" s="122" t="e">
        <v>#N/A</v>
      </c>
      <c r="AS107" s="122" t="e">
        <v>#N/A</v>
      </c>
      <c r="AT107" s="122" t="e">
        <v>#N/A</v>
      </c>
      <c r="AU107" s="121" t="e">
        <v>#N/A</v>
      </c>
      <c r="AV107" s="122" t="e">
        <v>#N/A</v>
      </c>
      <c r="AW107" s="122" t="e">
        <v>#N/A</v>
      </c>
      <c r="AX107" s="122" t="e">
        <v>#N/A</v>
      </c>
      <c r="AY107" s="122" t="e">
        <v>#N/A</v>
      </c>
      <c r="AZ107" s="122" t="e">
        <v>#N/A</v>
      </c>
      <c r="BA107" s="122" t="e">
        <v>#N/A</v>
      </c>
      <c r="BB107" s="122" t="e">
        <v>#N/A</v>
      </c>
      <c r="BC107" s="122" t="e">
        <v>#N/A</v>
      </c>
      <c r="BD107" s="122" t="e">
        <v>#N/A</v>
      </c>
      <c r="BE107" s="122" t="e">
        <v>#N/A</v>
      </c>
      <c r="BF107" s="122" t="e">
        <v>#N/A</v>
      </c>
      <c r="BG107" s="122" t="e">
        <v>#N/A</v>
      </c>
      <c r="BH107" s="122" t="e">
        <v>#N/A</v>
      </c>
      <c r="BI107" s="122" t="e">
        <v>#N/A</v>
      </c>
      <c r="BJ107" s="122" t="e">
        <v>#N/A</v>
      </c>
      <c r="BK107" s="122" t="e">
        <v>#N/A</v>
      </c>
      <c r="BL107" s="123"/>
      <c r="BM107" s="124" t="e">
        <v>#N/A</v>
      </c>
      <c r="BN107" s="124" t="e">
        <v>#N/A</v>
      </c>
      <c r="BO107" s="124" t="e">
        <v>#N/A</v>
      </c>
      <c r="BP107" s="124" t="e">
        <v>#N/A</v>
      </c>
      <c r="BQ107" s="124" t="e">
        <v>#N/A</v>
      </c>
      <c r="BR107" s="124" t="e">
        <v>#N/A</v>
      </c>
      <c r="BS107" s="124" t="e">
        <v>#N/A</v>
      </c>
      <c r="BT107" s="124" t="e">
        <v>#N/A</v>
      </c>
      <c r="BU107" s="124" t="e">
        <v>#N/A</v>
      </c>
      <c r="BV107" s="124" t="e">
        <v>#N/A</v>
      </c>
      <c r="BW107" s="124" t="e">
        <v>#N/A</v>
      </c>
      <c r="BX107" s="124" t="e">
        <v>#N/A</v>
      </c>
      <c r="BY107" s="124" t="e">
        <v>#N/A</v>
      </c>
      <c r="BZ107" s="124" t="e">
        <v>#N/A</v>
      </c>
      <c r="CA107" s="125"/>
      <c r="CB107" s="124" t="e">
        <v>#N/A</v>
      </c>
      <c r="CC107" s="126">
        <v>1</v>
      </c>
      <c r="CD107" s="127" t="s">
        <v>4169</v>
      </c>
      <c r="CE107" s="128"/>
      <c r="CF107" s="77" t="s">
        <v>4169</v>
      </c>
    </row>
    <row r="108" spans="1:84" ht="14.5" x14ac:dyDescent="0.35">
      <c r="A108" s="77">
        <v>107</v>
      </c>
      <c r="B108" s="106" t="s">
        <v>4458</v>
      </c>
      <c r="C108" s="107" t="s">
        <v>6744</v>
      </c>
      <c r="D108" s="108" t="s">
        <v>4397</v>
      </c>
      <c r="E108" s="109" t="s">
        <v>4398</v>
      </c>
      <c r="F108" s="110">
        <v>654571190</v>
      </c>
      <c r="G108" s="108" t="s">
        <v>1004</v>
      </c>
      <c r="H108" s="111" t="s">
        <v>198</v>
      </c>
      <c r="I108" s="111" t="s">
        <v>180</v>
      </c>
      <c r="J108" s="111" t="s">
        <v>4649</v>
      </c>
      <c r="K108" s="111" t="s">
        <v>199</v>
      </c>
      <c r="L108" s="112">
        <v>45782</v>
      </c>
      <c r="M108" s="111" t="s">
        <v>1719</v>
      </c>
      <c r="N108" s="113"/>
      <c r="O108" s="114" t="s">
        <v>285</v>
      </c>
      <c r="P108" s="114" t="s">
        <v>285</v>
      </c>
      <c r="Q108" s="114" t="s">
        <v>286</v>
      </c>
      <c r="R108" s="114" t="s">
        <v>367</v>
      </c>
      <c r="S108" s="114" t="s">
        <v>285</v>
      </c>
      <c r="T108" s="114" t="s">
        <v>183</v>
      </c>
      <c r="U108" s="114" t="s">
        <v>183</v>
      </c>
      <c r="V108" s="115"/>
      <c r="W108" s="116" t="s">
        <v>4399</v>
      </c>
      <c r="X108" s="116" t="s">
        <v>4400</v>
      </c>
      <c r="Y108" s="117">
        <v>3485906</v>
      </c>
      <c r="Z108" s="117">
        <v>3486198</v>
      </c>
      <c r="AA108" s="118"/>
      <c r="AB108" s="119" t="s">
        <v>5700</v>
      </c>
      <c r="AC108" s="119" t="s">
        <v>4401</v>
      </c>
      <c r="AD108" s="119">
        <v>5863</v>
      </c>
      <c r="AE108" s="119" t="s">
        <v>4402</v>
      </c>
      <c r="AF108" s="119" t="s">
        <v>7388</v>
      </c>
      <c r="AG108" s="120"/>
      <c r="AH108" s="121">
        <v>45777</v>
      </c>
      <c r="AI108" s="121">
        <v>45777</v>
      </c>
      <c r="AJ108" s="121">
        <v>45777</v>
      </c>
      <c r="AK108" s="122">
        <v>45777</v>
      </c>
      <c r="AL108" s="122">
        <v>45912</v>
      </c>
      <c r="AM108" s="121" t="e">
        <v>#N/A</v>
      </c>
      <c r="AN108" s="121" t="s">
        <v>7189</v>
      </c>
      <c r="AO108" s="121" t="e">
        <v>#N/A</v>
      </c>
      <c r="AP108" s="122" t="e">
        <v>#N/A</v>
      </c>
      <c r="AQ108" s="122" t="e">
        <v>#N/A</v>
      </c>
      <c r="AR108" s="122" t="e">
        <v>#N/A</v>
      </c>
      <c r="AS108" s="122" t="e">
        <v>#N/A</v>
      </c>
      <c r="AT108" s="122" t="e">
        <v>#N/A</v>
      </c>
      <c r="AU108" s="121" t="e">
        <v>#N/A</v>
      </c>
      <c r="AV108" s="122" t="e">
        <v>#N/A</v>
      </c>
      <c r="AW108" s="122">
        <v>45777</v>
      </c>
      <c r="AX108" s="122" t="e">
        <v>#N/A</v>
      </c>
      <c r="AY108" s="122" t="e">
        <v>#N/A</v>
      </c>
      <c r="AZ108" s="122" t="e">
        <v>#N/A</v>
      </c>
      <c r="BA108" s="122" t="e">
        <v>#N/A</v>
      </c>
      <c r="BB108" s="122" t="e">
        <v>#N/A</v>
      </c>
      <c r="BC108" s="122" t="e">
        <v>#N/A</v>
      </c>
      <c r="BD108" s="122" t="e">
        <v>#N/A</v>
      </c>
      <c r="BE108" s="122" t="e">
        <v>#N/A</v>
      </c>
      <c r="BF108" s="122" t="e">
        <v>#N/A</v>
      </c>
      <c r="BG108" s="122" t="e">
        <v>#N/A</v>
      </c>
      <c r="BH108" s="122" t="e">
        <v>#N/A</v>
      </c>
      <c r="BI108" s="122" t="e">
        <v>#N/A</v>
      </c>
      <c r="BJ108" s="122" t="e">
        <v>#N/A</v>
      </c>
      <c r="BK108" s="122">
        <v>45971</v>
      </c>
      <c r="BL108" s="123"/>
      <c r="BM108" s="124" t="e">
        <v>#N/A</v>
      </c>
      <c r="BN108" s="124" t="e">
        <v>#N/A</v>
      </c>
      <c r="BO108" s="124" t="e">
        <v>#N/A</v>
      </c>
      <c r="BP108" s="124" t="e">
        <v>#N/A</v>
      </c>
      <c r="BQ108" s="124" t="e">
        <v>#N/A</v>
      </c>
      <c r="BR108" s="124" t="e">
        <v>#N/A</v>
      </c>
      <c r="BS108" s="124" t="e">
        <v>#N/A</v>
      </c>
      <c r="BT108" s="124" t="e">
        <v>#N/A</v>
      </c>
      <c r="BU108" s="124" t="e">
        <v>#N/A</v>
      </c>
      <c r="BV108" s="124" t="e">
        <v>#N/A</v>
      </c>
      <c r="BW108" s="124" t="e">
        <v>#N/A</v>
      </c>
      <c r="BX108" s="124" t="e">
        <v>#N/A</v>
      </c>
      <c r="BY108" s="124" t="e">
        <v>#N/A</v>
      </c>
      <c r="BZ108" s="124" t="e">
        <v>#N/A</v>
      </c>
      <c r="CA108" s="125"/>
      <c r="CB108" s="124">
        <v>45740</v>
      </c>
      <c r="CC108" s="126">
        <v>1</v>
      </c>
      <c r="CD108" s="127" t="s">
        <v>4395</v>
      </c>
      <c r="CE108" s="128"/>
      <c r="CF108" s="77" t="s">
        <v>4169</v>
      </c>
    </row>
    <row r="109" spans="1:84" ht="14.5" x14ac:dyDescent="0.35">
      <c r="A109" s="77">
        <v>108</v>
      </c>
      <c r="B109" s="106" t="s">
        <v>4357</v>
      </c>
      <c r="C109" s="107" t="s">
        <v>6422</v>
      </c>
      <c r="D109" s="108" t="s">
        <v>4358</v>
      </c>
      <c r="E109" s="109" t="s">
        <v>4359</v>
      </c>
      <c r="F109" s="110">
        <v>661987453</v>
      </c>
      <c r="G109" s="108" t="s">
        <v>1004</v>
      </c>
      <c r="H109" s="111" t="s">
        <v>198</v>
      </c>
      <c r="I109" s="111" t="s">
        <v>180</v>
      </c>
      <c r="J109" s="111" t="s">
        <v>4649</v>
      </c>
      <c r="K109" s="111" t="s">
        <v>199</v>
      </c>
      <c r="L109" s="112">
        <v>45707</v>
      </c>
      <c r="M109" s="111" t="s">
        <v>2628</v>
      </c>
      <c r="N109" s="113"/>
      <c r="O109" s="114" t="s">
        <v>6899</v>
      </c>
      <c r="P109" s="114" t="s">
        <v>6899</v>
      </c>
      <c r="Q109" s="114" t="s">
        <v>6899</v>
      </c>
      <c r="R109" s="114" t="s">
        <v>6899</v>
      </c>
      <c r="S109" s="114" t="s">
        <v>6899</v>
      </c>
      <c r="T109" s="114" t="s">
        <v>6899</v>
      </c>
      <c r="U109" s="114" t="s">
        <v>6899</v>
      </c>
      <c r="V109" s="115"/>
      <c r="W109" s="116" t="s">
        <v>4360</v>
      </c>
      <c r="X109" s="116" t="s">
        <v>4361</v>
      </c>
      <c r="Y109" s="117">
        <v>3485363</v>
      </c>
      <c r="Z109" s="117">
        <v>3481187</v>
      </c>
      <c r="AA109" s="118"/>
      <c r="AB109" s="119" t="s">
        <v>5195</v>
      </c>
      <c r="AC109" s="119" t="s">
        <v>4362</v>
      </c>
      <c r="AD109" s="119" t="s">
        <v>3923</v>
      </c>
      <c r="AE109" s="119" t="s">
        <v>3923</v>
      </c>
      <c r="AF109" s="119">
        <v>0</v>
      </c>
      <c r="AG109" s="120"/>
      <c r="AH109" s="121">
        <v>44994</v>
      </c>
      <c r="AI109" s="121">
        <v>45002</v>
      </c>
      <c r="AJ109" s="121">
        <v>45002</v>
      </c>
      <c r="AK109" s="122">
        <v>45044</v>
      </c>
      <c r="AL109" s="122">
        <v>45072</v>
      </c>
      <c r="AM109" s="122" t="e">
        <v>#N/A</v>
      </c>
      <c r="AN109" s="122" t="s">
        <v>7106</v>
      </c>
      <c r="AO109" s="121" t="e">
        <v>#N/A</v>
      </c>
      <c r="AP109" s="122" t="e">
        <v>#N/A</v>
      </c>
      <c r="AQ109" s="122" t="e">
        <v>#N/A</v>
      </c>
      <c r="AR109" s="122">
        <v>45072</v>
      </c>
      <c r="AS109" s="122" t="e">
        <v>#N/A</v>
      </c>
      <c r="AT109" s="122">
        <v>45097</v>
      </c>
      <c r="AU109" s="121" t="e">
        <v>#N/A</v>
      </c>
      <c r="AV109" s="122" t="e">
        <v>#N/A</v>
      </c>
      <c r="AW109" s="122" t="e">
        <v>#N/A</v>
      </c>
      <c r="AX109" s="122" t="e">
        <v>#N/A</v>
      </c>
      <c r="AY109" s="122" t="e">
        <v>#N/A</v>
      </c>
      <c r="AZ109" s="122" t="e">
        <v>#N/A</v>
      </c>
      <c r="BA109" s="122" t="e">
        <v>#N/A</v>
      </c>
      <c r="BB109" s="122" t="e">
        <v>#N/A</v>
      </c>
      <c r="BC109" s="122" t="e">
        <v>#N/A</v>
      </c>
      <c r="BD109" s="122" t="e">
        <v>#N/A</v>
      </c>
      <c r="BE109" s="122" t="e">
        <v>#N/A</v>
      </c>
      <c r="BF109" s="122" t="e">
        <v>#N/A</v>
      </c>
      <c r="BG109" s="122" t="e">
        <v>#N/A</v>
      </c>
      <c r="BH109" s="122" t="e">
        <v>#N/A</v>
      </c>
      <c r="BI109" s="122" t="e">
        <v>#N/A</v>
      </c>
      <c r="BJ109" s="122" t="e">
        <v>#N/A</v>
      </c>
      <c r="BK109" s="122" t="e">
        <v>#N/A</v>
      </c>
      <c r="BL109" s="123"/>
      <c r="BM109" s="124" t="e">
        <v>#N/A</v>
      </c>
      <c r="BN109" s="124" t="e">
        <v>#N/A</v>
      </c>
      <c r="BO109" s="124" t="e">
        <v>#N/A</v>
      </c>
      <c r="BP109" s="124" t="e">
        <v>#N/A</v>
      </c>
      <c r="BQ109" s="124" t="e">
        <v>#N/A</v>
      </c>
      <c r="BR109" s="124" t="e">
        <v>#N/A</v>
      </c>
      <c r="BS109" s="124" t="e">
        <v>#N/A</v>
      </c>
      <c r="BT109" s="124" t="e">
        <v>#N/A</v>
      </c>
      <c r="BU109" s="124" t="e">
        <v>#N/A</v>
      </c>
      <c r="BV109" s="124" t="e">
        <v>#N/A</v>
      </c>
      <c r="BW109" s="124" t="e">
        <v>#N/A</v>
      </c>
      <c r="BX109" s="124" t="e">
        <v>#N/A</v>
      </c>
      <c r="BY109" s="124" t="e">
        <v>#N/A</v>
      </c>
      <c r="BZ109" s="124" t="e">
        <v>#N/A</v>
      </c>
      <c r="CA109" s="125"/>
      <c r="CB109" s="124" t="e">
        <v>#N/A</v>
      </c>
      <c r="CC109" s="126">
        <v>1</v>
      </c>
      <c r="CD109" s="127" t="s">
        <v>4161</v>
      </c>
      <c r="CE109" s="128"/>
      <c r="CF109" s="77" t="s">
        <v>4169</v>
      </c>
    </row>
    <row r="110" spans="1:84" ht="14.5" x14ac:dyDescent="0.35">
      <c r="A110" s="77">
        <v>109</v>
      </c>
      <c r="B110" s="106" t="s">
        <v>4461</v>
      </c>
      <c r="C110" s="107" t="s">
        <v>6746</v>
      </c>
      <c r="D110" s="108" t="s">
        <v>4417</v>
      </c>
      <c r="E110" s="109" t="s">
        <v>4418</v>
      </c>
      <c r="F110" s="110">
        <v>645768443</v>
      </c>
      <c r="G110" s="108" t="s">
        <v>1004</v>
      </c>
      <c r="H110" s="111" t="s">
        <v>198</v>
      </c>
      <c r="I110" s="111" t="s">
        <v>180</v>
      </c>
      <c r="J110" s="111" t="s">
        <v>4649</v>
      </c>
      <c r="K110" s="111" t="s">
        <v>199</v>
      </c>
      <c r="L110" s="112">
        <v>45782</v>
      </c>
      <c r="M110" s="111" t="s">
        <v>2792</v>
      </c>
      <c r="N110" s="113"/>
      <c r="O110" s="114" t="s">
        <v>286</v>
      </c>
      <c r="P110" s="114" t="s">
        <v>286</v>
      </c>
      <c r="Q110" s="114" t="s">
        <v>286</v>
      </c>
      <c r="R110" s="114" t="s">
        <v>7301</v>
      </c>
      <c r="S110" s="114" t="s">
        <v>286</v>
      </c>
      <c r="T110" s="114" t="s">
        <v>183</v>
      </c>
      <c r="U110" s="114" t="s">
        <v>183</v>
      </c>
      <c r="V110" s="115"/>
      <c r="W110" s="116" t="s">
        <v>4419</v>
      </c>
      <c r="X110" s="116" t="s">
        <v>4420</v>
      </c>
      <c r="Y110" s="117">
        <v>3485930</v>
      </c>
      <c r="Z110" s="117">
        <v>3486373</v>
      </c>
      <c r="AA110" s="118"/>
      <c r="AB110" s="119" t="s">
        <v>4421</v>
      </c>
      <c r="AC110" s="119" t="s">
        <v>4422</v>
      </c>
      <c r="AD110" s="119">
        <v>5847</v>
      </c>
      <c r="AE110" s="119" t="s">
        <v>4423</v>
      </c>
      <c r="AF110" s="119" t="s">
        <v>7216</v>
      </c>
      <c r="AG110" s="120"/>
      <c r="AH110" s="121">
        <v>45777</v>
      </c>
      <c r="AI110" s="121">
        <v>45777</v>
      </c>
      <c r="AJ110" s="121">
        <v>45777</v>
      </c>
      <c r="AK110" s="122">
        <v>45777</v>
      </c>
      <c r="AL110" s="122" t="e">
        <v>#N/A</v>
      </c>
      <c r="AM110" s="121" t="e">
        <v>#N/A</v>
      </c>
      <c r="AN110" s="121" t="e">
        <v>#N/A</v>
      </c>
      <c r="AO110" s="121" t="e">
        <v>#N/A</v>
      </c>
      <c r="AP110" s="122" t="e">
        <v>#N/A</v>
      </c>
      <c r="AQ110" s="122" t="e">
        <v>#N/A</v>
      </c>
      <c r="AR110" s="122" t="e">
        <v>#N/A</v>
      </c>
      <c r="AS110" s="122" t="e">
        <v>#N/A</v>
      </c>
      <c r="AT110" s="122" t="e">
        <v>#N/A</v>
      </c>
      <c r="AU110" s="121" t="e">
        <v>#N/A</v>
      </c>
      <c r="AV110" s="122" t="e">
        <v>#N/A</v>
      </c>
      <c r="AW110" s="122">
        <v>45777</v>
      </c>
      <c r="AX110" s="122" t="e">
        <v>#N/A</v>
      </c>
      <c r="AY110" s="122" t="e">
        <v>#N/A</v>
      </c>
      <c r="AZ110" s="122" t="e">
        <v>#N/A</v>
      </c>
      <c r="BA110" s="122" t="e">
        <v>#N/A</v>
      </c>
      <c r="BB110" s="122" t="e">
        <v>#N/A</v>
      </c>
      <c r="BC110" s="122" t="e">
        <v>#N/A</v>
      </c>
      <c r="BD110" s="122" t="e">
        <v>#N/A</v>
      </c>
      <c r="BE110" s="122" t="e">
        <v>#N/A</v>
      </c>
      <c r="BF110" s="122" t="e">
        <v>#N/A</v>
      </c>
      <c r="BG110" s="122" t="e">
        <v>#N/A</v>
      </c>
      <c r="BH110" s="122" t="e">
        <v>#N/A</v>
      </c>
      <c r="BI110" s="122" t="e">
        <v>#N/A</v>
      </c>
      <c r="BJ110" s="122" t="e">
        <v>#N/A</v>
      </c>
      <c r="BK110" s="122">
        <v>45960</v>
      </c>
      <c r="BL110" s="123"/>
      <c r="BM110" s="124" t="e">
        <v>#N/A</v>
      </c>
      <c r="BN110" s="124" t="e">
        <v>#N/A</v>
      </c>
      <c r="BO110" s="124" t="e">
        <v>#N/A</v>
      </c>
      <c r="BP110" s="124" t="e">
        <v>#N/A</v>
      </c>
      <c r="BQ110" s="124" t="e">
        <v>#N/A</v>
      </c>
      <c r="BR110" s="124" t="e">
        <v>#N/A</v>
      </c>
      <c r="BS110" s="124" t="e">
        <v>#N/A</v>
      </c>
      <c r="BT110" s="124" t="e">
        <v>#N/A</v>
      </c>
      <c r="BU110" s="124" t="e">
        <v>#N/A</v>
      </c>
      <c r="BV110" s="124" t="e">
        <v>#N/A</v>
      </c>
      <c r="BW110" s="124" t="e">
        <v>#N/A</v>
      </c>
      <c r="BX110" s="124" t="e">
        <v>#N/A</v>
      </c>
      <c r="BY110" s="124" t="e">
        <v>#N/A</v>
      </c>
      <c r="BZ110" s="124" t="e">
        <v>#N/A</v>
      </c>
      <c r="CA110" s="125"/>
      <c r="CB110" s="124">
        <v>45740</v>
      </c>
      <c r="CC110" s="126">
        <v>1</v>
      </c>
      <c r="CD110" s="127" t="s">
        <v>4395</v>
      </c>
      <c r="CE110" s="128"/>
      <c r="CF110" s="77" t="s">
        <v>4169</v>
      </c>
    </row>
    <row r="111" spans="1:84" ht="14.5" x14ac:dyDescent="0.35">
      <c r="A111" s="77">
        <v>110</v>
      </c>
      <c r="B111" s="106" t="s">
        <v>4712</v>
      </c>
      <c r="C111" s="107" t="s">
        <v>6778</v>
      </c>
      <c r="D111" s="108" t="s">
        <v>4713</v>
      </c>
      <c r="E111" s="109" t="s">
        <v>4714</v>
      </c>
      <c r="F111" s="110">
        <v>620721630</v>
      </c>
      <c r="G111" s="108" t="s">
        <v>1004</v>
      </c>
      <c r="H111" s="111" t="s">
        <v>198</v>
      </c>
      <c r="I111" s="111" t="s">
        <v>180</v>
      </c>
      <c r="J111" s="111" t="s">
        <v>4649</v>
      </c>
      <c r="K111" s="111" t="s">
        <v>199</v>
      </c>
      <c r="L111" s="112">
        <v>45831</v>
      </c>
      <c r="M111" s="111" t="s">
        <v>796</v>
      </c>
      <c r="N111" s="113"/>
      <c r="O111" s="114" t="s">
        <v>585</v>
      </c>
      <c r="P111" s="114" t="s">
        <v>183</v>
      </c>
      <c r="Q111" s="114" t="s">
        <v>286</v>
      </c>
      <c r="R111" s="114" t="s">
        <v>7312</v>
      </c>
      <c r="S111" s="114" t="s">
        <v>183</v>
      </c>
      <c r="T111" s="114" t="s">
        <v>285</v>
      </c>
      <c r="U111" s="114" t="s">
        <v>285</v>
      </c>
      <c r="V111" s="115"/>
      <c r="W111" s="116" t="s">
        <v>4715</v>
      </c>
      <c r="X111" s="116" t="s">
        <v>4716</v>
      </c>
      <c r="Y111" s="117">
        <v>3487129</v>
      </c>
      <c r="Z111" s="117">
        <v>3486790</v>
      </c>
      <c r="AA111" s="118"/>
      <c r="AB111" s="119" t="s">
        <v>4717</v>
      </c>
      <c r="AC111" s="119" t="s">
        <v>4718</v>
      </c>
      <c r="AD111" s="119">
        <v>26295</v>
      </c>
      <c r="AE111" s="119" t="s">
        <v>4719</v>
      </c>
      <c r="AF111" s="119" t="s">
        <v>6067</v>
      </c>
      <c r="AG111" s="120"/>
      <c r="AH111" s="121">
        <v>45831</v>
      </c>
      <c r="AI111" s="121">
        <v>45831</v>
      </c>
      <c r="AJ111" s="121">
        <v>45831</v>
      </c>
      <c r="AK111" s="122">
        <v>45831</v>
      </c>
      <c r="AL111" s="122" t="e">
        <v>#N/A</v>
      </c>
      <c r="AM111" s="121" t="e">
        <v>#N/A</v>
      </c>
      <c r="AN111" s="121" t="e">
        <v>#N/A</v>
      </c>
      <c r="AO111" s="121" t="e">
        <v>#N/A</v>
      </c>
      <c r="AP111" s="122" t="e">
        <v>#N/A</v>
      </c>
      <c r="AQ111" s="122" t="e">
        <v>#N/A</v>
      </c>
      <c r="AR111" s="122" t="e">
        <v>#N/A</v>
      </c>
      <c r="AS111" s="122" t="e">
        <v>#N/A</v>
      </c>
      <c r="AT111" s="122" t="e">
        <v>#N/A</v>
      </c>
      <c r="AU111" s="121" t="e">
        <v>#N/A</v>
      </c>
      <c r="AV111" s="122" t="e">
        <v>#N/A</v>
      </c>
      <c r="AW111" s="122">
        <v>45874</v>
      </c>
      <c r="AX111" s="122" t="e">
        <v>#N/A</v>
      </c>
      <c r="AY111" s="122" t="e">
        <v>#N/A</v>
      </c>
      <c r="AZ111" s="122" t="e">
        <v>#N/A</v>
      </c>
      <c r="BA111" s="122" t="e">
        <v>#N/A</v>
      </c>
      <c r="BB111" s="122" t="e">
        <v>#N/A</v>
      </c>
      <c r="BC111" s="122" t="e">
        <v>#N/A</v>
      </c>
      <c r="BD111" s="122" t="e">
        <v>#N/A</v>
      </c>
      <c r="BE111" s="122" t="e">
        <v>#N/A</v>
      </c>
      <c r="BF111" s="122" t="e">
        <v>#N/A</v>
      </c>
      <c r="BG111" s="122" t="e">
        <v>#N/A</v>
      </c>
      <c r="BH111" s="122" t="e">
        <v>#N/A</v>
      </c>
      <c r="BI111" s="122" t="e">
        <v>#N/A</v>
      </c>
      <c r="BJ111" s="122" t="e">
        <v>#N/A</v>
      </c>
      <c r="BK111" s="122">
        <v>45953</v>
      </c>
      <c r="BL111" s="123"/>
      <c r="BM111" s="124" t="e">
        <v>#N/A</v>
      </c>
      <c r="BN111" s="124" t="e">
        <v>#N/A</v>
      </c>
      <c r="BO111" s="124" t="e">
        <v>#N/A</v>
      </c>
      <c r="BP111" s="124" t="e">
        <v>#N/A</v>
      </c>
      <c r="BQ111" s="124" t="e">
        <v>#N/A</v>
      </c>
      <c r="BR111" s="124" t="e">
        <v>#N/A</v>
      </c>
      <c r="BS111" s="124" t="e">
        <v>#N/A</v>
      </c>
      <c r="BT111" s="124" t="e">
        <v>#N/A</v>
      </c>
      <c r="BU111" s="124" t="e">
        <v>#N/A</v>
      </c>
      <c r="BV111" s="124" t="e">
        <v>#N/A</v>
      </c>
      <c r="BW111" s="124" t="e">
        <v>#N/A</v>
      </c>
      <c r="BX111" s="124" t="e">
        <v>#N/A</v>
      </c>
      <c r="BY111" s="124" t="e">
        <v>#N/A</v>
      </c>
      <c r="BZ111" s="124" t="e">
        <v>#N/A</v>
      </c>
      <c r="CA111" s="125"/>
      <c r="CB111" s="124" t="s">
        <v>5507</v>
      </c>
      <c r="CC111" s="126">
        <v>1</v>
      </c>
      <c r="CD111" s="127" t="s">
        <v>4979</v>
      </c>
      <c r="CE111" s="128"/>
      <c r="CF111" s="77" t="s">
        <v>4169</v>
      </c>
    </row>
    <row r="112" spans="1:84" ht="14.5" x14ac:dyDescent="0.35">
      <c r="A112" s="77">
        <v>111</v>
      </c>
      <c r="B112" s="106" t="s">
        <v>2019</v>
      </c>
      <c r="C112" s="107" t="s">
        <v>6423</v>
      </c>
      <c r="D112" s="108" t="s">
        <v>2020</v>
      </c>
      <c r="E112" s="109" t="s">
        <v>2021</v>
      </c>
      <c r="F112" s="110">
        <v>686886300</v>
      </c>
      <c r="G112" s="108" t="s">
        <v>190</v>
      </c>
      <c r="H112" s="111" t="s">
        <v>198</v>
      </c>
      <c r="I112" s="111" t="s">
        <v>180</v>
      </c>
      <c r="J112" s="111" t="s">
        <v>4649</v>
      </c>
      <c r="K112" s="111" t="s">
        <v>199</v>
      </c>
      <c r="L112" s="112">
        <v>40896</v>
      </c>
      <c r="M112" s="111" t="s">
        <v>2352</v>
      </c>
      <c r="N112" s="113"/>
      <c r="O112" s="114" t="s">
        <v>3825</v>
      </c>
      <c r="P112" s="114" t="s">
        <v>183</v>
      </c>
      <c r="Q112" s="114" t="s">
        <v>3825</v>
      </c>
      <c r="R112" s="114" t="s">
        <v>7358</v>
      </c>
      <c r="S112" s="114" t="s">
        <v>183</v>
      </c>
      <c r="T112" s="114" t="s">
        <v>3825</v>
      </c>
      <c r="U112" s="114" t="s">
        <v>3825</v>
      </c>
      <c r="V112" s="115"/>
      <c r="W112" s="116" t="s">
        <v>2022</v>
      </c>
      <c r="X112" s="116" t="s">
        <v>2023</v>
      </c>
      <c r="Y112" s="117">
        <v>3486037</v>
      </c>
      <c r="Z112" s="117">
        <v>3486153</v>
      </c>
      <c r="AA112" s="118"/>
      <c r="AB112" s="119" t="s">
        <v>5593</v>
      </c>
      <c r="AC112" s="119" t="s">
        <v>2619</v>
      </c>
      <c r="AD112" s="119" t="s">
        <v>4639</v>
      </c>
      <c r="AE112" s="119" t="s">
        <v>4639</v>
      </c>
      <c r="AF112" s="119">
        <v>0</v>
      </c>
      <c r="AG112" s="120"/>
      <c r="AH112" s="121">
        <v>44774</v>
      </c>
      <c r="AI112" s="121">
        <v>45810</v>
      </c>
      <c r="AJ112" s="121">
        <v>45810</v>
      </c>
      <c r="AK112" s="122">
        <v>45810</v>
      </c>
      <c r="AL112" s="122" t="e">
        <v>#N/A</v>
      </c>
      <c r="AM112" s="121" t="e">
        <v>#N/A</v>
      </c>
      <c r="AN112" s="121" t="e">
        <v>#N/A</v>
      </c>
      <c r="AO112" s="121" t="e">
        <v>#N/A</v>
      </c>
      <c r="AP112" s="122" t="e">
        <v>#N/A</v>
      </c>
      <c r="AQ112" s="122" t="e">
        <v>#N/A</v>
      </c>
      <c r="AR112" s="122" t="e">
        <v>#N/A</v>
      </c>
      <c r="AS112" s="122" t="e">
        <v>#N/A</v>
      </c>
      <c r="AT112" s="122" t="e">
        <v>#N/A</v>
      </c>
      <c r="AU112" s="121" t="e">
        <v>#N/A</v>
      </c>
      <c r="AV112" s="122">
        <v>36526</v>
      </c>
      <c r="AW112" s="122">
        <v>45860</v>
      </c>
      <c r="AX112" s="122" t="e">
        <v>#N/A</v>
      </c>
      <c r="AY112" s="122" t="e">
        <v>#N/A</v>
      </c>
      <c r="AZ112" s="122" t="e">
        <v>#N/A</v>
      </c>
      <c r="BA112" s="122" t="e">
        <v>#N/A</v>
      </c>
      <c r="BB112" s="122" t="e">
        <v>#N/A</v>
      </c>
      <c r="BC112" s="122" t="e">
        <v>#N/A</v>
      </c>
      <c r="BD112" s="122" t="e">
        <v>#N/A</v>
      </c>
      <c r="BE112" s="122" t="e">
        <v>#N/A</v>
      </c>
      <c r="BF112" s="122" t="e">
        <v>#N/A</v>
      </c>
      <c r="BG112" s="122" t="e">
        <v>#N/A</v>
      </c>
      <c r="BH112" s="122" t="e">
        <v>#N/A</v>
      </c>
      <c r="BI112" s="122" t="e">
        <v>#N/A</v>
      </c>
      <c r="BJ112" s="122" t="e">
        <v>#N/A</v>
      </c>
      <c r="BK112" s="122" t="e">
        <v>#N/A</v>
      </c>
      <c r="BL112" s="123"/>
      <c r="BM112" s="124" t="e">
        <v>#N/A</v>
      </c>
      <c r="BN112" s="124" t="e">
        <v>#N/A</v>
      </c>
      <c r="BO112" s="124" t="e">
        <v>#N/A</v>
      </c>
      <c r="BP112" s="124" t="e">
        <v>#N/A</v>
      </c>
      <c r="BQ112" s="124" t="e">
        <v>#N/A</v>
      </c>
      <c r="BR112" s="124" t="e">
        <v>#N/A</v>
      </c>
      <c r="BS112" s="124" t="e">
        <v>#N/A</v>
      </c>
      <c r="BT112" s="124" t="e">
        <v>#N/A</v>
      </c>
      <c r="BU112" s="124" t="e">
        <v>#N/A</v>
      </c>
      <c r="BV112" s="124" t="e">
        <v>#N/A</v>
      </c>
      <c r="BW112" s="124" t="e">
        <v>#N/A</v>
      </c>
      <c r="BX112" s="124" t="e">
        <v>#N/A</v>
      </c>
      <c r="BY112" s="124" t="e">
        <v>#N/A</v>
      </c>
      <c r="BZ112" s="124" t="e">
        <v>#N/A</v>
      </c>
      <c r="CA112" s="125"/>
      <c r="CB112" s="124" t="e">
        <v>#N/A</v>
      </c>
      <c r="CC112" s="126">
        <v>1</v>
      </c>
      <c r="CD112" s="127" t="s">
        <v>4176</v>
      </c>
      <c r="CE112" s="128"/>
      <c r="CF112" s="77" t="s">
        <v>4169</v>
      </c>
    </row>
    <row r="113" spans="1:84" ht="14.5" x14ac:dyDescent="0.35">
      <c r="A113" s="77">
        <v>112</v>
      </c>
      <c r="B113" s="106" t="s">
        <v>28</v>
      </c>
      <c r="C113" s="107" t="s">
        <v>1232</v>
      </c>
      <c r="D113" s="108" t="s">
        <v>426</v>
      </c>
      <c r="E113" s="109" t="s">
        <v>427</v>
      </c>
      <c r="F113" s="110">
        <v>653825326</v>
      </c>
      <c r="G113" s="108" t="s">
        <v>1004</v>
      </c>
      <c r="H113" s="111" t="s">
        <v>198</v>
      </c>
      <c r="I113" s="111" t="s">
        <v>180</v>
      </c>
      <c r="J113" s="111" t="s">
        <v>4649</v>
      </c>
      <c r="K113" s="111" t="s">
        <v>199</v>
      </c>
      <c r="L113" s="112">
        <v>42644</v>
      </c>
      <c r="M113" s="111" t="s">
        <v>1712</v>
      </c>
      <c r="N113" s="113"/>
      <c r="O113" s="114" t="s">
        <v>5594</v>
      </c>
      <c r="P113" s="114" t="s">
        <v>5594</v>
      </c>
      <c r="Q113" s="114" t="s">
        <v>183</v>
      </c>
      <c r="R113" s="114" t="s">
        <v>7389</v>
      </c>
      <c r="S113" s="114" t="s">
        <v>5594</v>
      </c>
      <c r="T113" s="114" t="s">
        <v>5594</v>
      </c>
      <c r="U113" s="114" t="s">
        <v>5594</v>
      </c>
      <c r="V113" s="115"/>
      <c r="W113" s="116" t="s">
        <v>428</v>
      </c>
      <c r="X113" s="116" t="s">
        <v>429</v>
      </c>
      <c r="Y113" s="117">
        <v>3485471</v>
      </c>
      <c r="Z113" s="117">
        <v>3486265</v>
      </c>
      <c r="AA113" s="118"/>
      <c r="AB113" s="119" t="s">
        <v>5243</v>
      </c>
      <c r="AC113" s="119" t="s">
        <v>1233</v>
      </c>
      <c r="AD113" s="119">
        <v>4629</v>
      </c>
      <c r="AE113" s="119" t="s">
        <v>2726</v>
      </c>
      <c r="AF113" s="119">
        <v>0</v>
      </c>
      <c r="AG113" s="120"/>
      <c r="AH113" s="121">
        <v>44197</v>
      </c>
      <c r="AI113" s="121">
        <v>44197</v>
      </c>
      <c r="AJ113" s="121">
        <v>44197</v>
      </c>
      <c r="AK113" s="122">
        <v>44197</v>
      </c>
      <c r="AL113" s="122" t="e">
        <v>#N/A</v>
      </c>
      <c r="AM113" s="121" t="e">
        <v>#N/A</v>
      </c>
      <c r="AN113" s="121" t="e">
        <v>#N/A</v>
      </c>
      <c r="AO113" s="121" t="e">
        <v>#N/A</v>
      </c>
      <c r="AP113" s="122" t="e">
        <v>#N/A</v>
      </c>
      <c r="AQ113" s="122" t="e">
        <v>#N/A</v>
      </c>
      <c r="AR113" s="122" t="e">
        <v>#N/A</v>
      </c>
      <c r="AS113" s="122" t="e">
        <v>#N/A</v>
      </c>
      <c r="AT113" s="122" t="e">
        <v>#N/A</v>
      </c>
      <c r="AU113" s="121" t="e">
        <v>#N/A</v>
      </c>
      <c r="AV113" s="122" t="e">
        <v>#N/A</v>
      </c>
      <c r="AW113" s="122" t="e">
        <v>#N/A</v>
      </c>
      <c r="AX113" s="122" t="e">
        <v>#N/A</v>
      </c>
      <c r="AY113" s="122" t="e">
        <v>#N/A</v>
      </c>
      <c r="AZ113" s="122" t="e">
        <v>#N/A</v>
      </c>
      <c r="BA113" s="122" t="e">
        <v>#N/A</v>
      </c>
      <c r="BB113" s="122" t="e">
        <v>#N/A</v>
      </c>
      <c r="BC113" s="122" t="e">
        <v>#N/A</v>
      </c>
      <c r="BD113" s="122" t="e">
        <v>#N/A</v>
      </c>
      <c r="BE113" s="122" t="e">
        <v>#N/A</v>
      </c>
      <c r="BF113" s="122" t="e">
        <v>#N/A</v>
      </c>
      <c r="BG113" s="122" t="e">
        <v>#N/A</v>
      </c>
      <c r="BH113" s="122" t="e">
        <v>#N/A</v>
      </c>
      <c r="BI113" s="122" t="e">
        <v>#N/A</v>
      </c>
      <c r="BJ113" s="122" t="e">
        <v>#N/A</v>
      </c>
      <c r="BK113" s="122" t="e">
        <v>#N/A</v>
      </c>
      <c r="BL113" s="123"/>
      <c r="BM113" s="124" t="e">
        <v>#N/A</v>
      </c>
      <c r="BN113" s="124" t="e">
        <v>#N/A</v>
      </c>
      <c r="BO113" s="124" t="e">
        <v>#N/A</v>
      </c>
      <c r="BP113" s="124" t="e">
        <v>#N/A</v>
      </c>
      <c r="BQ113" s="124" t="e">
        <v>#N/A</v>
      </c>
      <c r="BR113" s="124" t="e">
        <v>#N/A</v>
      </c>
      <c r="BS113" s="124" t="e">
        <v>#N/A</v>
      </c>
      <c r="BT113" s="124" t="e">
        <v>#N/A</v>
      </c>
      <c r="BU113" s="124" t="e">
        <v>#N/A</v>
      </c>
      <c r="BV113" s="124" t="e">
        <v>#N/A</v>
      </c>
      <c r="BW113" s="124" t="e">
        <v>#N/A</v>
      </c>
      <c r="BX113" s="124" t="e">
        <v>#N/A</v>
      </c>
      <c r="BY113" s="124" t="e">
        <v>#N/A</v>
      </c>
      <c r="BZ113" s="124" t="e">
        <v>#N/A</v>
      </c>
      <c r="CA113" s="125"/>
      <c r="CB113" s="124" t="e">
        <v>#N/A</v>
      </c>
      <c r="CC113" s="126">
        <v>1</v>
      </c>
      <c r="CD113" s="127" t="s">
        <v>4169</v>
      </c>
      <c r="CE113" s="128"/>
      <c r="CF113" s="77" t="s">
        <v>4186</v>
      </c>
    </row>
    <row r="114" spans="1:84" ht="14.5" x14ac:dyDescent="0.35">
      <c r="A114" s="77">
        <v>113</v>
      </c>
      <c r="B114" s="106" t="s">
        <v>4794</v>
      </c>
      <c r="C114" s="107" t="s">
        <v>6789</v>
      </c>
      <c r="D114" s="108" t="s">
        <v>4795</v>
      </c>
      <c r="E114" s="109" t="s">
        <v>4796</v>
      </c>
      <c r="F114" s="110">
        <v>640764142</v>
      </c>
      <c r="G114" s="108" t="s">
        <v>1004</v>
      </c>
      <c r="H114" s="111" t="s">
        <v>198</v>
      </c>
      <c r="I114" s="111" t="s">
        <v>180</v>
      </c>
      <c r="J114" s="111" t="s">
        <v>4649</v>
      </c>
      <c r="K114" s="111" t="s">
        <v>199</v>
      </c>
      <c r="L114" s="112">
        <v>45831</v>
      </c>
      <c r="M114" s="111" t="s">
        <v>796</v>
      </c>
      <c r="N114" s="113"/>
      <c r="O114" s="114" t="s">
        <v>585</v>
      </c>
      <c r="P114" s="114" t="s">
        <v>585</v>
      </c>
      <c r="Q114" s="114" t="s">
        <v>183</v>
      </c>
      <c r="R114" s="114" t="s">
        <v>7386</v>
      </c>
      <c r="S114" s="114" t="s">
        <v>585</v>
      </c>
      <c r="T114" s="114" t="s">
        <v>585</v>
      </c>
      <c r="U114" s="114" t="s">
        <v>585</v>
      </c>
      <c r="V114" s="115"/>
      <c r="W114" s="116" t="s">
        <v>4797</v>
      </c>
      <c r="X114" s="116" t="s">
        <v>4798</v>
      </c>
      <c r="Y114" s="117">
        <v>3487095</v>
      </c>
      <c r="Z114" s="117">
        <v>3486761</v>
      </c>
      <c r="AA114" s="118"/>
      <c r="AB114" s="119" t="s">
        <v>5592</v>
      </c>
      <c r="AC114" s="119" t="s">
        <v>4799</v>
      </c>
      <c r="AD114" s="119">
        <v>26000</v>
      </c>
      <c r="AE114" s="119" t="s">
        <v>4800</v>
      </c>
      <c r="AF114" s="119" t="s">
        <v>6065</v>
      </c>
      <c r="AG114" s="120"/>
      <c r="AH114" s="121">
        <v>45831</v>
      </c>
      <c r="AI114" s="121">
        <v>45831</v>
      </c>
      <c r="AJ114" s="121">
        <v>45831</v>
      </c>
      <c r="AK114" s="122">
        <v>45831</v>
      </c>
      <c r="AL114" s="122" t="e">
        <v>#N/A</v>
      </c>
      <c r="AM114" s="121" t="e">
        <v>#N/A</v>
      </c>
      <c r="AN114" s="121" t="e">
        <v>#N/A</v>
      </c>
      <c r="AO114" s="121" t="e">
        <v>#N/A</v>
      </c>
      <c r="AP114" s="122" t="e">
        <v>#N/A</v>
      </c>
      <c r="AQ114" s="122" t="e">
        <v>#N/A</v>
      </c>
      <c r="AR114" s="122" t="e">
        <v>#N/A</v>
      </c>
      <c r="AS114" s="122" t="e">
        <v>#N/A</v>
      </c>
      <c r="AT114" s="122" t="e">
        <v>#N/A</v>
      </c>
      <c r="AU114" s="121" t="e">
        <v>#N/A</v>
      </c>
      <c r="AV114" s="122" t="e">
        <v>#N/A</v>
      </c>
      <c r="AW114" s="122">
        <v>45828</v>
      </c>
      <c r="AX114" s="122" t="e">
        <v>#N/A</v>
      </c>
      <c r="AY114" s="122" t="e">
        <v>#N/A</v>
      </c>
      <c r="AZ114" s="122" t="e">
        <v>#N/A</v>
      </c>
      <c r="BA114" s="122" t="e">
        <v>#N/A</v>
      </c>
      <c r="BB114" s="122" t="e">
        <v>#N/A</v>
      </c>
      <c r="BC114" s="122" t="e">
        <v>#N/A</v>
      </c>
      <c r="BD114" s="122" t="e">
        <v>#N/A</v>
      </c>
      <c r="BE114" s="122" t="e">
        <v>#N/A</v>
      </c>
      <c r="BF114" s="122" t="e">
        <v>#N/A</v>
      </c>
      <c r="BG114" s="122" t="e">
        <v>#N/A</v>
      </c>
      <c r="BH114" s="122" t="e">
        <v>#N/A</v>
      </c>
      <c r="BI114" s="122" t="e">
        <v>#N/A</v>
      </c>
      <c r="BJ114" s="122" t="e">
        <v>#N/A</v>
      </c>
      <c r="BK114" s="122">
        <v>45953</v>
      </c>
      <c r="BL114" s="123"/>
      <c r="BM114" s="124" t="e">
        <v>#N/A</v>
      </c>
      <c r="BN114" s="124" t="e">
        <v>#N/A</v>
      </c>
      <c r="BO114" s="124" t="e">
        <v>#N/A</v>
      </c>
      <c r="BP114" s="124" t="e">
        <v>#N/A</v>
      </c>
      <c r="BQ114" s="124" t="e">
        <v>#N/A</v>
      </c>
      <c r="BR114" s="124" t="e">
        <v>#N/A</v>
      </c>
      <c r="BS114" s="124" t="e">
        <v>#N/A</v>
      </c>
      <c r="BT114" s="124" t="e">
        <v>#N/A</v>
      </c>
      <c r="BU114" s="124" t="e">
        <v>#N/A</v>
      </c>
      <c r="BV114" s="124" t="e">
        <v>#N/A</v>
      </c>
      <c r="BW114" s="124" t="e">
        <v>#N/A</v>
      </c>
      <c r="BX114" s="124" t="e">
        <v>#N/A</v>
      </c>
      <c r="BY114" s="124" t="e">
        <v>#N/A</v>
      </c>
      <c r="BZ114" s="124" t="e">
        <v>#N/A</v>
      </c>
      <c r="CA114" s="125"/>
      <c r="CB114" s="124">
        <v>45828</v>
      </c>
      <c r="CC114" s="126">
        <v>1</v>
      </c>
      <c r="CD114" s="127" t="s">
        <v>4980</v>
      </c>
      <c r="CE114" s="128"/>
      <c r="CF114" s="77" t="s">
        <v>4179</v>
      </c>
    </row>
    <row r="115" spans="1:84" ht="14.5" x14ac:dyDescent="0.35">
      <c r="A115" s="77">
        <v>114</v>
      </c>
      <c r="B115" s="106" t="s">
        <v>4749</v>
      </c>
      <c r="C115" s="107" t="s">
        <v>6783</v>
      </c>
      <c r="D115" s="108" t="s">
        <v>4750</v>
      </c>
      <c r="E115" s="109" t="s">
        <v>4751</v>
      </c>
      <c r="F115" s="110">
        <v>675483604</v>
      </c>
      <c r="G115" s="108" t="s">
        <v>1004</v>
      </c>
      <c r="H115" s="111" t="s">
        <v>198</v>
      </c>
      <c r="I115" s="111" t="s">
        <v>180</v>
      </c>
      <c r="J115" s="111" t="s">
        <v>4649</v>
      </c>
      <c r="K115" s="111" t="s">
        <v>199</v>
      </c>
      <c r="L115" s="112">
        <v>45831</v>
      </c>
      <c r="M115" s="111" t="s">
        <v>796</v>
      </c>
      <c r="N115" s="113"/>
      <c r="O115" s="114" t="s">
        <v>585</v>
      </c>
      <c r="P115" s="114" t="s">
        <v>585</v>
      </c>
      <c r="Q115" s="114" t="s">
        <v>585</v>
      </c>
      <c r="R115" s="114" t="s">
        <v>7296</v>
      </c>
      <c r="S115" s="114" t="s">
        <v>585</v>
      </c>
      <c r="T115" s="114" t="s">
        <v>183</v>
      </c>
      <c r="U115" s="114" t="s">
        <v>183</v>
      </c>
      <c r="V115" s="115"/>
      <c r="W115" s="116" t="s">
        <v>4752</v>
      </c>
      <c r="X115" s="116" t="s">
        <v>4753</v>
      </c>
      <c r="Y115" s="117">
        <v>3487124</v>
      </c>
      <c r="Z115" s="117">
        <v>3486791</v>
      </c>
      <c r="AA115" s="118"/>
      <c r="AB115" s="119" t="s">
        <v>5508</v>
      </c>
      <c r="AC115" s="119" t="s">
        <v>4754</v>
      </c>
      <c r="AD115" s="119">
        <v>26296</v>
      </c>
      <c r="AE115" s="119" t="s">
        <v>4755</v>
      </c>
      <c r="AF115" s="119" t="s">
        <v>6068</v>
      </c>
      <c r="AG115" s="120"/>
      <c r="AH115" s="121">
        <v>45831</v>
      </c>
      <c r="AI115" s="121">
        <v>45831</v>
      </c>
      <c r="AJ115" s="121">
        <v>45831</v>
      </c>
      <c r="AK115" s="122">
        <v>45831</v>
      </c>
      <c r="AL115" s="122" t="e">
        <v>#N/A</v>
      </c>
      <c r="AM115" s="121" t="e">
        <v>#N/A</v>
      </c>
      <c r="AN115" s="121" t="e">
        <v>#N/A</v>
      </c>
      <c r="AO115" s="121" t="e">
        <v>#N/A</v>
      </c>
      <c r="AP115" s="122" t="e">
        <v>#N/A</v>
      </c>
      <c r="AQ115" s="122" t="e">
        <v>#N/A</v>
      </c>
      <c r="AR115" s="122" t="e">
        <v>#N/A</v>
      </c>
      <c r="AS115" s="122" t="e">
        <v>#N/A</v>
      </c>
      <c r="AT115" s="122" t="e">
        <v>#N/A</v>
      </c>
      <c r="AU115" s="121" t="e">
        <v>#N/A</v>
      </c>
      <c r="AV115" s="122" t="e">
        <v>#N/A</v>
      </c>
      <c r="AW115" s="122">
        <v>45875</v>
      </c>
      <c r="AX115" s="122" t="e">
        <v>#N/A</v>
      </c>
      <c r="AY115" s="122" t="e">
        <v>#N/A</v>
      </c>
      <c r="AZ115" s="122" t="e">
        <v>#N/A</v>
      </c>
      <c r="BA115" s="122" t="e">
        <v>#N/A</v>
      </c>
      <c r="BB115" s="122" t="e">
        <v>#N/A</v>
      </c>
      <c r="BC115" s="122" t="e">
        <v>#N/A</v>
      </c>
      <c r="BD115" s="122" t="e">
        <v>#N/A</v>
      </c>
      <c r="BE115" s="122" t="e">
        <v>#N/A</v>
      </c>
      <c r="BF115" s="122" t="e">
        <v>#N/A</v>
      </c>
      <c r="BG115" s="122" t="e">
        <v>#N/A</v>
      </c>
      <c r="BH115" s="122" t="e">
        <v>#N/A</v>
      </c>
      <c r="BI115" s="122" t="e">
        <v>#N/A</v>
      </c>
      <c r="BJ115" s="122" t="e">
        <v>#N/A</v>
      </c>
      <c r="BK115" s="122">
        <v>45954</v>
      </c>
      <c r="BL115" s="123"/>
      <c r="BM115" s="124" t="e">
        <v>#N/A</v>
      </c>
      <c r="BN115" s="124" t="e">
        <v>#N/A</v>
      </c>
      <c r="BO115" s="124" t="e">
        <v>#N/A</v>
      </c>
      <c r="BP115" s="124" t="e">
        <v>#N/A</v>
      </c>
      <c r="BQ115" s="124" t="e">
        <v>#N/A</v>
      </c>
      <c r="BR115" s="124" t="e">
        <v>#N/A</v>
      </c>
      <c r="BS115" s="124" t="e">
        <v>#N/A</v>
      </c>
      <c r="BT115" s="124" t="e">
        <v>#N/A</v>
      </c>
      <c r="BU115" s="124" t="e">
        <v>#N/A</v>
      </c>
      <c r="BV115" s="124" t="e">
        <v>#N/A</v>
      </c>
      <c r="BW115" s="124" t="e">
        <v>#N/A</v>
      </c>
      <c r="BX115" s="124" t="e">
        <v>#N/A</v>
      </c>
      <c r="BY115" s="124" t="e">
        <v>#N/A</v>
      </c>
      <c r="BZ115" s="124" t="e">
        <v>#N/A</v>
      </c>
      <c r="CA115" s="125"/>
      <c r="CB115" s="124">
        <v>45828</v>
      </c>
      <c r="CC115" s="126">
        <v>1</v>
      </c>
      <c r="CD115" s="127" t="s">
        <v>4979</v>
      </c>
      <c r="CE115" s="128"/>
      <c r="CF115" s="77" t="s">
        <v>4204</v>
      </c>
    </row>
    <row r="116" spans="1:84" ht="14.5" x14ac:dyDescent="0.35">
      <c r="A116" s="77">
        <v>115</v>
      </c>
      <c r="B116" s="106" t="s">
        <v>4771</v>
      </c>
      <c r="C116" s="107" t="s">
        <v>6786</v>
      </c>
      <c r="D116" s="108" t="s">
        <v>4772</v>
      </c>
      <c r="E116" s="109" t="s">
        <v>4773</v>
      </c>
      <c r="F116" s="110">
        <v>34677254806</v>
      </c>
      <c r="G116" s="108" t="s">
        <v>1004</v>
      </c>
      <c r="H116" s="111" t="s">
        <v>198</v>
      </c>
      <c r="I116" s="111" t="s">
        <v>180</v>
      </c>
      <c r="J116" s="111" t="s">
        <v>4649</v>
      </c>
      <c r="K116" s="111" t="s">
        <v>199</v>
      </c>
      <c r="L116" s="112">
        <v>45831</v>
      </c>
      <c r="M116" s="111" t="s">
        <v>4022</v>
      </c>
      <c r="N116" s="113"/>
      <c r="O116" s="114" t="s">
        <v>4477</v>
      </c>
      <c r="P116" s="114" t="s">
        <v>585</v>
      </c>
      <c r="Q116" s="114" t="s">
        <v>585</v>
      </c>
      <c r="R116" s="114" t="s">
        <v>7296</v>
      </c>
      <c r="S116" s="114" t="s">
        <v>585</v>
      </c>
      <c r="T116" s="114" t="s">
        <v>183</v>
      </c>
      <c r="U116" s="114" t="s">
        <v>183</v>
      </c>
      <c r="V116" s="115"/>
      <c r="W116" s="116" t="s">
        <v>4774</v>
      </c>
      <c r="X116" s="116" t="s">
        <v>4775</v>
      </c>
      <c r="Y116" s="117">
        <v>3487115</v>
      </c>
      <c r="Z116" s="117">
        <v>3486781</v>
      </c>
      <c r="AA116" s="118"/>
      <c r="AB116" s="119" t="s">
        <v>5591</v>
      </c>
      <c r="AC116" s="119" t="s">
        <v>4776</v>
      </c>
      <c r="AD116" s="119">
        <v>26280</v>
      </c>
      <c r="AE116" s="119" t="s">
        <v>4777</v>
      </c>
      <c r="AF116" s="119" t="s">
        <v>7390</v>
      </c>
      <c r="AG116" s="120"/>
      <c r="AH116" s="121">
        <v>45831</v>
      </c>
      <c r="AI116" s="121">
        <v>45831</v>
      </c>
      <c r="AJ116" s="121">
        <v>45831</v>
      </c>
      <c r="AK116" s="122">
        <v>45831</v>
      </c>
      <c r="AL116" s="122" t="e">
        <v>#N/A</v>
      </c>
      <c r="AM116" s="121" t="e">
        <v>#N/A</v>
      </c>
      <c r="AN116" s="121" t="e">
        <v>#N/A</v>
      </c>
      <c r="AO116" s="121" t="e">
        <v>#N/A</v>
      </c>
      <c r="AP116" s="122" t="e">
        <v>#N/A</v>
      </c>
      <c r="AQ116" s="122" t="e">
        <v>#N/A</v>
      </c>
      <c r="AR116" s="122" t="e">
        <v>#N/A</v>
      </c>
      <c r="AS116" s="122" t="e">
        <v>#N/A</v>
      </c>
      <c r="AT116" s="122" t="e">
        <v>#N/A</v>
      </c>
      <c r="AU116" s="121" t="e">
        <v>#N/A</v>
      </c>
      <c r="AV116" s="122" t="e">
        <v>#N/A</v>
      </c>
      <c r="AW116" s="122">
        <v>45828</v>
      </c>
      <c r="AX116" s="122" t="e">
        <v>#N/A</v>
      </c>
      <c r="AY116" s="122" t="e">
        <v>#N/A</v>
      </c>
      <c r="AZ116" s="122" t="e">
        <v>#N/A</v>
      </c>
      <c r="BA116" s="122" t="e">
        <v>#N/A</v>
      </c>
      <c r="BB116" s="122" t="e">
        <v>#N/A</v>
      </c>
      <c r="BC116" s="122" t="e">
        <v>#N/A</v>
      </c>
      <c r="BD116" s="122" t="e">
        <v>#N/A</v>
      </c>
      <c r="BE116" s="122" t="e">
        <v>#N/A</v>
      </c>
      <c r="BF116" s="122" t="e">
        <v>#N/A</v>
      </c>
      <c r="BG116" s="122" t="e">
        <v>#N/A</v>
      </c>
      <c r="BH116" s="122" t="e">
        <v>#N/A</v>
      </c>
      <c r="BI116" s="122" t="e">
        <v>#N/A</v>
      </c>
      <c r="BJ116" s="122" t="e">
        <v>#N/A</v>
      </c>
      <c r="BK116" s="122">
        <v>45974</v>
      </c>
      <c r="BL116" s="123"/>
      <c r="BM116" s="124" t="e">
        <v>#N/A</v>
      </c>
      <c r="BN116" s="124" t="e">
        <v>#N/A</v>
      </c>
      <c r="BO116" s="124" t="e">
        <v>#N/A</v>
      </c>
      <c r="BP116" s="124" t="e">
        <v>#N/A</v>
      </c>
      <c r="BQ116" s="124" t="e">
        <v>#N/A</v>
      </c>
      <c r="BR116" s="124" t="e">
        <v>#N/A</v>
      </c>
      <c r="BS116" s="124" t="e">
        <v>#N/A</v>
      </c>
      <c r="BT116" s="124" t="e">
        <v>#N/A</v>
      </c>
      <c r="BU116" s="124" t="e">
        <v>#N/A</v>
      </c>
      <c r="BV116" s="124" t="e">
        <v>#N/A</v>
      </c>
      <c r="BW116" s="124" t="e">
        <v>#N/A</v>
      </c>
      <c r="BX116" s="124" t="e">
        <v>#N/A</v>
      </c>
      <c r="BY116" s="124" t="e">
        <v>#N/A</v>
      </c>
      <c r="BZ116" s="124" t="e">
        <v>#N/A</v>
      </c>
      <c r="CA116" s="125"/>
      <c r="CB116" s="124">
        <v>45828</v>
      </c>
      <c r="CC116" s="126">
        <v>1</v>
      </c>
      <c r="CD116" s="127" t="s">
        <v>4980</v>
      </c>
      <c r="CE116" s="128"/>
      <c r="CF116" s="77" t="s">
        <v>4166</v>
      </c>
    </row>
    <row r="117" spans="1:84" ht="14.5" x14ac:dyDescent="0.35">
      <c r="A117" s="77">
        <v>116</v>
      </c>
      <c r="B117" s="106" t="s">
        <v>4763</v>
      </c>
      <c r="C117" s="107" t="s">
        <v>6785</v>
      </c>
      <c r="D117" s="108" t="s">
        <v>4764</v>
      </c>
      <c r="E117" s="109" t="s">
        <v>4765</v>
      </c>
      <c r="F117" s="110">
        <v>601377327</v>
      </c>
      <c r="G117" s="108" t="s">
        <v>1004</v>
      </c>
      <c r="H117" s="111" t="s">
        <v>198</v>
      </c>
      <c r="I117" s="111" t="s">
        <v>180</v>
      </c>
      <c r="J117" s="111" t="s">
        <v>4649</v>
      </c>
      <c r="K117" s="111" t="s">
        <v>199</v>
      </c>
      <c r="L117" s="112">
        <v>45831</v>
      </c>
      <c r="M117" s="111" t="s">
        <v>4022</v>
      </c>
      <c r="N117" s="113"/>
      <c r="O117" s="114" t="s">
        <v>6101</v>
      </c>
      <c r="P117" s="114" t="s">
        <v>183</v>
      </c>
      <c r="Q117" s="114" t="s">
        <v>6101</v>
      </c>
      <c r="R117" s="114" t="s">
        <v>7328</v>
      </c>
      <c r="S117" s="114" t="s">
        <v>183</v>
      </c>
      <c r="T117" s="114" t="s">
        <v>6101</v>
      </c>
      <c r="U117" s="114" t="s">
        <v>6101</v>
      </c>
      <c r="V117" s="115"/>
      <c r="W117" s="116" t="s">
        <v>4766</v>
      </c>
      <c r="X117" s="116" t="s">
        <v>4767</v>
      </c>
      <c r="Y117" s="117">
        <v>3487116</v>
      </c>
      <c r="Z117" s="117">
        <v>3486782</v>
      </c>
      <c r="AA117" s="118"/>
      <c r="AB117" s="119" t="s">
        <v>4768</v>
      </c>
      <c r="AC117" s="119" t="s">
        <v>4769</v>
      </c>
      <c r="AD117" s="119">
        <v>26281</v>
      </c>
      <c r="AE117" s="119" t="s">
        <v>4770</v>
      </c>
      <c r="AF117" s="119" t="s">
        <v>6066</v>
      </c>
      <c r="AG117" s="120"/>
      <c r="AH117" s="121">
        <v>45831</v>
      </c>
      <c r="AI117" s="121">
        <v>45831</v>
      </c>
      <c r="AJ117" s="121">
        <v>45831</v>
      </c>
      <c r="AK117" s="122">
        <v>45831</v>
      </c>
      <c r="AL117" s="122" t="e">
        <v>#N/A</v>
      </c>
      <c r="AM117" s="122" t="e">
        <v>#N/A</v>
      </c>
      <c r="AN117" s="122" t="e">
        <v>#N/A</v>
      </c>
      <c r="AO117" s="121" t="e">
        <v>#N/A</v>
      </c>
      <c r="AP117" s="122" t="e">
        <v>#N/A</v>
      </c>
      <c r="AQ117" s="122" t="e">
        <v>#N/A</v>
      </c>
      <c r="AR117" s="122" t="e">
        <v>#N/A</v>
      </c>
      <c r="AS117" s="122" t="e">
        <v>#N/A</v>
      </c>
      <c r="AT117" s="122" t="e">
        <v>#N/A</v>
      </c>
      <c r="AU117" s="121" t="e">
        <v>#N/A</v>
      </c>
      <c r="AV117" s="122" t="e">
        <v>#N/A</v>
      </c>
      <c r="AW117" s="122">
        <v>45828</v>
      </c>
      <c r="AX117" s="122" t="e">
        <v>#N/A</v>
      </c>
      <c r="AY117" s="122" t="e">
        <v>#N/A</v>
      </c>
      <c r="AZ117" s="122" t="e">
        <v>#N/A</v>
      </c>
      <c r="BA117" s="122" t="e">
        <v>#N/A</v>
      </c>
      <c r="BB117" s="122" t="e">
        <v>#N/A</v>
      </c>
      <c r="BC117" s="122" t="e">
        <v>#N/A</v>
      </c>
      <c r="BD117" s="122" t="e">
        <v>#N/A</v>
      </c>
      <c r="BE117" s="122" t="e">
        <v>#N/A</v>
      </c>
      <c r="BF117" s="122" t="e">
        <v>#N/A</v>
      </c>
      <c r="BG117" s="122" t="e">
        <v>#N/A</v>
      </c>
      <c r="BH117" s="122" t="e">
        <v>#N/A</v>
      </c>
      <c r="BI117" s="122" t="e">
        <v>#N/A</v>
      </c>
      <c r="BJ117" s="122" t="e">
        <v>#N/A</v>
      </c>
      <c r="BK117" s="122">
        <v>45957</v>
      </c>
      <c r="BL117" s="123"/>
      <c r="BM117" s="124" t="e">
        <v>#N/A</v>
      </c>
      <c r="BN117" s="124" t="e">
        <v>#N/A</v>
      </c>
      <c r="BO117" s="124" t="e">
        <v>#N/A</v>
      </c>
      <c r="BP117" s="124" t="e">
        <v>#N/A</v>
      </c>
      <c r="BQ117" s="124" t="e">
        <v>#N/A</v>
      </c>
      <c r="BR117" s="124" t="e">
        <v>#N/A</v>
      </c>
      <c r="BS117" s="124" t="e">
        <v>#N/A</v>
      </c>
      <c r="BT117" s="124" t="e">
        <v>#N/A</v>
      </c>
      <c r="BU117" s="124" t="e">
        <v>#N/A</v>
      </c>
      <c r="BV117" s="124" t="e">
        <v>#N/A</v>
      </c>
      <c r="BW117" s="124" t="e">
        <v>#N/A</v>
      </c>
      <c r="BX117" s="124" t="e">
        <v>#N/A</v>
      </c>
      <c r="BY117" s="124" t="e">
        <v>#N/A</v>
      </c>
      <c r="BZ117" s="124" t="e">
        <v>#N/A</v>
      </c>
      <c r="CA117" s="125"/>
      <c r="CB117" s="124">
        <v>45828</v>
      </c>
      <c r="CC117" s="126">
        <v>1</v>
      </c>
      <c r="CD117" s="127" t="s">
        <v>4980</v>
      </c>
      <c r="CE117" s="128"/>
      <c r="CF117" s="77" t="s">
        <v>5694</v>
      </c>
    </row>
    <row r="118" spans="1:84" ht="14.5" x14ac:dyDescent="0.35">
      <c r="A118" s="77">
        <v>117</v>
      </c>
      <c r="B118" s="106" t="s">
        <v>6306</v>
      </c>
      <c r="C118" s="107" t="s">
        <v>1147</v>
      </c>
      <c r="D118" s="108" t="s">
        <v>277</v>
      </c>
      <c r="E118" s="109" t="s">
        <v>278</v>
      </c>
      <c r="F118" s="110" t="s">
        <v>223</v>
      </c>
      <c r="G118" s="108" t="s">
        <v>190</v>
      </c>
      <c r="H118" s="111" t="s">
        <v>198</v>
      </c>
      <c r="I118" s="111" t="s">
        <v>180</v>
      </c>
      <c r="J118" s="111" t="s">
        <v>4649</v>
      </c>
      <c r="K118" s="111" t="s">
        <v>199</v>
      </c>
      <c r="L118" s="112">
        <v>38904</v>
      </c>
      <c r="M118" s="111" t="s">
        <v>2628</v>
      </c>
      <c r="N118" s="113"/>
      <c r="O118" s="114" t="s">
        <v>3602</v>
      </c>
      <c r="P118" s="114" t="s">
        <v>2653</v>
      </c>
      <c r="Q118" s="114" t="s">
        <v>183</v>
      </c>
      <c r="R118" s="114" t="s">
        <v>7391</v>
      </c>
      <c r="S118" s="114" t="s">
        <v>183</v>
      </c>
      <c r="T118" s="114" t="s">
        <v>3602</v>
      </c>
      <c r="U118" s="114" t="s">
        <v>3602</v>
      </c>
      <c r="V118" s="115"/>
      <c r="W118" s="116" t="s">
        <v>279</v>
      </c>
      <c r="X118" s="116" t="s">
        <v>280</v>
      </c>
      <c r="Y118" s="117">
        <v>3485328</v>
      </c>
      <c r="Z118" s="117">
        <v>3481173</v>
      </c>
      <c r="AA118" s="118"/>
      <c r="AB118" s="119" t="s">
        <v>5188</v>
      </c>
      <c r="AC118" s="119" t="s">
        <v>1148</v>
      </c>
      <c r="AD118" s="119">
        <v>5043</v>
      </c>
      <c r="AE118" s="119" t="s">
        <v>4375</v>
      </c>
      <c r="AF118" s="119">
        <v>0</v>
      </c>
      <c r="AG118" s="120"/>
      <c r="AH118" s="121">
        <v>44197</v>
      </c>
      <c r="AI118" s="121">
        <v>44197</v>
      </c>
      <c r="AJ118" s="121">
        <v>44197</v>
      </c>
      <c r="AK118" s="122">
        <v>44197</v>
      </c>
      <c r="AL118" s="122" t="e">
        <v>#N/A</v>
      </c>
      <c r="AM118" s="121" t="e">
        <v>#N/A</v>
      </c>
      <c r="AN118" s="121" t="e">
        <v>#N/A</v>
      </c>
      <c r="AO118" s="121" t="e">
        <v>#N/A</v>
      </c>
      <c r="AP118" s="122" t="e">
        <v>#N/A</v>
      </c>
      <c r="AQ118" s="122" t="e">
        <v>#N/A</v>
      </c>
      <c r="AR118" s="122" t="e">
        <v>#N/A</v>
      </c>
      <c r="AS118" s="122" t="e">
        <v>#N/A</v>
      </c>
      <c r="AT118" s="122" t="e">
        <v>#N/A</v>
      </c>
      <c r="AU118" s="121" t="e">
        <v>#N/A</v>
      </c>
      <c r="AV118" s="122" t="e">
        <v>#N/A</v>
      </c>
      <c r="AW118" s="122" t="e">
        <v>#N/A</v>
      </c>
      <c r="AX118" s="122" t="e">
        <v>#N/A</v>
      </c>
      <c r="AY118" s="122" t="e">
        <v>#N/A</v>
      </c>
      <c r="AZ118" s="122" t="e">
        <v>#N/A</v>
      </c>
      <c r="BA118" s="122" t="e">
        <v>#N/A</v>
      </c>
      <c r="BB118" s="122" t="e">
        <v>#N/A</v>
      </c>
      <c r="BC118" s="122" t="e">
        <v>#N/A</v>
      </c>
      <c r="BD118" s="122" t="e">
        <v>#N/A</v>
      </c>
      <c r="BE118" s="122" t="e">
        <v>#N/A</v>
      </c>
      <c r="BF118" s="122" t="e">
        <v>#N/A</v>
      </c>
      <c r="BG118" s="122" t="e">
        <v>#N/A</v>
      </c>
      <c r="BH118" s="122" t="e">
        <v>#N/A</v>
      </c>
      <c r="BI118" s="122" t="e">
        <v>#N/A</v>
      </c>
      <c r="BJ118" s="122" t="e">
        <v>#N/A</v>
      </c>
      <c r="BK118" s="122" t="e">
        <v>#N/A</v>
      </c>
      <c r="BL118" s="123"/>
      <c r="BM118" s="124" t="e">
        <v>#N/A</v>
      </c>
      <c r="BN118" s="124" t="e">
        <v>#N/A</v>
      </c>
      <c r="BO118" s="124" t="e">
        <v>#N/A</v>
      </c>
      <c r="BP118" s="124" t="e">
        <v>#N/A</v>
      </c>
      <c r="BQ118" s="124" t="e">
        <v>#N/A</v>
      </c>
      <c r="BR118" s="124" t="e">
        <v>#N/A</v>
      </c>
      <c r="BS118" s="124" t="e">
        <v>#N/A</v>
      </c>
      <c r="BT118" s="124" t="e">
        <v>#N/A</v>
      </c>
      <c r="BU118" s="124" t="e">
        <v>#N/A</v>
      </c>
      <c r="BV118" s="124" t="e">
        <v>#N/A</v>
      </c>
      <c r="BW118" s="124" t="e">
        <v>#N/A</v>
      </c>
      <c r="BX118" s="124" t="e">
        <v>#N/A</v>
      </c>
      <c r="BY118" s="124" t="e">
        <v>#N/A</v>
      </c>
      <c r="BZ118" s="124" t="e">
        <v>#N/A</v>
      </c>
      <c r="CA118" s="125"/>
      <c r="CB118" s="124" t="e">
        <v>#N/A</v>
      </c>
      <c r="CC118" s="126">
        <v>1</v>
      </c>
      <c r="CD118" s="127" t="e">
        <v>#N/A</v>
      </c>
      <c r="CE118" s="128"/>
      <c r="CF118" s="77" t="s">
        <v>4920</v>
      </c>
    </row>
    <row r="119" spans="1:84" ht="14.5" x14ac:dyDescent="0.35">
      <c r="A119" s="77">
        <v>118</v>
      </c>
      <c r="B119" s="106" t="s">
        <v>44</v>
      </c>
      <c r="C119" s="107" t="s">
        <v>1271</v>
      </c>
      <c r="D119" s="108" t="s">
        <v>485</v>
      </c>
      <c r="E119" s="109" t="s">
        <v>2085</v>
      </c>
      <c r="F119" s="110">
        <v>625559888</v>
      </c>
      <c r="G119" s="108" t="s">
        <v>1004</v>
      </c>
      <c r="H119" s="111" t="s">
        <v>198</v>
      </c>
      <c r="I119" s="111" t="s">
        <v>180</v>
      </c>
      <c r="J119" s="111" t="s">
        <v>4649</v>
      </c>
      <c r="K119" s="111" t="s">
        <v>199</v>
      </c>
      <c r="L119" s="112">
        <v>41261</v>
      </c>
      <c r="M119" s="111" t="s">
        <v>511</v>
      </c>
      <c r="N119" s="113"/>
      <c r="O119" s="114" t="s">
        <v>225</v>
      </c>
      <c r="P119" s="114" t="s">
        <v>183</v>
      </c>
      <c r="Q119" s="114" t="s">
        <v>225</v>
      </c>
      <c r="R119" s="114" t="s">
        <v>7358</v>
      </c>
      <c r="S119" s="114" t="s">
        <v>183</v>
      </c>
      <c r="T119" s="114" t="s">
        <v>225</v>
      </c>
      <c r="U119" s="114" t="s">
        <v>225</v>
      </c>
      <c r="V119" s="115"/>
      <c r="W119" s="116" t="s">
        <v>487</v>
      </c>
      <c r="X119" s="116" t="s">
        <v>488</v>
      </c>
      <c r="Y119" s="117">
        <v>3485331</v>
      </c>
      <c r="Z119" s="117">
        <v>3481161</v>
      </c>
      <c r="AA119" s="118"/>
      <c r="AB119" s="119" t="s">
        <v>5197</v>
      </c>
      <c r="AC119" s="119" t="s">
        <v>1272</v>
      </c>
      <c r="AD119" s="119">
        <v>4572</v>
      </c>
      <c r="AE119" s="119" t="s">
        <v>2473</v>
      </c>
      <c r="AF119" s="119" t="s">
        <v>6069</v>
      </c>
      <c r="AG119" s="120"/>
      <c r="AH119" s="121">
        <v>44198</v>
      </c>
      <c r="AI119" s="121">
        <v>44791</v>
      </c>
      <c r="AJ119" s="121">
        <v>44791</v>
      </c>
      <c r="AK119" s="122">
        <v>44984</v>
      </c>
      <c r="AL119" s="122" t="e">
        <v>#N/A</v>
      </c>
      <c r="AM119" s="121" t="e">
        <v>#N/A</v>
      </c>
      <c r="AN119" s="121" t="e">
        <v>#N/A</v>
      </c>
      <c r="AO119" s="121" t="e">
        <v>#N/A</v>
      </c>
      <c r="AP119" s="122" t="e">
        <v>#N/A</v>
      </c>
      <c r="AQ119" s="122" t="e">
        <v>#N/A</v>
      </c>
      <c r="AR119" s="122" t="e">
        <v>#N/A</v>
      </c>
      <c r="AS119" s="122" t="e">
        <v>#N/A</v>
      </c>
      <c r="AT119" s="122" t="e">
        <v>#N/A</v>
      </c>
      <c r="AU119" s="121">
        <v>45912</v>
      </c>
      <c r="AV119" s="122">
        <v>45616</v>
      </c>
      <c r="AW119" s="122">
        <v>45495</v>
      </c>
      <c r="AX119" s="122" t="e">
        <v>#N/A</v>
      </c>
      <c r="AY119" s="122" t="e">
        <v>#N/A</v>
      </c>
      <c r="AZ119" s="122" t="e">
        <v>#N/A</v>
      </c>
      <c r="BA119" s="122" t="e">
        <v>#N/A</v>
      </c>
      <c r="BB119" s="122" t="e">
        <v>#N/A</v>
      </c>
      <c r="BC119" s="122" t="e">
        <v>#N/A</v>
      </c>
      <c r="BD119" s="122" t="e">
        <v>#N/A</v>
      </c>
      <c r="BE119" s="122" t="e">
        <v>#N/A</v>
      </c>
      <c r="BF119" s="122" t="e">
        <v>#N/A</v>
      </c>
      <c r="BG119" s="122" t="e">
        <v>#N/A</v>
      </c>
      <c r="BH119" s="122" t="e">
        <v>#N/A</v>
      </c>
      <c r="BI119" s="122" t="e">
        <v>#N/A</v>
      </c>
      <c r="BJ119" s="122" t="e">
        <v>#N/A</v>
      </c>
      <c r="BK119" s="122" t="s">
        <v>6040</v>
      </c>
      <c r="BL119" s="123"/>
      <c r="BM119" s="124" t="e">
        <v>#N/A</v>
      </c>
      <c r="BN119" s="124" t="e">
        <v>#N/A</v>
      </c>
      <c r="BO119" s="124" t="e">
        <v>#N/A</v>
      </c>
      <c r="BP119" s="124" t="e">
        <v>#N/A</v>
      </c>
      <c r="BQ119" s="124" t="e">
        <v>#N/A</v>
      </c>
      <c r="BR119" s="124" t="e">
        <v>#N/A</v>
      </c>
      <c r="BS119" s="124" t="e">
        <v>#N/A</v>
      </c>
      <c r="BT119" s="124" t="e">
        <v>#N/A</v>
      </c>
      <c r="BU119" s="124" t="e">
        <v>#N/A</v>
      </c>
      <c r="BV119" s="124" t="e">
        <v>#N/A</v>
      </c>
      <c r="BW119" s="124" t="e">
        <v>#N/A</v>
      </c>
      <c r="BX119" s="124" t="e">
        <v>#N/A</v>
      </c>
      <c r="BY119" s="124" t="e">
        <v>#N/A</v>
      </c>
      <c r="BZ119" s="124" t="e">
        <v>#N/A</v>
      </c>
      <c r="CA119" s="125"/>
      <c r="CB119" s="124">
        <v>45841</v>
      </c>
      <c r="CC119" s="126">
        <v>1</v>
      </c>
      <c r="CD119" s="127" t="s">
        <v>4182</v>
      </c>
      <c r="CE119" s="128"/>
      <c r="CF119" s="77" t="s">
        <v>4920</v>
      </c>
    </row>
    <row r="120" spans="1:84" ht="14.5" x14ac:dyDescent="0.35">
      <c r="A120" s="77">
        <v>119</v>
      </c>
      <c r="B120" s="106" t="s">
        <v>1740</v>
      </c>
      <c r="C120" s="107" t="s">
        <v>6483</v>
      </c>
      <c r="D120" s="108" t="s">
        <v>1773</v>
      </c>
      <c r="E120" s="109" t="s">
        <v>1774</v>
      </c>
      <c r="F120" s="110">
        <v>622087290</v>
      </c>
      <c r="G120" s="108" t="s">
        <v>1004</v>
      </c>
      <c r="H120" s="111" t="s">
        <v>198</v>
      </c>
      <c r="I120" s="111" t="s">
        <v>180</v>
      </c>
      <c r="J120" s="111" t="s">
        <v>4649</v>
      </c>
      <c r="K120" s="111" t="s">
        <v>199</v>
      </c>
      <c r="L120" s="112">
        <v>44197</v>
      </c>
      <c r="M120" s="111" t="s">
        <v>1719</v>
      </c>
      <c r="N120" s="113"/>
      <c r="O120" s="114" t="s">
        <v>226</v>
      </c>
      <c r="P120" s="114" t="s">
        <v>225</v>
      </c>
      <c r="Q120" s="114" t="s">
        <v>225</v>
      </c>
      <c r="R120" s="114" t="s">
        <v>7331</v>
      </c>
      <c r="S120" s="114" t="s">
        <v>226</v>
      </c>
      <c r="T120" s="114" t="s">
        <v>183</v>
      </c>
      <c r="U120" s="114" t="s">
        <v>183</v>
      </c>
      <c r="V120" s="115"/>
      <c r="W120" s="116" t="s">
        <v>1775</v>
      </c>
      <c r="X120" s="116" t="s">
        <v>1776</v>
      </c>
      <c r="Y120" s="117">
        <v>3485681</v>
      </c>
      <c r="Z120" s="117">
        <v>3486531</v>
      </c>
      <c r="AA120" s="118"/>
      <c r="AB120" s="119" t="s">
        <v>2056</v>
      </c>
      <c r="AC120" s="119" t="s">
        <v>1777</v>
      </c>
      <c r="AD120" s="119">
        <v>4417</v>
      </c>
      <c r="AE120" s="119" t="s">
        <v>1778</v>
      </c>
      <c r="AF120" s="119" t="s">
        <v>6231</v>
      </c>
      <c r="AG120" s="120"/>
      <c r="AH120" s="121">
        <v>44753</v>
      </c>
      <c r="AI120" s="121">
        <v>44753</v>
      </c>
      <c r="AJ120" s="121">
        <v>44935</v>
      </c>
      <c r="AK120" s="122">
        <v>44974</v>
      </c>
      <c r="AL120" s="122" t="e">
        <v>#N/A</v>
      </c>
      <c r="AM120" s="121" t="e">
        <v>#N/A</v>
      </c>
      <c r="AN120" s="121" t="e">
        <v>#N/A</v>
      </c>
      <c r="AO120" s="121" t="e">
        <v>#N/A</v>
      </c>
      <c r="AP120" s="122" t="e">
        <v>#N/A</v>
      </c>
      <c r="AQ120" s="122" t="e">
        <v>#N/A</v>
      </c>
      <c r="AR120" s="122" t="e">
        <v>#N/A</v>
      </c>
      <c r="AS120" s="122" t="e">
        <v>#N/A</v>
      </c>
      <c r="AT120" s="122" t="e">
        <v>#N/A</v>
      </c>
      <c r="AU120" s="121">
        <v>45922</v>
      </c>
      <c r="AV120" s="122">
        <v>45737</v>
      </c>
      <c r="AW120" s="122">
        <v>45642</v>
      </c>
      <c r="AX120" s="122" t="e">
        <v>#N/A</v>
      </c>
      <c r="AY120" s="122" t="e">
        <v>#N/A</v>
      </c>
      <c r="AZ120" s="122" t="e">
        <v>#N/A</v>
      </c>
      <c r="BA120" s="122" t="e">
        <v>#N/A</v>
      </c>
      <c r="BB120" s="122" t="e">
        <v>#N/A</v>
      </c>
      <c r="BC120" s="122" t="e">
        <v>#N/A</v>
      </c>
      <c r="BD120" s="122" t="e">
        <v>#N/A</v>
      </c>
      <c r="BE120" s="122" t="e">
        <v>#N/A</v>
      </c>
      <c r="BF120" s="122" t="e">
        <v>#N/A</v>
      </c>
      <c r="BG120" s="122" t="e">
        <v>#N/A</v>
      </c>
      <c r="BH120" s="122" t="e">
        <v>#N/A</v>
      </c>
      <c r="BI120" s="122" t="e">
        <v>#N/A</v>
      </c>
      <c r="BJ120" s="122" t="e">
        <v>#N/A</v>
      </c>
      <c r="BK120" s="122">
        <v>45958</v>
      </c>
      <c r="BL120" s="123"/>
      <c r="BM120" s="124" t="e">
        <v>#N/A</v>
      </c>
      <c r="BN120" s="124" t="e">
        <v>#N/A</v>
      </c>
      <c r="BO120" s="124" t="e">
        <v>#N/A</v>
      </c>
      <c r="BP120" s="124" t="e">
        <v>#N/A</v>
      </c>
      <c r="BQ120" s="124" t="e">
        <v>#N/A</v>
      </c>
      <c r="BR120" s="124" t="e">
        <v>#N/A</v>
      </c>
      <c r="BS120" s="124" t="e">
        <v>#N/A</v>
      </c>
      <c r="BT120" s="124" t="e">
        <v>#N/A</v>
      </c>
      <c r="BU120" s="124" t="e">
        <v>#N/A</v>
      </c>
      <c r="BV120" s="124" t="e">
        <v>#N/A</v>
      </c>
      <c r="BW120" s="124" t="e">
        <v>#N/A</v>
      </c>
      <c r="BX120" s="124" t="e">
        <v>#N/A</v>
      </c>
      <c r="BY120" s="124" t="e">
        <v>#N/A</v>
      </c>
      <c r="BZ120" s="124" t="e">
        <v>#N/A</v>
      </c>
      <c r="CA120" s="125"/>
      <c r="CB120" s="124">
        <v>45841</v>
      </c>
      <c r="CC120" s="126">
        <v>1</v>
      </c>
      <c r="CD120" s="127" t="s">
        <v>4157</v>
      </c>
      <c r="CE120" s="128"/>
      <c r="CF120" s="77" t="s">
        <v>4187</v>
      </c>
    </row>
    <row r="121" spans="1:84" ht="14.5" x14ac:dyDescent="0.35">
      <c r="A121" s="77">
        <v>120</v>
      </c>
      <c r="B121" s="106" t="s">
        <v>5128</v>
      </c>
      <c r="C121" s="107" t="s">
        <v>6823</v>
      </c>
      <c r="D121" s="108" t="s">
        <v>5129</v>
      </c>
      <c r="E121" s="109" t="s">
        <v>5130</v>
      </c>
      <c r="F121" s="110">
        <v>671277149</v>
      </c>
      <c r="G121" s="108" t="s">
        <v>1004</v>
      </c>
      <c r="H121" s="111" t="s">
        <v>198</v>
      </c>
      <c r="I121" s="111" t="s">
        <v>180</v>
      </c>
      <c r="J121" s="111" t="s">
        <v>4649</v>
      </c>
      <c r="K121" s="111" t="s">
        <v>199</v>
      </c>
      <c r="L121" s="112">
        <v>45873</v>
      </c>
      <c r="M121" s="111" t="s">
        <v>284</v>
      </c>
      <c r="N121" s="113"/>
      <c r="O121" s="114" t="s">
        <v>285</v>
      </c>
      <c r="P121" s="114" t="s">
        <v>285</v>
      </c>
      <c r="Q121" s="114" t="s">
        <v>585</v>
      </c>
      <c r="R121" s="114" t="s">
        <v>6014</v>
      </c>
      <c r="S121" s="114" t="s">
        <v>6014</v>
      </c>
      <c r="T121" s="114" t="s">
        <v>4356</v>
      </c>
      <c r="U121" s="114" t="s">
        <v>4356</v>
      </c>
      <c r="V121" s="115"/>
      <c r="W121" s="116" t="s">
        <v>5131</v>
      </c>
      <c r="X121" s="116" t="s">
        <v>5132</v>
      </c>
      <c r="Y121" s="117">
        <v>3487088</v>
      </c>
      <c r="Z121" s="117">
        <v>3486167</v>
      </c>
      <c r="AA121" s="118"/>
      <c r="AB121" s="119" t="s">
        <v>5133</v>
      </c>
      <c r="AC121" s="119" t="s">
        <v>5134</v>
      </c>
      <c r="AD121" s="119" t="s">
        <v>5135</v>
      </c>
      <c r="AE121" s="119" t="s">
        <v>5136</v>
      </c>
      <c r="AF121" s="119" t="s">
        <v>7235</v>
      </c>
      <c r="AG121" s="120"/>
      <c r="AH121" s="121">
        <v>45873</v>
      </c>
      <c r="AI121" s="121">
        <v>45873</v>
      </c>
      <c r="AJ121" s="121">
        <v>45873</v>
      </c>
      <c r="AK121" s="122">
        <v>45873</v>
      </c>
      <c r="AL121" s="122" t="e">
        <v>#N/A</v>
      </c>
      <c r="AM121" s="121" t="e">
        <v>#N/A</v>
      </c>
      <c r="AN121" s="121" t="e">
        <v>#N/A</v>
      </c>
      <c r="AO121" s="121" t="e">
        <v>#N/A</v>
      </c>
      <c r="AP121" s="122" t="e">
        <v>#N/A</v>
      </c>
      <c r="AQ121" s="122" t="e">
        <v>#N/A</v>
      </c>
      <c r="AR121" s="122" t="e">
        <v>#N/A</v>
      </c>
      <c r="AS121" s="122" t="e">
        <v>#N/A</v>
      </c>
      <c r="AT121" s="122" t="e">
        <v>#N/A</v>
      </c>
      <c r="AU121" s="121" t="e">
        <v>#N/A</v>
      </c>
      <c r="AV121" s="122" t="e">
        <v>#N/A</v>
      </c>
      <c r="AW121" s="122">
        <v>45873</v>
      </c>
      <c r="AX121" s="122" t="e">
        <v>#N/A</v>
      </c>
      <c r="AY121" s="122" t="e">
        <v>#N/A</v>
      </c>
      <c r="AZ121" s="122" t="e">
        <v>#N/A</v>
      </c>
      <c r="BA121" s="122" t="e">
        <v>#N/A</v>
      </c>
      <c r="BB121" s="122" t="e">
        <v>#N/A</v>
      </c>
      <c r="BC121" s="122" t="e">
        <v>#N/A</v>
      </c>
      <c r="BD121" s="122" t="e">
        <v>#N/A</v>
      </c>
      <c r="BE121" s="122" t="e">
        <v>#N/A</v>
      </c>
      <c r="BF121" s="122" t="e">
        <v>#N/A</v>
      </c>
      <c r="BG121" s="122" t="e">
        <v>#N/A</v>
      </c>
      <c r="BH121" s="122" t="e">
        <v>#N/A</v>
      </c>
      <c r="BI121" s="122" t="e">
        <v>#N/A</v>
      </c>
      <c r="BJ121" s="122" t="e">
        <v>#N/A</v>
      </c>
      <c r="BK121" s="122">
        <v>45960</v>
      </c>
      <c r="BL121" s="123"/>
      <c r="BM121" s="124" t="e">
        <v>#N/A</v>
      </c>
      <c r="BN121" s="124" t="e">
        <v>#N/A</v>
      </c>
      <c r="BO121" s="124" t="e">
        <v>#N/A</v>
      </c>
      <c r="BP121" s="124" t="e">
        <v>#N/A</v>
      </c>
      <c r="BQ121" s="124" t="e">
        <v>#N/A</v>
      </c>
      <c r="BR121" s="124" t="e">
        <v>#N/A</v>
      </c>
      <c r="BS121" s="124" t="e">
        <v>#N/A</v>
      </c>
      <c r="BT121" s="124" t="e">
        <v>#N/A</v>
      </c>
      <c r="BU121" s="124" t="e">
        <v>#N/A</v>
      </c>
      <c r="BV121" s="124" t="e">
        <v>#N/A</v>
      </c>
      <c r="BW121" s="124" t="e">
        <v>#N/A</v>
      </c>
      <c r="BX121" s="124" t="e">
        <v>#N/A</v>
      </c>
      <c r="BY121" s="124" t="e">
        <v>#N/A</v>
      </c>
      <c r="BZ121" s="124" t="e">
        <v>#N/A</v>
      </c>
      <c r="CA121" s="125"/>
      <c r="CB121" s="124" t="e">
        <v>#N/A</v>
      </c>
      <c r="CC121" s="126">
        <v>1</v>
      </c>
      <c r="CD121" s="127" t="s">
        <v>5058</v>
      </c>
      <c r="CE121" s="128"/>
      <c r="CF121" s="77" t="s">
        <v>4179</v>
      </c>
    </row>
    <row r="122" spans="1:84" ht="14.5" x14ac:dyDescent="0.35">
      <c r="A122" s="77">
        <v>121</v>
      </c>
      <c r="B122" s="106" t="s">
        <v>5068</v>
      </c>
      <c r="C122" s="107" t="s">
        <v>6815</v>
      </c>
      <c r="D122" s="108" t="s">
        <v>5069</v>
      </c>
      <c r="E122" s="109" t="s">
        <v>5070</v>
      </c>
      <c r="F122" s="110">
        <v>613321457</v>
      </c>
      <c r="G122" s="108" t="s">
        <v>1004</v>
      </c>
      <c r="H122" s="111" t="s">
        <v>198</v>
      </c>
      <c r="I122" s="111" t="s">
        <v>180</v>
      </c>
      <c r="J122" s="111" t="s">
        <v>4649</v>
      </c>
      <c r="K122" s="111" t="s">
        <v>199</v>
      </c>
      <c r="L122" s="112">
        <v>45873</v>
      </c>
      <c r="M122" s="111" t="s">
        <v>284</v>
      </c>
      <c r="N122" s="113"/>
      <c r="O122" s="114" t="s">
        <v>285</v>
      </c>
      <c r="P122" s="114" t="s">
        <v>285</v>
      </c>
      <c r="Q122" s="114" t="s">
        <v>286</v>
      </c>
      <c r="R122" s="114" t="s">
        <v>7312</v>
      </c>
      <c r="S122" s="114" t="s">
        <v>285</v>
      </c>
      <c r="T122" s="114" t="s">
        <v>183</v>
      </c>
      <c r="U122" s="114" t="s">
        <v>183</v>
      </c>
      <c r="V122" s="115"/>
      <c r="W122" s="116" t="s">
        <v>5071</v>
      </c>
      <c r="X122" s="116" t="s">
        <v>5072</v>
      </c>
      <c r="Y122" s="117">
        <v>3485546</v>
      </c>
      <c r="Z122" s="117">
        <v>3486724</v>
      </c>
      <c r="AA122" s="118"/>
      <c r="AB122" s="119" t="s">
        <v>5771</v>
      </c>
      <c r="AC122" s="119" t="s">
        <v>5073</v>
      </c>
      <c r="AD122" s="119" t="s">
        <v>5074</v>
      </c>
      <c r="AE122" s="119" t="s">
        <v>5075</v>
      </c>
      <c r="AF122" s="119" t="s">
        <v>7231</v>
      </c>
      <c r="AG122" s="120"/>
      <c r="AH122" s="121">
        <v>45873</v>
      </c>
      <c r="AI122" s="121">
        <v>45873</v>
      </c>
      <c r="AJ122" s="121">
        <v>45873</v>
      </c>
      <c r="AK122" s="122">
        <v>45873</v>
      </c>
      <c r="AL122" s="122" t="e">
        <v>#N/A</v>
      </c>
      <c r="AM122" s="121" t="e">
        <v>#N/A</v>
      </c>
      <c r="AN122" s="121" t="e">
        <v>#N/A</v>
      </c>
      <c r="AO122" s="121" t="e">
        <v>#N/A</v>
      </c>
      <c r="AP122" s="122" t="e">
        <v>#N/A</v>
      </c>
      <c r="AQ122" s="122" t="e">
        <v>#N/A</v>
      </c>
      <c r="AR122" s="122" t="e">
        <v>#N/A</v>
      </c>
      <c r="AS122" s="122" t="e">
        <v>#N/A</v>
      </c>
      <c r="AT122" s="122" t="e">
        <v>#N/A</v>
      </c>
      <c r="AU122" s="121" t="e">
        <v>#N/A</v>
      </c>
      <c r="AV122" s="122" t="e">
        <v>#N/A</v>
      </c>
      <c r="AW122" s="122">
        <v>45873</v>
      </c>
      <c r="AX122" s="122" t="e">
        <v>#N/A</v>
      </c>
      <c r="AY122" s="122" t="e">
        <v>#N/A</v>
      </c>
      <c r="AZ122" s="122" t="e">
        <v>#N/A</v>
      </c>
      <c r="BA122" s="122" t="e">
        <v>#N/A</v>
      </c>
      <c r="BB122" s="122" t="e">
        <v>#N/A</v>
      </c>
      <c r="BC122" s="122" t="e">
        <v>#N/A</v>
      </c>
      <c r="BD122" s="122" t="e">
        <v>#N/A</v>
      </c>
      <c r="BE122" s="122" t="e">
        <v>#N/A</v>
      </c>
      <c r="BF122" s="122" t="e">
        <v>#N/A</v>
      </c>
      <c r="BG122" s="122" t="e">
        <v>#N/A</v>
      </c>
      <c r="BH122" s="122" t="e">
        <v>#N/A</v>
      </c>
      <c r="BI122" s="122" t="e">
        <v>#N/A</v>
      </c>
      <c r="BJ122" s="122" t="e">
        <v>#N/A</v>
      </c>
      <c r="BK122" s="122">
        <v>45965</v>
      </c>
      <c r="BL122" s="123"/>
      <c r="BM122" s="124" t="e">
        <v>#N/A</v>
      </c>
      <c r="BN122" s="124" t="e">
        <v>#N/A</v>
      </c>
      <c r="BO122" s="124" t="e">
        <v>#N/A</v>
      </c>
      <c r="BP122" s="124" t="e">
        <v>#N/A</v>
      </c>
      <c r="BQ122" s="124" t="e">
        <v>#N/A</v>
      </c>
      <c r="BR122" s="124" t="e">
        <v>#N/A</v>
      </c>
      <c r="BS122" s="124" t="e">
        <v>#N/A</v>
      </c>
      <c r="BT122" s="124" t="e">
        <v>#N/A</v>
      </c>
      <c r="BU122" s="124" t="e">
        <v>#N/A</v>
      </c>
      <c r="BV122" s="124" t="e">
        <v>#N/A</v>
      </c>
      <c r="BW122" s="124" t="e">
        <v>#N/A</v>
      </c>
      <c r="BX122" s="124" t="e">
        <v>#N/A</v>
      </c>
      <c r="BY122" s="124" t="e">
        <v>#N/A</v>
      </c>
      <c r="BZ122" s="124" t="e">
        <v>#N/A</v>
      </c>
      <c r="CA122" s="125"/>
      <c r="CB122" s="124" t="e">
        <v>#N/A</v>
      </c>
      <c r="CC122" s="126">
        <v>1</v>
      </c>
      <c r="CD122" s="127" t="s">
        <v>5058</v>
      </c>
      <c r="CE122" s="128"/>
      <c r="CF122" s="77" t="s">
        <v>4151</v>
      </c>
    </row>
    <row r="123" spans="1:84" ht="14.5" x14ac:dyDescent="0.35">
      <c r="A123" s="77">
        <v>122</v>
      </c>
      <c r="B123" s="106" t="s">
        <v>5137</v>
      </c>
      <c r="C123" s="107" t="s">
        <v>6824</v>
      </c>
      <c r="D123" s="108" t="s">
        <v>5138</v>
      </c>
      <c r="E123" s="109" t="s">
        <v>5139</v>
      </c>
      <c r="F123" s="110">
        <v>611159915</v>
      </c>
      <c r="G123" s="108" t="s">
        <v>190</v>
      </c>
      <c r="H123" s="111" t="s">
        <v>198</v>
      </c>
      <c r="I123" s="111" t="s">
        <v>180</v>
      </c>
      <c r="J123" s="111" t="s">
        <v>4649</v>
      </c>
      <c r="K123" s="111" t="s">
        <v>199</v>
      </c>
      <c r="L123" s="112">
        <v>45873</v>
      </c>
      <c r="M123" s="111" t="s">
        <v>256</v>
      </c>
      <c r="N123" s="113"/>
      <c r="O123" s="114" t="s">
        <v>5595</v>
      </c>
      <c r="P123" s="114" t="s">
        <v>183</v>
      </c>
      <c r="Q123" s="114" t="s">
        <v>5595</v>
      </c>
      <c r="R123" s="114" t="s">
        <v>7322</v>
      </c>
      <c r="S123" s="114" t="s">
        <v>183</v>
      </c>
      <c r="T123" s="114" t="s">
        <v>5595</v>
      </c>
      <c r="U123" s="114" t="s">
        <v>5595</v>
      </c>
      <c r="V123" s="115"/>
      <c r="W123" s="116" t="s">
        <v>5140</v>
      </c>
      <c r="X123" s="116" t="s">
        <v>5141</v>
      </c>
      <c r="Y123" s="117">
        <v>3487099</v>
      </c>
      <c r="Z123" s="117">
        <v>3486774</v>
      </c>
      <c r="AA123" s="118"/>
      <c r="AB123" s="119" t="s">
        <v>5142</v>
      </c>
      <c r="AC123" s="119" t="s">
        <v>5143</v>
      </c>
      <c r="AD123" s="119" t="s">
        <v>5144</v>
      </c>
      <c r="AE123" s="119" t="s">
        <v>5145</v>
      </c>
      <c r="AF123" s="119">
        <v>0</v>
      </c>
      <c r="AG123" s="120"/>
      <c r="AH123" s="121">
        <v>45873</v>
      </c>
      <c r="AI123" s="121">
        <v>45873</v>
      </c>
      <c r="AJ123" s="121">
        <v>45873</v>
      </c>
      <c r="AK123" s="122">
        <v>45873</v>
      </c>
      <c r="AL123" s="122" t="e">
        <v>#N/A</v>
      </c>
      <c r="AM123" s="121" t="e">
        <v>#N/A</v>
      </c>
      <c r="AN123" s="121" t="e">
        <v>#N/A</v>
      </c>
      <c r="AO123" s="121" t="e">
        <v>#N/A</v>
      </c>
      <c r="AP123" s="122" t="e">
        <v>#N/A</v>
      </c>
      <c r="AQ123" s="122" t="e">
        <v>#N/A</v>
      </c>
      <c r="AR123" s="122" t="e">
        <v>#N/A</v>
      </c>
      <c r="AS123" s="122" t="e">
        <v>#N/A</v>
      </c>
      <c r="AT123" s="122" t="e">
        <v>#N/A</v>
      </c>
      <c r="AU123" s="121" t="e">
        <v>#N/A</v>
      </c>
      <c r="AV123" s="122" t="e">
        <v>#N/A</v>
      </c>
      <c r="AW123" s="122">
        <v>45873</v>
      </c>
      <c r="AX123" s="122" t="e">
        <v>#N/A</v>
      </c>
      <c r="AY123" s="122" t="e">
        <v>#N/A</v>
      </c>
      <c r="AZ123" s="122" t="e">
        <v>#N/A</v>
      </c>
      <c r="BA123" s="122" t="e">
        <v>#N/A</v>
      </c>
      <c r="BB123" s="122" t="e">
        <v>#N/A</v>
      </c>
      <c r="BC123" s="122" t="e">
        <v>#N/A</v>
      </c>
      <c r="BD123" s="122" t="e">
        <v>#N/A</v>
      </c>
      <c r="BE123" s="122" t="e">
        <v>#N/A</v>
      </c>
      <c r="BF123" s="122" t="e">
        <v>#N/A</v>
      </c>
      <c r="BG123" s="122" t="e">
        <v>#N/A</v>
      </c>
      <c r="BH123" s="122" t="e">
        <v>#N/A</v>
      </c>
      <c r="BI123" s="122" t="e">
        <v>#N/A</v>
      </c>
      <c r="BJ123" s="122" t="e">
        <v>#N/A</v>
      </c>
      <c r="BK123" s="122" t="e">
        <v>#N/A</v>
      </c>
      <c r="BL123" s="123"/>
      <c r="BM123" s="124" t="e">
        <v>#N/A</v>
      </c>
      <c r="BN123" s="124" t="e">
        <v>#N/A</v>
      </c>
      <c r="BO123" s="124" t="e">
        <v>#N/A</v>
      </c>
      <c r="BP123" s="124" t="e">
        <v>#N/A</v>
      </c>
      <c r="BQ123" s="124" t="e">
        <v>#N/A</v>
      </c>
      <c r="BR123" s="124" t="e">
        <v>#N/A</v>
      </c>
      <c r="BS123" s="124" t="e">
        <v>#N/A</v>
      </c>
      <c r="BT123" s="124" t="e">
        <v>#N/A</v>
      </c>
      <c r="BU123" s="124" t="e">
        <v>#N/A</v>
      </c>
      <c r="BV123" s="124" t="e">
        <v>#N/A</v>
      </c>
      <c r="BW123" s="124" t="e">
        <v>#N/A</v>
      </c>
      <c r="BX123" s="124" t="e">
        <v>#N/A</v>
      </c>
      <c r="BY123" s="124" t="e">
        <v>#N/A</v>
      </c>
      <c r="BZ123" s="124" t="e">
        <v>#N/A</v>
      </c>
      <c r="CA123" s="125"/>
      <c r="CB123" s="124" t="e">
        <v>#N/A</v>
      </c>
      <c r="CC123" s="126">
        <v>1</v>
      </c>
      <c r="CD123" s="127" t="s">
        <v>5058</v>
      </c>
      <c r="CE123" s="128"/>
      <c r="CF123" s="77" t="s">
        <v>4169</v>
      </c>
    </row>
    <row r="124" spans="1:84" ht="14.5" x14ac:dyDescent="0.35">
      <c r="A124" s="77">
        <v>123</v>
      </c>
      <c r="B124" s="106" t="s">
        <v>5418</v>
      </c>
      <c r="C124" s="107" t="s">
        <v>6833</v>
      </c>
      <c r="D124" s="108" t="s">
        <v>5419</v>
      </c>
      <c r="E124" s="109" t="s">
        <v>5420</v>
      </c>
      <c r="F124" s="110">
        <v>620501880</v>
      </c>
      <c r="G124" s="108" t="s">
        <v>1004</v>
      </c>
      <c r="H124" s="111" t="s">
        <v>198</v>
      </c>
      <c r="I124" s="111" t="s">
        <v>180</v>
      </c>
      <c r="J124" s="111" t="s">
        <v>4649</v>
      </c>
      <c r="K124" s="111" t="s">
        <v>199</v>
      </c>
      <c r="L124" s="112">
        <v>45887</v>
      </c>
      <c r="M124" s="111" t="s">
        <v>2933</v>
      </c>
      <c r="N124" s="113"/>
      <c r="O124" s="114" t="s">
        <v>225</v>
      </c>
      <c r="P124" s="114" t="s">
        <v>183</v>
      </c>
      <c r="Q124" s="114" t="s">
        <v>225</v>
      </c>
      <c r="R124" s="114" t="s">
        <v>7358</v>
      </c>
      <c r="S124" s="114" t="s">
        <v>183</v>
      </c>
      <c r="T124" s="114" t="s">
        <v>225</v>
      </c>
      <c r="U124" s="114" t="s">
        <v>225</v>
      </c>
      <c r="V124" s="115"/>
      <c r="W124" s="116" t="s">
        <v>5421</v>
      </c>
      <c r="X124" s="116" t="s">
        <v>5422</v>
      </c>
      <c r="Y124" s="117">
        <v>3487181</v>
      </c>
      <c r="Z124" s="117">
        <v>3486844</v>
      </c>
      <c r="AA124" s="118"/>
      <c r="AB124" s="119" t="s">
        <v>5423</v>
      </c>
      <c r="AC124" s="119" t="s">
        <v>5424</v>
      </c>
      <c r="AD124" s="119" t="s">
        <v>5425</v>
      </c>
      <c r="AE124" s="119" t="s">
        <v>5426</v>
      </c>
      <c r="AF124" s="119" t="s">
        <v>6071</v>
      </c>
      <c r="AG124" s="120"/>
      <c r="AH124" s="121">
        <v>45887</v>
      </c>
      <c r="AI124" s="121">
        <v>45887</v>
      </c>
      <c r="AJ124" s="121">
        <v>45887</v>
      </c>
      <c r="AK124" s="122">
        <v>45887</v>
      </c>
      <c r="AL124" s="122" t="e">
        <v>#N/A</v>
      </c>
      <c r="AM124" s="121" t="e">
        <v>#N/A</v>
      </c>
      <c r="AN124" s="121" t="e">
        <v>#N/A</v>
      </c>
      <c r="AO124" s="121" t="e">
        <v>#N/A</v>
      </c>
      <c r="AP124" s="122" t="e">
        <v>#N/A</v>
      </c>
      <c r="AQ124" s="122" t="e">
        <v>#N/A</v>
      </c>
      <c r="AR124" s="122" t="e">
        <v>#N/A</v>
      </c>
      <c r="AS124" s="122" t="e">
        <v>#N/A</v>
      </c>
      <c r="AT124" s="122" t="e">
        <v>#N/A</v>
      </c>
      <c r="AU124" s="121" t="e">
        <v>#N/A</v>
      </c>
      <c r="AV124" s="122" t="e">
        <v>#N/A</v>
      </c>
      <c r="AW124" s="122">
        <v>45887</v>
      </c>
      <c r="AX124" s="122" t="e">
        <v>#N/A</v>
      </c>
      <c r="AY124" s="122" t="e">
        <v>#N/A</v>
      </c>
      <c r="AZ124" s="122" t="e">
        <v>#N/A</v>
      </c>
      <c r="BA124" s="122" t="e">
        <v>#N/A</v>
      </c>
      <c r="BB124" s="122" t="e">
        <v>#N/A</v>
      </c>
      <c r="BC124" s="122" t="e">
        <v>#N/A</v>
      </c>
      <c r="BD124" s="122" t="e">
        <v>#N/A</v>
      </c>
      <c r="BE124" s="122" t="e">
        <v>#N/A</v>
      </c>
      <c r="BF124" s="122" t="e">
        <v>#N/A</v>
      </c>
      <c r="BG124" s="122" t="e">
        <v>#N/A</v>
      </c>
      <c r="BH124" s="122" t="e">
        <v>#N/A</v>
      </c>
      <c r="BI124" s="122" t="e">
        <v>#N/A</v>
      </c>
      <c r="BJ124" s="122" t="e">
        <v>#N/A</v>
      </c>
      <c r="BK124" s="122">
        <v>45951</v>
      </c>
      <c r="BL124" s="123"/>
      <c r="BM124" s="124" t="e">
        <v>#N/A</v>
      </c>
      <c r="BN124" s="124" t="e">
        <v>#N/A</v>
      </c>
      <c r="BO124" s="124" t="e">
        <v>#N/A</v>
      </c>
      <c r="BP124" s="124" t="e">
        <v>#N/A</v>
      </c>
      <c r="BQ124" s="124" t="e">
        <v>#N/A</v>
      </c>
      <c r="BR124" s="124" t="e">
        <v>#N/A</v>
      </c>
      <c r="BS124" s="124" t="e">
        <v>#N/A</v>
      </c>
      <c r="BT124" s="124" t="e">
        <v>#N/A</v>
      </c>
      <c r="BU124" s="124" t="e">
        <v>#N/A</v>
      </c>
      <c r="BV124" s="124" t="e">
        <v>#N/A</v>
      </c>
      <c r="BW124" s="124" t="e">
        <v>#N/A</v>
      </c>
      <c r="BX124" s="124" t="e">
        <v>#N/A</v>
      </c>
      <c r="BY124" s="124" t="e">
        <v>#N/A</v>
      </c>
      <c r="BZ124" s="124" t="e">
        <v>#N/A</v>
      </c>
      <c r="CA124" s="125"/>
      <c r="CB124" s="124" t="e">
        <v>#N/A</v>
      </c>
      <c r="CC124" s="126">
        <v>1</v>
      </c>
      <c r="CD124" s="127" t="s">
        <v>5355</v>
      </c>
      <c r="CE124" s="128"/>
      <c r="CF124" s="77" t="s">
        <v>4157</v>
      </c>
    </row>
    <row r="125" spans="1:84" ht="14.5" x14ac:dyDescent="0.35">
      <c r="A125" s="77">
        <v>124</v>
      </c>
      <c r="B125" s="106" t="s">
        <v>5427</v>
      </c>
      <c r="C125" s="107" t="s">
        <v>6840</v>
      </c>
      <c r="D125" s="108" t="s">
        <v>5428</v>
      </c>
      <c r="E125" s="109" t="s">
        <v>5429</v>
      </c>
      <c r="F125" s="110">
        <v>642314013</v>
      </c>
      <c r="G125" s="108" t="s">
        <v>1004</v>
      </c>
      <c r="H125" s="111" t="s">
        <v>198</v>
      </c>
      <c r="I125" s="111" t="s">
        <v>180</v>
      </c>
      <c r="J125" s="111" t="s">
        <v>4649</v>
      </c>
      <c r="K125" s="111" t="s">
        <v>199</v>
      </c>
      <c r="L125" s="112">
        <v>45887</v>
      </c>
      <c r="M125" s="111" t="s">
        <v>2933</v>
      </c>
      <c r="N125" s="113"/>
      <c r="O125" s="114" t="s">
        <v>7280</v>
      </c>
      <c r="P125" s="114" t="s">
        <v>7280</v>
      </c>
      <c r="Q125" s="114" t="s">
        <v>183</v>
      </c>
      <c r="R125" s="114" t="s">
        <v>7392</v>
      </c>
      <c r="S125" s="114" t="s">
        <v>7280</v>
      </c>
      <c r="T125" s="114" t="s">
        <v>7280</v>
      </c>
      <c r="U125" s="114" t="s">
        <v>7280</v>
      </c>
      <c r="V125" s="115"/>
      <c r="W125" s="116" t="s">
        <v>5430</v>
      </c>
      <c r="X125" s="116" t="s">
        <v>5431</v>
      </c>
      <c r="Y125" s="117">
        <v>3487192</v>
      </c>
      <c r="Z125" s="117">
        <v>3486839</v>
      </c>
      <c r="AA125" s="118"/>
      <c r="AB125" s="119" t="s">
        <v>5432</v>
      </c>
      <c r="AC125" s="119" t="s">
        <v>5433</v>
      </c>
      <c r="AD125" s="119" t="s">
        <v>5434</v>
      </c>
      <c r="AE125" s="119" t="s">
        <v>5435</v>
      </c>
      <c r="AF125" s="119" t="s">
        <v>6072</v>
      </c>
      <c r="AG125" s="120"/>
      <c r="AH125" s="121">
        <v>45887</v>
      </c>
      <c r="AI125" s="121">
        <v>45887</v>
      </c>
      <c r="AJ125" s="121">
        <v>45887</v>
      </c>
      <c r="AK125" s="122">
        <v>45887</v>
      </c>
      <c r="AL125" s="122" t="e">
        <v>#N/A</v>
      </c>
      <c r="AM125" s="121" t="e">
        <v>#N/A</v>
      </c>
      <c r="AN125" s="121" t="e">
        <v>#N/A</v>
      </c>
      <c r="AO125" s="121" t="e">
        <v>#N/A</v>
      </c>
      <c r="AP125" s="122" t="e">
        <v>#N/A</v>
      </c>
      <c r="AQ125" s="122" t="e">
        <v>#N/A</v>
      </c>
      <c r="AR125" s="122" t="e">
        <v>#N/A</v>
      </c>
      <c r="AS125" s="122" t="e">
        <v>#N/A</v>
      </c>
      <c r="AT125" s="122" t="e">
        <v>#N/A</v>
      </c>
      <c r="AU125" s="121" t="e">
        <v>#N/A</v>
      </c>
      <c r="AV125" s="122" t="e">
        <v>#N/A</v>
      </c>
      <c r="AW125" s="122">
        <v>45887</v>
      </c>
      <c r="AX125" s="122" t="e">
        <v>#N/A</v>
      </c>
      <c r="AY125" s="122" t="e">
        <v>#N/A</v>
      </c>
      <c r="AZ125" s="122" t="e">
        <v>#N/A</v>
      </c>
      <c r="BA125" s="122" t="e">
        <v>#N/A</v>
      </c>
      <c r="BB125" s="122" t="e">
        <v>#N/A</v>
      </c>
      <c r="BC125" s="122" t="e">
        <v>#N/A</v>
      </c>
      <c r="BD125" s="122" t="e">
        <v>#N/A</v>
      </c>
      <c r="BE125" s="122" t="e">
        <v>#N/A</v>
      </c>
      <c r="BF125" s="122" t="e">
        <v>#N/A</v>
      </c>
      <c r="BG125" s="122" t="e">
        <v>#N/A</v>
      </c>
      <c r="BH125" s="122" t="e">
        <v>#N/A</v>
      </c>
      <c r="BI125" s="122" t="e">
        <v>#N/A</v>
      </c>
      <c r="BJ125" s="122" t="e">
        <v>#N/A</v>
      </c>
      <c r="BK125" s="122">
        <v>45951</v>
      </c>
      <c r="BL125" s="123"/>
      <c r="BM125" s="124" t="e">
        <v>#N/A</v>
      </c>
      <c r="BN125" s="124" t="e">
        <v>#N/A</v>
      </c>
      <c r="BO125" s="124" t="e">
        <v>#N/A</v>
      </c>
      <c r="BP125" s="124" t="e">
        <v>#N/A</v>
      </c>
      <c r="BQ125" s="124" t="e">
        <v>#N/A</v>
      </c>
      <c r="BR125" s="124" t="e">
        <v>#N/A</v>
      </c>
      <c r="BS125" s="124" t="e">
        <v>#N/A</v>
      </c>
      <c r="BT125" s="124" t="e">
        <v>#N/A</v>
      </c>
      <c r="BU125" s="124" t="e">
        <v>#N/A</v>
      </c>
      <c r="BV125" s="124" t="e">
        <v>#N/A</v>
      </c>
      <c r="BW125" s="124" t="e">
        <v>#N/A</v>
      </c>
      <c r="BX125" s="124" t="e">
        <v>#N/A</v>
      </c>
      <c r="BY125" s="124" t="e">
        <v>#N/A</v>
      </c>
      <c r="BZ125" s="124" t="e">
        <v>#N/A</v>
      </c>
      <c r="CA125" s="125"/>
      <c r="CB125" s="124" t="e">
        <v>#N/A</v>
      </c>
      <c r="CC125" s="126">
        <v>1</v>
      </c>
      <c r="CD125" s="127" t="s">
        <v>5355</v>
      </c>
      <c r="CE125" s="128"/>
      <c r="CF125" s="77" t="s">
        <v>4161</v>
      </c>
    </row>
    <row r="126" spans="1:84" ht="14.5" x14ac:dyDescent="0.35">
      <c r="A126" s="77">
        <v>125</v>
      </c>
      <c r="B126" s="106" t="s">
        <v>5365</v>
      </c>
      <c r="C126" s="107" t="s">
        <v>6834</v>
      </c>
      <c r="D126" s="108" t="s">
        <v>5366</v>
      </c>
      <c r="E126" s="109" t="s">
        <v>5367</v>
      </c>
      <c r="F126" s="110">
        <v>717105402</v>
      </c>
      <c r="G126" s="108" t="s">
        <v>1004</v>
      </c>
      <c r="H126" s="111" t="s">
        <v>198</v>
      </c>
      <c r="I126" s="111" t="s">
        <v>180</v>
      </c>
      <c r="J126" s="111" t="s">
        <v>4649</v>
      </c>
      <c r="K126" s="111" t="s">
        <v>4654</v>
      </c>
      <c r="L126" s="112">
        <v>45887</v>
      </c>
      <c r="M126" s="111" t="s">
        <v>3381</v>
      </c>
      <c r="N126" s="113"/>
      <c r="O126" s="114" t="s">
        <v>226</v>
      </c>
      <c r="P126" s="114" t="s">
        <v>183</v>
      </c>
      <c r="Q126" s="114" t="s">
        <v>225</v>
      </c>
      <c r="R126" s="114" t="s">
        <v>7331</v>
      </c>
      <c r="S126" s="114" t="s">
        <v>183</v>
      </c>
      <c r="T126" s="114" t="s">
        <v>226</v>
      </c>
      <c r="U126" s="114" t="s">
        <v>226</v>
      </c>
      <c r="V126" s="115"/>
      <c r="W126" s="116" t="s">
        <v>5368</v>
      </c>
      <c r="X126" s="116" t="s">
        <v>5369</v>
      </c>
      <c r="Y126" s="117">
        <v>3485923</v>
      </c>
      <c r="Z126" s="117">
        <v>3486785</v>
      </c>
      <c r="AA126" s="118"/>
      <c r="AB126" s="119" t="s">
        <v>5370</v>
      </c>
      <c r="AC126" s="119" t="s">
        <v>5371</v>
      </c>
      <c r="AD126" s="119" t="s">
        <v>5372</v>
      </c>
      <c r="AE126" s="119" t="s">
        <v>5373</v>
      </c>
      <c r="AF126" s="119" t="s">
        <v>6073</v>
      </c>
      <c r="AG126" s="120"/>
      <c r="AH126" s="121">
        <v>45887</v>
      </c>
      <c r="AI126" s="121">
        <v>45887</v>
      </c>
      <c r="AJ126" s="121">
        <v>45887</v>
      </c>
      <c r="AK126" s="122">
        <v>45887</v>
      </c>
      <c r="AL126" s="122" t="e">
        <v>#N/A</v>
      </c>
      <c r="AM126" s="121" t="e">
        <v>#N/A</v>
      </c>
      <c r="AN126" s="121" t="e">
        <v>#N/A</v>
      </c>
      <c r="AO126" s="121" t="e">
        <v>#N/A</v>
      </c>
      <c r="AP126" s="122" t="e">
        <v>#N/A</v>
      </c>
      <c r="AQ126" s="122" t="e">
        <v>#N/A</v>
      </c>
      <c r="AR126" s="122" t="e">
        <v>#N/A</v>
      </c>
      <c r="AS126" s="122" t="e">
        <v>#N/A</v>
      </c>
      <c r="AT126" s="122" t="e">
        <v>#N/A</v>
      </c>
      <c r="AU126" s="121" t="e">
        <v>#N/A</v>
      </c>
      <c r="AV126" s="122" t="e">
        <v>#N/A</v>
      </c>
      <c r="AW126" s="122">
        <v>45887</v>
      </c>
      <c r="AX126" s="122" t="e">
        <v>#N/A</v>
      </c>
      <c r="AY126" s="122" t="e">
        <v>#N/A</v>
      </c>
      <c r="AZ126" s="122" t="e">
        <v>#N/A</v>
      </c>
      <c r="BA126" s="122" t="e">
        <v>#N/A</v>
      </c>
      <c r="BB126" s="122" t="e">
        <v>#N/A</v>
      </c>
      <c r="BC126" s="122" t="e">
        <v>#N/A</v>
      </c>
      <c r="BD126" s="122" t="e">
        <v>#N/A</v>
      </c>
      <c r="BE126" s="122" t="e">
        <v>#N/A</v>
      </c>
      <c r="BF126" s="122" t="e">
        <v>#N/A</v>
      </c>
      <c r="BG126" s="122" t="e">
        <v>#N/A</v>
      </c>
      <c r="BH126" s="122" t="e">
        <v>#N/A</v>
      </c>
      <c r="BI126" s="122" t="e">
        <v>#N/A</v>
      </c>
      <c r="BJ126" s="122" t="e">
        <v>#N/A</v>
      </c>
      <c r="BK126" s="122">
        <v>45951</v>
      </c>
      <c r="BL126" s="123"/>
      <c r="BM126" s="124" t="e">
        <v>#N/A</v>
      </c>
      <c r="BN126" s="124" t="e">
        <v>#N/A</v>
      </c>
      <c r="BO126" s="124" t="e">
        <v>#N/A</v>
      </c>
      <c r="BP126" s="124" t="e">
        <v>#N/A</v>
      </c>
      <c r="BQ126" s="124" t="e">
        <v>#N/A</v>
      </c>
      <c r="BR126" s="124" t="e">
        <v>#N/A</v>
      </c>
      <c r="BS126" s="124" t="e">
        <v>#N/A</v>
      </c>
      <c r="BT126" s="124" t="e">
        <v>#N/A</v>
      </c>
      <c r="BU126" s="124" t="e">
        <v>#N/A</v>
      </c>
      <c r="BV126" s="124" t="e">
        <v>#N/A</v>
      </c>
      <c r="BW126" s="124" t="e">
        <v>#N/A</v>
      </c>
      <c r="BX126" s="124" t="e">
        <v>#N/A</v>
      </c>
      <c r="BY126" s="124" t="e">
        <v>#N/A</v>
      </c>
      <c r="BZ126" s="124" t="e">
        <v>#N/A</v>
      </c>
      <c r="CA126" s="125"/>
      <c r="CB126" s="124" t="e">
        <v>#N/A</v>
      </c>
      <c r="CC126" s="126">
        <v>1</v>
      </c>
      <c r="CD126" s="127" t="s">
        <v>5355</v>
      </c>
      <c r="CE126" s="128"/>
      <c r="CF126" s="77" t="s">
        <v>4169</v>
      </c>
    </row>
    <row r="127" spans="1:84" ht="14.5" x14ac:dyDescent="0.35">
      <c r="A127" s="77">
        <v>126</v>
      </c>
      <c r="B127" s="106" t="s">
        <v>4742</v>
      </c>
      <c r="C127" s="107" t="s">
        <v>6782</v>
      </c>
      <c r="D127" s="108" t="s">
        <v>4743</v>
      </c>
      <c r="E127" s="109" t="s">
        <v>4744</v>
      </c>
      <c r="F127" s="110">
        <v>696862241</v>
      </c>
      <c r="G127" s="108" t="s">
        <v>1004</v>
      </c>
      <c r="H127" s="111" t="s">
        <v>198</v>
      </c>
      <c r="I127" s="111" t="s">
        <v>180</v>
      </c>
      <c r="J127" s="111" t="s">
        <v>4649</v>
      </c>
      <c r="K127" s="111" t="s">
        <v>3159</v>
      </c>
      <c r="L127" s="112">
        <v>45831</v>
      </c>
      <c r="M127" s="111" t="s">
        <v>4022</v>
      </c>
      <c r="N127" s="113"/>
      <c r="O127" s="114" t="s">
        <v>585</v>
      </c>
      <c r="P127" s="114" t="s">
        <v>183</v>
      </c>
      <c r="Q127" s="114" t="s">
        <v>286</v>
      </c>
      <c r="R127" s="114" t="s">
        <v>285</v>
      </c>
      <c r="S127" s="114" t="s">
        <v>183</v>
      </c>
      <c r="T127" s="114" t="s">
        <v>285</v>
      </c>
      <c r="U127" s="114" t="s">
        <v>285</v>
      </c>
      <c r="V127" s="115"/>
      <c r="W127" s="116" t="s">
        <v>4745</v>
      </c>
      <c r="X127" s="116" t="s">
        <v>4746</v>
      </c>
      <c r="Y127" s="117">
        <v>3487134</v>
      </c>
      <c r="Z127" s="117">
        <v>3481502</v>
      </c>
      <c r="AA127" s="118"/>
      <c r="AB127" s="119" t="s">
        <v>5772</v>
      </c>
      <c r="AC127" s="119" t="s">
        <v>4747</v>
      </c>
      <c r="AD127" s="119">
        <v>26311</v>
      </c>
      <c r="AE127" s="119" t="s">
        <v>4748</v>
      </c>
      <c r="AF127" s="119" t="s">
        <v>6074</v>
      </c>
      <c r="AG127" s="120"/>
      <c r="AH127" s="121">
        <v>45831</v>
      </c>
      <c r="AI127" s="121">
        <v>45831</v>
      </c>
      <c r="AJ127" s="121">
        <v>45831</v>
      </c>
      <c r="AK127" s="122">
        <v>45831</v>
      </c>
      <c r="AL127" s="122" t="e">
        <v>#N/A</v>
      </c>
      <c r="AM127" s="121" t="e">
        <v>#N/A</v>
      </c>
      <c r="AN127" s="121" t="e">
        <v>#N/A</v>
      </c>
      <c r="AO127" s="121" t="e">
        <v>#N/A</v>
      </c>
      <c r="AP127" s="122" t="e">
        <v>#N/A</v>
      </c>
      <c r="AQ127" s="122" t="e">
        <v>#N/A</v>
      </c>
      <c r="AR127" s="122" t="e">
        <v>#N/A</v>
      </c>
      <c r="AS127" s="122" t="e">
        <v>#N/A</v>
      </c>
      <c r="AT127" s="122" t="e">
        <v>#N/A</v>
      </c>
      <c r="AU127" s="121" t="e">
        <v>#N/A</v>
      </c>
      <c r="AV127" s="122" t="e">
        <v>#N/A</v>
      </c>
      <c r="AW127" s="122">
        <v>45778</v>
      </c>
      <c r="AX127" s="122" t="e">
        <v>#N/A</v>
      </c>
      <c r="AY127" s="122" t="e">
        <v>#N/A</v>
      </c>
      <c r="AZ127" s="122" t="e">
        <v>#N/A</v>
      </c>
      <c r="BA127" s="122" t="e">
        <v>#N/A</v>
      </c>
      <c r="BB127" s="122" t="e">
        <v>#N/A</v>
      </c>
      <c r="BC127" s="122" t="e">
        <v>#N/A</v>
      </c>
      <c r="BD127" s="122" t="e">
        <v>#N/A</v>
      </c>
      <c r="BE127" s="122" t="e">
        <v>#N/A</v>
      </c>
      <c r="BF127" s="122" t="e">
        <v>#N/A</v>
      </c>
      <c r="BG127" s="122" t="e">
        <v>#N/A</v>
      </c>
      <c r="BH127" s="122" t="e">
        <v>#N/A</v>
      </c>
      <c r="BI127" s="122" t="e">
        <v>#N/A</v>
      </c>
      <c r="BJ127" s="122" t="e">
        <v>#N/A</v>
      </c>
      <c r="BK127" s="122">
        <v>45950</v>
      </c>
      <c r="BL127" s="123"/>
      <c r="BM127" s="124" t="e">
        <v>#N/A</v>
      </c>
      <c r="BN127" s="124" t="e">
        <v>#N/A</v>
      </c>
      <c r="BO127" s="124" t="e">
        <v>#N/A</v>
      </c>
      <c r="BP127" s="124" t="e">
        <v>#N/A</v>
      </c>
      <c r="BQ127" s="124" t="e">
        <v>#N/A</v>
      </c>
      <c r="BR127" s="124" t="e">
        <v>#N/A</v>
      </c>
      <c r="BS127" s="124" t="e">
        <v>#N/A</v>
      </c>
      <c r="BT127" s="124" t="e">
        <v>#N/A</v>
      </c>
      <c r="BU127" s="124" t="e">
        <v>#N/A</v>
      </c>
      <c r="BV127" s="124" t="e">
        <v>#N/A</v>
      </c>
      <c r="BW127" s="124" t="e">
        <v>#N/A</v>
      </c>
      <c r="BX127" s="124" t="e">
        <v>#N/A</v>
      </c>
      <c r="BY127" s="124" t="e">
        <v>#N/A</v>
      </c>
      <c r="BZ127" s="124" t="e">
        <v>#N/A</v>
      </c>
      <c r="CA127" s="125"/>
      <c r="CB127" s="124">
        <v>45828</v>
      </c>
      <c r="CC127" s="126">
        <v>1</v>
      </c>
      <c r="CD127" s="127" t="s">
        <v>4979</v>
      </c>
      <c r="CE127" s="128"/>
      <c r="CF127" s="77" t="s">
        <v>4161</v>
      </c>
    </row>
    <row r="128" spans="1:84" ht="14.5" x14ac:dyDescent="0.35">
      <c r="A128" s="77">
        <v>127</v>
      </c>
      <c r="B128" s="106" t="s">
        <v>29</v>
      </c>
      <c r="C128" s="107" t="s">
        <v>1160</v>
      </c>
      <c r="D128" s="108" t="s">
        <v>430</v>
      </c>
      <c r="E128" s="109" t="s">
        <v>431</v>
      </c>
      <c r="F128" s="110">
        <v>608869696</v>
      </c>
      <c r="G128" s="108" t="s">
        <v>1004</v>
      </c>
      <c r="H128" s="111" t="s">
        <v>198</v>
      </c>
      <c r="I128" s="111" t="s">
        <v>180</v>
      </c>
      <c r="J128" s="111" t="s">
        <v>4649</v>
      </c>
      <c r="K128" s="111" t="s">
        <v>199</v>
      </c>
      <c r="L128" s="112">
        <v>43191</v>
      </c>
      <c r="M128" s="111" t="s">
        <v>256</v>
      </c>
      <c r="N128" s="113"/>
      <c r="O128" s="114" t="s">
        <v>225</v>
      </c>
      <c r="P128" s="114" t="s">
        <v>183</v>
      </c>
      <c r="Q128" s="114" t="s">
        <v>183</v>
      </c>
      <c r="R128" s="114" t="s">
        <v>4373</v>
      </c>
      <c r="S128" s="114" t="s">
        <v>4373</v>
      </c>
      <c r="T128" s="114" t="s">
        <v>225</v>
      </c>
      <c r="U128" s="114" t="s">
        <v>226</v>
      </c>
      <c r="V128" s="115"/>
      <c r="W128" s="116" t="s">
        <v>432</v>
      </c>
      <c r="X128" s="116" t="s">
        <v>433</v>
      </c>
      <c r="Y128" s="117">
        <v>3485667</v>
      </c>
      <c r="Z128" s="117">
        <v>3481092</v>
      </c>
      <c r="AA128" s="118"/>
      <c r="AB128" s="119" t="s">
        <v>5281</v>
      </c>
      <c r="AC128" s="119" t="s">
        <v>1161</v>
      </c>
      <c r="AD128" s="119">
        <v>4147</v>
      </c>
      <c r="AE128" s="119" t="s">
        <v>1162</v>
      </c>
      <c r="AF128" s="119" t="s">
        <v>7080</v>
      </c>
      <c r="AG128" s="120"/>
      <c r="AH128" s="121">
        <v>44197</v>
      </c>
      <c r="AI128" s="121">
        <v>44529</v>
      </c>
      <c r="AJ128" s="121">
        <v>44529</v>
      </c>
      <c r="AK128" s="122">
        <v>44529</v>
      </c>
      <c r="AL128" s="122">
        <v>44971</v>
      </c>
      <c r="AM128" s="122" t="e">
        <v>#N/A</v>
      </c>
      <c r="AN128" s="122" t="e">
        <v>#N/A</v>
      </c>
      <c r="AO128" s="121" t="e">
        <v>#N/A</v>
      </c>
      <c r="AP128" s="122" t="e">
        <v>#N/A</v>
      </c>
      <c r="AQ128" s="122" t="e">
        <v>#N/A</v>
      </c>
      <c r="AR128" s="122" t="e">
        <v>#N/A</v>
      </c>
      <c r="AS128" s="122" t="e">
        <v>#N/A</v>
      </c>
      <c r="AT128" s="122" t="e">
        <v>#N/A</v>
      </c>
      <c r="AU128" s="121" t="e">
        <v>#N/A</v>
      </c>
      <c r="AV128" s="122" t="e">
        <v>#N/A</v>
      </c>
      <c r="AW128" s="122">
        <v>45691</v>
      </c>
      <c r="AX128" s="122" t="e">
        <v>#N/A</v>
      </c>
      <c r="AY128" s="122" t="e">
        <v>#N/A</v>
      </c>
      <c r="AZ128" s="122" t="e">
        <v>#N/A</v>
      </c>
      <c r="BA128" s="122" t="e">
        <v>#N/A</v>
      </c>
      <c r="BB128" s="122" t="e">
        <v>#N/A</v>
      </c>
      <c r="BC128" s="122" t="e">
        <v>#N/A</v>
      </c>
      <c r="BD128" s="122" t="e">
        <v>#N/A</v>
      </c>
      <c r="BE128" s="122">
        <v>44991</v>
      </c>
      <c r="BF128" s="122" t="e">
        <v>#N/A</v>
      </c>
      <c r="BG128" s="122" t="e">
        <v>#N/A</v>
      </c>
      <c r="BH128" s="122" t="e">
        <v>#N/A</v>
      </c>
      <c r="BI128" s="122" t="e">
        <v>#N/A</v>
      </c>
      <c r="BJ128" s="122" t="e">
        <v>#N/A</v>
      </c>
      <c r="BK128" s="122">
        <v>45982</v>
      </c>
      <c r="BL128" s="123"/>
      <c r="BM128" s="124" t="e">
        <v>#N/A</v>
      </c>
      <c r="BN128" s="124" t="e">
        <v>#N/A</v>
      </c>
      <c r="BO128" s="124" t="e">
        <v>#N/A</v>
      </c>
      <c r="BP128" s="124" t="e">
        <v>#N/A</v>
      </c>
      <c r="BQ128" s="124" t="e">
        <v>#N/A</v>
      </c>
      <c r="BR128" s="124" t="e">
        <v>#N/A</v>
      </c>
      <c r="BS128" s="124" t="e">
        <v>#N/A</v>
      </c>
      <c r="BT128" s="124" t="e">
        <v>#N/A</v>
      </c>
      <c r="BU128" s="124" t="e">
        <v>#N/A</v>
      </c>
      <c r="BV128" s="124" t="e">
        <v>#N/A</v>
      </c>
      <c r="BW128" s="124" t="e">
        <v>#N/A</v>
      </c>
      <c r="BX128" s="124" t="e">
        <v>#N/A</v>
      </c>
      <c r="BY128" s="124" t="e">
        <v>#N/A</v>
      </c>
      <c r="BZ128" s="124" t="e">
        <v>#N/A</v>
      </c>
      <c r="CA128" s="125"/>
      <c r="CB128" s="124">
        <v>45728</v>
      </c>
      <c r="CC128" s="126">
        <v>1</v>
      </c>
      <c r="CD128" s="127" t="s">
        <v>4169</v>
      </c>
      <c r="CE128" s="128"/>
      <c r="CF128" s="77" t="s">
        <v>4169</v>
      </c>
    </row>
    <row r="129" spans="1:85" ht="14.5" x14ac:dyDescent="0.35">
      <c r="A129" s="77">
        <v>129</v>
      </c>
      <c r="B129" s="106" t="s">
        <v>5049</v>
      </c>
      <c r="C129" s="107" t="s">
        <v>6813</v>
      </c>
      <c r="D129" s="108" t="s">
        <v>5050</v>
      </c>
      <c r="E129" s="109" t="s">
        <v>5051</v>
      </c>
      <c r="F129" s="110">
        <v>648023579</v>
      </c>
      <c r="G129" s="108" t="s">
        <v>1004</v>
      </c>
      <c r="H129" s="111" t="s">
        <v>198</v>
      </c>
      <c r="I129" s="111" t="s">
        <v>180</v>
      </c>
      <c r="J129" s="111" t="s">
        <v>4649</v>
      </c>
      <c r="K129" s="111" t="s">
        <v>199</v>
      </c>
      <c r="L129" s="112">
        <v>45873</v>
      </c>
      <c r="M129" s="111" t="s">
        <v>1037</v>
      </c>
      <c r="N129" s="113"/>
      <c r="O129" s="114" t="s">
        <v>3122</v>
      </c>
      <c r="P129" s="114" t="s">
        <v>3122</v>
      </c>
      <c r="Q129" s="114" t="s">
        <v>183</v>
      </c>
      <c r="R129" s="114" t="s">
        <v>7393</v>
      </c>
      <c r="S129" s="114" t="s">
        <v>3122</v>
      </c>
      <c r="T129" s="114" t="s">
        <v>3122</v>
      </c>
      <c r="U129" s="114" t="s">
        <v>3122</v>
      </c>
      <c r="V129" s="115"/>
      <c r="W129" s="116" t="s">
        <v>5052</v>
      </c>
      <c r="X129" s="116" t="s">
        <v>5053</v>
      </c>
      <c r="Y129" s="117">
        <v>3485407</v>
      </c>
      <c r="Z129" s="117">
        <v>3486492</v>
      </c>
      <c r="AA129" s="118"/>
      <c r="AB129" s="119" t="s">
        <v>5054</v>
      </c>
      <c r="AC129" s="119" t="s">
        <v>5055</v>
      </c>
      <c r="AD129" s="119" t="s">
        <v>5056</v>
      </c>
      <c r="AE129" s="119" t="s">
        <v>5057</v>
      </c>
      <c r="AF129" s="119" t="s">
        <v>7230</v>
      </c>
      <c r="AG129" s="120"/>
      <c r="AH129" s="121">
        <v>45873</v>
      </c>
      <c r="AI129" s="121">
        <v>45873</v>
      </c>
      <c r="AJ129" s="121">
        <v>45873</v>
      </c>
      <c r="AK129" s="122">
        <v>45873</v>
      </c>
      <c r="AL129" s="122" t="e">
        <v>#N/A</v>
      </c>
      <c r="AM129" s="121" t="e">
        <v>#N/A</v>
      </c>
      <c r="AN129" s="121" t="e">
        <v>#N/A</v>
      </c>
      <c r="AO129" s="121" t="e">
        <v>#N/A</v>
      </c>
      <c r="AP129" s="122" t="e">
        <v>#N/A</v>
      </c>
      <c r="AQ129" s="122" t="e">
        <v>#N/A</v>
      </c>
      <c r="AR129" s="122" t="e">
        <v>#N/A</v>
      </c>
      <c r="AS129" s="122" t="e">
        <v>#N/A</v>
      </c>
      <c r="AT129" s="122" t="e">
        <v>#N/A</v>
      </c>
      <c r="AU129" s="121" t="e">
        <v>#N/A</v>
      </c>
      <c r="AV129" s="122" t="e">
        <v>#N/A</v>
      </c>
      <c r="AW129" s="122">
        <v>45873</v>
      </c>
      <c r="AX129" s="122" t="e">
        <v>#N/A</v>
      </c>
      <c r="AY129" s="122" t="e">
        <v>#N/A</v>
      </c>
      <c r="AZ129" s="122" t="e">
        <v>#N/A</v>
      </c>
      <c r="BA129" s="122" t="e">
        <v>#N/A</v>
      </c>
      <c r="BB129" s="122" t="e">
        <v>#N/A</v>
      </c>
      <c r="BC129" s="122" t="e">
        <v>#N/A</v>
      </c>
      <c r="BD129" s="122" t="e">
        <v>#N/A</v>
      </c>
      <c r="BE129" s="122" t="e">
        <v>#N/A</v>
      </c>
      <c r="BF129" s="122" t="e">
        <v>#N/A</v>
      </c>
      <c r="BG129" s="122" t="e">
        <v>#N/A</v>
      </c>
      <c r="BH129" s="122" t="e">
        <v>#N/A</v>
      </c>
      <c r="BI129" s="122" t="e">
        <v>#N/A</v>
      </c>
      <c r="BJ129" s="122" t="e">
        <v>#N/A</v>
      </c>
      <c r="BK129" s="122">
        <v>45961</v>
      </c>
      <c r="BL129" s="123"/>
      <c r="BM129" s="124" t="e">
        <v>#N/A</v>
      </c>
      <c r="BN129" s="124" t="e">
        <v>#N/A</v>
      </c>
      <c r="BO129" s="124" t="e">
        <v>#N/A</v>
      </c>
      <c r="BP129" s="124" t="e">
        <v>#N/A</v>
      </c>
      <c r="BQ129" s="124" t="e">
        <v>#N/A</v>
      </c>
      <c r="BR129" s="124" t="e">
        <v>#N/A</v>
      </c>
      <c r="BS129" s="124" t="e">
        <v>#N/A</v>
      </c>
      <c r="BT129" s="124" t="e">
        <v>#N/A</v>
      </c>
      <c r="BU129" s="124" t="e">
        <v>#N/A</v>
      </c>
      <c r="BV129" s="124" t="e">
        <v>#N/A</v>
      </c>
      <c r="BW129" s="124" t="e">
        <v>#N/A</v>
      </c>
      <c r="BX129" s="124" t="e">
        <v>#N/A</v>
      </c>
      <c r="BY129" s="124" t="e">
        <v>#N/A</v>
      </c>
      <c r="BZ129" s="124" t="e">
        <v>#N/A</v>
      </c>
      <c r="CA129" s="125"/>
      <c r="CB129" s="124" t="e">
        <v>#N/A</v>
      </c>
      <c r="CC129" s="126">
        <v>1</v>
      </c>
      <c r="CD129" s="127" t="s">
        <v>5058</v>
      </c>
      <c r="CE129" s="128"/>
      <c r="CF129" s="77" t="s">
        <v>4151</v>
      </c>
    </row>
    <row r="130" spans="1:85" ht="14.5" x14ac:dyDescent="0.35">
      <c r="A130" s="77">
        <v>406</v>
      </c>
      <c r="B130" s="106" t="s">
        <v>4735</v>
      </c>
      <c r="C130" s="107" t="s">
        <v>6781</v>
      </c>
      <c r="D130" s="108" t="s">
        <v>4736</v>
      </c>
      <c r="E130" s="109" t="s">
        <v>4737</v>
      </c>
      <c r="F130" s="110">
        <v>654325582</v>
      </c>
      <c r="G130" s="108" t="s">
        <v>1004</v>
      </c>
      <c r="H130" s="111" t="s">
        <v>198</v>
      </c>
      <c r="I130" s="111" t="s">
        <v>180</v>
      </c>
      <c r="J130" s="111" t="s">
        <v>4649</v>
      </c>
      <c r="K130" s="111" t="s">
        <v>199</v>
      </c>
      <c r="L130" s="112">
        <v>45831</v>
      </c>
      <c r="M130" s="111" t="s">
        <v>284</v>
      </c>
      <c r="N130" s="113"/>
      <c r="O130" s="114" t="s">
        <v>3831</v>
      </c>
      <c r="P130" s="114" t="s">
        <v>367</v>
      </c>
      <c r="Q130" s="114" t="s">
        <v>183</v>
      </c>
      <c r="R130" s="114" t="s">
        <v>7394</v>
      </c>
      <c r="S130" s="114" t="s">
        <v>367</v>
      </c>
      <c r="T130" s="114" t="s">
        <v>367</v>
      </c>
      <c r="U130" s="114" t="s">
        <v>367</v>
      </c>
      <c r="V130" s="115"/>
      <c r="W130" s="116" t="s">
        <v>4738</v>
      </c>
      <c r="X130" s="116" t="s">
        <v>4739</v>
      </c>
      <c r="Y130" s="117">
        <v>3487121</v>
      </c>
      <c r="Z130" s="117">
        <v>3486787</v>
      </c>
      <c r="AA130" s="118"/>
      <c r="AB130" s="119" t="s">
        <v>5598</v>
      </c>
      <c r="AC130" s="119" t="s">
        <v>4740</v>
      </c>
      <c r="AD130" s="119">
        <v>26291</v>
      </c>
      <c r="AE130" s="119" t="s">
        <v>4741</v>
      </c>
      <c r="AF130" s="119" t="s">
        <v>6075</v>
      </c>
      <c r="AG130" s="120"/>
      <c r="AH130" s="121">
        <v>45831</v>
      </c>
      <c r="AI130" s="121">
        <v>45831</v>
      </c>
      <c r="AJ130" s="121">
        <v>45831</v>
      </c>
      <c r="AK130" s="122">
        <v>45831</v>
      </c>
      <c r="AL130" s="122" t="e">
        <v>#N/A</v>
      </c>
      <c r="AM130" s="122" t="e">
        <v>#N/A</v>
      </c>
      <c r="AN130" s="122" t="e">
        <v>#N/A</v>
      </c>
      <c r="AO130" s="121" t="e">
        <v>#N/A</v>
      </c>
      <c r="AP130" s="122" t="e">
        <v>#N/A</v>
      </c>
      <c r="AQ130" s="122" t="e">
        <v>#N/A</v>
      </c>
      <c r="AR130" s="122" t="e">
        <v>#N/A</v>
      </c>
      <c r="AS130" s="122" t="e">
        <v>#N/A</v>
      </c>
      <c r="AT130" s="122" t="e">
        <v>#N/A</v>
      </c>
      <c r="AU130" s="121" t="e">
        <v>#N/A</v>
      </c>
      <c r="AV130" s="122" t="e">
        <v>#N/A</v>
      </c>
      <c r="AW130" s="122">
        <v>45828</v>
      </c>
      <c r="AX130" s="122" t="e">
        <v>#N/A</v>
      </c>
      <c r="AY130" s="122" t="e">
        <v>#N/A</v>
      </c>
      <c r="AZ130" s="122" t="e">
        <v>#N/A</v>
      </c>
      <c r="BA130" s="122" t="e">
        <v>#N/A</v>
      </c>
      <c r="BB130" s="122" t="e">
        <v>#N/A</v>
      </c>
      <c r="BC130" s="122" t="e">
        <v>#N/A</v>
      </c>
      <c r="BD130" s="122" t="e">
        <v>#N/A</v>
      </c>
      <c r="BE130" s="122" t="e">
        <v>#N/A</v>
      </c>
      <c r="BF130" s="122" t="e">
        <v>#N/A</v>
      </c>
      <c r="BG130" s="122" t="e">
        <v>#N/A</v>
      </c>
      <c r="BH130" s="122" t="e">
        <v>#N/A</v>
      </c>
      <c r="BI130" s="122" t="e">
        <v>#N/A</v>
      </c>
      <c r="BJ130" s="122" t="e">
        <v>#N/A</v>
      </c>
      <c r="BK130" s="122">
        <v>45953</v>
      </c>
      <c r="BL130" s="123"/>
      <c r="BM130" s="124" t="e">
        <v>#N/A</v>
      </c>
      <c r="BN130" s="124" t="e">
        <v>#N/A</v>
      </c>
      <c r="BO130" s="124" t="e">
        <v>#N/A</v>
      </c>
      <c r="BP130" s="124" t="e">
        <v>#N/A</v>
      </c>
      <c r="BQ130" s="124" t="e">
        <v>#N/A</v>
      </c>
      <c r="BR130" s="124" t="e">
        <v>#N/A</v>
      </c>
      <c r="BS130" s="124" t="e">
        <v>#N/A</v>
      </c>
      <c r="BT130" s="124" t="e">
        <v>#N/A</v>
      </c>
      <c r="BU130" s="124" t="e">
        <v>#N/A</v>
      </c>
      <c r="BV130" s="124" t="e">
        <v>#N/A</v>
      </c>
      <c r="BW130" s="124" t="e">
        <v>#N/A</v>
      </c>
      <c r="BX130" s="124" t="e">
        <v>#N/A</v>
      </c>
      <c r="BY130" s="124" t="e">
        <v>#N/A</v>
      </c>
      <c r="BZ130" s="124" t="e">
        <v>#N/A</v>
      </c>
      <c r="CA130" s="125"/>
      <c r="CB130" s="124">
        <v>45828</v>
      </c>
      <c r="CC130" s="126">
        <v>1</v>
      </c>
      <c r="CD130" s="127" t="s">
        <v>4980</v>
      </c>
      <c r="CE130" s="128"/>
      <c r="CF130" s="77" t="s">
        <v>4169</v>
      </c>
    </row>
    <row r="131" spans="1:85" ht="14.5" x14ac:dyDescent="0.35">
      <c r="A131" s="77">
        <v>549</v>
      </c>
      <c r="B131" s="106" t="s">
        <v>3917</v>
      </c>
      <c r="C131" s="107" t="s">
        <v>6704</v>
      </c>
      <c r="D131" s="108" t="s">
        <v>3918</v>
      </c>
      <c r="E131" s="109" t="s">
        <v>3919</v>
      </c>
      <c r="F131" s="110">
        <v>634145643</v>
      </c>
      <c r="G131" s="108" t="s">
        <v>190</v>
      </c>
      <c r="H131" s="111" t="s">
        <v>198</v>
      </c>
      <c r="I131" s="111" t="s">
        <v>180</v>
      </c>
      <c r="J131" s="111" t="s">
        <v>4649</v>
      </c>
      <c r="K131" s="111" t="s">
        <v>199</v>
      </c>
      <c r="L131" s="112">
        <v>45544</v>
      </c>
      <c r="M131" s="111" t="s">
        <v>796</v>
      </c>
      <c r="N131" s="113"/>
      <c r="O131" s="114" t="s">
        <v>4473</v>
      </c>
      <c r="P131" s="114" t="s">
        <v>183</v>
      </c>
      <c r="Q131" s="114" t="s">
        <v>4473</v>
      </c>
      <c r="R131" s="114" t="s">
        <v>7380</v>
      </c>
      <c r="S131" s="114" t="s">
        <v>183</v>
      </c>
      <c r="T131" s="114" t="s">
        <v>4473</v>
      </c>
      <c r="U131" s="114" t="s">
        <v>4473</v>
      </c>
      <c r="V131" s="115"/>
      <c r="W131" s="116" t="s">
        <v>3920</v>
      </c>
      <c r="X131" s="116" t="s">
        <v>3921</v>
      </c>
      <c r="Y131" s="117">
        <v>3487045</v>
      </c>
      <c r="Z131" s="117">
        <v>3481233</v>
      </c>
      <c r="AA131" s="118"/>
      <c r="AB131" s="119" t="s">
        <v>3986</v>
      </c>
      <c r="AC131" s="119" t="s">
        <v>3936</v>
      </c>
      <c r="AD131" s="119">
        <v>26153</v>
      </c>
      <c r="AE131" s="119" t="s">
        <v>3922</v>
      </c>
      <c r="AF131" s="119">
        <v>0</v>
      </c>
      <c r="AG131" s="120"/>
      <c r="AH131" s="121">
        <v>45560</v>
      </c>
      <c r="AI131" s="121">
        <v>45560</v>
      </c>
      <c r="AJ131" s="121">
        <v>45560</v>
      </c>
      <c r="AK131" s="122">
        <v>45560</v>
      </c>
      <c r="AL131" s="122" t="e">
        <v>#N/A</v>
      </c>
      <c r="AM131" s="122" t="e">
        <v>#N/A</v>
      </c>
      <c r="AN131" s="122" t="e">
        <v>#N/A</v>
      </c>
      <c r="AO131" s="121" t="e">
        <v>#N/A</v>
      </c>
      <c r="AP131" s="122" t="e">
        <v>#N/A</v>
      </c>
      <c r="AQ131" s="122" t="e">
        <v>#N/A</v>
      </c>
      <c r="AR131" s="122" t="e">
        <v>#N/A</v>
      </c>
      <c r="AS131" s="122" t="e">
        <v>#N/A</v>
      </c>
      <c r="AT131" s="122" t="e">
        <v>#N/A</v>
      </c>
      <c r="AU131" s="121" t="e">
        <v>#N/A</v>
      </c>
      <c r="AV131" s="122" t="e">
        <v>#N/A</v>
      </c>
      <c r="AW131" s="122">
        <v>45700</v>
      </c>
      <c r="AX131" s="122" t="e">
        <v>#N/A</v>
      </c>
      <c r="AY131" s="122" t="e">
        <v>#N/A</v>
      </c>
      <c r="AZ131" s="122" t="e">
        <v>#N/A</v>
      </c>
      <c r="BA131" s="122" t="e">
        <v>#N/A</v>
      </c>
      <c r="BB131" s="122" t="e">
        <v>#N/A</v>
      </c>
      <c r="BC131" s="122" t="e">
        <v>#N/A</v>
      </c>
      <c r="BD131" s="122" t="e">
        <v>#N/A</v>
      </c>
      <c r="BE131" s="122" t="e">
        <v>#N/A</v>
      </c>
      <c r="BF131" s="122" t="e">
        <v>#N/A</v>
      </c>
      <c r="BG131" s="122" t="e">
        <v>#N/A</v>
      </c>
      <c r="BH131" s="122" t="e">
        <v>#N/A</v>
      </c>
      <c r="BI131" s="122" t="e">
        <v>#N/A</v>
      </c>
      <c r="BJ131" s="122" t="e">
        <v>#N/A</v>
      </c>
      <c r="BK131" s="122" t="e">
        <v>#N/A</v>
      </c>
      <c r="BL131" s="123"/>
      <c r="BM131" s="124" t="e">
        <v>#N/A</v>
      </c>
      <c r="BN131" s="124" t="e">
        <v>#N/A</v>
      </c>
      <c r="BO131" s="124" t="e">
        <v>#N/A</v>
      </c>
      <c r="BP131" s="124" t="e">
        <v>#N/A</v>
      </c>
      <c r="BQ131" s="124" t="e">
        <v>#N/A</v>
      </c>
      <c r="BR131" s="124" t="e">
        <v>#N/A</v>
      </c>
      <c r="BS131" s="124" t="e">
        <v>#N/A</v>
      </c>
      <c r="BT131" s="124" t="e">
        <v>#N/A</v>
      </c>
      <c r="BU131" s="124" t="e">
        <v>#N/A</v>
      </c>
      <c r="BV131" s="124" t="e">
        <v>#N/A</v>
      </c>
      <c r="BW131" s="124" t="e">
        <v>#N/A</v>
      </c>
      <c r="BX131" s="124" t="e">
        <v>#N/A</v>
      </c>
      <c r="BY131" s="124" t="e">
        <v>#N/A</v>
      </c>
      <c r="BZ131" s="124" t="e">
        <v>#N/A</v>
      </c>
      <c r="CA131" s="125"/>
      <c r="CB131" s="124" t="e">
        <v>#N/A</v>
      </c>
      <c r="CC131" s="126">
        <v>1</v>
      </c>
      <c r="CD131" s="127" t="s">
        <v>4210</v>
      </c>
      <c r="CE131" s="128"/>
      <c r="CF131" s="77" t="s">
        <v>4169</v>
      </c>
    </row>
    <row r="132" spans="1:85" ht="14.5" x14ac:dyDescent="0.35">
      <c r="A132" s="77">
        <v>336</v>
      </c>
      <c r="B132" s="106" t="s">
        <v>2101</v>
      </c>
      <c r="C132" s="107" t="s">
        <v>6480</v>
      </c>
      <c r="D132" s="108" t="s">
        <v>2102</v>
      </c>
      <c r="E132" s="109" t="s">
        <v>2103</v>
      </c>
      <c r="F132" s="110" t="s">
        <v>2104</v>
      </c>
      <c r="G132" s="108" t="s">
        <v>1004</v>
      </c>
      <c r="H132" s="111" t="s">
        <v>198</v>
      </c>
      <c r="I132" s="111" t="s">
        <v>180</v>
      </c>
      <c r="J132" s="111" t="s">
        <v>4649</v>
      </c>
      <c r="K132" s="111" t="s">
        <v>199</v>
      </c>
      <c r="L132" s="112">
        <v>44197</v>
      </c>
      <c r="M132" s="111" t="s">
        <v>2646</v>
      </c>
      <c r="N132" s="113"/>
      <c r="O132" s="114" t="s">
        <v>286</v>
      </c>
      <c r="P132" s="114" t="s">
        <v>286</v>
      </c>
      <c r="Q132" s="114" t="s">
        <v>286</v>
      </c>
      <c r="R132" s="114" t="s">
        <v>286</v>
      </c>
      <c r="S132" s="114" t="s">
        <v>286</v>
      </c>
      <c r="T132" s="114" t="s">
        <v>183</v>
      </c>
      <c r="U132" s="114" t="s">
        <v>183</v>
      </c>
      <c r="V132" s="115"/>
      <c r="W132" s="116" t="s">
        <v>2105</v>
      </c>
      <c r="X132" s="116" t="s">
        <v>2106</v>
      </c>
      <c r="Y132" s="117">
        <v>3485123</v>
      </c>
      <c r="Z132" s="117">
        <v>3481431</v>
      </c>
      <c r="AA132" s="118"/>
      <c r="AB132" s="119" t="s">
        <v>5768</v>
      </c>
      <c r="AC132" s="119" t="s">
        <v>2181</v>
      </c>
      <c r="AD132" s="119">
        <v>27573</v>
      </c>
      <c r="AE132" s="119" t="s">
        <v>2107</v>
      </c>
      <c r="AF132" s="119" t="s">
        <v>6230</v>
      </c>
      <c r="AG132" s="120"/>
      <c r="AH132" s="121">
        <v>44791</v>
      </c>
      <c r="AI132" s="121">
        <v>44811</v>
      </c>
      <c r="AJ132" s="121">
        <v>44811</v>
      </c>
      <c r="AK132" s="122">
        <v>45056</v>
      </c>
      <c r="AL132" s="122" t="e">
        <v>#N/A</v>
      </c>
      <c r="AM132" s="121" t="e">
        <v>#N/A</v>
      </c>
      <c r="AN132" s="121" t="e">
        <v>#N/A</v>
      </c>
      <c r="AO132" s="121" t="e">
        <v>#N/A</v>
      </c>
      <c r="AP132" s="122" t="e">
        <v>#N/A</v>
      </c>
      <c r="AQ132" s="122" t="e">
        <v>#N/A</v>
      </c>
      <c r="AR132" s="122" t="e">
        <v>#N/A</v>
      </c>
      <c r="AS132" s="122" t="e">
        <v>#N/A</v>
      </c>
      <c r="AT132" s="122" t="e">
        <v>#N/A</v>
      </c>
      <c r="AU132" s="121" t="e">
        <v>#N/A</v>
      </c>
      <c r="AV132" s="122" t="e">
        <v>#N/A</v>
      </c>
      <c r="AW132" s="122">
        <v>45582</v>
      </c>
      <c r="AX132" s="122" t="e">
        <v>#N/A</v>
      </c>
      <c r="AY132" s="122" t="e">
        <v>#N/A</v>
      </c>
      <c r="AZ132" s="122" t="e">
        <v>#N/A</v>
      </c>
      <c r="BA132" s="122" t="e">
        <v>#N/A</v>
      </c>
      <c r="BB132" s="122" t="e">
        <v>#N/A</v>
      </c>
      <c r="BC132" s="122" t="e">
        <v>#N/A</v>
      </c>
      <c r="BD132" s="122" t="e">
        <v>#N/A</v>
      </c>
      <c r="BE132" s="122" t="e">
        <v>#N/A</v>
      </c>
      <c r="BF132" s="122" t="e">
        <v>#N/A</v>
      </c>
      <c r="BG132" s="122" t="e">
        <v>#N/A</v>
      </c>
      <c r="BH132" s="122" t="e">
        <v>#N/A</v>
      </c>
      <c r="BI132" s="122" t="e">
        <v>#N/A</v>
      </c>
      <c r="BJ132" s="122" t="e">
        <v>#N/A</v>
      </c>
      <c r="BK132" s="122">
        <v>45950</v>
      </c>
      <c r="BL132" s="123"/>
      <c r="BM132" s="124" t="e">
        <v>#N/A</v>
      </c>
      <c r="BN132" s="124" t="e">
        <v>#N/A</v>
      </c>
      <c r="BO132" s="124" t="e">
        <v>#N/A</v>
      </c>
      <c r="BP132" s="124" t="e">
        <v>#N/A</v>
      </c>
      <c r="BQ132" s="124" t="e">
        <v>#N/A</v>
      </c>
      <c r="BR132" s="124" t="e">
        <v>#N/A</v>
      </c>
      <c r="BS132" s="124" t="e">
        <v>#N/A</v>
      </c>
      <c r="BT132" s="124" t="e">
        <v>#N/A</v>
      </c>
      <c r="BU132" s="124" t="e">
        <v>#N/A</v>
      </c>
      <c r="BV132" s="124" t="e">
        <v>#N/A</v>
      </c>
      <c r="BW132" s="124" t="e">
        <v>#N/A</v>
      </c>
      <c r="BX132" s="124" t="e">
        <v>#N/A</v>
      </c>
      <c r="BY132" s="124" t="e">
        <v>#N/A</v>
      </c>
      <c r="BZ132" s="124" t="e">
        <v>#N/A</v>
      </c>
      <c r="CA132" s="125"/>
      <c r="CB132" s="124" t="e">
        <v>#N/A</v>
      </c>
      <c r="CC132" s="126">
        <v>1</v>
      </c>
      <c r="CD132" s="127" t="s">
        <v>4182</v>
      </c>
      <c r="CE132" s="128"/>
      <c r="CF132" s="77" t="s">
        <v>4151</v>
      </c>
    </row>
    <row r="133" spans="1:85" ht="14.5" x14ac:dyDescent="0.35">
      <c r="A133" s="77">
        <v>132</v>
      </c>
      <c r="B133" s="106" t="s">
        <v>5086</v>
      </c>
      <c r="C133" s="107" t="s">
        <v>6818</v>
      </c>
      <c r="D133" s="108" t="s">
        <v>5087</v>
      </c>
      <c r="E133" s="109" t="s">
        <v>5088</v>
      </c>
      <c r="F133" s="110">
        <v>657385528</v>
      </c>
      <c r="G133" s="108" t="s">
        <v>1004</v>
      </c>
      <c r="H133" s="111" t="s">
        <v>198</v>
      </c>
      <c r="I133" s="111" t="s">
        <v>180</v>
      </c>
      <c r="J133" s="111" t="s">
        <v>4649</v>
      </c>
      <c r="K133" s="111" t="s">
        <v>199</v>
      </c>
      <c r="L133" s="112">
        <v>45873</v>
      </c>
      <c r="M133" s="111" t="s">
        <v>2646</v>
      </c>
      <c r="N133" s="113"/>
      <c r="O133" s="114" t="s">
        <v>226</v>
      </c>
      <c r="P133" s="114" t="s">
        <v>226</v>
      </c>
      <c r="Q133" s="114" t="s">
        <v>225</v>
      </c>
      <c r="R133" s="114" t="s">
        <v>7331</v>
      </c>
      <c r="S133" s="114" t="s">
        <v>183</v>
      </c>
      <c r="T133" s="114" t="s">
        <v>226</v>
      </c>
      <c r="U133" s="114" t="s">
        <v>226</v>
      </c>
      <c r="V133" s="115"/>
      <c r="W133" s="116" t="s">
        <v>5089</v>
      </c>
      <c r="X133" s="116" t="s">
        <v>5090</v>
      </c>
      <c r="Y133" s="117">
        <v>3485581</v>
      </c>
      <c r="Z133" s="117">
        <v>3481440</v>
      </c>
      <c r="AA133" s="118"/>
      <c r="AB133" s="119" t="s">
        <v>5701</v>
      </c>
      <c r="AC133" s="119" t="s">
        <v>5091</v>
      </c>
      <c r="AD133" s="119" t="s">
        <v>5092</v>
      </c>
      <c r="AE133" s="119" t="s">
        <v>5093</v>
      </c>
      <c r="AF133" s="119" t="s">
        <v>6077</v>
      </c>
      <c r="AG133" s="120"/>
      <c r="AH133" s="121">
        <v>45873</v>
      </c>
      <c r="AI133" s="121">
        <v>45873</v>
      </c>
      <c r="AJ133" s="121">
        <v>45873</v>
      </c>
      <c r="AK133" s="122">
        <v>45873</v>
      </c>
      <c r="AL133" s="122">
        <v>46000</v>
      </c>
      <c r="AM133" s="122" t="e">
        <v>#N/A</v>
      </c>
      <c r="AN133" s="122">
        <v>46000</v>
      </c>
      <c r="AO133" s="121">
        <v>46000</v>
      </c>
      <c r="AP133" s="122" t="e">
        <v>#N/A</v>
      </c>
      <c r="AQ133" s="122" t="e">
        <v>#N/A</v>
      </c>
      <c r="AR133" s="122">
        <v>46000</v>
      </c>
      <c r="AS133" s="122" t="e">
        <v>#N/A</v>
      </c>
      <c r="AT133" s="122" t="e">
        <v>#N/A</v>
      </c>
      <c r="AU133" s="121" t="e">
        <v>#N/A</v>
      </c>
      <c r="AV133" s="122" t="e">
        <v>#N/A</v>
      </c>
      <c r="AW133" s="122">
        <v>45873</v>
      </c>
      <c r="AX133" s="122" t="e">
        <v>#N/A</v>
      </c>
      <c r="AY133" s="122" t="e">
        <v>#N/A</v>
      </c>
      <c r="AZ133" s="122">
        <v>46000</v>
      </c>
      <c r="BA133" s="122" t="e">
        <v>#N/A</v>
      </c>
      <c r="BB133" s="122" t="e">
        <v>#N/A</v>
      </c>
      <c r="BC133" s="122" t="e">
        <v>#N/A</v>
      </c>
      <c r="BD133" s="122" t="e">
        <v>#N/A</v>
      </c>
      <c r="BE133" s="122" t="e">
        <v>#N/A</v>
      </c>
      <c r="BF133" s="122" t="e">
        <v>#N/A</v>
      </c>
      <c r="BG133" s="122" t="e">
        <v>#N/A</v>
      </c>
      <c r="BH133" s="122" t="e">
        <v>#N/A</v>
      </c>
      <c r="BI133" s="122" t="e">
        <v>#N/A</v>
      </c>
      <c r="BJ133" s="122" t="e">
        <v>#N/A</v>
      </c>
      <c r="BK133" s="122">
        <v>45953</v>
      </c>
      <c r="BL133" s="123"/>
      <c r="BM133" s="124" t="e">
        <v>#N/A</v>
      </c>
      <c r="BN133" s="124" t="e">
        <v>#N/A</v>
      </c>
      <c r="BO133" s="124" t="e">
        <v>#N/A</v>
      </c>
      <c r="BP133" s="124" t="e">
        <v>#N/A</v>
      </c>
      <c r="BQ133" s="124" t="e">
        <v>#N/A</v>
      </c>
      <c r="BR133" s="124" t="e">
        <v>#N/A</v>
      </c>
      <c r="BS133" s="124" t="e">
        <v>#N/A</v>
      </c>
      <c r="BT133" s="124" t="e">
        <v>#N/A</v>
      </c>
      <c r="BU133" s="124" t="e">
        <v>#N/A</v>
      </c>
      <c r="BV133" s="124" t="e">
        <v>#N/A</v>
      </c>
      <c r="BW133" s="124" t="e">
        <v>#N/A</v>
      </c>
      <c r="BX133" s="124" t="e">
        <v>#N/A</v>
      </c>
      <c r="BY133" s="124" t="e">
        <v>#N/A</v>
      </c>
      <c r="BZ133" s="124" t="e">
        <v>#N/A</v>
      </c>
      <c r="CA133" s="125"/>
      <c r="CB133" s="124" t="e">
        <v>#N/A</v>
      </c>
      <c r="CC133" s="126">
        <v>1</v>
      </c>
      <c r="CD133" s="127" t="s">
        <v>5058</v>
      </c>
      <c r="CE133" s="128"/>
      <c r="CF133" s="77" t="s">
        <v>4169</v>
      </c>
    </row>
    <row r="134" spans="1:85" ht="14.5" x14ac:dyDescent="0.35">
      <c r="A134" s="77">
        <v>133</v>
      </c>
      <c r="B134" s="106" t="s">
        <v>4674</v>
      </c>
      <c r="C134" s="107" t="s">
        <v>6773</v>
      </c>
      <c r="D134" s="108" t="s">
        <v>4675</v>
      </c>
      <c r="E134" s="109" t="s">
        <v>4676</v>
      </c>
      <c r="F134" s="110">
        <v>628850827</v>
      </c>
      <c r="G134" s="108" t="s">
        <v>1004</v>
      </c>
      <c r="H134" s="111" t="s">
        <v>198</v>
      </c>
      <c r="I134" s="111" t="s">
        <v>180</v>
      </c>
      <c r="J134" s="111" t="s">
        <v>4649</v>
      </c>
      <c r="K134" s="111" t="s">
        <v>199</v>
      </c>
      <c r="L134" s="112">
        <v>45824</v>
      </c>
      <c r="M134" s="111" t="s">
        <v>284</v>
      </c>
      <c r="N134" s="113"/>
      <c r="O134" s="114" t="s">
        <v>285</v>
      </c>
      <c r="P134" s="114" t="s">
        <v>285</v>
      </c>
      <c r="Q134" s="114" t="s">
        <v>285</v>
      </c>
      <c r="R134" s="114" t="s">
        <v>7312</v>
      </c>
      <c r="S134" s="114" t="s">
        <v>285</v>
      </c>
      <c r="T134" s="114" t="s">
        <v>183</v>
      </c>
      <c r="U134" s="114" t="s">
        <v>183</v>
      </c>
      <c r="V134" s="115"/>
      <c r="W134" s="116" t="s">
        <v>4677</v>
      </c>
      <c r="X134" s="116" t="s">
        <v>4678</v>
      </c>
      <c r="Y134" s="117">
        <v>3485314</v>
      </c>
      <c r="Z134" s="117">
        <v>3481550</v>
      </c>
      <c r="AA134" s="118"/>
      <c r="AB134" s="119" t="s">
        <v>4679</v>
      </c>
      <c r="AC134" s="119" t="s">
        <v>4680</v>
      </c>
      <c r="AD134" s="119">
        <v>5543</v>
      </c>
      <c r="AE134" s="119" t="s">
        <v>4681</v>
      </c>
      <c r="AF134" s="119" t="s">
        <v>6080</v>
      </c>
      <c r="AG134" s="120"/>
      <c r="AH134" s="121">
        <v>45824</v>
      </c>
      <c r="AI134" s="121">
        <v>45824</v>
      </c>
      <c r="AJ134" s="121">
        <v>45824</v>
      </c>
      <c r="AK134" s="122">
        <v>45824</v>
      </c>
      <c r="AL134" s="122" t="e">
        <v>#N/A</v>
      </c>
      <c r="AM134" s="121" t="e">
        <v>#N/A</v>
      </c>
      <c r="AN134" s="121" t="e">
        <v>#N/A</v>
      </c>
      <c r="AO134" s="121" t="e">
        <v>#N/A</v>
      </c>
      <c r="AP134" s="122" t="e">
        <v>#N/A</v>
      </c>
      <c r="AQ134" s="122" t="e">
        <v>#N/A</v>
      </c>
      <c r="AR134" s="122" t="e">
        <v>#N/A</v>
      </c>
      <c r="AS134" s="122" t="e">
        <v>#N/A</v>
      </c>
      <c r="AT134" s="122" t="e">
        <v>#N/A</v>
      </c>
      <c r="AU134" s="121" t="e">
        <v>#N/A</v>
      </c>
      <c r="AV134" s="122" t="e">
        <v>#N/A</v>
      </c>
      <c r="AW134" s="122">
        <v>45819</v>
      </c>
      <c r="AX134" s="122" t="e">
        <v>#N/A</v>
      </c>
      <c r="AY134" s="122" t="e">
        <v>#N/A</v>
      </c>
      <c r="AZ134" s="122" t="e">
        <v>#N/A</v>
      </c>
      <c r="BA134" s="122" t="e">
        <v>#N/A</v>
      </c>
      <c r="BB134" s="122" t="e">
        <v>#N/A</v>
      </c>
      <c r="BC134" s="122" t="e">
        <v>#N/A</v>
      </c>
      <c r="BD134" s="122" t="e">
        <v>#N/A</v>
      </c>
      <c r="BE134" s="122" t="e">
        <v>#N/A</v>
      </c>
      <c r="BF134" s="122" t="e">
        <v>#N/A</v>
      </c>
      <c r="BG134" s="122" t="e">
        <v>#N/A</v>
      </c>
      <c r="BH134" s="122" t="e">
        <v>#N/A</v>
      </c>
      <c r="BI134" s="122" t="e">
        <v>#N/A</v>
      </c>
      <c r="BJ134" s="122" t="e">
        <v>#N/A</v>
      </c>
      <c r="BK134" s="122">
        <v>45954</v>
      </c>
      <c r="BL134" s="123"/>
      <c r="BM134" s="124" t="e">
        <v>#N/A</v>
      </c>
      <c r="BN134" s="124" t="e">
        <v>#N/A</v>
      </c>
      <c r="BO134" s="124" t="e">
        <v>#N/A</v>
      </c>
      <c r="BP134" s="124" t="e">
        <v>#N/A</v>
      </c>
      <c r="BQ134" s="124" t="e">
        <v>#N/A</v>
      </c>
      <c r="BR134" s="124" t="e">
        <v>#N/A</v>
      </c>
      <c r="BS134" s="124" t="e">
        <v>#N/A</v>
      </c>
      <c r="BT134" s="124" t="e">
        <v>#N/A</v>
      </c>
      <c r="BU134" s="124" t="e">
        <v>#N/A</v>
      </c>
      <c r="BV134" s="124" t="e">
        <v>#N/A</v>
      </c>
      <c r="BW134" s="124" t="e">
        <v>#N/A</v>
      </c>
      <c r="BX134" s="124" t="e">
        <v>#N/A</v>
      </c>
      <c r="BY134" s="124" t="e">
        <v>#N/A</v>
      </c>
      <c r="BZ134" s="124" t="e">
        <v>#N/A</v>
      </c>
      <c r="CA134" s="125"/>
      <c r="CB134" s="124">
        <v>45820</v>
      </c>
      <c r="CC134" s="126">
        <v>1</v>
      </c>
      <c r="CD134" s="127" t="s">
        <v>4673</v>
      </c>
      <c r="CE134" s="128"/>
      <c r="CF134" s="77" t="s">
        <v>4162</v>
      </c>
    </row>
    <row r="135" spans="1:85" ht="14.5" x14ac:dyDescent="0.35">
      <c r="A135" s="77">
        <v>134</v>
      </c>
      <c r="B135" s="106" t="s">
        <v>4682</v>
      </c>
      <c r="C135" s="107" t="s">
        <v>6774</v>
      </c>
      <c r="D135" s="108" t="s">
        <v>4683</v>
      </c>
      <c r="E135" s="109" t="s">
        <v>4684</v>
      </c>
      <c r="F135" s="110">
        <v>672683059</v>
      </c>
      <c r="G135" s="108" t="s">
        <v>1004</v>
      </c>
      <c r="H135" s="111" t="s">
        <v>198</v>
      </c>
      <c r="I135" s="111" t="s">
        <v>180</v>
      </c>
      <c r="J135" s="111" t="s">
        <v>4649</v>
      </c>
      <c r="K135" s="111" t="s">
        <v>199</v>
      </c>
      <c r="L135" s="112">
        <v>45824</v>
      </c>
      <c r="M135" s="111" t="s">
        <v>284</v>
      </c>
      <c r="N135" s="113"/>
      <c r="O135" s="114" t="s">
        <v>585</v>
      </c>
      <c r="P135" s="114" t="s">
        <v>585</v>
      </c>
      <c r="Q135" s="114" t="s">
        <v>183</v>
      </c>
      <c r="R135" s="114" t="s">
        <v>7386</v>
      </c>
      <c r="S135" s="114" t="s">
        <v>585</v>
      </c>
      <c r="T135" s="114" t="s">
        <v>585</v>
      </c>
      <c r="U135" s="114" t="s">
        <v>585</v>
      </c>
      <c r="V135" s="115"/>
      <c r="W135" s="116" t="s">
        <v>4685</v>
      </c>
      <c r="X135" s="116" t="s">
        <v>4686</v>
      </c>
      <c r="Y135" s="117">
        <v>3485309</v>
      </c>
      <c r="Z135" s="117">
        <v>3481549</v>
      </c>
      <c r="AA135" s="118"/>
      <c r="AB135" s="119" t="s">
        <v>5823</v>
      </c>
      <c r="AC135" s="119" t="s">
        <v>4687</v>
      </c>
      <c r="AD135" s="119">
        <v>5465</v>
      </c>
      <c r="AE135" s="119" t="s">
        <v>4688</v>
      </c>
      <c r="AF135" s="119" t="s">
        <v>6081</v>
      </c>
      <c r="AG135" s="120"/>
      <c r="AH135" s="121">
        <v>45824</v>
      </c>
      <c r="AI135" s="121">
        <v>45824</v>
      </c>
      <c r="AJ135" s="121">
        <v>45824</v>
      </c>
      <c r="AK135" s="122">
        <v>45824</v>
      </c>
      <c r="AL135" s="122">
        <v>46010</v>
      </c>
      <c r="AM135" s="121" t="e">
        <v>#N/A</v>
      </c>
      <c r="AN135" s="121">
        <v>46010</v>
      </c>
      <c r="AO135" s="121">
        <v>46010</v>
      </c>
      <c r="AP135" s="122" t="e">
        <v>#N/A</v>
      </c>
      <c r="AQ135" s="122" t="e">
        <v>#N/A</v>
      </c>
      <c r="AR135" s="122">
        <v>46010</v>
      </c>
      <c r="AS135" s="122" t="e">
        <v>#N/A</v>
      </c>
      <c r="AT135" s="122" t="e">
        <v>#N/A</v>
      </c>
      <c r="AU135" s="121" t="e">
        <v>#N/A</v>
      </c>
      <c r="AV135" s="122" t="e">
        <v>#N/A</v>
      </c>
      <c r="AW135" s="122">
        <v>45819</v>
      </c>
      <c r="AX135" s="122" t="e">
        <v>#N/A</v>
      </c>
      <c r="AY135" s="122" t="e">
        <v>#N/A</v>
      </c>
      <c r="AZ135" s="122">
        <v>46010</v>
      </c>
      <c r="BA135" s="122" t="e">
        <v>#N/A</v>
      </c>
      <c r="BB135" s="122" t="e">
        <v>#N/A</v>
      </c>
      <c r="BC135" s="122" t="e">
        <v>#N/A</v>
      </c>
      <c r="BD135" s="122" t="e">
        <v>#N/A</v>
      </c>
      <c r="BE135" s="122" t="e">
        <v>#N/A</v>
      </c>
      <c r="BF135" s="122" t="e">
        <v>#N/A</v>
      </c>
      <c r="BG135" s="122" t="e">
        <v>#N/A</v>
      </c>
      <c r="BH135" s="122" t="e">
        <v>#N/A</v>
      </c>
      <c r="BI135" s="122" t="e">
        <v>#N/A</v>
      </c>
      <c r="BJ135" s="122" t="e">
        <v>#N/A</v>
      </c>
      <c r="BK135" s="122">
        <v>45953</v>
      </c>
      <c r="BL135" s="123"/>
      <c r="BM135" s="124" t="e">
        <v>#N/A</v>
      </c>
      <c r="BN135" s="124" t="e">
        <v>#N/A</v>
      </c>
      <c r="BO135" s="124" t="e">
        <v>#N/A</v>
      </c>
      <c r="BP135" s="124" t="e">
        <v>#N/A</v>
      </c>
      <c r="BQ135" s="124" t="e">
        <v>#N/A</v>
      </c>
      <c r="BR135" s="124" t="e">
        <v>#N/A</v>
      </c>
      <c r="BS135" s="124" t="e">
        <v>#N/A</v>
      </c>
      <c r="BT135" s="124" t="e">
        <v>#N/A</v>
      </c>
      <c r="BU135" s="124" t="e">
        <v>#N/A</v>
      </c>
      <c r="BV135" s="124" t="e">
        <v>#N/A</v>
      </c>
      <c r="BW135" s="124" t="e">
        <v>#N/A</v>
      </c>
      <c r="BX135" s="124" t="e">
        <v>#N/A</v>
      </c>
      <c r="BY135" s="124" t="e">
        <v>#N/A</v>
      </c>
      <c r="BZ135" s="124" t="e">
        <v>#N/A</v>
      </c>
      <c r="CA135" s="125"/>
      <c r="CB135" s="124">
        <v>45820</v>
      </c>
      <c r="CC135" s="126">
        <v>1</v>
      </c>
      <c r="CD135" s="127" t="s">
        <v>4673</v>
      </c>
      <c r="CE135" s="128" t="e">
        <v>#REF!</v>
      </c>
      <c r="CF135" s="77" t="s">
        <v>4186</v>
      </c>
      <c r="CG135" s="77" t="e">
        <v>#REF!</v>
      </c>
    </row>
    <row r="136" spans="1:85" ht="14.5" x14ac:dyDescent="0.35">
      <c r="A136" s="77">
        <v>135</v>
      </c>
      <c r="B136" s="106" t="s">
        <v>6356</v>
      </c>
      <c r="C136" s="107" t="s">
        <v>6357</v>
      </c>
      <c r="D136" s="108" t="s">
        <v>2531</v>
      </c>
      <c r="E136" s="109" t="s">
        <v>2532</v>
      </c>
      <c r="F136" s="110">
        <v>655106153</v>
      </c>
      <c r="G136" s="108" t="s">
        <v>1004</v>
      </c>
      <c r="H136" s="111" t="s">
        <v>198</v>
      </c>
      <c r="I136" s="111" t="s">
        <v>180</v>
      </c>
      <c r="J136" s="111" t="s">
        <v>4649</v>
      </c>
      <c r="K136" s="111" t="s">
        <v>199</v>
      </c>
      <c r="L136" s="112">
        <v>39104</v>
      </c>
      <c r="M136" s="111" t="s">
        <v>1477</v>
      </c>
      <c r="N136" s="113"/>
      <c r="O136" s="114" t="s">
        <v>4473</v>
      </c>
      <c r="P136" s="114" t="s">
        <v>4473</v>
      </c>
      <c r="Q136" s="114" t="s">
        <v>4473</v>
      </c>
      <c r="R136" s="114" t="s">
        <v>7380</v>
      </c>
      <c r="S136" s="114" t="s">
        <v>4473</v>
      </c>
      <c r="T136" s="114" t="s">
        <v>183</v>
      </c>
      <c r="U136" s="114" t="s">
        <v>183</v>
      </c>
      <c r="V136" s="115"/>
      <c r="W136" s="116" t="s">
        <v>2533</v>
      </c>
      <c r="X136" s="116" t="s">
        <v>2534</v>
      </c>
      <c r="Y136" s="117">
        <v>3485323</v>
      </c>
      <c r="Z136" s="117">
        <v>3481358</v>
      </c>
      <c r="AA136" s="118"/>
      <c r="AB136" s="119" t="s">
        <v>5818</v>
      </c>
      <c r="AC136" s="119" t="s">
        <v>2535</v>
      </c>
      <c r="AD136" s="119">
        <v>27687</v>
      </c>
      <c r="AE136" s="119" t="s">
        <v>2536</v>
      </c>
      <c r="AF136" s="119" t="s">
        <v>7067</v>
      </c>
      <c r="AG136" s="120"/>
      <c r="AH136" s="121">
        <v>44994</v>
      </c>
      <c r="AI136" s="121">
        <v>45058</v>
      </c>
      <c r="AJ136" s="121">
        <v>45058</v>
      </c>
      <c r="AK136" s="122">
        <v>45058</v>
      </c>
      <c r="AL136" s="122" t="e">
        <v>#N/A</v>
      </c>
      <c r="AM136" s="121" t="e">
        <v>#N/A</v>
      </c>
      <c r="AN136" s="121" t="e">
        <v>#N/A</v>
      </c>
      <c r="AO136" s="121" t="e">
        <v>#N/A</v>
      </c>
      <c r="AP136" s="122" t="e">
        <v>#N/A</v>
      </c>
      <c r="AQ136" s="122" t="e">
        <v>#N/A</v>
      </c>
      <c r="AR136" s="122" t="e">
        <v>#N/A</v>
      </c>
      <c r="AS136" s="122" t="e">
        <v>#N/A</v>
      </c>
      <c r="AT136" s="122">
        <v>45008</v>
      </c>
      <c r="AU136" s="121" t="e">
        <v>#N/A</v>
      </c>
      <c r="AV136" s="122" t="e">
        <v>#N/A</v>
      </c>
      <c r="AW136" s="122">
        <v>45730</v>
      </c>
      <c r="AX136" s="122" t="e">
        <v>#N/A</v>
      </c>
      <c r="AY136" s="122" t="e">
        <v>#N/A</v>
      </c>
      <c r="AZ136" s="122" t="e">
        <v>#N/A</v>
      </c>
      <c r="BA136" s="122" t="e">
        <v>#N/A</v>
      </c>
      <c r="BB136" s="122" t="e">
        <v>#N/A</v>
      </c>
      <c r="BC136" s="122" t="e">
        <v>#N/A</v>
      </c>
      <c r="BD136" s="122" t="e">
        <v>#N/A</v>
      </c>
      <c r="BE136" s="122" t="e">
        <v>#N/A</v>
      </c>
      <c r="BF136" s="122" t="e">
        <v>#N/A</v>
      </c>
      <c r="BG136" s="122" t="e">
        <v>#N/A</v>
      </c>
      <c r="BH136" s="122" t="e">
        <v>#N/A</v>
      </c>
      <c r="BI136" s="122" t="e">
        <v>#N/A</v>
      </c>
      <c r="BJ136" s="122" t="e">
        <v>#N/A</v>
      </c>
      <c r="BK136" s="122">
        <v>45960</v>
      </c>
      <c r="BL136" s="123"/>
      <c r="BM136" s="124" t="e">
        <v>#N/A</v>
      </c>
      <c r="BN136" s="124" t="e">
        <v>#N/A</v>
      </c>
      <c r="BO136" s="124" t="e">
        <v>#N/A</v>
      </c>
      <c r="BP136" s="124" t="e">
        <v>#N/A</v>
      </c>
      <c r="BQ136" s="124" t="e">
        <v>#N/A</v>
      </c>
      <c r="BR136" s="124" t="e">
        <v>#N/A</v>
      </c>
      <c r="BS136" s="124" t="e">
        <v>#N/A</v>
      </c>
      <c r="BT136" s="124" t="e">
        <v>#N/A</v>
      </c>
      <c r="BU136" s="124" t="e">
        <v>#N/A</v>
      </c>
      <c r="BV136" s="124" t="e">
        <v>#N/A</v>
      </c>
      <c r="BW136" s="124" t="e">
        <v>#N/A</v>
      </c>
      <c r="BX136" s="124" t="e">
        <v>#N/A</v>
      </c>
      <c r="BY136" s="124" t="e">
        <v>#N/A</v>
      </c>
      <c r="BZ136" s="124" t="e">
        <v>#N/A</v>
      </c>
      <c r="CA136" s="125"/>
      <c r="CB136" s="124">
        <v>45842</v>
      </c>
      <c r="CC136" s="126">
        <v>1</v>
      </c>
      <c r="CD136" s="127" t="e">
        <v>#N/A</v>
      </c>
      <c r="CE136" s="128"/>
      <c r="CF136" s="77" t="s">
        <v>4904</v>
      </c>
    </row>
    <row r="137" spans="1:85" ht="14.5" x14ac:dyDescent="0.35">
      <c r="A137" s="77">
        <v>136</v>
      </c>
      <c r="B137" s="106" t="s">
        <v>88</v>
      </c>
      <c r="C137" s="107" t="s">
        <v>1311</v>
      </c>
      <c r="D137" s="108" t="s">
        <v>653</v>
      </c>
      <c r="E137" s="109" t="s">
        <v>654</v>
      </c>
      <c r="F137" s="110">
        <v>600808694</v>
      </c>
      <c r="G137" s="108" t="s">
        <v>190</v>
      </c>
      <c r="H137" s="111" t="s">
        <v>198</v>
      </c>
      <c r="I137" s="111" t="s">
        <v>180</v>
      </c>
      <c r="J137" s="111" t="s">
        <v>4649</v>
      </c>
      <c r="K137" s="111" t="s">
        <v>199</v>
      </c>
      <c r="L137" s="112">
        <v>45369</v>
      </c>
      <c r="M137" s="111" t="s">
        <v>1920</v>
      </c>
      <c r="N137" s="113"/>
      <c r="O137" s="114" t="s">
        <v>5990</v>
      </c>
      <c r="P137" s="114" t="s">
        <v>5990</v>
      </c>
      <c r="Q137" s="114" t="s">
        <v>5990</v>
      </c>
      <c r="R137" s="114" t="s">
        <v>5990</v>
      </c>
      <c r="S137" s="114" t="s">
        <v>5990</v>
      </c>
      <c r="T137" s="114" t="s">
        <v>183</v>
      </c>
      <c r="U137" s="114" t="s">
        <v>183</v>
      </c>
      <c r="V137" s="115"/>
      <c r="W137" s="116" t="s">
        <v>3215</v>
      </c>
      <c r="X137" s="116" t="s">
        <v>3216</v>
      </c>
      <c r="Y137" s="117">
        <v>3485840</v>
      </c>
      <c r="Z137" s="117">
        <v>3486380</v>
      </c>
      <c r="AA137" s="118"/>
      <c r="AB137" s="119" t="s">
        <v>5824</v>
      </c>
      <c r="AC137" s="119" t="s">
        <v>3217</v>
      </c>
      <c r="AD137" s="119">
        <v>5382</v>
      </c>
      <c r="AE137" s="119" t="s">
        <v>3353</v>
      </c>
      <c r="AF137" s="119">
        <v>0</v>
      </c>
      <c r="AG137" s="120"/>
      <c r="AH137" s="121">
        <v>44197</v>
      </c>
      <c r="AI137" s="121">
        <v>45460</v>
      </c>
      <c r="AJ137" s="121">
        <v>45460</v>
      </c>
      <c r="AK137" s="122">
        <v>45460</v>
      </c>
      <c r="AL137" s="122" t="e">
        <v>#N/A</v>
      </c>
      <c r="AM137" s="121" t="e">
        <v>#N/A</v>
      </c>
      <c r="AN137" s="121" t="s">
        <v>7395</v>
      </c>
      <c r="AO137" s="121" t="e">
        <v>#N/A</v>
      </c>
      <c r="AP137" s="122" t="e">
        <v>#N/A</v>
      </c>
      <c r="AQ137" s="122" t="e">
        <v>#N/A</v>
      </c>
      <c r="AR137" s="122" t="e">
        <v>#N/A</v>
      </c>
      <c r="AS137" s="122">
        <v>44652</v>
      </c>
      <c r="AT137" s="122" t="e">
        <v>#N/A</v>
      </c>
      <c r="AU137" s="121" t="e">
        <v>#N/A</v>
      </c>
      <c r="AV137" s="122" t="e">
        <v>#N/A</v>
      </c>
      <c r="AW137" s="122">
        <v>45677</v>
      </c>
      <c r="AX137" s="122" t="e">
        <v>#N/A</v>
      </c>
      <c r="AY137" s="122" t="e">
        <v>#N/A</v>
      </c>
      <c r="AZ137" s="122" t="e">
        <v>#N/A</v>
      </c>
      <c r="BA137" s="122" t="e">
        <v>#N/A</v>
      </c>
      <c r="BB137" s="122" t="e">
        <v>#N/A</v>
      </c>
      <c r="BC137" s="122" t="e">
        <v>#N/A</v>
      </c>
      <c r="BD137" s="122" t="e">
        <v>#N/A</v>
      </c>
      <c r="BE137" s="122" t="e">
        <v>#N/A</v>
      </c>
      <c r="BF137" s="122" t="e">
        <v>#N/A</v>
      </c>
      <c r="BG137" s="122" t="e">
        <v>#N/A</v>
      </c>
      <c r="BH137" s="122" t="e">
        <v>#N/A</v>
      </c>
      <c r="BI137" s="122" t="e">
        <v>#N/A</v>
      </c>
      <c r="BJ137" s="122" t="e">
        <v>#N/A</v>
      </c>
      <c r="BK137" s="122" t="e">
        <v>#N/A</v>
      </c>
      <c r="BL137" s="123"/>
      <c r="BM137" s="124" t="e">
        <v>#N/A</v>
      </c>
      <c r="BN137" s="124" t="e">
        <v>#N/A</v>
      </c>
      <c r="BO137" s="124" t="e">
        <v>#N/A</v>
      </c>
      <c r="BP137" s="124" t="e">
        <v>#N/A</v>
      </c>
      <c r="BQ137" s="124" t="e">
        <v>#N/A</v>
      </c>
      <c r="BR137" s="124" t="e">
        <v>#N/A</v>
      </c>
      <c r="BS137" s="124" t="e">
        <v>#N/A</v>
      </c>
      <c r="BT137" s="124" t="e">
        <v>#N/A</v>
      </c>
      <c r="BU137" s="124" t="e">
        <v>#N/A</v>
      </c>
      <c r="BV137" s="124" t="e">
        <v>#N/A</v>
      </c>
      <c r="BW137" s="124" t="e">
        <v>#N/A</v>
      </c>
      <c r="BX137" s="124" t="e">
        <v>#N/A</v>
      </c>
      <c r="BY137" s="124" t="e">
        <v>#N/A</v>
      </c>
      <c r="BZ137" s="124" t="e">
        <v>#N/A</v>
      </c>
      <c r="CA137" s="125"/>
      <c r="CB137" s="124" t="e">
        <v>#N/A</v>
      </c>
      <c r="CC137" s="126">
        <v>1</v>
      </c>
      <c r="CD137" s="127" t="s">
        <v>4188</v>
      </c>
      <c r="CE137" s="128"/>
      <c r="CF137" s="77" t="s">
        <v>4169</v>
      </c>
    </row>
    <row r="138" spans="1:85" ht="14.5" x14ac:dyDescent="0.35">
      <c r="A138" s="77">
        <v>137</v>
      </c>
      <c r="B138" s="106" t="s">
        <v>6344</v>
      </c>
      <c r="C138" s="107" t="s">
        <v>6345</v>
      </c>
      <c r="D138" s="108" t="s">
        <v>3354</v>
      </c>
      <c r="E138" s="109" t="s">
        <v>3304</v>
      </c>
      <c r="F138" s="110">
        <v>651672030</v>
      </c>
      <c r="G138" s="108" t="s">
        <v>1004</v>
      </c>
      <c r="H138" s="111" t="s">
        <v>198</v>
      </c>
      <c r="I138" s="111" t="s">
        <v>180</v>
      </c>
      <c r="J138" s="111" t="s">
        <v>4649</v>
      </c>
      <c r="K138" s="111" t="s">
        <v>199</v>
      </c>
      <c r="L138" s="112">
        <v>39006</v>
      </c>
      <c r="M138" s="111" t="s">
        <v>2651</v>
      </c>
      <c r="N138" s="113"/>
      <c r="O138" s="114" t="s">
        <v>585</v>
      </c>
      <c r="P138" s="114" t="s">
        <v>585</v>
      </c>
      <c r="Q138" s="114" t="s">
        <v>585</v>
      </c>
      <c r="R138" s="114" t="s">
        <v>7296</v>
      </c>
      <c r="S138" s="114" t="s">
        <v>585</v>
      </c>
      <c r="T138" s="114" t="s">
        <v>183</v>
      </c>
      <c r="U138" s="114" t="s">
        <v>183</v>
      </c>
      <c r="V138" s="115"/>
      <c r="W138" s="116" t="s">
        <v>3305</v>
      </c>
      <c r="X138" s="116" t="s">
        <v>3306</v>
      </c>
      <c r="Y138" s="117">
        <v>3485124</v>
      </c>
      <c r="Z138" s="117">
        <v>3481272</v>
      </c>
      <c r="AA138" s="118"/>
      <c r="AB138" s="119" t="s">
        <v>5724</v>
      </c>
      <c r="AC138" s="119" t="s">
        <v>3307</v>
      </c>
      <c r="AD138" s="119">
        <v>27219</v>
      </c>
      <c r="AE138" s="119" t="s">
        <v>3308</v>
      </c>
      <c r="AF138" s="119" t="s">
        <v>6078</v>
      </c>
      <c r="AG138" s="120"/>
      <c r="AH138" s="121">
        <v>44197</v>
      </c>
      <c r="AI138" s="121">
        <v>45448</v>
      </c>
      <c r="AJ138" s="121">
        <v>45448</v>
      </c>
      <c r="AK138" s="122">
        <v>45448</v>
      </c>
      <c r="AL138" s="122" t="e">
        <v>#N/A</v>
      </c>
      <c r="AM138" s="122" t="e">
        <v>#N/A</v>
      </c>
      <c r="AN138" s="122" t="e">
        <v>#N/A</v>
      </c>
      <c r="AO138" s="121" t="e">
        <v>#N/A</v>
      </c>
      <c r="AP138" s="122" t="e">
        <v>#N/A</v>
      </c>
      <c r="AQ138" s="122" t="e">
        <v>#N/A</v>
      </c>
      <c r="AR138" s="122" t="e">
        <v>#N/A</v>
      </c>
      <c r="AS138" s="122" t="e">
        <v>#N/A</v>
      </c>
      <c r="AT138" s="122">
        <v>45441</v>
      </c>
      <c r="AU138" s="121" t="e">
        <v>#N/A</v>
      </c>
      <c r="AV138" s="122" t="e">
        <v>#N/A</v>
      </c>
      <c r="AW138" s="122">
        <v>45861</v>
      </c>
      <c r="AX138" s="122" t="e">
        <v>#N/A</v>
      </c>
      <c r="AY138" s="122" t="e">
        <v>#N/A</v>
      </c>
      <c r="AZ138" s="122" t="e">
        <v>#N/A</v>
      </c>
      <c r="BA138" s="122" t="e">
        <v>#N/A</v>
      </c>
      <c r="BB138" s="122" t="e">
        <v>#N/A</v>
      </c>
      <c r="BC138" s="122" t="e">
        <v>#N/A</v>
      </c>
      <c r="BD138" s="122" t="e">
        <v>#N/A</v>
      </c>
      <c r="BE138" s="122" t="e">
        <v>#N/A</v>
      </c>
      <c r="BF138" s="122" t="e">
        <v>#N/A</v>
      </c>
      <c r="BG138" s="122" t="e">
        <v>#N/A</v>
      </c>
      <c r="BH138" s="122" t="e">
        <v>#N/A</v>
      </c>
      <c r="BI138" s="122" t="e">
        <v>#N/A</v>
      </c>
      <c r="BJ138" s="122" t="e">
        <v>#N/A</v>
      </c>
      <c r="BK138" s="122">
        <v>45957</v>
      </c>
      <c r="BL138" s="123"/>
      <c r="BM138" s="124" t="e">
        <v>#N/A</v>
      </c>
      <c r="BN138" s="124" t="e">
        <v>#N/A</v>
      </c>
      <c r="BO138" s="124" t="e">
        <v>#N/A</v>
      </c>
      <c r="BP138" s="124" t="e">
        <v>#N/A</v>
      </c>
      <c r="BQ138" s="124" t="e">
        <v>#N/A</v>
      </c>
      <c r="BR138" s="124" t="e">
        <v>#N/A</v>
      </c>
      <c r="BS138" s="124" t="e">
        <v>#N/A</v>
      </c>
      <c r="BT138" s="124" t="e">
        <v>#N/A</v>
      </c>
      <c r="BU138" s="124" t="e">
        <v>#N/A</v>
      </c>
      <c r="BV138" s="124" t="e">
        <v>#N/A</v>
      </c>
      <c r="BW138" s="124" t="e">
        <v>#N/A</v>
      </c>
      <c r="BX138" s="124" t="e">
        <v>#N/A</v>
      </c>
      <c r="BY138" s="124" t="e">
        <v>#N/A</v>
      </c>
      <c r="BZ138" s="124" t="e">
        <v>#N/A</v>
      </c>
      <c r="CA138" s="125"/>
      <c r="CB138" s="124" t="e">
        <v>#N/A</v>
      </c>
      <c r="CC138" s="126">
        <v>1</v>
      </c>
      <c r="CD138" s="127" t="e">
        <v>#N/A</v>
      </c>
      <c r="CE138" s="128"/>
      <c r="CF138" s="77" t="s">
        <v>4169</v>
      </c>
    </row>
    <row r="139" spans="1:85" ht="14.5" x14ac:dyDescent="0.35">
      <c r="A139" s="77">
        <v>138</v>
      </c>
      <c r="B139" s="106" t="s">
        <v>3873</v>
      </c>
      <c r="C139" s="107" t="s">
        <v>6701</v>
      </c>
      <c r="D139" s="108" t="s">
        <v>3874</v>
      </c>
      <c r="E139" s="109" t="s">
        <v>3875</v>
      </c>
      <c r="F139" s="110">
        <v>654443614</v>
      </c>
      <c r="G139" s="108" t="s">
        <v>1004</v>
      </c>
      <c r="H139" s="111" t="s">
        <v>198</v>
      </c>
      <c r="I139" s="111" t="s">
        <v>180</v>
      </c>
      <c r="J139" s="111" t="s">
        <v>4649</v>
      </c>
      <c r="K139" s="111" t="s">
        <v>199</v>
      </c>
      <c r="L139" s="112">
        <v>45532</v>
      </c>
      <c r="M139" s="111" t="s">
        <v>2651</v>
      </c>
      <c r="N139" s="113"/>
      <c r="O139" s="114" t="s">
        <v>257</v>
      </c>
      <c r="P139" s="114" t="s">
        <v>183</v>
      </c>
      <c r="Q139" s="114" t="s">
        <v>257</v>
      </c>
      <c r="R139" s="114" t="s">
        <v>7356</v>
      </c>
      <c r="S139" s="114" t="s">
        <v>183</v>
      </c>
      <c r="T139" s="114" t="s">
        <v>257</v>
      </c>
      <c r="U139" s="114" t="s">
        <v>257</v>
      </c>
      <c r="V139" s="115"/>
      <c r="W139" s="116" t="s">
        <v>3876</v>
      </c>
      <c r="X139" s="116" t="s">
        <v>3877</v>
      </c>
      <c r="Y139" s="117">
        <v>3485384</v>
      </c>
      <c r="Z139" s="117">
        <v>3486480</v>
      </c>
      <c r="AA139" s="118"/>
      <c r="AB139" s="119" t="s">
        <v>3878</v>
      </c>
      <c r="AC139" s="119" t="s">
        <v>3903</v>
      </c>
      <c r="AD139" s="119">
        <v>26077</v>
      </c>
      <c r="AE139" s="119" t="s">
        <v>3904</v>
      </c>
      <c r="AF139" s="119" t="s">
        <v>7184</v>
      </c>
      <c r="AG139" s="120"/>
      <c r="AH139" s="121">
        <v>45531</v>
      </c>
      <c r="AI139" s="121">
        <v>45547</v>
      </c>
      <c r="AJ139" s="121">
        <v>45547</v>
      </c>
      <c r="AK139" s="122">
        <v>45547</v>
      </c>
      <c r="AL139" s="122" t="e">
        <v>#N/A</v>
      </c>
      <c r="AM139" s="121" t="e">
        <v>#N/A</v>
      </c>
      <c r="AN139" s="121" t="e">
        <v>#N/A</v>
      </c>
      <c r="AO139" s="121" t="e">
        <v>#N/A</v>
      </c>
      <c r="AP139" s="122" t="e">
        <v>#N/A</v>
      </c>
      <c r="AQ139" s="122" t="e">
        <v>#N/A</v>
      </c>
      <c r="AR139" s="122" t="e">
        <v>#N/A</v>
      </c>
      <c r="AS139" s="122" t="e">
        <v>#N/A</v>
      </c>
      <c r="AT139" s="122" t="e">
        <v>#N/A</v>
      </c>
      <c r="AU139" s="121">
        <v>45912</v>
      </c>
      <c r="AV139" s="122">
        <v>45786</v>
      </c>
      <c r="AW139" s="122">
        <v>45680</v>
      </c>
      <c r="AX139" s="122" t="e">
        <v>#N/A</v>
      </c>
      <c r="AY139" s="122" t="e">
        <v>#N/A</v>
      </c>
      <c r="AZ139" s="122" t="e">
        <v>#N/A</v>
      </c>
      <c r="BA139" s="122" t="e">
        <v>#N/A</v>
      </c>
      <c r="BB139" s="122" t="e">
        <v>#N/A</v>
      </c>
      <c r="BC139" s="122" t="e">
        <v>#N/A</v>
      </c>
      <c r="BD139" s="122" t="e">
        <v>#N/A</v>
      </c>
      <c r="BE139" s="122" t="e">
        <v>#N/A</v>
      </c>
      <c r="BF139" s="122" t="e">
        <v>#N/A</v>
      </c>
      <c r="BG139" s="122" t="e">
        <v>#N/A</v>
      </c>
      <c r="BH139" s="122" t="e">
        <v>#N/A</v>
      </c>
      <c r="BI139" s="122" t="e">
        <v>#N/A</v>
      </c>
      <c r="BJ139" s="122" t="e">
        <v>#N/A</v>
      </c>
      <c r="BK139" s="122">
        <v>45961</v>
      </c>
      <c r="BL139" s="123"/>
      <c r="BM139" s="124" t="e">
        <v>#N/A</v>
      </c>
      <c r="BN139" s="124" t="e">
        <v>#N/A</v>
      </c>
      <c r="BO139" s="124" t="e">
        <v>#N/A</v>
      </c>
      <c r="BP139" s="124" t="e">
        <v>#N/A</v>
      </c>
      <c r="BQ139" s="124" t="e">
        <v>#N/A</v>
      </c>
      <c r="BR139" s="124" t="e">
        <v>#N/A</v>
      </c>
      <c r="BS139" s="124" t="e">
        <v>#N/A</v>
      </c>
      <c r="BT139" s="124" t="e">
        <v>#N/A</v>
      </c>
      <c r="BU139" s="124" t="e">
        <v>#N/A</v>
      </c>
      <c r="BV139" s="124" t="e">
        <v>#N/A</v>
      </c>
      <c r="BW139" s="124" t="e">
        <v>#N/A</v>
      </c>
      <c r="BX139" s="124" t="e">
        <v>#N/A</v>
      </c>
      <c r="BY139" s="124" t="e">
        <v>#N/A</v>
      </c>
      <c r="BZ139" s="124" t="e">
        <v>#N/A</v>
      </c>
      <c r="CA139" s="125"/>
      <c r="CB139" s="124" t="e">
        <v>#N/A</v>
      </c>
      <c r="CC139" s="126">
        <v>1</v>
      </c>
      <c r="CD139" s="127" t="s">
        <v>4209</v>
      </c>
      <c r="CE139" s="128"/>
      <c r="CF139" s="77" t="s">
        <v>4162</v>
      </c>
    </row>
    <row r="140" spans="1:85" ht="14.5" x14ac:dyDescent="0.35">
      <c r="A140" s="77">
        <v>139</v>
      </c>
      <c r="B140" s="106" t="s">
        <v>4548</v>
      </c>
      <c r="C140" s="107" t="s">
        <v>6761</v>
      </c>
      <c r="D140" s="108" t="s">
        <v>4549</v>
      </c>
      <c r="E140" s="109" t="s">
        <v>4550</v>
      </c>
      <c r="F140" s="110">
        <v>640644958</v>
      </c>
      <c r="G140" s="108" t="s">
        <v>1004</v>
      </c>
      <c r="H140" s="111" t="s">
        <v>198</v>
      </c>
      <c r="I140" s="111" t="s">
        <v>180</v>
      </c>
      <c r="J140" s="111" t="s">
        <v>4649</v>
      </c>
      <c r="K140" s="111" t="s">
        <v>199</v>
      </c>
      <c r="L140" s="112">
        <v>45818</v>
      </c>
      <c r="M140" s="111" t="s">
        <v>256</v>
      </c>
      <c r="N140" s="113"/>
      <c r="O140" s="114" t="s">
        <v>285</v>
      </c>
      <c r="P140" s="114" t="s">
        <v>183</v>
      </c>
      <c r="Q140" s="114" t="s">
        <v>286</v>
      </c>
      <c r="R140" s="114" t="s">
        <v>7312</v>
      </c>
      <c r="S140" s="114" t="s">
        <v>183</v>
      </c>
      <c r="T140" s="114" t="s">
        <v>285</v>
      </c>
      <c r="U140" s="114" t="s">
        <v>285</v>
      </c>
      <c r="V140" s="115"/>
      <c r="W140" s="116" t="s">
        <v>4551</v>
      </c>
      <c r="X140" s="116" t="s">
        <v>4552</v>
      </c>
      <c r="Y140" s="117">
        <v>3487032</v>
      </c>
      <c r="Z140" s="117">
        <v>3486657</v>
      </c>
      <c r="AA140" s="118"/>
      <c r="AB140" s="119" t="s">
        <v>5819</v>
      </c>
      <c r="AC140" s="119" t="s">
        <v>4553</v>
      </c>
      <c r="AD140" s="119">
        <v>5167</v>
      </c>
      <c r="AE140" s="119" t="s">
        <v>4554</v>
      </c>
      <c r="AF140" s="119" t="s">
        <v>6084</v>
      </c>
      <c r="AG140" s="120"/>
      <c r="AH140" s="121">
        <v>45818</v>
      </c>
      <c r="AI140" s="121">
        <v>45818</v>
      </c>
      <c r="AJ140" s="121">
        <v>45818</v>
      </c>
      <c r="AK140" s="122">
        <v>45818</v>
      </c>
      <c r="AL140" s="122" t="e">
        <v>#N/A</v>
      </c>
      <c r="AM140" s="121" t="e">
        <v>#N/A</v>
      </c>
      <c r="AN140" s="121" t="e">
        <v>#N/A</v>
      </c>
      <c r="AO140" s="121" t="e">
        <v>#N/A</v>
      </c>
      <c r="AP140" s="122" t="e">
        <v>#N/A</v>
      </c>
      <c r="AQ140" s="122" t="e">
        <v>#N/A</v>
      </c>
      <c r="AR140" s="122" t="e">
        <v>#N/A</v>
      </c>
      <c r="AS140" s="122" t="e">
        <v>#N/A</v>
      </c>
      <c r="AT140" s="122" t="e">
        <v>#N/A</v>
      </c>
      <c r="AU140" s="121" t="e">
        <v>#N/A</v>
      </c>
      <c r="AV140" s="122" t="e">
        <v>#N/A</v>
      </c>
      <c r="AW140" s="122">
        <v>45817</v>
      </c>
      <c r="AX140" s="122" t="e">
        <v>#N/A</v>
      </c>
      <c r="AY140" s="122" t="e">
        <v>#N/A</v>
      </c>
      <c r="AZ140" s="122" t="e">
        <v>#N/A</v>
      </c>
      <c r="BA140" s="122" t="e">
        <v>#N/A</v>
      </c>
      <c r="BB140" s="122" t="e">
        <v>#N/A</v>
      </c>
      <c r="BC140" s="122" t="e">
        <v>#N/A</v>
      </c>
      <c r="BD140" s="122" t="e">
        <v>#N/A</v>
      </c>
      <c r="BE140" s="122" t="e">
        <v>#N/A</v>
      </c>
      <c r="BF140" s="122" t="e">
        <v>#N/A</v>
      </c>
      <c r="BG140" s="122" t="e">
        <v>#N/A</v>
      </c>
      <c r="BH140" s="122" t="e">
        <v>#N/A</v>
      </c>
      <c r="BI140" s="122" t="e">
        <v>#N/A</v>
      </c>
      <c r="BJ140" s="122" t="e">
        <v>#N/A</v>
      </c>
      <c r="BK140" s="122">
        <v>45954</v>
      </c>
      <c r="BL140" s="123"/>
      <c r="BM140" s="124" t="e">
        <v>#N/A</v>
      </c>
      <c r="BN140" s="124" t="e">
        <v>#N/A</v>
      </c>
      <c r="BO140" s="124" t="e">
        <v>#N/A</v>
      </c>
      <c r="BP140" s="124" t="e">
        <v>#N/A</v>
      </c>
      <c r="BQ140" s="124" t="e">
        <v>#N/A</v>
      </c>
      <c r="BR140" s="124" t="e">
        <v>#N/A</v>
      </c>
      <c r="BS140" s="124" t="e">
        <v>#N/A</v>
      </c>
      <c r="BT140" s="124" t="e">
        <v>#N/A</v>
      </c>
      <c r="BU140" s="124" t="e">
        <v>#N/A</v>
      </c>
      <c r="BV140" s="124" t="e">
        <v>#N/A</v>
      </c>
      <c r="BW140" s="124" t="e">
        <v>#N/A</v>
      </c>
      <c r="BX140" s="124" t="e">
        <v>#N/A</v>
      </c>
      <c r="BY140" s="124" t="e">
        <v>#N/A</v>
      </c>
      <c r="BZ140" s="124" t="e">
        <v>#N/A</v>
      </c>
      <c r="CA140" s="125"/>
      <c r="CB140" s="124">
        <v>45817</v>
      </c>
      <c r="CC140" s="126">
        <v>1</v>
      </c>
      <c r="CD140" s="127" t="s">
        <v>4450</v>
      </c>
      <c r="CE140" s="128"/>
      <c r="CF140" s="77" t="s">
        <v>4169</v>
      </c>
    </row>
    <row r="141" spans="1:85" ht="14.5" x14ac:dyDescent="0.35">
      <c r="A141" s="77">
        <v>140</v>
      </c>
      <c r="B141" s="106" t="s">
        <v>4601</v>
      </c>
      <c r="C141" s="107" t="s">
        <v>6758</v>
      </c>
      <c r="D141" s="108" t="s">
        <v>4602</v>
      </c>
      <c r="E141" s="109" t="s">
        <v>4603</v>
      </c>
      <c r="F141" s="110">
        <v>623238883</v>
      </c>
      <c r="G141" s="108" t="s">
        <v>1004</v>
      </c>
      <c r="H141" s="111" t="s">
        <v>198</v>
      </c>
      <c r="I141" s="111" t="s">
        <v>180</v>
      </c>
      <c r="J141" s="111" t="s">
        <v>4649</v>
      </c>
      <c r="K141" s="111" t="s">
        <v>199</v>
      </c>
      <c r="L141" s="112">
        <v>45818</v>
      </c>
      <c r="M141" s="111" t="s">
        <v>1037</v>
      </c>
      <c r="N141" s="113"/>
      <c r="O141" s="114" t="s">
        <v>585</v>
      </c>
      <c r="P141" s="114" t="s">
        <v>585</v>
      </c>
      <c r="Q141" s="114" t="s">
        <v>585</v>
      </c>
      <c r="R141" s="114" t="s">
        <v>7296</v>
      </c>
      <c r="S141" s="114" t="s">
        <v>7278</v>
      </c>
      <c r="T141" s="114" t="s">
        <v>183</v>
      </c>
      <c r="U141" s="114" t="s">
        <v>183</v>
      </c>
      <c r="V141" s="115"/>
      <c r="W141" s="116" t="s">
        <v>4604</v>
      </c>
      <c r="X141" s="116" t="s">
        <v>4605</v>
      </c>
      <c r="Y141" s="117">
        <v>3485609</v>
      </c>
      <c r="Z141" s="117">
        <v>3486476</v>
      </c>
      <c r="AA141" s="118"/>
      <c r="AB141" s="119" t="s">
        <v>5825</v>
      </c>
      <c r="AC141" s="119" t="s">
        <v>4606</v>
      </c>
      <c r="AD141" s="119">
        <v>5227</v>
      </c>
      <c r="AE141" s="119" t="s">
        <v>4607</v>
      </c>
      <c r="AF141" s="119" t="s">
        <v>6085</v>
      </c>
      <c r="AG141" s="120"/>
      <c r="AH141" s="121">
        <v>45818</v>
      </c>
      <c r="AI141" s="121">
        <v>45818</v>
      </c>
      <c r="AJ141" s="121">
        <v>45818</v>
      </c>
      <c r="AK141" s="122">
        <v>45818</v>
      </c>
      <c r="AL141" s="122" t="e">
        <v>#N/A</v>
      </c>
      <c r="AM141" s="121" t="e">
        <v>#N/A</v>
      </c>
      <c r="AN141" s="121" t="e">
        <v>#N/A</v>
      </c>
      <c r="AO141" s="121" t="e">
        <v>#N/A</v>
      </c>
      <c r="AP141" s="122" t="e">
        <v>#N/A</v>
      </c>
      <c r="AQ141" s="122" t="e">
        <v>#N/A</v>
      </c>
      <c r="AR141" s="122" t="e">
        <v>#N/A</v>
      </c>
      <c r="AS141" s="122" t="e">
        <v>#N/A</v>
      </c>
      <c r="AT141" s="122" t="e">
        <v>#N/A</v>
      </c>
      <c r="AU141" s="121" t="e">
        <v>#N/A</v>
      </c>
      <c r="AV141" s="122" t="e">
        <v>#N/A</v>
      </c>
      <c r="AW141" s="122">
        <v>45817</v>
      </c>
      <c r="AX141" s="122" t="e">
        <v>#N/A</v>
      </c>
      <c r="AY141" s="122" t="e">
        <v>#N/A</v>
      </c>
      <c r="AZ141" s="122" t="e">
        <v>#N/A</v>
      </c>
      <c r="BA141" s="122" t="e">
        <v>#N/A</v>
      </c>
      <c r="BB141" s="122" t="e">
        <v>#N/A</v>
      </c>
      <c r="BC141" s="122" t="e">
        <v>#N/A</v>
      </c>
      <c r="BD141" s="122" t="e">
        <v>#N/A</v>
      </c>
      <c r="BE141" s="122" t="e">
        <v>#N/A</v>
      </c>
      <c r="BF141" s="122" t="e">
        <v>#N/A</v>
      </c>
      <c r="BG141" s="122" t="e">
        <v>#N/A</v>
      </c>
      <c r="BH141" s="122" t="e">
        <v>#N/A</v>
      </c>
      <c r="BI141" s="122" t="e">
        <v>#N/A</v>
      </c>
      <c r="BJ141" s="122" t="e">
        <v>#N/A</v>
      </c>
      <c r="BK141" s="122">
        <v>45957</v>
      </c>
      <c r="BL141" s="123"/>
      <c r="BM141" s="124" t="e">
        <v>#N/A</v>
      </c>
      <c r="BN141" s="124" t="e">
        <v>#N/A</v>
      </c>
      <c r="BO141" s="124" t="e">
        <v>#N/A</v>
      </c>
      <c r="BP141" s="124" t="e">
        <v>#N/A</v>
      </c>
      <c r="BQ141" s="124" t="e">
        <v>#N/A</v>
      </c>
      <c r="BR141" s="124" t="e">
        <v>#N/A</v>
      </c>
      <c r="BS141" s="124" t="e">
        <v>#N/A</v>
      </c>
      <c r="BT141" s="124" t="e">
        <v>#N/A</v>
      </c>
      <c r="BU141" s="124" t="e">
        <v>#N/A</v>
      </c>
      <c r="BV141" s="124" t="e">
        <v>#N/A</v>
      </c>
      <c r="BW141" s="124" t="e">
        <v>#N/A</v>
      </c>
      <c r="BX141" s="124" t="e">
        <v>#N/A</v>
      </c>
      <c r="BY141" s="124" t="e">
        <v>#N/A</v>
      </c>
      <c r="BZ141" s="124" t="e">
        <v>#N/A</v>
      </c>
      <c r="CA141" s="125"/>
      <c r="CB141" s="124">
        <v>45817</v>
      </c>
      <c r="CC141" s="126">
        <v>1</v>
      </c>
      <c r="CD141" s="127" t="s">
        <v>4450</v>
      </c>
      <c r="CE141" s="128"/>
      <c r="CF141" s="77" t="s">
        <v>4162</v>
      </c>
    </row>
    <row r="142" spans="1:85" ht="14.5" x14ac:dyDescent="0.35">
      <c r="A142" s="77">
        <v>141</v>
      </c>
      <c r="B142" s="106" t="s">
        <v>2095</v>
      </c>
      <c r="C142" s="107" t="s">
        <v>6414</v>
      </c>
      <c r="D142" s="108" t="s">
        <v>2096</v>
      </c>
      <c r="E142" s="109" t="s">
        <v>2097</v>
      </c>
      <c r="F142" s="110" t="s">
        <v>2098</v>
      </c>
      <c r="G142" s="108" t="s">
        <v>190</v>
      </c>
      <c r="H142" s="111" t="s">
        <v>198</v>
      </c>
      <c r="I142" s="111" t="s">
        <v>180</v>
      </c>
      <c r="J142" s="111" t="s">
        <v>4649</v>
      </c>
      <c r="K142" s="111" t="s">
        <v>199</v>
      </c>
      <c r="L142" s="112">
        <v>40841</v>
      </c>
      <c r="M142" s="111" t="s">
        <v>1712</v>
      </c>
      <c r="N142" s="113"/>
      <c r="O142" s="114" t="s">
        <v>6918</v>
      </c>
      <c r="P142" s="114" t="s">
        <v>6918</v>
      </c>
      <c r="Q142" s="114" t="s">
        <v>5992</v>
      </c>
      <c r="R142" s="114" t="s">
        <v>6918</v>
      </c>
      <c r="S142" s="114" t="s">
        <v>6918</v>
      </c>
      <c r="T142" s="114" t="s">
        <v>183</v>
      </c>
      <c r="U142" s="114" t="s">
        <v>183</v>
      </c>
      <c r="V142" s="115"/>
      <c r="W142" s="116" t="s">
        <v>2099</v>
      </c>
      <c r="X142" s="116" t="s">
        <v>2100</v>
      </c>
      <c r="Y142" s="117">
        <v>3485144</v>
      </c>
      <c r="Z142" s="117">
        <v>3481425</v>
      </c>
      <c r="AA142" s="118"/>
      <c r="AB142" s="119" t="s">
        <v>5237</v>
      </c>
      <c r="AC142" s="119" t="s">
        <v>2180</v>
      </c>
      <c r="AD142" s="119">
        <v>5551</v>
      </c>
      <c r="AE142" s="119" t="s">
        <v>3757</v>
      </c>
      <c r="AF142" s="119" t="s">
        <v>7084</v>
      </c>
      <c r="AG142" s="120"/>
      <c r="AH142" s="121">
        <v>44791</v>
      </c>
      <c r="AI142" s="121">
        <v>44811</v>
      </c>
      <c r="AJ142" s="121">
        <v>44811</v>
      </c>
      <c r="AK142" s="122">
        <v>44984</v>
      </c>
      <c r="AL142" s="122" t="e">
        <v>#N/A</v>
      </c>
      <c r="AM142" s="122" t="e">
        <v>#N/A</v>
      </c>
      <c r="AN142" s="122" t="e">
        <v>#N/A</v>
      </c>
      <c r="AO142" s="121" t="e">
        <v>#N/A</v>
      </c>
      <c r="AP142" s="122" t="e">
        <v>#N/A</v>
      </c>
      <c r="AQ142" s="122" t="e">
        <v>#N/A</v>
      </c>
      <c r="AR142" s="122" t="e">
        <v>#N/A</v>
      </c>
      <c r="AS142" s="122" t="e">
        <v>#N/A</v>
      </c>
      <c r="AT142" s="122" t="e">
        <v>#N/A</v>
      </c>
      <c r="AU142" s="121" t="e">
        <v>#N/A</v>
      </c>
      <c r="AV142" s="122" t="e">
        <v>#N/A</v>
      </c>
      <c r="AW142" s="122">
        <v>45772</v>
      </c>
      <c r="AX142" s="122" t="e">
        <v>#N/A</v>
      </c>
      <c r="AY142" s="122" t="e">
        <v>#N/A</v>
      </c>
      <c r="AZ142" s="122" t="e">
        <v>#N/A</v>
      </c>
      <c r="BA142" s="122" t="e">
        <v>#N/A</v>
      </c>
      <c r="BB142" s="122" t="e">
        <v>#N/A</v>
      </c>
      <c r="BC142" s="122" t="e">
        <v>#N/A</v>
      </c>
      <c r="BD142" s="122" t="e">
        <v>#N/A</v>
      </c>
      <c r="BE142" s="122" t="e">
        <v>#N/A</v>
      </c>
      <c r="BF142" s="122" t="e">
        <v>#N/A</v>
      </c>
      <c r="BG142" s="122" t="e">
        <v>#N/A</v>
      </c>
      <c r="BH142" s="122" t="e">
        <v>#N/A</v>
      </c>
      <c r="BI142" s="122" t="e">
        <v>#N/A</v>
      </c>
      <c r="BJ142" s="122" t="e">
        <v>#N/A</v>
      </c>
      <c r="BK142" s="122">
        <v>45964</v>
      </c>
      <c r="BL142" s="123"/>
      <c r="BM142" s="124" t="e">
        <v>#N/A</v>
      </c>
      <c r="BN142" s="124" t="e">
        <v>#N/A</v>
      </c>
      <c r="BO142" s="124" t="e">
        <v>#N/A</v>
      </c>
      <c r="BP142" s="124" t="e">
        <v>#N/A</v>
      </c>
      <c r="BQ142" s="124" t="e">
        <v>#N/A</v>
      </c>
      <c r="BR142" s="124" t="e">
        <v>#N/A</v>
      </c>
      <c r="BS142" s="124" t="e">
        <v>#N/A</v>
      </c>
      <c r="BT142" s="124" t="e">
        <v>#N/A</v>
      </c>
      <c r="BU142" s="124" t="e">
        <v>#N/A</v>
      </c>
      <c r="BV142" s="124" t="e">
        <v>#N/A</v>
      </c>
      <c r="BW142" s="124" t="e">
        <v>#N/A</v>
      </c>
      <c r="BX142" s="124" t="e">
        <v>#N/A</v>
      </c>
      <c r="BY142" s="124" t="e">
        <v>#N/A</v>
      </c>
      <c r="BZ142" s="124" t="e">
        <v>#N/A</v>
      </c>
      <c r="CA142" s="125"/>
      <c r="CB142" s="124" t="e">
        <v>#N/A</v>
      </c>
      <c r="CC142" s="126">
        <v>1</v>
      </c>
      <c r="CD142" s="127" t="s">
        <v>4182</v>
      </c>
      <c r="CE142" s="128"/>
      <c r="CF142" s="77" t="s">
        <v>4169</v>
      </c>
    </row>
    <row r="143" spans="1:85" ht="14.5" x14ac:dyDescent="0.35">
      <c r="A143" s="77">
        <v>142</v>
      </c>
      <c r="B143" s="106" t="s">
        <v>2219</v>
      </c>
      <c r="C143" s="107" t="s">
        <v>6420</v>
      </c>
      <c r="D143" s="108" t="s">
        <v>2238</v>
      </c>
      <c r="E143" s="109" t="s">
        <v>2239</v>
      </c>
      <c r="F143" s="110">
        <v>687830628</v>
      </c>
      <c r="G143" s="108" t="s">
        <v>1004</v>
      </c>
      <c r="H143" s="111" t="s">
        <v>198</v>
      </c>
      <c r="I143" s="111" t="s">
        <v>180</v>
      </c>
      <c r="J143" s="111" t="s">
        <v>4649</v>
      </c>
      <c r="K143" s="111" t="s">
        <v>199</v>
      </c>
      <c r="L143" s="112">
        <v>40862</v>
      </c>
      <c r="M143" s="111" t="s">
        <v>2967</v>
      </c>
      <c r="N143" s="113"/>
      <c r="O143" s="114" t="s">
        <v>3268</v>
      </c>
      <c r="P143" s="114" t="s">
        <v>285</v>
      </c>
      <c r="Q143" s="114" t="s">
        <v>183</v>
      </c>
      <c r="R143" s="114" t="s">
        <v>7391</v>
      </c>
      <c r="S143" s="114" t="s">
        <v>183</v>
      </c>
      <c r="T143" s="114" t="s">
        <v>4351</v>
      </c>
      <c r="U143" s="114" t="s">
        <v>4351</v>
      </c>
      <c r="V143" s="115"/>
      <c r="W143" s="116" t="s">
        <v>2240</v>
      </c>
      <c r="X143" s="116" t="s">
        <v>2241</v>
      </c>
      <c r="Y143" s="117">
        <v>3485017</v>
      </c>
      <c r="Z143" s="117">
        <v>3486238</v>
      </c>
      <c r="AA143" s="118"/>
      <c r="AB143" s="119" t="s">
        <v>5515</v>
      </c>
      <c r="AC143" s="119" t="s">
        <v>2242</v>
      </c>
      <c r="AD143" s="119">
        <v>27551</v>
      </c>
      <c r="AE143" s="119" t="s">
        <v>2997</v>
      </c>
      <c r="AF143" s="119" t="s">
        <v>7396</v>
      </c>
      <c r="AG143" s="120"/>
      <c r="AH143" s="121">
        <v>44817</v>
      </c>
      <c r="AI143" s="121">
        <v>44817</v>
      </c>
      <c r="AJ143" s="121">
        <v>44817</v>
      </c>
      <c r="AK143" s="122">
        <v>44994</v>
      </c>
      <c r="AL143" s="122" t="e">
        <v>#N/A</v>
      </c>
      <c r="AM143" s="121" t="e">
        <v>#N/A</v>
      </c>
      <c r="AN143" s="121" t="e">
        <v>#N/A</v>
      </c>
      <c r="AO143" s="121" t="e">
        <v>#N/A</v>
      </c>
      <c r="AP143" s="122" t="e">
        <v>#N/A</v>
      </c>
      <c r="AQ143" s="122" t="e">
        <v>#N/A</v>
      </c>
      <c r="AR143" s="122" t="e">
        <v>#N/A</v>
      </c>
      <c r="AS143" s="122" t="e">
        <v>#N/A</v>
      </c>
      <c r="AT143" s="122" t="e">
        <v>#N/A</v>
      </c>
      <c r="AU143" s="121" t="e">
        <v>#N/A</v>
      </c>
      <c r="AV143" s="122" t="e">
        <v>#N/A</v>
      </c>
      <c r="AW143" s="122">
        <v>45763</v>
      </c>
      <c r="AX143" s="122" t="e">
        <v>#N/A</v>
      </c>
      <c r="AY143" s="122" t="e">
        <v>#N/A</v>
      </c>
      <c r="AZ143" s="122" t="e">
        <v>#N/A</v>
      </c>
      <c r="BA143" s="122" t="e">
        <v>#N/A</v>
      </c>
      <c r="BB143" s="122" t="e">
        <v>#N/A</v>
      </c>
      <c r="BC143" s="122" t="e">
        <v>#N/A</v>
      </c>
      <c r="BD143" s="122" t="e">
        <v>#N/A</v>
      </c>
      <c r="BE143" s="122" t="e">
        <v>#N/A</v>
      </c>
      <c r="BF143" s="122" t="e">
        <v>#N/A</v>
      </c>
      <c r="BG143" s="122" t="e">
        <v>#N/A</v>
      </c>
      <c r="BH143" s="122" t="e">
        <v>#N/A</v>
      </c>
      <c r="BI143" s="122" t="e">
        <v>#N/A</v>
      </c>
      <c r="BJ143" s="122" t="e">
        <v>#N/A</v>
      </c>
      <c r="BK143" s="122">
        <v>45978</v>
      </c>
      <c r="BL143" s="123"/>
      <c r="BM143" s="124" t="e">
        <v>#N/A</v>
      </c>
      <c r="BN143" s="124" t="e">
        <v>#N/A</v>
      </c>
      <c r="BO143" s="124" t="e">
        <v>#N/A</v>
      </c>
      <c r="BP143" s="124" t="e">
        <v>#N/A</v>
      </c>
      <c r="BQ143" s="124" t="e">
        <v>#N/A</v>
      </c>
      <c r="BR143" s="124" t="e">
        <v>#N/A</v>
      </c>
      <c r="BS143" s="124" t="e">
        <v>#N/A</v>
      </c>
      <c r="BT143" s="124" t="e">
        <v>#N/A</v>
      </c>
      <c r="BU143" s="124" t="e">
        <v>#N/A</v>
      </c>
      <c r="BV143" s="124" t="e">
        <v>#N/A</v>
      </c>
      <c r="BW143" s="124" t="e">
        <v>#N/A</v>
      </c>
      <c r="BX143" s="124" t="e">
        <v>#N/A</v>
      </c>
      <c r="BY143" s="124" t="e">
        <v>#N/A</v>
      </c>
      <c r="BZ143" s="124" t="e">
        <v>#N/A</v>
      </c>
      <c r="CA143" s="125"/>
      <c r="CB143" s="124" t="e">
        <v>#N/A</v>
      </c>
      <c r="CC143" s="126">
        <v>1</v>
      </c>
      <c r="CD143" s="127" t="s">
        <v>4186</v>
      </c>
      <c r="CE143" s="128"/>
      <c r="CF143" s="77" t="s">
        <v>4169</v>
      </c>
    </row>
    <row r="144" spans="1:85" ht="14.5" x14ac:dyDescent="0.35">
      <c r="A144" s="77">
        <v>143</v>
      </c>
      <c r="B144" s="106" t="s">
        <v>4689</v>
      </c>
      <c r="C144" s="107" t="s">
        <v>6775</v>
      </c>
      <c r="D144" s="108" t="s">
        <v>4690</v>
      </c>
      <c r="E144" s="109" t="s">
        <v>4691</v>
      </c>
      <c r="F144" s="110">
        <v>600840448</v>
      </c>
      <c r="G144" s="108" t="s">
        <v>1004</v>
      </c>
      <c r="H144" s="111" t="s">
        <v>198</v>
      </c>
      <c r="I144" s="111" t="s">
        <v>180</v>
      </c>
      <c r="J144" s="111" t="s">
        <v>4649</v>
      </c>
      <c r="K144" s="111" t="s">
        <v>199</v>
      </c>
      <c r="L144" s="112">
        <v>45824</v>
      </c>
      <c r="M144" s="111" t="s">
        <v>284</v>
      </c>
      <c r="N144" s="113"/>
      <c r="O144" s="114" t="s">
        <v>585</v>
      </c>
      <c r="P144" s="114" t="s">
        <v>183</v>
      </c>
      <c r="Q144" s="114" t="s">
        <v>585</v>
      </c>
      <c r="R144" s="114" t="s">
        <v>585</v>
      </c>
      <c r="S144" s="114" t="s">
        <v>183</v>
      </c>
      <c r="T144" s="114" t="s">
        <v>585</v>
      </c>
      <c r="U144" s="114" t="s">
        <v>585</v>
      </c>
      <c r="V144" s="115"/>
      <c r="W144" s="116" t="s">
        <v>4692</v>
      </c>
      <c r="X144" s="116" t="s">
        <v>4693</v>
      </c>
      <c r="Y144" s="117">
        <v>3485951</v>
      </c>
      <c r="Z144" s="117">
        <v>3481384</v>
      </c>
      <c r="AA144" s="118"/>
      <c r="AB144" s="119" t="s">
        <v>4694</v>
      </c>
      <c r="AC144" s="119" t="s">
        <v>4695</v>
      </c>
      <c r="AD144" s="119">
        <v>5385</v>
      </c>
      <c r="AE144" s="119" t="s">
        <v>4696</v>
      </c>
      <c r="AF144" s="119" t="s">
        <v>6079</v>
      </c>
      <c r="AG144" s="120"/>
      <c r="AH144" s="121">
        <v>45824</v>
      </c>
      <c r="AI144" s="121">
        <v>45824</v>
      </c>
      <c r="AJ144" s="121">
        <v>45824</v>
      </c>
      <c r="AK144" s="122">
        <v>45824</v>
      </c>
      <c r="AL144" s="122">
        <v>46010</v>
      </c>
      <c r="AM144" s="121" t="e">
        <v>#N/A</v>
      </c>
      <c r="AN144" s="121">
        <v>46010</v>
      </c>
      <c r="AO144" s="121">
        <v>46010</v>
      </c>
      <c r="AP144" s="122" t="e">
        <v>#N/A</v>
      </c>
      <c r="AQ144" s="122" t="e">
        <v>#N/A</v>
      </c>
      <c r="AR144" s="122">
        <v>46010</v>
      </c>
      <c r="AS144" s="122" t="e">
        <v>#N/A</v>
      </c>
      <c r="AT144" s="122" t="e">
        <v>#N/A</v>
      </c>
      <c r="AU144" s="121" t="e">
        <v>#N/A</v>
      </c>
      <c r="AV144" s="122" t="e">
        <v>#N/A</v>
      </c>
      <c r="AW144" s="122">
        <v>45819</v>
      </c>
      <c r="AX144" s="122" t="e">
        <v>#N/A</v>
      </c>
      <c r="AY144" s="122" t="e">
        <v>#N/A</v>
      </c>
      <c r="AZ144" s="122">
        <v>46010</v>
      </c>
      <c r="BA144" s="122" t="e">
        <v>#N/A</v>
      </c>
      <c r="BB144" s="122" t="e">
        <v>#N/A</v>
      </c>
      <c r="BC144" s="122" t="e">
        <v>#N/A</v>
      </c>
      <c r="BD144" s="122" t="e">
        <v>#N/A</v>
      </c>
      <c r="BE144" s="122" t="e">
        <v>#N/A</v>
      </c>
      <c r="BF144" s="122" t="e">
        <v>#N/A</v>
      </c>
      <c r="BG144" s="122" t="e">
        <v>#N/A</v>
      </c>
      <c r="BH144" s="122" t="e">
        <v>#N/A</v>
      </c>
      <c r="BI144" s="122" t="e">
        <v>#N/A</v>
      </c>
      <c r="BJ144" s="122" t="e">
        <v>#N/A</v>
      </c>
      <c r="BK144" s="122">
        <v>45950</v>
      </c>
      <c r="BL144" s="123"/>
      <c r="BM144" s="124" t="e">
        <v>#N/A</v>
      </c>
      <c r="BN144" s="124" t="e">
        <v>#N/A</v>
      </c>
      <c r="BO144" s="124" t="e">
        <v>#N/A</v>
      </c>
      <c r="BP144" s="124" t="e">
        <v>#N/A</v>
      </c>
      <c r="BQ144" s="124" t="e">
        <v>#N/A</v>
      </c>
      <c r="BR144" s="124" t="e">
        <v>#N/A</v>
      </c>
      <c r="BS144" s="124" t="e">
        <v>#N/A</v>
      </c>
      <c r="BT144" s="124" t="e">
        <v>#N/A</v>
      </c>
      <c r="BU144" s="124" t="e">
        <v>#N/A</v>
      </c>
      <c r="BV144" s="124" t="e">
        <v>#N/A</v>
      </c>
      <c r="BW144" s="124" t="e">
        <v>#N/A</v>
      </c>
      <c r="BX144" s="124" t="e">
        <v>#N/A</v>
      </c>
      <c r="BY144" s="124" t="e">
        <v>#N/A</v>
      </c>
      <c r="BZ144" s="124" t="e">
        <v>#N/A</v>
      </c>
      <c r="CA144" s="125"/>
      <c r="CB144" s="124">
        <v>45820</v>
      </c>
      <c r="CC144" s="126">
        <v>1</v>
      </c>
      <c r="CD144" s="127" t="s">
        <v>4673</v>
      </c>
      <c r="CE144" s="128"/>
      <c r="CF144" s="77" t="s">
        <v>4182</v>
      </c>
    </row>
    <row r="145" spans="1:84" ht="14.5" x14ac:dyDescent="0.35">
      <c r="A145" s="77">
        <v>144</v>
      </c>
      <c r="B145" s="106" t="s">
        <v>50</v>
      </c>
      <c r="C145" s="107" t="s">
        <v>513</v>
      </c>
      <c r="D145" s="108" t="s">
        <v>514</v>
      </c>
      <c r="E145" s="109" t="s">
        <v>515</v>
      </c>
      <c r="F145" s="110">
        <v>686732395</v>
      </c>
      <c r="G145" s="108" t="s">
        <v>1004</v>
      </c>
      <c r="H145" s="111" t="s">
        <v>198</v>
      </c>
      <c r="I145" s="111" t="s">
        <v>180</v>
      </c>
      <c r="J145" s="111" t="s">
        <v>4649</v>
      </c>
      <c r="K145" s="111" t="s">
        <v>199</v>
      </c>
      <c r="L145" s="112">
        <v>41801</v>
      </c>
      <c r="M145" s="111" t="s">
        <v>1920</v>
      </c>
      <c r="N145" s="113"/>
      <c r="O145" s="114" t="s">
        <v>6916</v>
      </c>
      <c r="P145" s="114" t="s">
        <v>6915</v>
      </c>
      <c r="Q145" s="114" t="s">
        <v>183</v>
      </c>
      <c r="R145" s="114" t="s">
        <v>7397</v>
      </c>
      <c r="S145" s="114" t="s">
        <v>6916</v>
      </c>
      <c r="T145" s="114" t="s">
        <v>6915</v>
      </c>
      <c r="U145" s="114" t="s">
        <v>6915</v>
      </c>
      <c r="V145" s="115"/>
      <c r="W145" s="116" t="s">
        <v>516</v>
      </c>
      <c r="X145" s="116" t="s">
        <v>517</v>
      </c>
      <c r="Y145" s="117">
        <v>3485345</v>
      </c>
      <c r="Z145" s="117">
        <v>3481053</v>
      </c>
      <c r="AA145" s="118"/>
      <c r="AB145" s="119" t="s">
        <v>5192</v>
      </c>
      <c r="AC145" s="119" t="s">
        <v>1137</v>
      </c>
      <c r="AD145" s="119">
        <v>4275</v>
      </c>
      <c r="AE145" s="119" t="s">
        <v>3130</v>
      </c>
      <c r="AF145" s="119" t="s">
        <v>7074</v>
      </c>
      <c r="AG145" s="120"/>
      <c r="AH145" s="121">
        <v>44197</v>
      </c>
      <c r="AI145" s="121">
        <v>44197</v>
      </c>
      <c r="AJ145" s="121">
        <v>44197</v>
      </c>
      <c r="AK145" s="122">
        <v>44197</v>
      </c>
      <c r="AL145" s="122">
        <v>44197</v>
      </c>
      <c r="AM145" s="122" t="e">
        <v>#N/A</v>
      </c>
      <c r="AN145" s="122" t="e">
        <v>#N/A</v>
      </c>
      <c r="AO145" s="121" t="e">
        <v>#N/A</v>
      </c>
      <c r="AP145" s="122" t="e">
        <v>#N/A</v>
      </c>
      <c r="AQ145" s="122" t="e">
        <v>#N/A</v>
      </c>
      <c r="AR145" s="122">
        <v>45771</v>
      </c>
      <c r="AS145" s="122" t="e">
        <v>#N/A</v>
      </c>
      <c r="AT145" s="122" t="e">
        <v>#N/A</v>
      </c>
      <c r="AU145" s="121">
        <v>45912</v>
      </c>
      <c r="AV145" s="122">
        <v>45737</v>
      </c>
      <c r="AW145" s="122">
        <v>45670</v>
      </c>
      <c r="AX145" s="122" t="e">
        <v>#N/A</v>
      </c>
      <c r="AY145" s="122" t="e">
        <v>#N/A</v>
      </c>
      <c r="AZ145" s="122" t="e">
        <v>#N/A</v>
      </c>
      <c r="BA145" s="122">
        <v>44197</v>
      </c>
      <c r="BB145" s="122" t="e">
        <v>#N/A</v>
      </c>
      <c r="BC145" s="122">
        <v>45406</v>
      </c>
      <c r="BD145" s="122" t="e">
        <v>#N/A</v>
      </c>
      <c r="BE145" s="122" t="e">
        <v>#N/A</v>
      </c>
      <c r="BF145" s="122" t="e">
        <v>#N/A</v>
      </c>
      <c r="BG145" s="122" t="e">
        <v>#N/A</v>
      </c>
      <c r="BH145" s="122" t="e">
        <v>#N/A</v>
      </c>
      <c r="BI145" s="122" t="e">
        <v>#N/A</v>
      </c>
      <c r="BJ145" s="122" t="e">
        <v>#N/A</v>
      </c>
      <c r="BK145" s="122">
        <v>45961</v>
      </c>
      <c r="BL145" s="123"/>
      <c r="BM145" s="124" t="e">
        <v>#N/A</v>
      </c>
      <c r="BN145" s="124" t="e">
        <v>#N/A</v>
      </c>
      <c r="BO145" s="124" t="e">
        <v>#N/A</v>
      </c>
      <c r="BP145" s="124" t="e">
        <v>#N/A</v>
      </c>
      <c r="BQ145" s="124" t="e">
        <v>#N/A</v>
      </c>
      <c r="BR145" s="124" t="e">
        <v>#N/A</v>
      </c>
      <c r="BS145" s="124" t="e">
        <v>#N/A</v>
      </c>
      <c r="BT145" s="124" t="e">
        <v>#N/A</v>
      </c>
      <c r="BU145" s="124" t="e">
        <v>#N/A</v>
      </c>
      <c r="BV145" s="124" t="e">
        <v>#N/A</v>
      </c>
      <c r="BW145" s="124" t="e">
        <v>#N/A</v>
      </c>
      <c r="BX145" s="124" t="e">
        <v>#N/A</v>
      </c>
      <c r="BY145" s="124" t="e">
        <v>#N/A</v>
      </c>
      <c r="BZ145" s="124" t="e">
        <v>#N/A</v>
      </c>
      <c r="CA145" s="125"/>
      <c r="CB145" s="124">
        <v>45728</v>
      </c>
      <c r="CC145" s="126">
        <v>1</v>
      </c>
      <c r="CD145" s="127" t="s">
        <v>4169</v>
      </c>
      <c r="CE145" s="128"/>
      <c r="CF145" s="77" t="s">
        <v>4150</v>
      </c>
    </row>
    <row r="146" spans="1:84" ht="14.5" x14ac:dyDescent="0.35">
      <c r="A146" s="77">
        <v>145</v>
      </c>
      <c r="B146" s="106" t="s">
        <v>6297</v>
      </c>
      <c r="C146" s="107" t="s">
        <v>6298</v>
      </c>
      <c r="D146" s="108" t="s">
        <v>2233</v>
      </c>
      <c r="E146" s="109" t="s">
        <v>2234</v>
      </c>
      <c r="F146" s="110">
        <v>686857997</v>
      </c>
      <c r="G146" s="108" t="s">
        <v>1004</v>
      </c>
      <c r="H146" s="111" t="s">
        <v>198</v>
      </c>
      <c r="I146" s="111" t="s">
        <v>180</v>
      </c>
      <c r="J146" s="111" t="s">
        <v>4649</v>
      </c>
      <c r="K146" s="111" t="s">
        <v>199</v>
      </c>
      <c r="L146" s="112">
        <v>39135</v>
      </c>
      <c r="M146" s="111" t="s">
        <v>284</v>
      </c>
      <c r="N146" s="113"/>
      <c r="O146" s="114" t="s">
        <v>226</v>
      </c>
      <c r="P146" s="114" t="s">
        <v>225</v>
      </c>
      <c r="Q146" s="114" t="s">
        <v>183</v>
      </c>
      <c r="R146" s="114" t="s">
        <v>7365</v>
      </c>
      <c r="S146" s="114" t="s">
        <v>225</v>
      </c>
      <c r="T146" s="114" t="s">
        <v>226</v>
      </c>
      <c r="U146" s="114" t="s">
        <v>226</v>
      </c>
      <c r="V146" s="115"/>
      <c r="W146" s="116" t="s">
        <v>2235</v>
      </c>
      <c r="X146" s="116" t="s">
        <v>2236</v>
      </c>
      <c r="Y146" s="117">
        <v>3485436</v>
      </c>
      <c r="Z146" s="117">
        <v>3481419</v>
      </c>
      <c r="AA146" s="118"/>
      <c r="AB146" s="119" t="s">
        <v>5214</v>
      </c>
      <c r="AC146" s="119" t="s">
        <v>2237</v>
      </c>
      <c r="AD146" s="119">
        <v>27596</v>
      </c>
      <c r="AE146" s="119" t="s">
        <v>2282</v>
      </c>
      <c r="AF146" s="119" t="s">
        <v>6087</v>
      </c>
      <c r="AG146" s="120"/>
      <c r="AH146" s="121">
        <v>44817</v>
      </c>
      <c r="AI146" s="121">
        <v>44817</v>
      </c>
      <c r="AJ146" s="121">
        <v>44817</v>
      </c>
      <c r="AK146" s="122">
        <v>44994</v>
      </c>
      <c r="AL146" s="122" t="e">
        <v>#N/A</v>
      </c>
      <c r="AM146" s="121" t="e">
        <v>#N/A</v>
      </c>
      <c r="AN146" s="121" t="e">
        <v>#N/A</v>
      </c>
      <c r="AO146" s="121" t="e">
        <v>#N/A</v>
      </c>
      <c r="AP146" s="122" t="e">
        <v>#N/A</v>
      </c>
      <c r="AQ146" s="122" t="e">
        <v>#N/A</v>
      </c>
      <c r="AR146" s="122" t="e">
        <v>#N/A</v>
      </c>
      <c r="AS146" s="122" t="e">
        <v>#N/A</v>
      </c>
      <c r="AT146" s="122" t="e">
        <v>#N/A</v>
      </c>
      <c r="AU146" s="121" t="e">
        <v>#N/A</v>
      </c>
      <c r="AV146" s="122" t="e">
        <v>#N/A</v>
      </c>
      <c r="AW146" s="122">
        <v>45670</v>
      </c>
      <c r="AX146" s="122" t="e">
        <v>#N/A</v>
      </c>
      <c r="AY146" s="122" t="e">
        <v>#N/A</v>
      </c>
      <c r="AZ146" s="122" t="e">
        <v>#N/A</v>
      </c>
      <c r="BA146" s="122" t="e">
        <v>#N/A</v>
      </c>
      <c r="BB146" s="122" t="e">
        <v>#N/A</v>
      </c>
      <c r="BC146" s="122" t="e">
        <v>#N/A</v>
      </c>
      <c r="BD146" s="122" t="e">
        <v>#N/A</v>
      </c>
      <c r="BE146" s="122" t="e">
        <v>#N/A</v>
      </c>
      <c r="BF146" s="122" t="e">
        <v>#N/A</v>
      </c>
      <c r="BG146" s="122" t="e">
        <v>#N/A</v>
      </c>
      <c r="BH146" s="122">
        <v>45446</v>
      </c>
      <c r="BI146" s="122" t="e">
        <v>#N/A</v>
      </c>
      <c r="BJ146" s="122" t="e">
        <v>#N/A</v>
      </c>
      <c r="BK146" s="122">
        <v>45953</v>
      </c>
      <c r="BL146" s="123"/>
      <c r="BM146" s="124" t="e">
        <v>#N/A</v>
      </c>
      <c r="BN146" s="124" t="e">
        <v>#N/A</v>
      </c>
      <c r="BO146" s="124" t="e">
        <v>#N/A</v>
      </c>
      <c r="BP146" s="124" t="e">
        <v>#N/A</v>
      </c>
      <c r="BQ146" s="124" t="e">
        <v>#N/A</v>
      </c>
      <c r="BR146" s="124" t="e">
        <v>#N/A</v>
      </c>
      <c r="BS146" s="124" t="e">
        <v>#N/A</v>
      </c>
      <c r="BT146" s="124" t="e">
        <v>#N/A</v>
      </c>
      <c r="BU146" s="124" t="e">
        <v>#N/A</v>
      </c>
      <c r="BV146" s="124" t="e">
        <v>#N/A</v>
      </c>
      <c r="BW146" s="124" t="e">
        <v>#N/A</v>
      </c>
      <c r="BX146" s="124" t="e">
        <v>#N/A</v>
      </c>
      <c r="BY146" s="124" t="e">
        <v>#N/A</v>
      </c>
      <c r="BZ146" s="124" t="e">
        <v>#N/A</v>
      </c>
      <c r="CA146" s="125"/>
      <c r="CB146" s="124" t="e">
        <v>#N/A</v>
      </c>
      <c r="CC146" s="126">
        <v>1</v>
      </c>
      <c r="CD146" s="127" t="e">
        <v>#N/A</v>
      </c>
      <c r="CE146" s="128"/>
      <c r="CF146" s="77" t="s">
        <v>4188</v>
      </c>
    </row>
    <row r="147" spans="1:84" ht="14.5" x14ac:dyDescent="0.35">
      <c r="A147" s="77">
        <v>146</v>
      </c>
      <c r="B147" s="106" t="s">
        <v>2087</v>
      </c>
      <c r="C147" s="107" t="s">
        <v>6455</v>
      </c>
      <c r="D147" s="108" t="s">
        <v>2088</v>
      </c>
      <c r="E147" s="109" t="s">
        <v>2089</v>
      </c>
      <c r="F147" s="110" t="s">
        <v>1236</v>
      </c>
      <c r="G147" s="108" t="s">
        <v>190</v>
      </c>
      <c r="H147" s="111" t="s">
        <v>198</v>
      </c>
      <c r="I147" s="111" t="s">
        <v>180</v>
      </c>
      <c r="J147" s="111" t="s">
        <v>4649</v>
      </c>
      <c r="K147" s="111" t="s">
        <v>199</v>
      </c>
      <c r="L147" s="112">
        <v>42999</v>
      </c>
      <c r="M147" s="111" t="s">
        <v>2628</v>
      </c>
      <c r="N147" s="113"/>
      <c r="O147" s="114" t="s">
        <v>6116</v>
      </c>
      <c r="P147" s="114" t="s">
        <v>4356</v>
      </c>
      <c r="Q147" s="114" t="s">
        <v>7271</v>
      </c>
      <c r="R147" s="114" t="s">
        <v>7271</v>
      </c>
      <c r="S147" s="114" t="s">
        <v>4356</v>
      </c>
      <c r="T147" s="114" t="s">
        <v>6116</v>
      </c>
      <c r="U147" s="114" t="s">
        <v>6116</v>
      </c>
      <c r="V147" s="115"/>
      <c r="W147" s="116" t="s">
        <v>2090</v>
      </c>
      <c r="X147" s="116" t="s">
        <v>2091</v>
      </c>
      <c r="Y147" s="117">
        <v>3485116</v>
      </c>
      <c r="Z147" s="117">
        <v>3481424</v>
      </c>
      <c r="AA147" s="118"/>
      <c r="AB147" s="119" t="s">
        <v>2092</v>
      </c>
      <c r="AC147" s="119" t="s">
        <v>2093</v>
      </c>
      <c r="AD147" s="119">
        <v>27155</v>
      </c>
      <c r="AE147" s="119" t="s">
        <v>2094</v>
      </c>
      <c r="AF147" s="119">
        <v>0</v>
      </c>
      <c r="AG147" s="120"/>
      <c r="AH147" s="121">
        <v>44782</v>
      </c>
      <c r="AI147" s="121">
        <v>44791</v>
      </c>
      <c r="AJ147" s="121">
        <v>44791</v>
      </c>
      <c r="AK147" s="122">
        <v>44984</v>
      </c>
      <c r="AL147" s="122" t="e">
        <v>#N/A</v>
      </c>
      <c r="AM147" s="121" t="e">
        <v>#N/A</v>
      </c>
      <c r="AN147" s="121" t="e">
        <v>#N/A</v>
      </c>
      <c r="AO147" s="121" t="e">
        <v>#N/A</v>
      </c>
      <c r="AP147" s="122" t="e">
        <v>#N/A</v>
      </c>
      <c r="AQ147" s="122" t="e">
        <v>#N/A</v>
      </c>
      <c r="AR147" s="122" t="e">
        <v>#N/A</v>
      </c>
      <c r="AS147" s="122" t="e">
        <v>#N/A</v>
      </c>
      <c r="AT147" s="122" t="e">
        <v>#N/A</v>
      </c>
      <c r="AU147" s="121" t="e">
        <v>#N/A</v>
      </c>
      <c r="AV147" s="122" t="e">
        <v>#N/A</v>
      </c>
      <c r="AW147" s="122">
        <v>45757</v>
      </c>
      <c r="AX147" s="122" t="e">
        <v>#N/A</v>
      </c>
      <c r="AY147" s="122" t="e">
        <v>#N/A</v>
      </c>
      <c r="AZ147" s="122" t="e">
        <v>#N/A</v>
      </c>
      <c r="BA147" s="122" t="e">
        <v>#N/A</v>
      </c>
      <c r="BB147" s="122" t="e">
        <v>#N/A</v>
      </c>
      <c r="BC147" s="122" t="e">
        <v>#N/A</v>
      </c>
      <c r="BD147" s="122" t="e">
        <v>#N/A</v>
      </c>
      <c r="BE147" s="122" t="e">
        <v>#N/A</v>
      </c>
      <c r="BF147" s="122" t="e">
        <v>#N/A</v>
      </c>
      <c r="BG147" s="122" t="e">
        <v>#N/A</v>
      </c>
      <c r="BH147" s="122" t="e">
        <v>#N/A</v>
      </c>
      <c r="BI147" s="122" t="e">
        <v>#N/A</v>
      </c>
      <c r="BJ147" s="122" t="e">
        <v>#N/A</v>
      </c>
      <c r="BK147" s="122" t="e">
        <v>#N/A</v>
      </c>
      <c r="BL147" s="123"/>
      <c r="BM147" s="124" t="e">
        <v>#N/A</v>
      </c>
      <c r="BN147" s="124" t="e">
        <v>#N/A</v>
      </c>
      <c r="BO147" s="124" t="e">
        <v>#N/A</v>
      </c>
      <c r="BP147" s="124" t="e">
        <v>#N/A</v>
      </c>
      <c r="BQ147" s="124" t="e">
        <v>#N/A</v>
      </c>
      <c r="BR147" s="124" t="e">
        <v>#N/A</v>
      </c>
      <c r="BS147" s="124" t="e">
        <v>#N/A</v>
      </c>
      <c r="BT147" s="124" t="e">
        <v>#N/A</v>
      </c>
      <c r="BU147" s="124" t="e">
        <v>#N/A</v>
      </c>
      <c r="BV147" s="124" t="e">
        <v>#N/A</v>
      </c>
      <c r="BW147" s="124" t="e">
        <v>#N/A</v>
      </c>
      <c r="BX147" s="124" t="e">
        <v>#N/A</v>
      </c>
      <c r="BY147" s="124" t="e">
        <v>#N/A</v>
      </c>
      <c r="BZ147" s="124" t="e">
        <v>#N/A</v>
      </c>
      <c r="CA147" s="125"/>
      <c r="CB147" s="124" t="e">
        <v>#N/A</v>
      </c>
      <c r="CC147" s="126">
        <v>1</v>
      </c>
      <c r="CD147" s="127" t="s">
        <v>4180</v>
      </c>
      <c r="CE147" s="128"/>
      <c r="CF147" s="77" t="s">
        <v>4169</v>
      </c>
    </row>
    <row r="148" spans="1:84" ht="14.5" x14ac:dyDescent="0.35">
      <c r="A148" s="77">
        <v>147</v>
      </c>
      <c r="B148" s="106" t="s">
        <v>6302</v>
      </c>
      <c r="C148" s="107" t="s">
        <v>6303</v>
      </c>
      <c r="D148" s="108" t="s">
        <v>5907</v>
      </c>
      <c r="E148" s="109" t="s">
        <v>5596</v>
      </c>
      <c r="F148" s="110">
        <v>657698305</v>
      </c>
      <c r="G148" s="108" t="s">
        <v>1004</v>
      </c>
      <c r="H148" s="111" t="s">
        <v>198</v>
      </c>
      <c r="I148" s="111" t="s">
        <v>180</v>
      </c>
      <c r="J148" s="111" t="s">
        <v>4649</v>
      </c>
      <c r="K148" s="111" t="s">
        <v>199</v>
      </c>
      <c r="L148" s="112">
        <v>45895</v>
      </c>
      <c r="M148" s="111" t="s">
        <v>256</v>
      </c>
      <c r="N148" s="113"/>
      <c r="O148" s="114" t="s">
        <v>184</v>
      </c>
      <c r="P148" s="114" t="s">
        <v>184</v>
      </c>
      <c r="Q148" s="114" t="s">
        <v>184</v>
      </c>
      <c r="R148" s="114" t="s">
        <v>7370</v>
      </c>
      <c r="S148" s="114" t="s">
        <v>184</v>
      </c>
      <c r="T148" s="114" t="s">
        <v>183</v>
      </c>
      <c r="U148" s="114" t="s">
        <v>183</v>
      </c>
      <c r="V148" s="115"/>
      <c r="W148" s="116" t="s">
        <v>5908</v>
      </c>
      <c r="X148" s="116" t="s">
        <v>5909</v>
      </c>
      <c r="Y148" s="117">
        <v>3485276</v>
      </c>
      <c r="Z148" s="117">
        <v>3481527</v>
      </c>
      <c r="AA148" s="118"/>
      <c r="AB148" s="119" t="s">
        <v>5910</v>
      </c>
      <c r="AC148" s="119" t="s">
        <v>5911</v>
      </c>
      <c r="AD148" s="119" t="s">
        <v>3923</v>
      </c>
      <c r="AE148" s="119" t="s">
        <v>3923</v>
      </c>
      <c r="AF148" s="119" t="s">
        <v>6890</v>
      </c>
      <c r="AG148" s="120"/>
      <c r="AH148" s="121">
        <v>44958</v>
      </c>
      <c r="AI148" s="121">
        <v>45058</v>
      </c>
      <c r="AJ148" s="121">
        <v>45058</v>
      </c>
      <c r="AK148" s="122">
        <v>45058</v>
      </c>
      <c r="AL148" s="122" t="e">
        <v>#N/A</v>
      </c>
      <c r="AM148" s="121" t="e">
        <v>#N/A</v>
      </c>
      <c r="AN148" s="121" t="e">
        <v>#N/A</v>
      </c>
      <c r="AO148" s="121" t="e">
        <v>#N/A</v>
      </c>
      <c r="AP148" s="122" t="e">
        <v>#N/A</v>
      </c>
      <c r="AQ148" s="122" t="e">
        <v>#N/A</v>
      </c>
      <c r="AR148" s="122" t="e">
        <v>#N/A</v>
      </c>
      <c r="AS148" s="122" t="e">
        <v>#N/A</v>
      </c>
      <c r="AT148" s="122" t="e">
        <v>#N/A</v>
      </c>
      <c r="AU148" s="121" t="e">
        <v>#N/A</v>
      </c>
      <c r="AV148" s="122" t="e">
        <v>#N/A</v>
      </c>
      <c r="AW148" s="122" t="e">
        <v>#N/A</v>
      </c>
      <c r="AX148" s="122" t="e">
        <v>#N/A</v>
      </c>
      <c r="AY148" s="122" t="e">
        <v>#N/A</v>
      </c>
      <c r="AZ148" s="122" t="e">
        <v>#N/A</v>
      </c>
      <c r="BA148" s="122" t="e">
        <v>#N/A</v>
      </c>
      <c r="BB148" s="122" t="e">
        <v>#N/A</v>
      </c>
      <c r="BC148" s="122" t="e">
        <v>#N/A</v>
      </c>
      <c r="BD148" s="122" t="e">
        <v>#N/A</v>
      </c>
      <c r="BE148" s="122" t="e">
        <v>#N/A</v>
      </c>
      <c r="BF148" s="122" t="e">
        <v>#N/A</v>
      </c>
      <c r="BG148" s="122" t="e">
        <v>#N/A</v>
      </c>
      <c r="BH148" s="122" t="e">
        <v>#N/A</v>
      </c>
      <c r="BI148" s="122" t="e">
        <v>#N/A</v>
      </c>
      <c r="BJ148" s="122" t="e">
        <v>#N/A</v>
      </c>
      <c r="BK148" s="122">
        <v>45957</v>
      </c>
      <c r="BL148" s="123"/>
      <c r="BM148" s="124" t="e">
        <v>#N/A</v>
      </c>
      <c r="BN148" s="124" t="e">
        <v>#N/A</v>
      </c>
      <c r="BO148" s="124" t="e">
        <v>#N/A</v>
      </c>
      <c r="BP148" s="124" t="e">
        <v>#N/A</v>
      </c>
      <c r="BQ148" s="124" t="e">
        <v>#N/A</v>
      </c>
      <c r="BR148" s="124" t="e">
        <v>#N/A</v>
      </c>
      <c r="BS148" s="124" t="e">
        <v>#N/A</v>
      </c>
      <c r="BT148" s="124" t="e">
        <v>#N/A</v>
      </c>
      <c r="BU148" s="124" t="e">
        <v>#N/A</v>
      </c>
      <c r="BV148" s="124" t="e">
        <v>#N/A</v>
      </c>
      <c r="BW148" s="124" t="e">
        <v>#N/A</v>
      </c>
      <c r="BX148" s="124" t="e">
        <v>#N/A</v>
      </c>
      <c r="BY148" s="124" t="e">
        <v>#N/A</v>
      </c>
      <c r="BZ148" s="124" t="e">
        <v>#N/A</v>
      </c>
      <c r="CA148" s="125"/>
      <c r="CB148" s="124" t="e">
        <v>#N/A</v>
      </c>
      <c r="CC148" s="126">
        <v>1</v>
      </c>
      <c r="CD148" s="127" t="e">
        <v>#N/A</v>
      </c>
      <c r="CE148" s="128"/>
      <c r="CF148" s="77" t="s">
        <v>4169</v>
      </c>
    </row>
    <row r="149" spans="1:84" ht="14.5" x14ac:dyDescent="0.35">
      <c r="A149" s="77">
        <v>148</v>
      </c>
      <c r="B149" s="106" t="s">
        <v>4562</v>
      </c>
      <c r="C149" s="107" t="s">
        <v>6759</v>
      </c>
      <c r="D149" s="108" t="s">
        <v>4563</v>
      </c>
      <c r="E149" s="109" t="s">
        <v>4564</v>
      </c>
      <c r="F149" s="110">
        <v>646247038</v>
      </c>
      <c r="G149" s="108" t="s">
        <v>1004</v>
      </c>
      <c r="H149" s="111" t="s">
        <v>198</v>
      </c>
      <c r="I149" s="111" t="s">
        <v>180</v>
      </c>
      <c r="J149" s="111" t="s">
        <v>4649</v>
      </c>
      <c r="K149" s="111" t="s">
        <v>199</v>
      </c>
      <c r="L149" s="112">
        <v>45818</v>
      </c>
      <c r="M149" s="111" t="s">
        <v>511</v>
      </c>
      <c r="N149" s="113"/>
      <c r="O149" s="114" t="s">
        <v>225</v>
      </c>
      <c r="P149" s="114" t="s">
        <v>225</v>
      </c>
      <c r="Q149" s="114" t="s">
        <v>183</v>
      </c>
      <c r="R149" s="114" t="s">
        <v>7398</v>
      </c>
      <c r="S149" s="114" t="s">
        <v>225</v>
      </c>
      <c r="T149" s="114" t="s">
        <v>225</v>
      </c>
      <c r="U149" s="114" t="s">
        <v>225</v>
      </c>
      <c r="V149" s="115"/>
      <c r="W149" s="116" t="s">
        <v>4565</v>
      </c>
      <c r="X149" s="116" t="s">
        <v>4566</v>
      </c>
      <c r="Y149" s="117">
        <v>3485917</v>
      </c>
      <c r="Z149" s="117">
        <v>3486344</v>
      </c>
      <c r="AA149" s="118"/>
      <c r="AB149" s="119" t="s">
        <v>4567</v>
      </c>
      <c r="AC149" s="119" t="s">
        <v>4568</v>
      </c>
      <c r="AD149" s="119">
        <v>5280</v>
      </c>
      <c r="AE149" s="119" t="s">
        <v>4569</v>
      </c>
      <c r="AF149" s="119" t="s">
        <v>6086</v>
      </c>
      <c r="AG149" s="120"/>
      <c r="AH149" s="121">
        <v>45818</v>
      </c>
      <c r="AI149" s="121">
        <v>45818</v>
      </c>
      <c r="AJ149" s="121">
        <v>45818</v>
      </c>
      <c r="AK149" s="122">
        <v>45818</v>
      </c>
      <c r="AL149" s="122" t="e">
        <v>#N/A</v>
      </c>
      <c r="AM149" s="122" t="e">
        <v>#N/A</v>
      </c>
      <c r="AN149" s="122" t="e">
        <v>#N/A</v>
      </c>
      <c r="AO149" s="121" t="e">
        <v>#N/A</v>
      </c>
      <c r="AP149" s="122" t="e">
        <v>#N/A</v>
      </c>
      <c r="AQ149" s="122" t="e">
        <v>#N/A</v>
      </c>
      <c r="AR149" s="122" t="e">
        <v>#N/A</v>
      </c>
      <c r="AS149" s="122" t="e">
        <v>#N/A</v>
      </c>
      <c r="AT149" s="122" t="e">
        <v>#N/A</v>
      </c>
      <c r="AU149" s="121" t="e">
        <v>#N/A</v>
      </c>
      <c r="AV149" s="122" t="e">
        <v>#N/A</v>
      </c>
      <c r="AW149" s="122">
        <v>45828</v>
      </c>
      <c r="AX149" s="122" t="e">
        <v>#N/A</v>
      </c>
      <c r="AY149" s="122" t="e">
        <v>#N/A</v>
      </c>
      <c r="AZ149" s="122" t="e">
        <v>#N/A</v>
      </c>
      <c r="BA149" s="122" t="e">
        <v>#N/A</v>
      </c>
      <c r="BB149" s="122" t="e">
        <v>#N/A</v>
      </c>
      <c r="BC149" s="122" t="e">
        <v>#N/A</v>
      </c>
      <c r="BD149" s="122" t="e">
        <v>#N/A</v>
      </c>
      <c r="BE149" s="122" t="e">
        <v>#N/A</v>
      </c>
      <c r="BF149" s="122" t="e">
        <v>#N/A</v>
      </c>
      <c r="BG149" s="122" t="e">
        <v>#N/A</v>
      </c>
      <c r="BH149" s="122" t="e">
        <v>#N/A</v>
      </c>
      <c r="BI149" s="122" t="e">
        <v>#N/A</v>
      </c>
      <c r="BJ149" s="122" t="e">
        <v>#N/A</v>
      </c>
      <c r="BK149" s="122">
        <v>45951</v>
      </c>
      <c r="BL149" s="123"/>
      <c r="BM149" s="124" t="e">
        <v>#N/A</v>
      </c>
      <c r="BN149" s="124" t="e">
        <v>#N/A</v>
      </c>
      <c r="BO149" s="124" t="e">
        <v>#N/A</v>
      </c>
      <c r="BP149" s="124" t="e">
        <v>#N/A</v>
      </c>
      <c r="BQ149" s="124" t="e">
        <v>#N/A</v>
      </c>
      <c r="BR149" s="124" t="e">
        <v>#N/A</v>
      </c>
      <c r="BS149" s="124" t="e">
        <v>#N/A</v>
      </c>
      <c r="BT149" s="124" t="e">
        <v>#N/A</v>
      </c>
      <c r="BU149" s="124" t="e">
        <v>#N/A</v>
      </c>
      <c r="BV149" s="124" t="e">
        <v>#N/A</v>
      </c>
      <c r="BW149" s="124" t="e">
        <v>#N/A</v>
      </c>
      <c r="BX149" s="124" t="e">
        <v>#N/A</v>
      </c>
      <c r="BY149" s="124" t="e">
        <v>#N/A</v>
      </c>
      <c r="BZ149" s="124" t="e">
        <v>#N/A</v>
      </c>
      <c r="CA149" s="125"/>
      <c r="CB149" s="124">
        <v>45817</v>
      </c>
      <c r="CC149" s="126">
        <v>1</v>
      </c>
      <c r="CD149" s="127" t="s">
        <v>4450</v>
      </c>
      <c r="CE149" s="128"/>
      <c r="CF149" s="77" t="s">
        <v>4180</v>
      </c>
    </row>
    <row r="150" spans="1:84" ht="14.5" x14ac:dyDescent="0.35">
      <c r="A150" s="77">
        <v>149</v>
      </c>
      <c r="B150" s="106" t="s">
        <v>2220</v>
      </c>
      <c r="C150" s="107" t="s">
        <v>6440</v>
      </c>
      <c r="D150" s="108" t="s">
        <v>2620</v>
      </c>
      <c r="E150" s="109" t="s">
        <v>2257</v>
      </c>
      <c r="F150" s="110">
        <v>652724313</v>
      </c>
      <c r="G150" s="108" t="s">
        <v>190</v>
      </c>
      <c r="H150" s="111" t="s">
        <v>198</v>
      </c>
      <c r="I150" s="111" t="s">
        <v>180</v>
      </c>
      <c r="J150" s="111" t="s">
        <v>4649</v>
      </c>
      <c r="K150" s="111" t="s">
        <v>199</v>
      </c>
      <c r="L150" s="112">
        <v>41877</v>
      </c>
      <c r="M150" s="111" t="s">
        <v>1920</v>
      </c>
      <c r="N150" s="113"/>
      <c r="O150" s="114" t="s">
        <v>6020</v>
      </c>
      <c r="P150" s="114" t="s">
        <v>183</v>
      </c>
      <c r="Q150" s="114" t="s">
        <v>183</v>
      </c>
      <c r="R150" s="114" t="s">
        <v>7334</v>
      </c>
      <c r="S150" s="114" t="s">
        <v>6020</v>
      </c>
      <c r="T150" s="114" t="s">
        <v>6020</v>
      </c>
      <c r="U150" s="114" t="s">
        <v>6020</v>
      </c>
      <c r="V150" s="115"/>
      <c r="W150" s="116" t="s">
        <v>2258</v>
      </c>
      <c r="X150" s="116" t="s">
        <v>2259</v>
      </c>
      <c r="Y150" s="117">
        <v>3485500</v>
      </c>
      <c r="Z150" s="117">
        <v>3481388</v>
      </c>
      <c r="AA150" s="118"/>
      <c r="AB150" s="119" t="s">
        <v>2283</v>
      </c>
      <c r="AC150" s="119" t="s">
        <v>2284</v>
      </c>
      <c r="AD150" s="119">
        <v>26103</v>
      </c>
      <c r="AE150" s="119" t="s">
        <v>4134</v>
      </c>
      <c r="AF150" s="119">
        <v>0</v>
      </c>
      <c r="AG150" s="120"/>
      <c r="AH150" s="121">
        <v>45025</v>
      </c>
      <c r="AI150" s="121">
        <v>45058</v>
      </c>
      <c r="AJ150" s="121">
        <v>45058</v>
      </c>
      <c r="AK150" s="122">
        <v>45058</v>
      </c>
      <c r="AL150" s="122" t="e">
        <v>#N/A</v>
      </c>
      <c r="AM150" s="122" t="e">
        <v>#N/A</v>
      </c>
      <c r="AN150" s="122" t="e">
        <v>#N/A</v>
      </c>
      <c r="AO150" s="121" t="e">
        <v>#N/A</v>
      </c>
      <c r="AP150" s="122" t="e">
        <v>#N/A</v>
      </c>
      <c r="AQ150" s="122" t="e">
        <v>#N/A</v>
      </c>
      <c r="AR150" s="122" t="e">
        <v>#N/A</v>
      </c>
      <c r="AS150" s="122" t="e">
        <v>#N/A</v>
      </c>
      <c r="AT150" s="122" t="e">
        <v>#N/A</v>
      </c>
      <c r="AU150" s="121" t="e">
        <v>#N/A</v>
      </c>
      <c r="AV150" s="122" t="e">
        <v>#N/A</v>
      </c>
      <c r="AW150" s="122">
        <v>45741</v>
      </c>
      <c r="AX150" s="122" t="e">
        <v>#N/A</v>
      </c>
      <c r="AY150" s="122" t="e">
        <v>#N/A</v>
      </c>
      <c r="AZ150" s="122" t="e">
        <v>#N/A</v>
      </c>
      <c r="BA150" s="122" t="e">
        <v>#N/A</v>
      </c>
      <c r="BB150" s="122" t="e">
        <v>#N/A</v>
      </c>
      <c r="BC150" s="122" t="e">
        <v>#N/A</v>
      </c>
      <c r="BD150" s="122" t="e">
        <v>#N/A</v>
      </c>
      <c r="BE150" s="122" t="e">
        <v>#N/A</v>
      </c>
      <c r="BF150" s="122" t="e">
        <v>#N/A</v>
      </c>
      <c r="BG150" s="122" t="e">
        <v>#N/A</v>
      </c>
      <c r="BH150" s="122" t="e">
        <v>#N/A</v>
      </c>
      <c r="BI150" s="122" t="e">
        <v>#N/A</v>
      </c>
      <c r="BJ150" s="122" t="e">
        <v>#N/A</v>
      </c>
      <c r="BK150" s="122" t="e">
        <v>#N/A</v>
      </c>
      <c r="BL150" s="123"/>
      <c r="BM150" s="124" t="e">
        <v>#N/A</v>
      </c>
      <c r="BN150" s="124" t="e">
        <v>#N/A</v>
      </c>
      <c r="BO150" s="124" t="e">
        <v>#N/A</v>
      </c>
      <c r="BP150" s="124" t="e">
        <v>#N/A</v>
      </c>
      <c r="BQ150" s="124" t="e">
        <v>#N/A</v>
      </c>
      <c r="BR150" s="124" t="e">
        <v>#N/A</v>
      </c>
      <c r="BS150" s="124" t="e">
        <v>#N/A</v>
      </c>
      <c r="BT150" s="124" t="e">
        <v>#N/A</v>
      </c>
      <c r="BU150" s="124" t="e">
        <v>#N/A</v>
      </c>
      <c r="BV150" s="124" t="e">
        <v>#N/A</v>
      </c>
      <c r="BW150" s="124" t="e">
        <v>#N/A</v>
      </c>
      <c r="BX150" s="124" t="e">
        <v>#N/A</v>
      </c>
      <c r="BY150" s="124" t="e">
        <v>#N/A</v>
      </c>
      <c r="BZ150" s="124" t="e">
        <v>#N/A</v>
      </c>
      <c r="CA150" s="125"/>
      <c r="CB150" s="124" t="e">
        <v>#N/A</v>
      </c>
      <c r="CC150" s="126">
        <v>1</v>
      </c>
      <c r="CD150" s="127" t="s">
        <v>4189</v>
      </c>
      <c r="CE150" s="128"/>
      <c r="CF150" s="77" t="s">
        <v>4189</v>
      </c>
    </row>
    <row r="151" spans="1:84" ht="14.5" x14ac:dyDescent="0.35">
      <c r="A151" s="77">
        <v>150</v>
      </c>
      <c r="B151" s="106" t="s">
        <v>5997</v>
      </c>
      <c r="C151" s="107" t="s">
        <v>6880</v>
      </c>
      <c r="D151" s="108" t="s">
        <v>5912</v>
      </c>
      <c r="E151" s="109" t="s">
        <v>5913</v>
      </c>
      <c r="F151" s="110">
        <v>608963777</v>
      </c>
      <c r="G151" s="108" t="s">
        <v>1004</v>
      </c>
      <c r="H151" s="111" t="s">
        <v>198</v>
      </c>
      <c r="I151" s="111" t="s">
        <v>180</v>
      </c>
      <c r="J151" s="111" t="s">
        <v>4649</v>
      </c>
      <c r="K151" s="111" t="s">
        <v>199</v>
      </c>
      <c r="L151" s="112">
        <v>45922</v>
      </c>
      <c r="M151" s="111" t="s">
        <v>4035</v>
      </c>
      <c r="N151" s="113"/>
      <c r="O151" s="114" t="s">
        <v>469</v>
      </c>
      <c r="P151" s="114" t="s">
        <v>469</v>
      </c>
      <c r="Q151" s="114" t="s">
        <v>183</v>
      </c>
      <c r="R151" s="114" t="s">
        <v>7399</v>
      </c>
      <c r="S151" s="114" t="s">
        <v>469</v>
      </c>
      <c r="T151" s="114" t="s">
        <v>469</v>
      </c>
      <c r="U151" s="114" t="s">
        <v>469</v>
      </c>
      <c r="V151" s="115"/>
      <c r="W151" s="116" t="s">
        <v>5914</v>
      </c>
      <c r="X151" s="116" t="s">
        <v>5915</v>
      </c>
      <c r="Y151" s="117">
        <v>3485312</v>
      </c>
      <c r="Z151" s="117">
        <v>3481023</v>
      </c>
      <c r="AA151" s="118"/>
      <c r="AB151" s="119" t="s">
        <v>5916</v>
      </c>
      <c r="AC151" s="119" t="s">
        <v>5917</v>
      </c>
      <c r="AD151" s="119" t="s">
        <v>6881</v>
      </c>
      <c r="AE151" s="119" t="s">
        <v>6882</v>
      </c>
      <c r="AF151" s="119" t="s">
        <v>7243</v>
      </c>
      <c r="AG151" s="120"/>
      <c r="AH151" s="121">
        <v>45922</v>
      </c>
      <c r="AI151" s="121">
        <v>45922</v>
      </c>
      <c r="AJ151" s="121">
        <v>45922</v>
      </c>
      <c r="AK151" s="122">
        <v>45922</v>
      </c>
      <c r="AL151" s="122" t="e">
        <v>#N/A</v>
      </c>
      <c r="AM151" s="121" t="e">
        <v>#N/A</v>
      </c>
      <c r="AN151" s="121" t="e">
        <v>#N/A</v>
      </c>
      <c r="AO151" s="121" t="e">
        <v>#N/A</v>
      </c>
      <c r="AP151" s="122" t="e">
        <v>#N/A</v>
      </c>
      <c r="AQ151" s="122" t="e">
        <v>#N/A</v>
      </c>
      <c r="AR151" s="122" t="e">
        <v>#N/A</v>
      </c>
      <c r="AS151" s="122" t="e">
        <v>#N/A</v>
      </c>
      <c r="AT151" s="122" t="e">
        <v>#N/A</v>
      </c>
      <c r="AU151" s="121" t="e">
        <v>#N/A</v>
      </c>
      <c r="AV151" s="122" t="e">
        <v>#N/A</v>
      </c>
      <c r="AW151" s="122">
        <v>45919</v>
      </c>
      <c r="AX151" s="122" t="e">
        <v>#N/A</v>
      </c>
      <c r="AY151" s="122" t="e">
        <v>#N/A</v>
      </c>
      <c r="AZ151" s="122" t="e">
        <v>#N/A</v>
      </c>
      <c r="BA151" s="122" t="e">
        <v>#N/A</v>
      </c>
      <c r="BB151" s="122" t="e">
        <v>#N/A</v>
      </c>
      <c r="BC151" s="122" t="e">
        <v>#N/A</v>
      </c>
      <c r="BD151" s="122" t="e">
        <v>#N/A</v>
      </c>
      <c r="BE151" s="122" t="e">
        <v>#N/A</v>
      </c>
      <c r="BF151" s="122" t="e">
        <v>#N/A</v>
      </c>
      <c r="BG151" s="122" t="e">
        <v>#N/A</v>
      </c>
      <c r="BH151" s="122" t="e">
        <v>#N/A</v>
      </c>
      <c r="BI151" s="122" t="e">
        <v>#N/A</v>
      </c>
      <c r="BJ151" s="122" t="e">
        <v>#N/A</v>
      </c>
      <c r="BK151" s="122">
        <v>45967</v>
      </c>
      <c r="BL151" s="123"/>
      <c r="BM151" s="124" t="e">
        <v>#N/A</v>
      </c>
      <c r="BN151" s="124" t="e">
        <v>#N/A</v>
      </c>
      <c r="BO151" s="124" t="e">
        <v>#N/A</v>
      </c>
      <c r="BP151" s="124" t="e">
        <v>#N/A</v>
      </c>
      <c r="BQ151" s="124" t="e">
        <v>#N/A</v>
      </c>
      <c r="BR151" s="124" t="e">
        <v>#N/A</v>
      </c>
      <c r="BS151" s="124" t="e">
        <v>#N/A</v>
      </c>
      <c r="BT151" s="124" t="e">
        <v>#N/A</v>
      </c>
      <c r="BU151" s="124" t="e">
        <v>#N/A</v>
      </c>
      <c r="BV151" s="124" t="e">
        <v>#N/A</v>
      </c>
      <c r="BW151" s="124" t="e">
        <v>#N/A</v>
      </c>
      <c r="BX151" s="124" t="e">
        <v>#N/A</v>
      </c>
      <c r="BY151" s="124" t="e">
        <v>#N/A</v>
      </c>
      <c r="BZ151" s="124" t="e">
        <v>#N/A</v>
      </c>
      <c r="CA151" s="125"/>
      <c r="CB151" s="124" t="e">
        <v>#N/A</v>
      </c>
      <c r="CC151" s="126">
        <v>1</v>
      </c>
      <c r="CD151" s="127" t="s">
        <v>5998</v>
      </c>
      <c r="CE151" s="128"/>
      <c r="CF151" s="77" t="s">
        <v>4169</v>
      </c>
    </row>
    <row r="152" spans="1:84" ht="14.5" x14ac:dyDescent="0.35">
      <c r="A152" s="77">
        <v>151</v>
      </c>
      <c r="B152" s="106" t="s">
        <v>6371</v>
      </c>
      <c r="C152" s="107" t="s">
        <v>1248</v>
      </c>
      <c r="D152" s="108" t="s">
        <v>413</v>
      </c>
      <c r="E152" s="109" t="s">
        <v>414</v>
      </c>
      <c r="F152" s="110">
        <v>653178614</v>
      </c>
      <c r="G152" s="108" t="s">
        <v>1004</v>
      </c>
      <c r="H152" s="111" t="s">
        <v>198</v>
      </c>
      <c r="I152" s="111" t="s">
        <v>180</v>
      </c>
      <c r="J152" s="111" t="s">
        <v>4649</v>
      </c>
      <c r="K152" s="111" t="s">
        <v>199</v>
      </c>
      <c r="L152" s="112">
        <v>42640</v>
      </c>
      <c r="M152" s="111" t="s">
        <v>1546</v>
      </c>
      <c r="N152" s="113"/>
      <c r="O152" s="114" t="s">
        <v>5996</v>
      </c>
      <c r="P152" s="114" t="s">
        <v>5996</v>
      </c>
      <c r="Q152" s="114" t="s">
        <v>183</v>
      </c>
      <c r="R152" s="114" t="s">
        <v>7400</v>
      </c>
      <c r="S152" s="114" t="s">
        <v>7401</v>
      </c>
      <c r="T152" s="114" t="s">
        <v>7401</v>
      </c>
      <c r="U152" s="114" t="s">
        <v>7401</v>
      </c>
      <c r="V152" s="115"/>
      <c r="W152" s="116" t="s">
        <v>415</v>
      </c>
      <c r="X152" s="116" t="s">
        <v>416</v>
      </c>
      <c r="Y152" s="117">
        <v>3485397</v>
      </c>
      <c r="Z152" s="117">
        <v>3481386</v>
      </c>
      <c r="AA152" s="118"/>
      <c r="AB152" s="119" t="s">
        <v>5478</v>
      </c>
      <c r="AC152" s="119" t="s">
        <v>1249</v>
      </c>
      <c r="AD152" s="119">
        <v>5969</v>
      </c>
      <c r="AE152" s="119" t="s">
        <v>4261</v>
      </c>
      <c r="AF152" s="119">
        <v>0</v>
      </c>
      <c r="AG152" s="120"/>
      <c r="AH152" s="121">
        <v>44197</v>
      </c>
      <c r="AI152" s="121">
        <v>44197</v>
      </c>
      <c r="AJ152" s="121">
        <v>44197</v>
      </c>
      <c r="AK152" s="122">
        <v>44197</v>
      </c>
      <c r="AL152" s="122" t="e">
        <v>#N/A</v>
      </c>
      <c r="AM152" s="121" t="e">
        <v>#N/A</v>
      </c>
      <c r="AN152" s="121" t="e">
        <v>#N/A</v>
      </c>
      <c r="AO152" s="121" t="e">
        <v>#N/A</v>
      </c>
      <c r="AP152" s="122" t="e">
        <v>#N/A</v>
      </c>
      <c r="AQ152" s="122" t="e">
        <v>#N/A</v>
      </c>
      <c r="AR152" s="122" t="e">
        <v>#N/A</v>
      </c>
      <c r="AS152" s="122" t="e">
        <v>#N/A</v>
      </c>
      <c r="AT152" s="122" t="e">
        <v>#N/A</v>
      </c>
      <c r="AU152" s="121" t="e">
        <v>#N/A</v>
      </c>
      <c r="AV152" s="122" t="e">
        <v>#N/A</v>
      </c>
      <c r="AW152" s="122">
        <v>45938</v>
      </c>
      <c r="AX152" s="122" t="e">
        <v>#N/A</v>
      </c>
      <c r="AY152" s="122" t="e">
        <v>#N/A</v>
      </c>
      <c r="AZ152" s="122" t="e">
        <v>#N/A</v>
      </c>
      <c r="BA152" s="122" t="e">
        <v>#N/A</v>
      </c>
      <c r="BB152" s="122" t="e">
        <v>#N/A</v>
      </c>
      <c r="BC152" s="122" t="e">
        <v>#N/A</v>
      </c>
      <c r="BD152" s="122" t="e">
        <v>#N/A</v>
      </c>
      <c r="BE152" s="122" t="e">
        <v>#N/A</v>
      </c>
      <c r="BF152" s="122" t="e">
        <v>#N/A</v>
      </c>
      <c r="BG152" s="122" t="e">
        <v>#N/A</v>
      </c>
      <c r="BH152" s="122" t="e">
        <v>#N/A</v>
      </c>
      <c r="BI152" s="122" t="e">
        <v>#N/A</v>
      </c>
      <c r="BJ152" s="122" t="e">
        <v>#N/A</v>
      </c>
      <c r="BK152" s="122" t="e">
        <v>#N/A</v>
      </c>
      <c r="BL152" s="123"/>
      <c r="BM152" s="124" t="e">
        <v>#N/A</v>
      </c>
      <c r="BN152" s="124" t="e">
        <v>#N/A</v>
      </c>
      <c r="BO152" s="124" t="e">
        <v>#N/A</v>
      </c>
      <c r="BP152" s="124" t="e">
        <v>#N/A</v>
      </c>
      <c r="BQ152" s="124" t="e">
        <v>#N/A</v>
      </c>
      <c r="BR152" s="124" t="e">
        <v>#N/A</v>
      </c>
      <c r="BS152" s="124" t="e">
        <v>#N/A</v>
      </c>
      <c r="BT152" s="124" t="e">
        <v>#N/A</v>
      </c>
      <c r="BU152" s="124" t="e">
        <v>#N/A</v>
      </c>
      <c r="BV152" s="124" t="e">
        <v>#N/A</v>
      </c>
      <c r="BW152" s="124" t="e">
        <v>#N/A</v>
      </c>
      <c r="BX152" s="124" t="e">
        <v>#N/A</v>
      </c>
      <c r="BY152" s="124" t="e">
        <v>#N/A</v>
      </c>
      <c r="BZ152" s="124" t="e">
        <v>#N/A</v>
      </c>
      <c r="CA152" s="125"/>
      <c r="CB152" s="124" t="e">
        <v>#N/A</v>
      </c>
      <c r="CC152" s="126">
        <v>1</v>
      </c>
      <c r="CD152" s="127" t="e">
        <v>#N/A</v>
      </c>
      <c r="CE152" s="128"/>
      <c r="CF152" s="77" t="s">
        <v>4186</v>
      </c>
    </row>
    <row r="153" spans="1:84" ht="14.5" x14ac:dyDescent="0.35">
      <c r="A153" s="77">
        <v>152</v>
      </c>
      <c r="B153" s="106" t="s">
        <v>4944</v>
      </c>
      <c r="C153" s="107" t="s">
        <v>6410</v>
      </c>
      <c r="D153" s="108" t="s">
        <v>4945</v>
      </c>
      <c r="E153" s="109" t="s">
        <v>4946</v>
      </c>
      <c r="F153" s="110">
        <v>644568832</v>
      </c>
      <c r="G153" s="108" t="s">
        <v>1004</v>
      </c>
      <c r="H153" s="111" t="s">
        <v>198</v>
      </c>
      <c r="I153" s="111" t="s">
        <v>180</v>
      </c>
      <c r="J153" s="111" t="s">
        <v>4649</v>
      </c>
      <c r="K153" s="111" t="s">
        <v>199</v>
      </c>
      <c r="L153" s="112">
        <v>40206</v>
      </c>
      <c r="M153" s="111" t="s">
        <v>511</v>
      </c>
      <c r="N153" s="113"/>
      <c r="O153" s="114" t="s">
        <v>226</v>
      </c>
      <c r="P153" s="114" t="s">
        <v>4373</v>
      </c>
      <c r="Q153" s="114" t="s">
        <v>225</v>
      </c>
      <c r="R153" s="114" t="s">
        <v>7331</v>
      </c>
      <c r="S153" s="114" t="s">
        <v>226</v>
      </c>
      <c r="T153" s="114" t="s">
        <v>183</v>
      </c>
      <c r="U153" s="114" t="s">
        <v>183</v>
      </c>
      <c r="V153" s="115"/>
      <c r="W153" s="116" t="s">
        <v>4947</v>
      </c>
      <c r="X153" s="116" t="s">
        <v>4948</v>
      </c>
      <c r="Y153" s="117">
        <v>3485659</v>
      </c>
      <c r="Z153" s="117">
        <v>3486754</v>
      </c>
      <c r="AA153" s="118"/>
      <c r="AB153" s="119" t="s">
        <v>5165</v>
      </c>
      <c r="AC153" s="119" t="s">
        <v>4949</v>
      </c>
      <c r="AD153" s="119" t="s">
        <v>4950</v>
      </c>
      <c r="AE153" s="119" t="s">
        <v>4951</v>
      </c>
      <c r="AF153" s="119" t="s">
        <v>6098</v>
      </c>
      <c r="AG153" s="120"/>
      <c r="AH153" s="121">
        <v>45873</v>
      </c>
      <c r="AI153" s="121">
        <v>45873</v>
      </c>
      <c r="AJ153" s="121">
        <v>45873</v>
      </c>
      <c r="AK153" s="122">
        <v>45873</v>
      </c>
      <c r="AL153" s="122" t="e">
        <v>#N/A</v>
      </c>
      <c r="AM153" s="121" t="e">
        <v>#N/A</v>
      </c>
      <c r="AN153" s="121" t="e">
        <v>#N/A</v>
      </c>
      <c r="AO153" s="121" t="e">
        <v>#N/A</v>
      </c>
      <c r="AP153" s="122" t="e">
        <v>#N/A</v>
      </c>
      <c r="AQ153" s="122" t="e">
        <v>#N/A</v>
      </c>
      <c r="AR153" s="122" t="e">
        <v>#N/A</v>
      </c>
      <c r="AS153" s="122" t="e">
        <v>#N/A</v>
      </c>
      <c r="AT153" s="122" t="e">
        <v>#N/A</v>
      </c>
      <c r="AU153" s="121" t="e">
        <v>#N/A</v>
      </c>
      <c r="AV153" s="122" t="e">
        <v>#N/A</v>
      </c>
      <c r="AW153" s="122">
        <v>45873</v>
      </c>
      <c r="AX153" s="122" t="e">
        <v>#N/A</v>
      </c>
      <c r="AY153" s="122" t="e">
        <v>#N/A</v>
      </c>
      <c r="AZ153" s="122" t="e">
        <v>#N/A</v>
      </c>
      <c r="BA153" s="122" t="e">
        <v>#N/A</v>
      </c>
      <c r="BB153" s="122" t="e">
        <v>#N/A</v>
      </c>
      <c r="BC153" s="122" t="e">
        <v>#N/A</v>
      </c>
      <c r="BD153" s="122" t="e">
        <v>#N/A</v>
      </c>
      <c r="BE153" s="122" t="e">
        <v>#N/A</v>
      </c>
      <c r="BF153" s="122" t="e">
        <v>#N/A</v>
      </c>
      <c r="BG153" s="122" t="e">
        <v>#N/A</v>
      </c>
      <c r="BH153" s="122" t="e">
        <v>#N/A</v>
      </c>
      <c r="BI153" s="122" t="e">
        <v>#N/A</v>
      </c>
      <c r="BJ153" s="122" t="e">
        <v>#N/A</v>
      </c>
      <c r="BK153" s="122">
        <v>45957</v>
      </c>
      <c r="BL153" s="123"/>
      <c r="BM153" s="124" t="e">
        <v>#N/A</v>
      </c>
      <c r="BN153" s="124" t="e">
        <v>#N/A</v>
      </c>
      <c r="BO153" s="124" t="e">
        <v>#N/A</v>
      </c>
      <c r="BP153" s="124" t="e">
        <v>#N/A</v>
      </c>
      <c r="BQ153" s="124" t="e">
        <v>#N/A</v>
      </c>
      <c r="BR153" s="124" t="e">
        <v>#N/A</v>
      </c>
      <c r="BS153" s="124" t="e">
        <v>#N/A</v>
      </c>
      <c r="BT153" s="124" t="e">
        <v>#N/A</v>
      </c>
      <c r="BU153" s="124" t="e">
        <v>#N/A</v>
      </c>
      <c r="BV153" s="124" t="e">
        <v>#N/A</v>
      </c>
      <c r="BW153" s="124" t="e">
        <v>#N/A</v>
      </c>
      <c r="BX153" s="124" t="e">
        <v>#N/A</v>
      </c>
      <c r="BY153" s="124" t="e">
        <v>#N/A</v>
      </c>
      <c r="BZ153" s="124" t="e">
        <v>#N/A</v>
      </c>
      <c r="CA153" s="125"/>
      <c r="CB153" s="124" t="e">
        <v>#N/A</v>
      </c>
      <c r="CC153" s="126">
        <v>1</v>
      </c>
      <c r="CD153" s="127" t="s">
        <v>4904</v>
      </c>
      <c r="CE153" s="128"/>
      <c r="CF153" s="77" t="s">
        <v>4180</v>
      </c>
    </row>
    <row r="154" spans="1:84" ht="14.5" x14ac:dyDescent="0.35">
      <c r="A154" s="77">
        <v>153</v>
      </c>
      <c r="B154" s="106" t="s">
        <v>6378</v>
      </c>
      <c r="C154" s="107" t="s">
        <v>6379</v>
      </c>
      <c r="D154" s="108" t="s">
        <v>2494</v>
      </c>
      <c r="E154" s="109" t="s">
        <v>2495</v>
      </c>
      <c r="F154" s="110" t="s">
        <v>223</v>
      </c>
      <c r="G154" s="108" t="s">
        <v>1004</v>
      </c>
      <c r="H154" s="111" t="s">
        <v>198</v>
      </c>
      <c r="I154" s="111" t="s">
        <v>180</v>
      </c>
      <c r="J154" s="111" t="s">
        <v>4649</v>
      </c>
      <c r="K154" s="111" t="s">
        <v>199</v>
      </c>
      <c r="L154" s="112">
        <v>43267</v>
      </c>
      <c r="M154" s="111" t="s">
        <v>284</v>
      </c>
      <c r="N154" s="113"/>
      <c r="O154" s="114" t="s">
        <v>6899</v>
      </c>
      <c r="P154" s="114" t="s">
        <v>6899</v>
      </c>
      <c r="Q154" s="114" t="s">
        <v>6899</v>
      </c>
      <c r="R154" s="114" t="s">
        <v>6899</v>
      </c>
      <c r="S154" s="114" t="s">
        <v>6899</v>
      </c>
      <c r="T154" s="114" t="s">
        <v>6899</v>
      </c>
      <c r="U154" s="114" t="s">
        <v>6899</v>
      </c>
      <c r="V154" s="115"/>
      <c r="W154" s="116" t="s">
        <v>2496</v>
      </c>
      <c r="X154" s="116" t="s">
        <v>2497</v>
      </c>
      <c r="Y154" s="117">
        <v>3485064</v>
      </c>
      <c r="Z154" s="117">
        <v>3481018</v>
      </c>
      <c r="AA154" s="118"/>
      <c r="AB154" s="119" t="s">
        <v>5216</v>
      </c>
      <c r="AC154" s="119" t="s">
        <v>2498</v>
      </c>
      <c r="AD154" s="119">
        <v>27083</v>
      </c>
      <c r="AE154" s="119" t="s">
        <v>2499</v>
      </c>
      <c r="AF154" s="119">
        <v>0</v>
      </c>
      <c r="AG154" s="120"/>
      <c r="AH154" s="121">
        <v>44994</v>
      </c>
      <c r="AI154" s="121">
        <v>45376</v>
      </c>
      <c r="AJ154" s="121">
        <v>45195</v>
      </c>
      <c r="AK154" s="122">
        <v>45376</v>
      </c>
      <c r="AL154" s="122" t="e">
        <v>#N/A</v>
      </c>
      <c r="AM154" s="121" t="e">
        <v>#N/A</v>
      </c>
      <c r="AN154" s="121" t="e">
        <v>#N/A</v>
      </c>
      <c r="AO154" s="121" t="e">
        <v>#N/A</v>
      </c>
      <c r="AP154" s="122" t="e">
        <v>#N/A</v>
      </c>
      <c r="AQ154" s="122" t="e">
        <v>#N/A</v>
      </c>
      <c r="AR154" s="122" t="e">
        <v>#N/A</v>
      </c>
      <c r="AS154" s="122" t="e">
        <v>#N/A</v>
      </c>
      <c r="AT154" s="122" t="e">
        <v>#N/A</v>
      </c>
      <c r="AU154" s="121" t="e">
        <v>#N/A</v>
      </c>
      <c r="AV154" s="122" t="e">
        <v>#N/A</v>
      </c>
      <c r="AW154" s="122">
        <v>45938</v>
      </c>
      <c r="AX154" s="122" t="e">
        <v>#N/A</v>
      </c>
      <c r="AY154" s="122" t="e">
        <v>#N/A</v>
      </c>
      <c r="AZ154" s="122" t="e">
        <v>#N/A</v>
      </c>
      <c r="BA154" s="122" t="e">
        <v>#N/A</v>
      </c>
      <c r="BB154" s="122" t="e">
        <v>#N/A</v>
      </c>
      <c r="BC154" s="122" t="e">
        <v>#N/A</v>
      </c>
      <c r="BD154" s="122" t="e">
        <v>#N/A</v>
      </c>
      <c r="BE154" s="122" t="e">
        <v>#N/A</v>
      </c>
      <c r="BF154" s="122" t="e">
        <v>#N/A</v>
      </c>
      <c r="BG154" s="122" t="e">
        <v>#N/A</v>
      </c>
      <c r="BH154" s="122" t="e">
        <v>#N/A</v>
      </c>
      <c r="BI154" s="122" t="e">
        <v>#N/A</v>
      </c>
      <c r="BJ154" s="122" t="e">
        <v>#N/A</v>
      </c>
      <c r="BK154" s="122" t="e">
        <v>#N/A</v>
      </c>
      <c r="BL154" s="123"/>
      <c r="BM154" s="124" t="e">
        <v>#N/A</v>
      </c>
      <c r="BN154" s="124" t="e">
        <v>#N/A</v>
      </c>
      <c r="BO154" s="124" t="e">
        <v>#N/A</v>
      </c>
      <c r="BP154" s="124" t="e">
        <v>#N/A</v>
      </c>
      <c r="BQ154" s="124" t="e">
        <v>#N/A</v>
      </c>
      <c r="BR154" s="124" t="e">
        <v>#N/A</v>
      </c>
      <c r="BS154" s="124" t="e">
        <v>#N/A</v>
      </c>
      <c r="BT154" s="124" t="e">
        <v>#N/A</v>
      </c>
      <c r="BU154" s="124" t="e">
        <v>#N/A</v>
      </c>
      <c r="BV154" s="124" t="e">
        <v>#N/A</v>
      </c>
      <c r="BW154" s="124" t="e">
        <v>#N/A</v>
      </c>
      <c r="BX154" s="124" t="e">
        <v>#N/A</v>
      </c>
      <c r="BY154" s="124" t="e">
        <v>#N/A</v>
      </c>
      <c r="BZ154" s="124" t="e">
        <v>#N/A</v>
      </c>
      <c r="CA154" s="125"/>
      <c r="CB154" s="124">
        <v>45727</v>
      </c>
      <c r="CC154" s="126">
        <v>1</v>
      </c>
      <c r="CD154" s="127" t="e">
        <v>#N/A</v>
      </c>
      <c r="CE154" s="128"/>
      <c r="CF154" s="77" t="s">
        <v>4161</v>
      </c>
    </row>
    <row r="155" spans="1:84" ht="14.5" x14ac:dyDescent="0.35">
      <c r="A155" s="77">
        <v>154</v>
      </c>
      <c r="B155" s="106" t="s">
        <v>4665</v>
      </c>
      <c r="C155" s="107" t="s">
        <v>6772</v>
      </c>
      <c r="D155" s="108" t="s">
        <v>4666</v>
      </c>
      <c r="E155" s="109" t="s">
        <v>4667</v>
      </c>
      <c r="F155" s="110">
        <v>633479370</v>
      </c>
      <c r="G155" s="108" t="s">
        <v>1004</v>
      </c>
      <c r="H155" s="111" t="s">
        <v>198</v>
      </c>
      <c r="I155" s="111" t="s">
        <v>180</v>
      </c>
      <c r="J155" s="111" t="s">
        <v>4649</v>
      </c>
      <c r="K155" s="111" t="s">
        <v>199</v>
      </c>
      <c r="L155" s="112">
        <v>45824</v>
      </c>
      <c r="M155" s="111" t="s">
        <v>2792</v>
      </c>
      <c r="N155" s="113"/>
      <c r="O155" s="114" t="s">
        <v>585</v>
      </c>
      <c r="P155" s="114" t="s">
        <v>183</v>
      </c>
      <c r="Q155" s="114" t="s">
        <v>585</v>
      </c>
      <c r="R155" s="114" t="s">
        <v>7296</v>
      </c>
      <c r="S155" s="114" t="s">
        <v>183</v>
      </c>
      <c r="T155" s="114" t="s">
        <v>585</v>
      </c>
      <c r="U155" s="114" t="s">
        <v>585</v>
      </c>
      <c r="V155" s="115"/>
      <c r="W155" s="116" t="s">
        <v>4668</v>
      </c>
      <c r="X155" s="116" t="s">
        <v>4669</v>
      </c>
      <c r="Y155" s="117">
        <v>3485054</v>
      </c>
      <c r="Z155" s="117">
        <v>3481540</v>
      </c>
      <c r="AA155" s="118"/>
      <c r="AB155" s="119" t="s">
        <v>4670</v>
      </c>
      <c r="AC155" s="119" t="s">
        <v>4671</v>
      </c>
      <c r="AD155" s="119">
        <v>5433</v>
      </c>
      <c r="AE155" s="119" t="s">
        <v>4672</v>
      </c>
      <c r="AF155" s="119" t="s">
        <v>6083</v>
      </c>
      <c r="AG155" s="120"/>
      <c r="AH155" s="121">
        <v>45824</v>
      </c>
      <c r="AI155" s="121">
        <v>45824</v>
      </c>
      <c r="AJ155" s="121">
        <v>45824</v>
      </c>
      <c r="AK155" s="122">
        <v>45824</v>
      </c>
      <c r="AL155" s="122" t="e">
        <v>#N/A</v>
      </c>
      <c r="AM155" s="122" t="e">
        <v>#N/A</v>
      </c>
      <c r="AN155" s="122" t="e">
        <v>#N/A</v>
      </c>
      <c r="AO155" s="121" t="e">
        <v>#N/A</v>
      </c>
      <c r="AP155" s="122" t="e">
        <v>#N/A</v>
      </c>
      <c r="AQ155" s="122" t="e">
        <v>#N/A</v>
      </c>
      <c r="AR155" s="122" t="e">
        <v>#N/A</v>
      </c>
      <c r="AS155" s="122" t="e">
        <v>#N/A</v>
      </c>
      <c r="AT155" s="122" t="e">
        <v>#N/A</v>
      </c>
      <c r="AU155" s="121" t="e">
        <v>#N/A</v>
      </c>
      <c r="AV155" s="122" t="e">
        <v>#N/A</v>
      </c>
      <c r="AW155" s="122">
        <v>45819</v>
      </c>
      <c r="AX155" s="122" t="e">
        <v>#N/A</v>
      </c>
      <c r="AY155" s="122" t="e">
        <v>#N/A</v>
      </c>
      <c r="AZ155" s="122" t="e">
        <v>#N/A</v>
      </c>
      <c r="BA155" s="122" t="e">
        <v>#N/A</v>
      </c>
      <c r="BB155" s="122" t="e">
        <v>#N/A</v>
      </c>
      <c r="BC155" s="122" t="e">
        <v>#N/A</v>
      </c>
      <c r="BD155" s="122" t="e">
        <v>#N/A</v>
      </c>
      <c r="BE155" s="122" t="e">
        <v>#N/A</v>
      </c>
      <c r="BF155" s="122" t="e">
        <v>#N/A</v>
      </c>
      <c r="BG155" s="122" t="e">
        <v>#N/A</v>
      </c>
      <c r="BH155" s="122" t="e">
        <v>#N/A</v>
      </c>
      <c r="BI155" s="122" t="e">
        <v>#N/A</v>
      </c>
      <c r="BJ155" s="122" t="e">
        <v>#N/A</v>
      </c>
      <c r="BK155" s="122">
        <v>45959</v>
      </c>
      <c r="BL155" s="123"/>
      <c r="BM155" s="124" t="e">
        <v>#N/A</v>
      </c>
      <c r="BN155" s="124" t="e">
        <v>#N/A</v>
      </c>
      <c r="BO155" s="124" t="e">
        <v>#N/A</v>
      </c>
      <c r="BP155" s="124" t="e">
        <v>#N/A</v>
      </c>
      <c r="BQ155" s="124" t="e">
        <v>#N/A</v>
      </c>
      <c r="BR155" s="124" t="e">
        <v>#N/A</v>
      </c>
      <c r="BS155" s="124" t="e">
        <v>#N/A</v>
      </c>
      <c r="BT155" s="124" t="e">
        <v>#N/A</v>
      </c>
      <c r="BU155" s="124" t="e">
        <v>#N/A</v>
      </c>
      <c r="BV155" s="124" t="e">
        <v>#N/A</v>
      </c>
      <c r="BW155" s="124" t="e">
        <v>#N/A</v>
      </c>
      <c r="BX155" s="124" t="e">
        <v>#N/A</v>
      </c>
      <c r="BY155" s="124" t="e">
        <v>#N/A</v>
      </c>
      <c r="BZ155" s="124" t="e">
        <v>#N/A</v>
      </c>
      <c r="CA155" s="125"/>
      <c r="CB155" s="124">
        <v>45820</v>
      </c>
      <c r="CC155" s="126">
        <v>1</v>
      </c>
      <c r="CD155" s="127" t="s">
        <v>4673</v>
      </c>
      <c r="CE155" s="128"/>
      <c r="CF155" s="77" t="s">
        <v>4176</v>
      </c>
    </row>
    <row r="156" spans="1:84" ht="14.5" x14ac:dyDescent="0.35">
      <c r="A156" s="77">
        <v>155</v>
      </c>
      <c r="B156" s="106" t="s">
        <v>5094</v>
      </c>
      <c r="C156" s="107" t="s">
        <v>6819</v>
      </c>
      <c r="D156" s="108" t="s">
        <v>5095</v>
      </c>
      <c r="E156" s="109" t="s">
        <v>5096</v>
      </c>
      <c r="F156" s="110">
        <v>637486521</v>
      </c>
      <c r="G156" s="108" t="s">
        <v>1004</v>
      </c>
      <c r="H156" s="111" t="s">
        <v>198</v>
      </c>
      <c r="I156" s="111" t="s">
        <v>180</v>
      </c>
      <c r="J156" s="111" t="s">
        <v>4649</v>
      </c>
      <c r="K156" s="111" t="s">
        <v>199</v>
      </c>
      <c r="L156" s="112">
        <v>45873</v>
      </c>
      <c r="M156" s="111" t="s">
        <v>2933</v>
      </c>
      <c r="N156" s="113"/>
      <c r="O156" s="114" t="s">
        <v>225</v>
      </c>
      <c r="P156" s="114" t="s">
        <v>183</v>
      </c>
      <c r="Q156" s="114" t="s">
        <v>226</v>
      </c>
      <c r="R156" s="114" t="s">
        <v>7331</v>
      </c>
      <c r="S156" s="114" t="s">
        <v>183</v>
      </c>
      <c r="T156" s="114" t="s">
        <v>226</v>
      </c>
      <c r="U156" s="114" t="s">
        <v>226</v>
      </c>
      <c r="V156" s="115"/>
      <c r="W156" s="116" t="s">
        <v>5097</v>
      </c>
      <c r="X156" s="116" t="s">
        <v>5098</v>
      </c>
      <c r="Y156" s="117">
        <v>3485212</v>
      </c>
      <c r="Z156" s="117">
        <v>3486739</v>
      </c>
      <c r="AA156" s="118"/>
      <c r="AB156" s="119" t="s">
        <v>5099</v>
      </c>
      <c r="AC156" s="119" t="s">
        <v>5100</v>
      </c>
      <c r="AD156" s="119" t="s">
        <v>5101</v>
      </c>
      <c r="AE156" s="119" t="s">
        <v>5102</v>
      </c>
      <c r="AF156" s="119" t="s">
        <v>6070</v>
      </c>
      <c r="AG156" s="120"/>
      <c r="AH156" s="121">
        <v>45873</v>
      </c>
      <c r="AI156" s="121">
        <v>45873</v>
      </c>
      <c r="AJ156" s="121">
        <v>45873</v>
      </c>
      <c r="AK156" s="122">
        <v>45873</v>
      </c>
      <c r="AL156" s="122" t="e">
        <v>#N/A</v>
      </c>
      <c r="AM156" s="122" t="e">
        <v>#N/A</v>
      </c>
      <c r="AN156" s="122" t="e">
        <v>#N/A</v>
      </c>
      <c r="AO156" s="121" t="e">
        <v>#N/A</v>
      </c>
      <c r="AP156" s="122" t="e">
        <v>#N/A</v>
      </c>
      <c r="AQ156" s="122" t="e">
        <v>#N/A</v>
      </c>
      <c r="AR156" s="122" t="e">
        <v>#N/A</v>
      </c>
      <c r="AS156" s="122" t="e">
        <v>#N/A</v>
      </c>
      <c r="AT156" s="122" t="e">
        <v>#N/A</v>
      </c>
      <c r="AU156" s="121" t="e">
        <v>#N/A</v>
      </c>
      <c r="AV156" s="122" t="e">
        <v>#N/A</v>
      </c>
      <c r="AW156" s="122">
        <v>45873</v>
      </c>
      <c r="AX156" s="122" t="e">
        <v>#N/A</v>
      </c>
      <c r="AY156" s="122" t="e">
        <v>#N/A</v>
      </c>
      <c r="AZ156" s="122" t="e">
        <v>#N/A</v>
      </c>
      <c r="BA156" s="122" t="e">
        <v>#N/A</v>
      </c>
      <c r="BB156" s="122" t="e">
        <v>#N/A</v>
      </c>
      <c r="BC156" s="122" t="e">
        <v>#N/A</v>
      </c>
      <c r="BD156" s="122" t="e">
        <v>#N/A</v>
      </c>
      <c r="BE156" s="122" t="e">
        <v>#N/A</v>
      </c>
      <c r="BF156" s="122" t="e">
        <v>#N/A</v>
      </c>
      <c r="BG156" s="122" t="e">
        <v>#N/A</v>
      </c>
      <c r="BH156" s="122" t="e">
        <v>#N/A</v>
      </c>
      <c r="BI156" s="122" t="e">
        <v>#N/A</v>
      </c>
      <c r="BJ156" s="122" t="e">
        <v>#N/A</v>
      </c>
      <c r="BK156" s="122">
        <v>45953</v>
      </c>
      <c r="BL156" s="123"/>
      <c r="BM156" s="124" t="e">
        <v>#N/A</v>
      </c>
      <c r="BN156" s="124" t="e">
        <v>#N/A</v>
      </c>
      <c r="BO156" s="124" t="e">
        <v>#N/A</v>
      </c>
      <c r="BP156" s="124" t="e">
        <v>#N/A</v>
      </c>
      <c r="BQ156" s="124" t="e">
        <v>#N/A</v>
      </c>
      <c r="BR156" s="124" t="e">
        <v>#N/A</v>
      </c>
      <c r="BS156" s="124" t="e">
        <v>#N/A</v>
      </c>
      <c r="BT156" s="124" t="e">
        <v>#N/A</v>
      </c>
      <c r="BU156" s="124" t="e">
        <v>#N/A</v>
      </c>
      <c r="BV156" s="124" t="e">
        <v>#N/A</v>
      </c>
      <c r="BW156" s="124" t="e">
        <v>#N/A</v>
      </c>
      <c r="BX156" s="124" t="e">
        <v>#N/A</v>
      </c>
      <c r="BY156" s="124" t="e">
        <v>#N/A</v>
      </c>
      <c r="BZ156" s="124" t="e">
        <v>#N/A</v>
      </c>
      <c r="CA156" s="125"/>
      <c r="CB156" s="124" t="e">
        <v>#N/A</v>
      </c>
      <c r="CC156" s="126">
        <v>1</v>
      </c>
      <c r="CD156" s="127" t="s">
        <v>5058</v>
      </c>
      <c r="CE156" s="128"/>
      <c r="CF156" s="77" t="s">
        <v>4190</v>
      </c>
    </row>
    <row r="157" spans="1:84" ht="14.5" x14ac:dyDescent="0.35">
      <c r="A157" s="77">
        <v>156</v>
      </c>
      <c r="B157" s="106" t="s">
        <v>4697</v>
      </c>
      <c r="C157" s="107" t="s">
        <v>6776</v>
      </c>
      <c r="D157" s="108" t="s">
        <v>4698</v>
      </c>
      <c r="E157" s="109" t="s">
        <v>4699</v>
      </c>
      <c r="F157" s="110">
        <v>606207096</v>
      </c>
      <c r="G157" s="108" t="s">
        <v>1004</v>
      </c>
      <c r="H157" s="111" t="s">
        <v>198</v>
      </c>
      <c r="I157" s="111" t="s">
        <v>180</v>
      </c>
      <c r="J157" s="111" t="s">
        <v>4649</v>
      </c>
      <c r="K157" s="111" t="s">
        <v>199</v>
      </c>
      <c r="L157" s="112">
        <v>45824</v>
      </c>
      <c r="M157" s="111" t="s">
        <v>2792</v>
      </c>
      <c r="N157" s="113"/>
      <c r="O157" s="114" t="s">
        <v>285</v>
      </c>
      <c r="P157" s="114" t="s">
        <v>285</v>
      </c>
      <c r="Q157" s="114" t="s">
        <v>285</v>
      </c>
      <c r="R157" s="114" t="s">
        <v>7312</v>
      </c>
      <c r="S157" s="114" t="s">
        <v>285</v>
      </c>
      <c r="T157" s="114" t="s">
        <v>183</v>
      </c>
      <c r="U157" s="114" t="s">
        <v>183</v>
      </c>
      <c r="V157" s="115"/>
      <c r="W157" s="116" t="s">
        <v>4700</v>
      </c>
      <c r="X157" s="116" t="s">
        <v>4701</v>
      </c>
      <c r="Y157" s="117">
        <v>3485117</v>
      </c>
      <c r="Z157" s="117">
        <v>3481542</v>
      </c>
      <c r="AA157" s="118"/>
      <c r="AB157" s="119" t="s">
        <v>5820</v>
      </c>
      <c r="AC157" s="119" t="s">
        <v>4702</v>
      </c>
      <c r="AD157" s="119">
        <v>5655</v>
      </c>
      <c r="AE157" s="119" t="s">
        <v>4703</v>
      </c>
      <c r="AF157" s="119" t="s">
        <v>6082</v>
      </c>
      <c r="AG157" s="120"/>
      <c r="AH157" s="121">
        <v>45824</v>
      </c>
      <c r="AI157" s="121">
        <v>45824</v>
      </c>
      <c r="AJ157" s="121">
        <v>45824</v>
      </c>
      <c r="AK157" s="122">
        <v>45824</v>
      </c>
      <c r="AL157" s="122" t="e">
        <v>#N/A</v>
      </c>
      <c r="AM157" s="121" t="e">
        <v>#N/A</v>
      </c>
      <c r="AN157" s="121" t="e">
        <v>#N/A</v>
      </c>
      <c r="AO157" s="121" t="e">
        <v>#N/A</v>
      </c>
      <c r="AP157" s="122" t="e">
        <v>#N/A</v>
      </c>
      <c r="AQ157" s="122" t="e">
        <v>#N/A</v>
      </c>
      <c r="AR157" s="122" t="e">
        <v>#N/A</v>
      </c>
      <c r="AS157" s="122" t="e">
        <v>#N/A</v>
      </c>
      <c r="AT157" s="122" t="e">
        <v>#N/A</v>
      </c>
      <c r="AU157" s="121" t="e">
        <v>#N/A</v>
      </c>
      <c r="AV157" s="122" t="e">
        <v>#N/A</v>
      </c>
      <c r="AW157" s="122">
        <v>45819</v>
      </c>
      <c r="AX157" s="122" t="e">
        <v>#N/A</v>
      </c>
      <c r="AY157" s="122" t="e">
        <v>#N/A</v>
      </c>
      <c r="AZ157" s="122" t="e">
        <v>#N/A</v>
      </c>
      <c r="BA157" s="122" t="e">
        <v>#N/A</v>
      </c>
      <c r="BB157" s="122" t="e">
        <v>#N/A</v>
      </c>
      <c r="BC157" s="122" t="e">
        <v>#N/A</v>
      </c>
      <c r="BD157" s="122" t="e">
        <v>#N/A</v>
      </c>
      <c r="BE157" s="122" t="e">
        <v>#N/A</v>
      </c>
      <c r="BF157" s="122" t="e">
        <v>#N/A</v>
      </c>
      <c r="BG157" s="122" t="e">
        <v>#N/A</v>
      </c>
      <c r="BH157" s="122" t="e">
        <v>#N/A</v>
      </c>
      <c r="BI157" s="122" t="e">
        <v>#N/A</v>
      </c>
      <c r="BJ157" s="122" t="e">
        <v>#N/A</v>
      </c>
      <c r="BK157" s="122">
        <v>45950</v>
      </c>
      <c r="BL157" s="123"/>
      <c r="BM157" s="124" t="e">
        <v>#N/A</v>
      </c>
      <c r="BN157" s="124" t="e">
        <v>#N/A</v>
      </c>
      <c r="BO157" s="124" t="e">
        <v>#N/A</v>
      </c>
      <c r="BP157" s="124" t="e">
        <v>#N/A</v>
      </c>
      <c r="BQ157" s="124" t="e">
        <v>#N/A</v>
      </c>
      <c r="BR157" s="124" t="e">
        <v>#N/A</v>
      </c>
      <c r="BS157" s="124" t="e">
        <v>#N/A</v>
      </c>
      <c r="BT157" s="124" t="e">
        <v>#N/A</v>
      </c>
      <c r="BU157" s="124" t="e">
        <v>#N/A</v>
      </c>
      <c r="BV157" s="124" t="e">
        <v>#N/A</v>
      </c>
      <c r="BW157" s="124" t="e">
        <v>#N/A</v>
      </c>
      <c r="BX157" s="124" t="e">
        <v>#N/A</v>
      </c>
      <c r="BY157" s="124" t="e">
        <v>#N/A</v>
      </c>
      <c r="BZ157" s="124" t="e">
        <v>#N/A</v>
      </c>
      <c r="CA157" s="125"/>
      <c r="CB157" s="124">
        <v>45820</v>
      </c>
      <c r="CC157" s="126">
        <v>1</v>
      </c>
      <c r="CD157" s="127" t="s">
        <v>4673</v>
      </c>
      <c r="CE157" s="128"/>
      <c r="CF157" s="77" t="s">
        <v>4169</v>
      </c>
    </row>
    <row r="158" spans="1:84" ht="14.5" x14ac:dyDescent="0.35">
      <c r="A158" s="77">
        <v>157</v>
      </c>
      <c r="B158" s="106" t="s">
        <v>6359</v>
      </c>
      <c r="C158" s="107" t="s">
        <v>6360</v>
      </c>
      <c r="D158" s="108" t="s">
        <v>3413</v>
      </c>
      <c r="E158" s="109" t="s">
        <v>3395</v>
      </c>
      <c r="F158" s="110">
        <v>625678149</v>
      </c>
      <c r="G158" s="108" t="s">
        <v>1004</v>
      </c>
      <c r="H158" s="111" t="s">
        <v>198</v>
      </c>
      <c r="I158" s="111" t="s">
        <v>180</v>
      </c>
      <c r="J158" s="111" t="s">
        <v>4649</v>
      </c>
      <c r="K158" s="111" t="s">
        <v>199</v>
      </c>
      <c r="L158" s="112">
        <v>39111</v>
      </c>
      <c r="M158" s="111" t="s">
        <v>181</v>
      </c>
      <c r="N158" s="113"/>
      <c r="O158" s="114" t="s">
        <v>226</v>
      </c>
      <c r="P158" s="114" t="s">
        <v>225</v>
      </c>
      <c r="Q158" s="114" t="s">
        <v>226</v>
      </c>
      <c r="R158" s="114" t="s">
        <v>7331</v>
      </c>
      <c r="S158" s="114" t="s">
        <v>226</v>
      </c>
      <c r="T158" s="114" t="s">
        <v>183</v>
      </c>
      <c r="U158" s="114" t="s">
        <v>183</v>
      </c>
      <c r="V158" s="115"/>
      <c r="W158" s="116" t="s">
        <v>3396</v>
      </c>
      <c r="X158" s="116" t="s">
        <v>3397</v>
      </c>
      <c r="Y158" s="117">
        <v>3485968</v>
      </c>
      <c r="Z158" s="117">
        <v>3486668</v>
      </c>
      <c r="AA158" s="118"/>
      <c r="AB158" s="119" t="s">
        <v>5343</v>
      </c>
      <c r="AC158" s="119" t="s">
        <v>3511</v>
      </c>
      <c r="AD158" s="119">
        <v>5597</v>
      </c>
      <c r="AE158" s="119" t="s">
        <v>3414</v>
      </c>
      <c r="AF158" s="119" t="s">
        <v>6099</v>
      </c>
      <c r="AG158" s="120"/>
      <c r="AH158" s="121">
        <v>45481</v>
      </c>
      <c r="AI158" s="121">
        <v>45481</v>
      </c>
      <c r="AJ158" s="121">
        <v>45481</v>
      </c>
      <c r="AK158" s="122">
        <v>45481</v>
      </c>
      <c r="AL158" s="122" t="e">
        <v>#N/A</v>
      </c>
      <c r="AM158" s="121" t="e">
        <v>#N/A</v>
      </c>
      <c r="AN158" s="121" t="e">
        <v>#N/A</v>
      </c>
      <c r="AO158" s="121" t="e">
        <v>#N/A</v>
      </c>
      <c r="AP158" s="122" t="e">
        <v>#N/A</v>
      </c>
      <c r="AQ158" s="122" t="e">
        <v>#N/A</v>
      </c>
      <c r="AR158" s="122" t="e">
        <v>#N/A</v>
      </c>
      <c r="AS158" s="122" t="e">
        <v>#N/A</v>
      </c>
      <c r="AT158" s="122" t="e">
        <v>#N/A</v>
      </c>
      <c r="AU158" s="121" t="e">
        <v>#N/A</v>
      </c>
      <c r="AV158" s="122" t="e">
        <v>#N/A</v>
      </c>
      <c r="AW158" s="122">
        <v>45755</v>
      </c>
      <c r="AX158" s="122" t="e">
        <v>#N/A</v>
      </c>
      <c r="AY158" s="122" t="e">
        <v>#N/A</v>
      </c>
      <c r="AZ158" s="122" t="e">
        <v>#N/A</v>
      </c>
      <c r="BA158" s="122" t="e">
        <v>#N/A</v>
      </c>
      <c r="BB158" s="122" t="e">
        <v>#N/A</v>
      </c>
      <c r="BC158" s="122" t="e">
        <v>#N/A</v>
      </c>
      <c r="BD158" s="122" t="e">
        <v>#N/A</v>
      </c>
      <c r="BE158" s="122" t="e">
        <v>#N/A</v>
      </c>
      <c r="BF158" s="122" t="e">
        <v>#N/A</v>
      </c>
      <c r="BG158" s="122" t="e">
        <v>#N/A</v>
      </c>
      <c r="BH158" s="122">
        <v>45547</v>
      </c>
      <c r="BI158" s="122" t="e">
        <v>#N/A</v>
      </c>
      <c r="BJ158" s="122" t="e">
        <v>#N/A</v>
      </c>
      <c r="BK158" s="122">
        <v>45952</v>
      </c>
      <c r="BL158" s="123"/>
      <c r="BM158" s="124" t="e">
        <v>#N/A</v>
      </c>
      <c r="BN158" s="124" t="e">
        <v>#N/A</v>
      </c>
      <c r="BO158" s="124" t="e">
        <v>#N/A</v>
      </c>
      <c r="BP158" s="124" t="e">
        <v>#N/A</v>
      </c>
      <c r="BQ158" s="124" t="e">
        <v>#N/A</v>
      </c>
      <c r="BR158" s="124" t="e">
        <v>#N/A</v>
      </c>
      <c r="BS158" s="124" t="e">
        <v>#N/A</v>
      </c>
      <c r="BT158" s="124" t="e">
        <v>#N/A</v>
      </c>
      <c r="BU158" s="124" t="e">
        <v>#N/A</v>
      </c>
      <c r="BV158" s="124" t="e">
        <v>#N/A</v>
      </c>
      <c r="BW158" s="124" t="e">
        <v>#N/A</v>
      </c>
      <c r="BX158" s="124" t="e">
        <v>#N/A</v>
      </c>
      <c r="BY158" s="124" t="e">
        <v>#N/A</v>
      </c>
      <c r="BZ158" s="124" t="e">
        <v>#N/A</v>
      </c>
      <c r="CA158" s="125"/>
      <c r="CB158" s="124">
        <v>45727</v>
      </c>
      <c r="CC158" s="126">
        <v>1</v>
      </c>
      <c r="CD158" s="127" t="e">
        <v>#N/A</v>
      </c>
      <c r="CE158" s="128"/>
      <c r="CF158" s="77" t="s">
        <v>4169</v>
      </c>
    </row>
    <row r="159" spans="1:84" ht="14.5" x14ac:dyDescent="0.35">
      <c r="A159" s="77">
        <v>158</v>
      </c>
      <c r="B159" s="106" t="s">
        <v>5077</v>
      </c>
      <c r="C159" s="107" t="s">
        <v>6817</v>
      </c>
      <c r="D159" s="108" t="s">
        <v>5078</v>
      </c>
      <c r="E159" s="109" t="s">
        <v>5079</v>
      </c>
      <c r="F159" s="110">
        <v>622075190</v>
      </c>
      <c r="G159" s="108" t="s">
        <v>1004</v>
      </c>
      <c r="H159" s="111" t="s">
        <v>198</v>
      </c>
      <c r="I159" s="111" t="s">
        <v>180</v>
      </c>
      <c r="J159" s="111" t="s">
        <v>4649</v>
      </c>
      <c r="K159" s="111" t="s">
        <v>199</v>
      </c>
      <c r="L159" s="112">
        <v>45873</v>
      </c>
      <c r="M159" s="111" t="s">
        <v>2646</v>
      </c>
      <c r="N159" s="113"/>
      <c r="O159" s="114" t="s">
        <v>226</v>
      </c>
      <c r="P159" s="114" t="s">
        <v>225</v>
      </c>
      <c r="Q159" s="114" t="s">
        <v>7402</v>
      </c>
      <c r="R159" s="114" t="s">
        <v>7403</v>
      </c>
      <c r="S159" s="114" t="s">
        <v>226</v>
      </c>
      <c r="T159" s="114" t="s">
        <v>183</v>
      </c>
      <c r="U159" s="114" t="s">
        <v>183</v>
      </c>
      <c r="V159" s="115"/>
      <c r="W159" s="116" t="s">
        <v>5080</v>
      </c>
      <c r="X159" s="116" t="s">
        <v>5081</v>
      </c>
      <c r="Y159" s="117">
        <v>3485528</v>
      </c>
      <c r="Z159" s="117">
        <v>3481411</v>
      </c>
      <c r="AA159" s="118"/>
      <c r="AB159" s="119" t="s">
        <v>5082</v>
      </c>
      <c r="AC159" s="119" t="s">
        <v>5083</v>
      </c>
      <c r="AD159" s="119" t="s">
        <v>5084</v>
      </c>
      <c r="AE159" s="119" t="s">
        <v>5085</v>
      </c>
      <c r="AF159" s="119" t="s">
        <v>6076</v>
      </c>
      <c r="AG159" s="120"/>
      <c r="AH159" s="121">
        <v>45873</v>
      </c>
      <c r="AI159" s="121">
        <v>45873</v>
      </c>
      <c r="AJ159" s="121">
        <v>45873</v>
      </c>
      <c r="AK159" s="122">
        <v>45873</v>
      </c>
      <c r="AL159" s="122" t="e">
        <v>#N/A</v>
      </c>
      <c r="AM159" s="121" t="e">
        <v>#N/A</v>
      </c>
      <c r="AN159" s="121" t="e">
        <v>#N/A</v>
      </c>
      <c r="AO159" s="121" t="e">
        <v>#N/A</v>
      </c>
      <c r="AP159" s="122" t="e">
        <v>#N/A</v>
      </c>
      <c r="AQ159" s="122" t="e">
        <v>#N/A</v>
      </c>
      <c r="AR159" s="122" t="e">
        <v>#N/A</v>
      </c>
      <c r="AS159" s="122" t="e">
        <v>#N/A</v>
      </c>
      <c r="AT159" s="122" t="e">
        <v>#N/A</v>
      </c>
      <c r="AU159" s="121" t="e">
        <v>#N/A</v>
      </c>
      <c r="AV159" s="122" t="e">
        <v>#N/A</v>
      </c>
      <c r="AW159" s="122">
        <v>45873</v>
      </c>
      <c r="AX159" s="122" t="e">
        <v>#N/A</v>
      </c>
      <c r="AY159" s="122" t="e">
        <v>#N/A</v>
      </c>
      <c r="AZ159" s="122" t="e">
        <v>#N/A</v>
      </c>
      <c r="BA159" s="122" t="e">
        <v>#N/A</v>
      </c>
      <c r="BB159" s="122" t="e">
        <v>#N/A</v>
      </c>
      <c r="BC159" s="122" t="e">
        <v>#N/A</v>
      </c>
      <c r="BD159" s="122" t="e">
        <v>#N/A</v>
      </c>
      <c r="BE159" s="122" t="e">
        <v>#N/A</v>
      </c>
      <c r="BF159" s="122" t="e">
        <v>#N/A</v>
      </c>
      <c r="BG159" s="122" t="e">
        <v>#N/A</v>
      </c>
      <c r="BH159" s="122" t="e">
        <v>#N/A</v>
      </c>
      <c r="BI159" s="122" t="e">
        <v>#N/A</v>
      </c>
      <c r="BJ159" s="122" t="e">
        <v>#N/A</v>
      </c>
      <c r="BK159" s="122">
        <v>45953</v>
      </c>
      <c r="BL159" s="123"/>
      <c r="BM159" s="124" t="e">
        <v>#N/A</v>
      </c>
      <c r="BN159" s="124" t="e">
        <v>#N/A</v>
      </c>
      <c r="BO159" s="124" t="e">
        <v>#N/A</v>
      </c>
      <c r="BP159" s="124" t="e">
        <v>#N/A</v>
      </c>
      <c r="BQ159" s="124" t="e">
        <v>#N/A</v>
      </c>
      <c r="BR159" s="124" t="e">
        <v>#N/A</v>
      </c>
      <c r="BS159" s="124" t="e">
        <v>#N/A</v>
      </c>
      <c r="BT159" s="124" t="e">
        <v>#N/A</v>
      </c>
      <c r="BU159" s="124" t="e">
        <v>#N/A</v>
      </c>
      <c r="BV159" s="124" t="e">
        <v>#N/A</v>
      </c>
      <c r="BW159" s="124" t="e">
        <v>#N/A</v>
      </c>
      <c r="BX159" s="124" t="e">
        <v>#N/A</v>
      </c>
      <c r="BY159" s="124" t="e">
        <v>#N/A</v>
      </c>
      <c r="BZ159" s="124" t="e">
        <v>#N/A</v>
      </c>
      <c r="CA159" s="125"/>
      <c r="CB159" s="124" t="e">
        <v>#N/A</v>
      </c>
      <c r="CC159" s="126">
        <v>1</v>
      </c>
      <c r="CD159" s="127" t="s">
        <v>5058</v>
      </c>
      <c r="CE159" s="128"/>
      <c r="CF159" s="77" t="s">
        <v>4200</v>
      </c>
    </row>
    <row r="160" spans="1:84" ht="14.5" x14ac:dyDescent="0.35">
      <c r="A160" s="77">
        <v>159</v>
      </c>
      <c r="B160" s="106" t="s">
        <v>37</v>
      </c>
      <c r="C160" s="107" t="s">
        <v>1318</v>
      </c>
      <c r="D160" s="108" t="s">
        <v>462</v>
      </c>
      <c r="E160" s="109" t="s">
        <v>463</v>
      </c>
      <c r="F160" s="110">
        <v>692831350</v>
      </c>
      <c r="G160" s="108" t="s">
        <v>1004</v>
      </c>
      <c r="H160" s="111" t="s">
        <v>209</v>
      </c>
      <c r="I160" s="111" t="s">
        <v>180</v>
      </c>
      <c r="J160" s="111" t="s">
        <v>4649</v>
      </c>
      <c r="K160" s="111" t="s">
        <v>199</v>
      </c>
      <c r="L160" s="112">
        <v>40504</v>
      </c>
      <c r="M160" s="111" t="s">
        <v>256</v>
      </c>
      <c r="N160" s="113"/>
      <c r="O160" s="114" t="s">
        <v>4467</v>
      </c>
      <c r="P160" s="114" t="s">
        <v>4467</v>
      </c>
      <c r="Q160" s="114" t="s">
        <v>4356</v>
      </c>
      <c r="R160" s="114" t="s">
        <v>4356</v>
      </c>
      <c r="S160" s="114" t="s">
        <v>4467</v>
      </c>
      <c r="T160" s="114" t="s">
        <v>4467</v>
      </c>
      <c r="U160" s="114" t="s">
        <v>4467</v>
      </c>
      <c r="V160" s="115"/>
      <c r="W160" s="116" t="s">
        <v>464</v>
      </c>
      <c r="X160" s="116" t="s">
        <v>465</v>
      </c>
      <c r="Y160" s="117">
        <v>3485481</v>
      </c>
      <c r="Z160" s="117">
        <v>3486152</v>
      </c>
      <c r="AA160" s="118"/>
      <c r="AB160" s="119" t="s">
        <v>5332</v>
      </c>
      <c r="AC160" s="119" t="s">
        <v>1319</v>
      </c>
      <c r="AD160" s="119">
        <v>27527</v>
      </c>
      <c r="AE160" s="119" t="s">
        <v>466</v>
      </c>
      <c r="AF160" s="119" t="s">
        <v>7404</v>
      </c>
      <c r="AG160" s="120"/>
      <c r="AH160" s="121">
        <v>44197</v>
      </c>
      <c r="AI160" s="121">
        <v>44197</v>
      </c>
      <c r="AJ160" s="121">
        <v>44197</v>
      </c>
      <c r="AK160" s="122">
        <v>44197</v>
      </c>
      <c r="AL160" s="122" t="e">
        <v>#N/A</v>
      </c>
      <c r="AM160" s="121" t="e">
        <v>#N/A</v>
      </c>
      <c r="AN160" s="121" t="e">
        <v>#N/A</v>
      </c>
      <c r="AO160" s="121" t="e">
        <v>#N/A</v>
      </c>
      <c r="AP160" s="122" t="e">
        <v>#N/A</v>
      </c>
      <c r="AQ160" s="122" t="e">
        <v>#N/A</v>
      </c>
      <c r="AR160" s="122" t="e">
        <v>#N/A</v>
      </c>
      <c r="AS160" s="122" t="e">
        <v>#N/A</v>
      </c>
      <c r="AT160" s="122">
        <v>44652</v>
      </c>
      <c r="AU160" s="121" t="e">
        <v>#N/A</v>
      </c>
      <c r="AV160" s="122" t="e">
        <v>#N/A</v>
      </c>
      <c r="AW160" s="122">
        <v>45670</v>
      </c>
      <c r="AX160" s="122" t="e">
        <v>#N/A</v>
      </c>
      <c r="AY160" s="122" t="e">
        <v>#N/A</v>
      </c>
      <c r="AZ160" s="122" t="e">
        <v>#N/A</v>
      </c>
      <c r="BA160" s="122" t="e">
        <v>#N/A</v>
      </c>
      <c r="BB160" s="122" t="e">
        <v>#N/A</v>
      </c>
      <c r="BC160" s="122" t="e">
        <v>#N/A</v>
      </c>
      <c r="BD160" s="122" t="e">
        <v>#N/A</v>
      </c>
      <c r="BE160" s="122" t="e">
        <v>#N/A</v>
      </c>
      <c r="BF160" s="122" t="e">
        <v>#N/A</v>
      </c>
      <c r="BG160" s="122" t="e">
        <v>#N/A</v>
      </c>
      <c r="BH160" s="122" t="e">
        <v>#N/A</v>
      </c>
      <c r="BI160" s="122" t="e">
        <v>#N/A</v>
      </c>
      <c r="BJ160" s="122" t="e">
        <v>#N/A</v>
      </c>
      <c r="BK160" s="122">
        <v>45978</v>
      </c>
      <c r="BL160" s="123"/>
      <c r="BM160" s="124" t="e">
        <v>#N/A</v>
      </c>
      <c r="BN160" s="124" t="e">
        <v>#N/A</v>
      </c>
      <c r="BO160" s="124" t="e">
        <v>#N/A</v>
      </c>
      <c r="BP160" s="124" t="e">
        <v>#N/A</v>
      </c>
      <c r="BQ160" s="124" t="e">
        <v>#N/A</v>
      </c>
      <c r="BR160" s="124" t="e">
        <v>#N/A</v>
      </c>
      <c r="BS160" s="124" t="e">
        <v>#N/A</v>
      </c>
      <c r="BT160" s="124" t="e">
        <v>#N/A</v>
      </c>
      <c r="BU160" s="124" t="e">
        <v>#N/A</v>
      </c>
      <c r="BV160" s="124" t="e">
        <v>#N/A</v>
      </c>
      <c r="BW160" s="124" t="e">
        <v>#N/A</v>
      </c>
      <c r="BX160" s="124" t="e">
        <v>#N/A</v>
      </c>
      <c r="BY160" s="124" t="e">
        <v>#N/A</v>
      </c>
      <c r="BZ160" s="124" t="e">
        <v>#N/A</v>
      </c>
      <c r="CA160" s="125"/>
      <c r="CB160" s="124">
        <v>45726</v>
      </c>
      <c r="CC160" s="126">
        <v>1</v>
      </c>
      <c r="CD160" s="127" t="s">
        <v>4169</v>
      </c>
      <c r="CE160" s="128"/>
      <c r="CF160" s="77" t="s">
        <v>4162</v>
      </c>
    </row>
    <row r="161" spans="1:84" ht="14.5" x14ac:dyDescent="0.35">
      <c r="A161" s="77">
        <v>160</v>
      </c>
      <c r="B161" s="106" t="s">
        <v>176</v>
      </c>
      <c r="C161" s="107" t="s">
        <v>1324</v>
      </c>
      <c r="D161" s="108" t="s">
        <v>975</v>
      </c>
      <c r="E161" s="109" t="s">
        <v>976</v>
      </c>
      <c r="F161" s="110">
        <v>645355346</v>
      </c>
      <c r="G161" s="108" t="s">
        <v>1004</v>
      </c>
      <c r="H161" s="111" t="s">
        <v>209</v>
      </c>
      <c r="I161" s="111" t="s">
        <v>180</v>
      </c>
      <c r="J161" s="111" t="s">
        <v>4649</v>
      </c>
      <c r="K161" s="111" t="s">
        <v>199</v>
      </c>
      <c r="L161" s="112">
        <v>40434</v>
      </c>
      <c r="M161" s="111" t="s">
        <v>256</v>
      </c>
      <c r="N161" s="113"/>
      <c r="O161" s="114" t="s">
        <v>246</v>
      </c>
      <c r="P161" s="114" t="s">
        <v>246</v>
      </c>
      <c r="Q161" s="114" t="s">
        <v>257</v>
      </c>
      <c r="R161" s="114" t="s">
        <v>7364</v>
      </c>
      <c r="S161" s="114" t="s">
        <v>257</v>
      </c>
      <c r="T161" s="114" t="s">
        <v>183</v>
      </c>
      <c r="U161" s="114" t="s">
        <v>183</v>
      </c>
      <c r="V161" s="115"/>
      <c r="W161" s="116" t="s">
        <v>977</v>
      </c>
      <c r="X161" s="116" t="s">
        <v>978</v>
      </c>
      <c r="Y161" s="117">
        <v>3485069</v>
      </c>
      <c r="Z161" s="117">
        <v>3481322</v>
      </c>
      <c r="AA161" s="118"/>
      <c r="AB161" s="119" t="s">
        <v>5543</v>
      </c>
      <c r="AC161" s="119" t="s">
        <v>1325</v>
      </c>
      <c r="AD161" s="119">
        <v>27974</v>
      </c>
      <c r="AE161" s="119" t="s">
        <v>1326</v>
      </c>
      <c r="AF161" s="119" t="s">
        <v>7405</v>
      </c>
      <c r="AG161" s="120"/>
      <c r="AH161" s="121">
        <v>44197</v>
      </c>
      <c r="AI161" s="121">
        <v>44544</v>
      </c>
      <c r="AJ161" s="121">
        <v>44544</v>
      </c>
      <c r="AK161" s="122">
        <v>44544</v>
      </c>
      <c r="AL161" s="122" t="e">
        <v>#N/A</v>
      </c>
      <c r="AM161" s="121" t="e">
        <v>#N/A</v>
      </c>
      <c r="AN161" s="121" t="e">
        <v>#N/A</v>
      </c>
      <c r="AO161" s="121" t="e">
        <v>#N/A</v>
      </c>
      <c r="AP161" s="122" t="e">
        <v>#N/A</v>
      </c>
      <c r="AQ161" s="122" t="e">
        <v>#N/A</v>
      </c>
      <c r="AR161" s="122" t="e">
        <v>#N/A</v>
      </c>
      <c r="AS161" s="122" t="e">
        <v>#N/A</v>
      </c>
      <c r="AT161" s="122">
        <v>44652</v>
      </c>
      <c r="AU161" s="121" t="e">
        <v>#N/A</v>
      </c>
      <c r="AV161" s="122" t="e">
        <v>#N/A</v>
      </c>
      <c r="AW161" s="122">
        <v>45733</v>
      </c>
      <c r="AX161" s="122" t="e">
        <v>#N/A</v>
      </c>
      <c r="AY161" s="122" t="e">
        <v>#N/A</v>
      </c>
      <c r="AZ161" s="122" t="e">
        <v>#N/A</v>
      </c>
      <c r="BA161" s="122" t="e">
        <v>#N/A</v>
      </c>
      <c r="BB161" s="122" t="e">
        <v>#N/A</v>
      </c>
      <c r="BC161" s="122" t="e">
        <v>#N/A</v>
      </c>
      <c r="BD161" s="122" t="e">
        <v>#N/A</v>
      </c>
      <c r="BE161" s="122" t="e">
        <v>#N/A</v>
      </c>
      <c r="BF161" s="122" t="e">
        <v>#N/A</v>
      </c>
      <c r="BG161" s="122" t="e">
        <v>#N/A</v>
      </c>
      <c r="BH161" s="122" t="e">
        <v>#N/A</v>
      </c>
      <c r="BI161" s="122" t="e">
        <v>#N/A</v>
      </c>
      <c r="BJ161" s="122" t="e">
        <v>#N/A</v>
      </c>
      <c r="BK161" s="122">
        <v>45978</v>
      </c>
      <c r="BL161" s="123"/>
      <c r="BM161" s="124" t="e">
        <v>#N/A</v>
      </c>
      <c r="BN161" s="124" t="e">
        <v>#N/A</v>
      </c>
      <c r="BO161" s="124" t="e">
        <v>#N/A</v>
      </c>
      <c r="BP161" s="124" t="e">
        <v>#N/A</v>
      </c>
      <c r="BQ161" s="124" t="e">
        <v>#N/A</v>
      </c>
      <c r="BR161" s="124" t="e">
        <v>#N/A</v>
      </c>
      <c r="BS161" s="124" t="e">
        <v>#N/A</v>
      </c>
      <c r="BT161" s="124" t="e">
        <v>#N/A</v>
      </c>
      <c r="BU161" s="124" t="e">
        <v>#N/A</v>
      </c>
      <c r="BV161" s="124" t="e">
        <v>#N/A</v>
      </c>
      <c r="BW161" s="124" t="e">
        <v>#N/A</v>
      </c>
      <c r="BX161" s="124" t="e">
        <v>#N/A</v>
      </c>
      <c r="BY161" s="124" t="e">
        <v>#N/A</v>
      </c>
      <c r="BZ161" s="124" t="e">
        <v>#N/A</v>
      </c>
      <c r="CA161" s="125"/>
      <c r="CB161" s="124" t="e">
        <v>#N/A</v>
      </c>
      <c r="CC161" s="126">
        <v>1</v>
      </c>
      <c r="CD161" s="127" t="s">
        <v>4169</v>
      </c>
      <c r="CE161" s="128"/>
      <c r="CF161" s="77" t="s">
        <v>4175</v>
      </c>
    </row>
    <row r="162" spans="1:84" ht="14.5" x14ac:dyDescent="0.35">
      <c r="A162" s="77">
        <v>161</v>
      </c>
      <c r="B162" s="106" t="s">
        <v>173</v>
      </c>
      <c r="C162" s="107" t="s">
        <v>1382</v>
      </c>
      <c r="D162" s="108" t="s">
        <v>934</v>
      </c>
      <c r="E162" s="109" t="s">
        <v>935</v>
      </c>
      <c r="F162" s="110" t="s">
        <v>1236</v>
      </c>
      <c r="G162" s="108" t="s">
        <v>1004</v>
      </c>
      <c r="H162" s="111" t="s">
        <v>209</v>
      </c>
      <c r="I162" s="111" t="s">
        <v>180</v>
      </c>
      <c r="J162" s="111" t="s">
        <v>4649</v>
      </c>
      <c r="K162" s="111" t="s">
        <v>199</v>
      </c>
      <c r="L162" s="112">
        <v>41057</v>
      </c>
      <c r="M162" s="111" t="s">
        <v>256</v>
      </c>
      <c r="N162" s="113"/>
      <c r="O162" s="114" t="s">
        <v>184</v>
      </c>
      <c r="P162" s="114" t="s">
        <v>184</v>
      </c>
      <c r="Q162" s="114" t="s">
        <v>184</v>
      </c>
      <c r="R162" s="114" t="s">
        <v>6095</v>
      </c>
      <c r="S162" s="114" t="s">
        <v>6095</v>
      </c>
      <c r="T162" s="114" t="s">
        <v>4356</v>
      </c>
      <c r="U162" s="114" t="s">
        <v>4356</v>
      </c>
      <c r="V162" s="115"/>
      <c r="W162" s="116" t="s">
        <v>936</v>
      </c>
      <c r="X162" s="116" t="s">
        <v>937</v>
      </c>
      <c r="Y162" s="117">
        <v>3485011</v>
      </c>
      <c r="Z162" s="117">
        <v>3486322</v>
      </c>
      <c r="AA162" s="118"/>
      <c r="AB162" s="119" t="s">
        <v>5175</v>
      </c>
      <c r="AC162" s="119" t="s">
        <v>938</v>
      </c>
      <c r="AD162" s="119">
        <v>4251</v>
      </c>
      <c r="AE162" s="119" t="s">
        <v>939</v>
      </c>
      <c r="AF162" s="119" t="s">
        <v>6089</v>
      </c>
      <c r="AG162" s="120"/>
      <c r="AH162" s="121">
        <v>44552</v>
      </c>
      <c r="AI162" s="121">
        <v>44552</v>
      </c>
      <c r="AJ162" s="121">
        <v>44552</v>
      </c>
      <c r="AK162" s="122">
        <v>44552</v>
      </c>
      <c r="AL162" s="122" t="e">
        <v>#N/A</v>
      </c>
      <c r="AM162" s="121" t="e">
        <v>#N/A</v>
      </c>
      <c r="AN162" s="121" t="e">
        <v>#N/A</v>
      </c>
      <c r="AO162" s="121" t="e">
        <v>#N/A</v>
      </c>
      <c r="AP162" s="122" t="e">
        <v>#N/A</v>
      </c>
      <c r="AQ162" s="122" t="e">
        <v>#N/A</v>
      </c>
      <c r="AR162" s="122" t="e">
        <v>#N/A</v>
      </c>
      <c r="AS162" s="122" t="e">
        <v>#N/A</v>
      </c>
      <c r="AT162" s="122" t="e">
        <v>#N/A</v>
      </c>
      <c r="AU162" s="121">
        <v>45912</v>
      </c>
      <c r="AV162" s="122">
        <v>45033</v>
      </c>
      <c r="AW162" s="122">
        <v>45033</v>
      </c>
      <c r="AX162" s="122" t="e">
        <v>#N/A</v>
      </c>
      <c r="AY162" s="122" t="e">
        <v>#N/A</v>
      </c>
      <c r="AZ162" s="122" t="e">
        <v>#N/A</v>
      </c>
      <c r="BA162" s="122" t="e">
        <v>#N/A</v>
      </c>
      <c r="BB162" s="122" t="e">
        <v>#N/A</v>
      </c>
      <c r="BC162" s="122" t="e">
        <v>#N/A</v>
      </c>
      <c r="BD162" s="122" t="e">
        <v>#N/A</v>
      </c>
      <c r="BE162" s="122" t="e">
        <v>#N/A</v>
      </c>
      <c r="BF162" s="122" t="e">
        <v>#N/A</v>
      </c>
      <c r="BG162" s="122" t="e">
        <v>#N/A</v>
      </c>
      <c r="BH162" s="122" t="e">
        <v>#N/A</v>
      </c>
      <c r="BI162" s="122" t="e">
        <v>#N/A</v>
      </c>
      <c r="BJ162" s="122" t="e">
        <v>#N/A</v>
      </c>
      <c r="BK162" s="122" t="s">
        <v>6040</v>
      </c>
      <c r="BL162" s="123"/>
      <c r="BM162" s="124" t="e">
        <v>#N/A</v>
      </c>
      <c r="BN162" s="124" t="e">
        <v>#N/A</v>
      </c>
      <c r="BO162" s="124" t="e">
        <v>#N/A</v>
      </c>
      <c r="BP162" s="124" t="e">
        <v>#N/A</v>
      </c>
      <c r="BQ162" s="124" t="e">
        <v>#N/A</v>
      </c>
      <c r="BR162" s="124" t="e">
        <v>#N/A</v>
      </c>
      <c r="BS162" s="124" t="e">
        <v>#N/A</v>
      </c>
      <c r="BT162" s="124" t="e">
        <v>#N/A</v>
      </c>
      <c r="BU162" s="124" t="e">
        <v>#N/A</v>
      </c>
      <c r="BV162" s="124" t="e">
        <v>#N/A</v>
      </c>
      <c r="BW162" s="124" t="e">
        <v>#N/A</v>
      </c>
      <c r="BX162" s="124" t="e">
        <v>#N/A</v>
      </c>
      <c r="BY162" s="124" t="e">
        <v>#N/A</v>
      </c>
      <c r="BZ162" s="124" t="e">
        <v>#N/A</v>
      </c>
      <c r="CA162" s="125"/>
      <c r="CB162" s="124">
        <v>45726</v>
      </c>
      <c r="CC162" s="126">
        <v>1</v>
      </c>
      <c r="CD162" s="127" t="s">
        <v>4169</v>
      </c>
      <c r="CE162" s="128"/>
      <c r="CF162" s="77" t="s">
        <v>4187</v>
      </c>
    </row>
    <row r="163" spans="1:84" ht="14.5" x14ac:dyDescent="0.35">
      <c r="A163" s="77">
        <v>162</v>
      </c>
      <c r="B163" s="106" t="s">
        <v>2537</v>
      </c>
      <c r="C163" s="107" t="s">
        <v>6408</v>
      </c>
      <c r="D163" s="108" t="s">
        <v>2538</v>
      </c>
      <c r="E163" s="109" t="s">
        <v>2539</v>
      </c>
      <c r="F163" s="110">
        <v>607184662</v>
      </c>
      <c r="G163" s="108" t="s">
        <v>1004</v>
      </c>
      <c r="H163" s="111" t="s">
        <v>209</v>
      </c>
      <c r="I163" s="111" t="s">
        <v>180</v>
      </c>
      <c r="J163" s="111" t="s">
        <v>4649</v>
      </c>
      <c r="K163" s="111" t="s">
        <v>199</v>
      </c>
      <c r="L163" s="112">
        <v>40133</v>
      </c>
      <c r="M163" s="111" t="s">
        <v>984</v>
      </c>
      <c r="N163" s="113"/>
      <c r="O163" s="114" t="s">
        <v>330</v>
      </c>
      <c r="P163" s="114" t="s">
        <v>330</v>
      </c>
      <c r="Q163" s="114" t="s">
        <v>183</v>
      </c>
      <c r="R163" s="114" t="s">
        <v>7406</v>
      </c>
      <c r="S163" s="114" t="s">
        <v>330</v>
      </c>
      <c r="T163" s="114" t="s">
        <v>330</v>
      </c>
      <c r="U163" s="114" t="s">
        <v>330</v>
      </c>
      <c r="V163" s="115"/>
      <c r="W163" s="116" t="s">
        <v>2540</v>
      </c>
      <c r="X163" s="116" t="s">
        <v>2541</v>
      </c>
      <c r="Y163" s="117">
        <v>3485555</v>
      </c>
      <c r="Z163" s="117">
        <v>3481596</v>
      </c>
      <c r="AA163" s="118"/>
      <c r="AB163" s="119" t="s">
        <v>5599</v>
      </c>
      <c r="AC163" s="119" t="s">
        <v>2542</v>
      </c>
      <c r="AD163" s="119">
        <v>27825</v>
      </c>
      <c r="AE163" s="119" t="s">
        <v>2543</v>
      </c>
      <c r="AF163" s="119" t="s">
        <v>7082</v>
      </c>
      <c r="AG163" s="120"/>
      <c r="AH163" s="121">
        <v>44994</v>
      </c>
      <c r="AI163" s="121">
        <v>45002</v>
      </c>
      <c r="AJ163" s="121">
        <v>45002</v>
      </c>
      <c r="AK163" s="122">
        <v>45044</v>
      </c>
      <c r="AL163" s="122" t="e">
        <v>#N/A</v>
      </c>
      <c r="AM163" s="121" t="e">
        <v>#N/A</v>
      </c>
      <c r="AN163" s="121" t="e">
        <v>#N/A</v>
      </c>
      <c r="AO163" s="121" t="e">
        <v>#N/A</v>
      </c>
      <c r="AP163" s="122" t="e">
        <v>#N/A</v>
      </c>
      <c r="AQ163" s="122" t="e">
        <v>#N/A</v>
      </c>
      <c r="AR163" s="122" t="e">
        <v>#N/A</v>
      </c>
      <c r="AS163" s="122" t="e">
        <v>#N/A</v>
      </c>
      <c r="AT163" s="122">
        <v>45097</v>
      </c>
      <c r="AU163" s="121" t="e">
        <v>#N/A</v>
      </c>
      <c r="AV163" s="122" t="e">
        <v>#N/A</v>
      </c>
      <c r="AW163" s="122">
        <v>45671</v>
      </c>
      <c r="AX163" s="122" t="e">
        <v>#N/A</v>
      </c>
      <c r="AY163" s="122" t="e">
        <v>#N/A</v>
      </c>
      <c r="AZ163" s="122" t="e">
        <v>#N/A</v>
      </c>
      <c r="BA163" s="122" t="e">
        <v>#N/A</v>
      </c>
      <c r="BB163" s="122" t="e">
        <v>#N/A</v>
      </c>
      <c r="BC163" s="122" t="e">
        <v>#N/A</v>
      </c>
      <c r="BD163" s="122" t="e">
        <v>#N/A</v>
      </c>
      <c r="BE163" s="122" t="e">
        <v>#N/A</v>
      </c>
      <c r="BF163" s="122" t="e">
        <v>#N/A</v>
      </c>
      <c r="BG163" s="122" t="e">
        <v>#N/A</v>
      </c>
      <c r="BH163" s="122" t="e">
        <v>#N/A</v>
      </c>
      <c r="BI163" s="122" t="e">
        <v>#N/A</v>
      </c>
      <c r="BJ163" s="122" t="e">
        <v>#N/A</v>
      </c>
      <c r="BK163" s="122">
        <v>45964</v>
      </c>
      <c r="BL163" s="123"/>
      <c r="BM163" s="124" t="e">
        <v>#N/A</v>
      </c>
      <c r="BN163" s="124" t="e">
        <v>#N/A</v>
      </c>
      <c r="BO163" s="124" t="e">
        <v>#N/A</v>
      </c>
      <c r="BP163" s="124" t="e">
        <v>#N/A</v>
      </c>
      <c r="BQ163" s="124" t="e">
        <v>#N/A</v>
      </c>
      <c r="BR163" s="124" t="e">
        <v>#N/A</v>
      </c>
      <c r="BS163" s="124" t="e">
        <v>#N/A</v>
      </c>
      <c r="BT163" s="124" t="e">
        <v>#N/A</v>
      </c>
      <c r="BU163" s="124" t="e">
        <v>#N/A</v>
      </c>
      <c r="BV163" s="124" t="e">
        <v>#N/A</v>
      </c>
      <c r="BW163" s="124" t="e">
        <v>#N/A</v>
      </c>
      <c r="BX163" s="124" t="e">
        <v>#N/A</v>
      </c>
      <c r="BY163" s="124" t="e">
        <v>#N/A</v>
      </c>
      <c r="BZ163" s="124" t="e">
        <v>#N/A</v>
      </c>
      <c r="CA163" s="125"/>
      <c r="CB163" s="124">
        <v>45841</v>
      </c>
      <c r="CC163" s="126">
        <v>1</v>
      </c>
      <c r="CD163" s="127" t="s">
        <v>4162</v>
      </c>
      <c r="CE163" s="128"/>
      <c r="CF163" s="77" t="s">
        <v>4169</v>
      </c>
    </row>
    <row r="164" spans="1:84" ht="14.5" x14ac:dyDescent="0.35">
      <c r="A164" s="77">
        <v>163</v>
      </c>
      <c r="B164" s="106" t="s">
        <v>2564</v>
      </c>
      <c r="C164" s="107" t="s">
        <v>6441</v>
      </c>
      <c r="D164" s="108" t="s">
        <v>2565</v>
      </c>
      <c r="E164" s="109" t="s">
        <v>2566</v>
      </c>
      <c r="F164" s="110">
        <v>644467031</v>
      </c>
      <c r="G164" s="108" t="s">
        <v>1004</v>
      </c>
      <c r="H164" s="111" t="s">
        <v>209</v>
      </c>
      <c r="I164" s="111" t="s">
        <v>180</v>
      </c>
      <c r="J164" s="111" t="s">
        <v>4649</v>
      </c>
      <c r="K164" s="111" t="s">
        <v>199</v>
      </c>
      <c r="L164" s="112">
        <v>41905</v>
      </c>
      <c r="M164" s="111" t="s">
        <v>256</v>
      </c>
      <c r="N164" s="113"/>
      <c r="O164" s="114" t="s">
        <v>459</v>
      </c>
      <c r="P164" s="114" t="s">
        <v>459</v>
      </c>
      <c r="Q164" s="114" t="s">
        <v>459</v>
      </c>
      <c r="R164" s="114" t="s">
        <v>7322</v>
      </c>
      <c r="S164" s="114" t="s">
        <v>459</v>
      </c>
      <c r="T164" s="114" t="s">
        <v>183</v>
      </c>
      <c r="U164" s="114" t="s">
        <v>183</v>
      </c>
      <c r="V164" s="115"/>
      <c r="W164" s="116" t="s">
        <v>2567</v>
      </c>
      <c r="X164" s="116" t="s">
        <v>2568</v>
      </c>
      <c r="Y164" s="117">
        <v>3485324</v>
      </c>
      <c r="Z164" s="117">
        <v>3481402</v>
      </c>
      <c r="AA164" s="118"/>
      <c r="AB164" s="119" t="s">
        <v>5773</v>
      </c>
      <c r="AC164" s="119" t="s">
        <v>2569</v>
      </c>
      <c r="AD164" s="119">
        <v>27623</v>
      </c>
      <c r="AE164" s="119" t="s">
        <v>2570</v>
      </c>
      <c r="AF164" s="119">
        <v>0</v>
      </c>
      <c r="AG164" s="120"/>
      <c r="AH164" s="121">
        <v>44994</v>
      </c>
      <c r="AI164" s="121">
        <v>45002</v>
      </c>
      <c r="AJ164" s="121">
        <v>45002</v>
      </c>
      <c r="AK164" s="122">
        <v>45057</v>
      </c>
      <c r="AL164" s="122" t="e">
        <v>#N/A</v>
      </c>
      <c r="AM164" s="122" t="e">
        <v>#N/A</v>
      </c>
      <c r="AN164" s="122" t="e">
        <v>#N/A</v>
      </c>
      <c r="AO164" s="121" t="e">
        <v>#N/A</v>
      </c>
      <c r="AP164" s="122" t="e">
        <v>#N/A</v>
      </c>
      <c r="AQ164" s="122" t="e">
        <v>#N/A</v>
      </c>
      <c r="AR164" s="122" t="e">
        <v>#N/A</v>
      </c>
      <c r="AS164" s="122" t="e">
        <v>#N/A</v>
      </c>
      <c r="AT164" s="122">
        <v>45097</v>
      </c>
      <c r="AU164" s="121" t="e">
        <v>#N/A</v>
      </c>
      <c r="AV164" s="122" t="e">
        <v>#N/A</v>
      </c>
      <c r="AW164" s="122">
        <v>45733</v>
      </c>
      <c r="AX164" s="122" t="e">
        <v>#N/A</v>
      </c>
      <c r="AY164" s="122" t="e">
        <v>#N/A</v>
      </c>
      <c r="AZ164" s="122" t="e">
        <v>#N/A</v>
      </c>
      <c r="BA164" s="122" t="e">
        <v>#N/A</v>
      </c>
      <c r="BB164" s="122" t="e">
        <v>#N/A</v>
      </c>
      <c r="BC164" s="122" t="e">
        <v>#N/A</v>
      </c>
      <c r="BD164" s="122" t="e">
        <v>#N/A</v>
      </c>
      <c r="BE164" s="122" t="e">
        <v>#N/A</v>
      </c>
      <c r="BF164" s="122" t="e">
        <v>#N/A</v>
      </c>
      <c r="BG164" s="122" t="e">
        <v>#N/A</v>
      </c>
      <c r="BH164" s="122" t="e">
        <v>#N/A</v>
      </c>
      <c r="BI164" s="122" t="e">
        <v>#N/A</v>
      </c>
      <c r="BJ164" s="122" t="e">
        <v>#N/A</v>
      </c>
      <c r="BK164" s="122" t="e">
        <v>#N/A</v>
      </c>
      <c r="BL164" s="123"/>
      <c r="BM164" s="124" t="e">
        <v>#N/A</v>
      </c>
      <c r="BN164" s="124" t="e">
        <v>#N/A</v>
      </c>
      <c r="BO164" s="124" t="e">
        <v>#N/A</v>
      </c>
      <c r="BP164" s="124" t="e">
        <v>#N/A</v>
      </c>
      <c r="BQ164" s="124" t="e">
        <v>#N/A</v>
      </c>
      <c r="BR164" s="124" t="e">
        <v>#N/A</v>
      </c>
      <c r="BS164" s="124" t="e">
        <v>#N/A</v>
      </c>
      <c r="BT164" s="124" t="e">
        <v>#N/A</v>
      </c>
      <c r="BU164" s="124" t="e">
        <v>#N/A</v>
      </c>
      <c r="BV164" s="124" t="e">
        <v>#N/A</v>
      </c>
      <c r="BW164" s="124" t="e">
        <v>#N/A</v>
      </c>
      <c r="BX164" s="124" t="e">
        <v>#N/A</v>
      </c>
      <c r="BY164" s="124" t="e">
        <v>#N/A</v>
      </c>
      <c r="BZ164" s="124" t="e">
        <v>#N/A</v>
      </c>
      <c r="CA164" s="125"/>
      <c r="CB164" s="124">
        <v>45728</v>
      </c>
      <c r="CC164" s="126">
        <v>1</v>
      </c>
      <c r="CD164" s="127" t="s">
        <v>4162</v>
      </c>
      <c r="CE164" s="128"/>
      <c r="CF164" s="77" t="s">
        <v>4169</v>
      </c>
    </row>
    <row r="165" spans="1:84" ht="14.5" x14ac:dyDescent="0.35">
      <c r="A165" s="77">
        <v>164</v>
      </c>
      <c r="B165" s="106" t="s">
        <v>6348</v>
      </c>
      <c r="C165" s="107" t="s">
        <v>6349</v>
      </c>
      <c r="D165" s="108" t="s">
        <v>2398</v>
      </c>
      <c r="E165" s="109" t="s">
        <v>2348</v>
      </c>
      <c r="F165" s="110" t="s">
        <v>1236</v>
      </c>
      <c r="G165" s="108" t="s">
        <v>1004</v>
      </c>
      <c r="H165" s="111" t="s">
        <v>209</v>
      </c>
      <c r="I165" s="111" t="s">
        <v>180</v>
      </c>
      <c r="J165" s="111" t="s">
        <v>4649</v>
      </c>
      <c r="K165" s="111" t="s">
        <v>199</v>
      </c>
      <c r="L165" s="112">
        <v>44824</v>
      </c>
      <c r="M165" s="111" t="s">
        <v>256</v>
      </c>
      <c r="N165" s="113"/>
      <c r="O165" s="114" t="s">
        <v>7407</v>
      </c>
      <c r="P165" s="114" t="s">
        <v>183</v>
      </c>
      <c r="Q165" s="114" t="s">
        <v>7309</v>
      </c>
      <c r="R165" s="114" t="s">
        <v>7408</v>
      </c>
      <c r="S165" s="114" t="s">
        <v>183</v>
      </c>
      <c r="T165" s="114" t="s">
        <v>7309</v>
      </c>
      <c r="U165" s="114" t="s">
        <v>7309</v>
      </c>
      <c r="V165" s="115"/>
      <c r="W165" s="116" t="s">
        <v>2349</v>
      </c>
      <c r="X165" s="116" t="s">
        <v>2350</v>
      </c>
      <c r="Y165" s="117">
        <v>3485748</v>
      </c>
      <c r="Z165" s="117">
        <v>3481121</v>
      </c>
      <c r="AA165" s="118"/>
      <c r="AB165" s="119" t="s">
        <v>5774</v>
      </c>
      <c r="AC165" s="119" t="s">
        <v>2351</v>
      </c>
      <c r="AD165" s="119">
        <v>4511</v>
      </c>
      <c r="AE165" s="119" t="s">
        <v>2420</v>
      </c>
      <c r="AF165" s="119">
        <v>0</v>
      </c>
      <c r="AG165" s="120"/>
      <c r="AH165" s="121">
        <v>44197</v>
      </c>
      <c r="AI165" s="121">
        <v>44882</v>
      </c>
      <c r="AJ165" s="121">
        <v>44882</v>
      </c>
      <c r="AK165" s="122" t="e">
        <v>#N/A</v>
      </c>
      <c r="AL165" s="122" t="e">
        <v>#N/A</v>
      </c>
      <c r="AM165" s="121" t="e">
        <v>#N/A</v>
      </c>
      <c r="AN165" s="121" t="e">
        <v>#N/A</v>
      </c>
      <c r="AO165" s="121" t="e">
        <v>#N/A</v>
      </c>
      <c r="AP165" s="122" t="e">
        <v>#N/A</v>
      </c>
      <c r="AQ165" s="122" t="e">
        <v>#N/A</v>
      </c>
      <c r="AR165" s="122" t="e">
        <v>#N/A</v>
      </c>
      <c r="AS165" s="122" t="e">
        <v>#N/A</v>
      </c>
      <c r="AT165" s="122" t="e">
        <v>#N/A</v>
      </c>
      <c r="AU165" s="121" t="e">
        <v>#N/A</v>
      </c>
      <c r="AV165" s="122" t="e">
        <v>#N/A</v>
      </c>
      <c r="AW165" s="122" t="e">
        <v>#N/A</v>
      </c>
      <c r="AX165" s="122" t="e">
        <v>#N/A</v>
      </c>
      <c r="AY165" s="122" t="e">
        <v>#N/A</v>
      </c>
      <c r="AZ165" s="122" t="e">
        <v>#N/A</v>
      </c>
      <c r="BA165" s="122" t="e">
        <v>#N/A</v>
      </c>
      <c r="BB165" s="122" t="e">
        <v>#N/A</v>
      </c>
      <c r="BC165" s="122" t="e">
        <v>#N/A</v>
      </c>
      <c r="BD165" s="122" t="e">
        <v>#N/A</v>
      </c>
      <c r="BE165" s="122" t="e">
        <v>#N/A</v>
      </c>
      <c r="BF165" s="122" t="e">
        <v>#N/A</v>
      </c>
      <c r="BG165" s="122" t="e">
        <v>#N/A</v>
      </c>
      <c r="BH165" s="122" t="e">
        <v>#N/A</v>
      </c>
      <c r="BI165" s="122" t="e">
        <v>#N/A</v>
      </c>
      <c r="BJ165" s="122" t="e">
        <v>#N/A</v>
      </c>
      <c r="BK165" s="122" t="e">
        <v>#N/A</v>
      </c>
      <c r="BL165" s="123"/>
      <c r="BM165" s="124" t="e">
        <v>#N/A</v>
      </c>
      <c r="BN165" s="124" t="e">
        <v>#N/A</v>
      </c>
      <c r="BO165" s="124" t="e">
        <v>#N/A</v>
      </c>
      <c r="BP165" s="124" t="e">
        <v>#N/A</v>
      </c>
      <c r="BQ165" s="124" t="e">
        <v>#N/A</v>
      </c>
      <c r="BR165" s="124" t="e">
        <v>#N/A</v>
      </c>
      <c r="BS165" s="124" t="e">
        <v>#N/A</v>
      </c>
      <c r="BT165" s="124" t="e">
        <v>#N/A</v>
      </c>
      <c r="BU165" s="124" t="e">
        <v>#N/A</v>
      </c>
      <c r="BV165" s="124" t="e">
        <v>#N/A</v>
      </c>
      <c r="BW165" s="124" t="e">
        <v>#N/A</v>
      </c>
      <c r="BX165" s="124" t="e">
        <v>#N/A</v>
      </c>
      <c r="BY165" s="124" t="e">
        <v>#N/A</v>
      </c>
      <c r="BZ165" s="124" t="e">
        <v>#N/A</v>
      </c>
      <c r="CA165" s="125"/>
      <c r="CB165" s="124" t="e">
        <v>#N/A</v>
      </c>
      <c r="CC165" s="126">
        <v>1</v>
      </c>
      <c r="CD165" s="127" t="e">
        <v>#N/A</v>
      </c>
      <c r="CE165" s="128"/>
      <c r="CF165" s="77" t="s">
        <v>4182</v>
      </c>
    </row>
    <row r="166" spans="1:84" ht="14.5" x14ac:dyDescent="0.35">
      <c r="A166" s="77">
        <v>165</v>
      </c>
      <c r="B166" s="106" t="s">
        <v>6362</v>
      </c>
      <c r="C166" s="107" t="s">
        <v>1527</v>
      </c>
      <c r="D166" s="108" t="s">
        <v>1528</v>
      </c>
      <c r="E166" s="109" t="s">
        <v>1529</v>
      </c>
      <c r="F166" s="110">
        <v>662508067</v>
      </c>
      <c r="G166" s="108" t="s">
        <v>1004</v>
      </c>
      <c r="H166" s="111" t="s">
        <v>209</v>
      </c>
      <c r="I166" s="111" t="s">
        <v>180</v>
      </c>
      <c r="J166" s="111" t="s">
        <v>4649</v>
      </c>
      <c r="K166" s="111" t="s">
        <v>199</v>
      </c>
      <c r="L166" s="112">
        <v>39160</v>
      </c>
      <c r="M166" s="111" t="s">
        <v>1546</v>
      </c>
      <c r="N166" s="113"/>
      <c r="O166" s="114" t="s">
        <v>585</v>
      </c>
      <c r="P166" s="114" t="s">
        <v>585</v>
      </c>
      <c r="Q166" s="114" t="s">
        <v>585</v>
      </c>
      <c r="R166" s="114" t="s">
        <v>7296</v>
      </c>
      <c r="S166" s="114" t="s">
        <v>585</v>
      </c>
      <c r="T166" s="114" t="s">
        <v>183</v>
      </c>
      <c r="U166" s="114" t="s">
        <v>183</v>
      </c>
      <c r="V166" s="115"/>
      <c r="W166" s="116" t="s">
        <v>1530</v>
      </c>
      <c r="X166" s="116" t="s">
        <v>1531</v>
      </c>
      <c r="Y166" s="117">
        <v>3485635</v>
      </c>
      <c r="Z166" s="117">
        <v>3486262</v>
      </c>
      <c r="AA166" s="118"/>
      <c r="AB166" s="119" t="s">
        <v>5231</v>
      </c>
      <c r="AC166" s="119" t="s">
        <v>1592</v>
      </c>
      <c r="AD166" s="119">
        <v>4395</v>
      </c>
      <c r="AE166" s="119" t="s">
        <v>1707</v>
      </c>
      <c r="AF166" s="119">
        <v>0</v>
      </c>
      <c r="AG166" s="120"/>
      <c r="AH166" s="121">
        <v>44690</v>
      </c>
      <c r="AI166" s="121">
        <v>44690</v>
      </c>
      <c r="AJ166" s="121">
        <v>44690</v>
      </c>
      <c r="AK166" s="122">
        <v>44690</v>
      </c>
      <c r="AL166" s="122" t="e">
        <v>#N/A</v>
      </c>
      <c r="AM166" s="121" t="e">
        <v>#N/A</v>
      </c>
      <c r="AN166" s="121" t="e">
        <v>#N/A</v>
      </c>
      <c r="AO166" s="121" t="e">
        <v>#N/A</v>
      </c>
      <c r="AP166" s="122" t="e">
        <v>#N/A</v>
      </c>
      <c r="AQ166" s="122" t="e">
        <v>#N/A</v>
      </c>
      <c r="AR166" s="122" t="e">
        <v>#N/A</v>
      </c>
      <c r="AS166" s="122" t="e">
        <v>#N/A</v>
      </c>
      <c r="AT166" s="122" t="e">
        <v>#N/A</v>
      </c>
      <c r="AU166" s="121" t="e">
        <v>#N/A</v>
      </c>
      <c r="AV166" s="122" t="e">
        <v>#N/A</v>
      </c>
      <c r="AW166" s="122">
        <v>45758</v>
      </c>
      <c r="AX166" s="122">
        <v>45812</v>
      </c>
      <c r="AY166" s="122" t="e">
        <v>#N/A</v>
      </c>
      <c r="AZ166" s="122" t="e">
        <v>#N/A</v>
      </c>
      <c r="BA166" s="122" t="e">
        <v>#N/A</v>
      </c>
      <c r="BB166" s="122" t="e">
        <v>#N/A</v>
      </c>
      <c r="BC166" s="122" t="e">
        <v>#N/A</v>
      </c>
      <c r="BD166" s="122" t="e">
        <v>#N/A</v>
      </c>
      <c r="BE166" s="122" t="e">
        <v>#N/A</v>
      </c>
      <c r="BF166" s="122" t="e">
        <v>#N/A</v>
      </c>
      <c r="BG166" s="122" t="e">
        <v>#N/A</v>
      </c>
      <c r="BH166" s="122" t="e">
        <v>#N/A</v>
      </c>
      <c r="BI166" s="122" t="e">
        <v>#N/A</v>
      </c>
      <c r="BJ166" s="122" t="e">
        <v>#N/A</v>
      </c>
      <c r="BK166" s="122" t="e">
        <v>#N/A</v>
      </c>
      <c r="BL166" s="123"/>
      <c r="BM166" s="124" t="e">
        <v>#N/A</v>
      </c>
      <c r="BN166" s="124" t="e">
        <v>#N/A</v>
      </c>
      <c r="BO166" s="124" t="e">
        <v>#N/A</v>
      </c>
      <c r="BP166" s="124" t="e">
        <v>#N/A</v>
      </c>
      <c r="BQ166" s="124" t="e">
        <v>#N/A</v>
      </c>
      <c r="BR166" s="124" t="e">
        <v>#N/A</v>
      </c>
      <c r="BS166" s="124" t="e">
        <v>#N/A</v>
      </c>
      <c r="BT166" s="124" t="e">
        <v>#N/A</v>
      </c>
      <c r="BU166" s="124" t="e">
        <v>#N/A</v>
      </c>
      <c r="BV166" s="124" t="e">
        <v>#N/A</v>
      </c>
      <c r="BW166" s="124" t="e">
        <v>#N/A</v>
      </c>
      <c r="BX166" s="124" t="e">
        <v>#N/A</v>
      </c>
      <c r="BY166" s="124" t="e">
        <v>#N/A</v>
      </c>
      <c r="BZ166" s="124" t="e">
        <v>#N/A</v>
      </c>
      <c r="CA166" s="125"/>
      <c r="CB166" s="124" t="e">
        <v>#N/A</v>
      </c>
      <c r="CC166" s="126">
        <v>1</v>
      </c>
      <c r="CD166" s="127" t="e">
        <v>#N/A</v>
      </c>
      <c r="CE166" s="128"/>
      <c r="CF166" s="77" t="s">
        <v>4157</v>
      </c>
    </row>
    <row r="167" spans="1:84" ht="14.5" x14ac:dyDescent="0.35">
      <c r="A167" s="77">
        <v>166</v>
      </c>
      <c r="B167" s="106" t="s">
        <v>6288</v>
      </c>
      <c r="C167" s="107" t="s">
        <v>1472</v>
      </c>
      <c r="D167" s="108" t="s">
        <v>1473</v>
      </c>
      <c r="E167" s="109" t="s">
        <v>1474</v>
      </c>
      <c r="F167" s="110">
        <v>660348118</v>
      </c>
      <c r="G167" s="108" t="s">
        <v>1004</v>
      </c>
      <c r="H167" s="111" t="s">
        <v>209</v>
      </c>
      <c r="I167" s="111" t="s">
        <v>180</v>
      </c>
      <c r="J167" s="111" t="s">
        <v>4649</v>
      </c>
      <c r="K167" s="111" t="s">
        <v>199</v>
      </c>
      <c r="L167" s="112">
        <v>39568</v>
      </c>
      <c r="M167" s="111" t="s">
        <v>511</v>
      </c>
      <c r="N167" s="113"/>
      <c r="O167" s="114" t="s">
        <v>246</v>
      </c>
      <c r="P167" s="114" t="s">
        <v>257</v>
      </c>
      <c r="Q167" s="114" t="s">
        <v>257</v>
      </c>
      <c r="R167" s="114" t="s">
        <v>7364</v>
      </c>
      <c r="S167" s="114" t="s">
        <v>246</v>
      </c>
      <c r="T167" s="114" t="s">
        <v>183</v>
      </c>
      <c r="U167" s="114" t="s">
        <v>183</v>
      </c>
      <c r="V167" s="115"/>
      <c r="W167" s="116" t="s">
        <v>1475</v>
      </c>
      <c r="X167" s="116" t="s">
        <v>1476</v>
      </c>
      <c r="Y167" s="117">
        <v>3485631</v>
      </c>
      <c r="Z167" s="117">
        <v>3486161</v>
      </c>
      <c r="AA167" s="118"/>
      <c r="AB167" s="119" t="s">
        <v>5600</v>
      </c>
      <c r="AC167" s="119" t="s">
        <v>1610</v>
      </c>
      <c r="AD167" s="119">
        <v>4328</v>
      </c>
      <c r="AE167" s="119" t="s">
        <v>1611</v>
      </c>
      <c r="AF167" s="119" t="s">
        <v>6888</v>
      </c>
      <c r="AG167" s="120"/>
      <c r="AH167" s="121">
        <v>44641</v>
      </c>
      <c r="AI167" s="121">
        <v>44641</v>
      </c>
      <c r="AJ167" s="121">
        <v>44641</v>
      </c>
      <c r="AK167" s="122">
        <v>44641</v>
      </c>
      <c r="AL167" s="122" t="e">
        <v>#N/A</v>
      </c>
      <c r="AM167" s="121" t="e">
        <v>#N/A</v>
      </c>
      <c r="AN167" s="121" t="e">
        <v>#N/A</v>
      </c>
      <c r="AO167" s="121" t="e">
        <v>#N/A</v>
      </c>
      <c r="AP167" s="122" t="e">
        <v>#N/A</v>
      </c>
      <c r="AQ167" s="122" t="e">
        <v>#N/A</v>
      </c>
      <c r="AR167" s="122" t="e">
        <v>#N/A</v>
      </c>
      <c r="AS167" s="122" t="e">
        <v>#N/A</v>
      </c>
      <c r="AT167" s="122" t="e">
        <v>#N/A</v>
      </c>
      <c r="AU167" s="121">
        <v>45922</v>
      </c>
      <c r="AV167" s="122">
        <v>45616</v>
      </c>
      <c r="AW167" s="122">
        <v>45495</v>
      </c>
      <c r="AX167" s="122">
        <v>44727</v>
      </c>
      <c r="AY167" s="122" t="e">
        <v>#N/A</v>
      </c>
      <c r="AZ167" s="122" t="e">
        <v>#N/A</v>
      </c>
      <c r="BA167" s="122" t="e">
        <v>#N/A</v>
      </c>
      <c r="BB167" s="122" t="e">
        <v>#N/A</v>
      </c>
      <c r="BC167" s="122" t="e">
        <v>#N/A</v>
      </c>
      <c r="BD167" s="122" t="e">
        <v>#N/A</v>
      </c>
      <c r="BE167" s="122" t="e">
        <v>#N/A</v>
      </c>
      <c r="BF167" s="122" t="e">
        <v>#N/A</v>
      </c>
      <c r="BG167" s="122">
        <v>45947</v>
      </c>
      <c r="BH167" s="122" t="e">
        <v>#N/A</v>
      </c>
      <c r="BI167" s="122" t="e">
        <v>#N/A</v>
      </c>
      <c r="BJ167" s="122" t="e">
        <v>#N/A</v>
      </c>
      <c r="BK167" s="122">
        <v>45971</v>
      </c>
      <c r="BL167" s="123"/>
      <c r="BM167" s="124" t="e">
        <v>#N/A</v>
      </c>
      <c r="BN167" s="124" t="e">
        <v>#N/A</v>
      </c>
      <c r="BO167" s="124" t="e">
        <v>#N/A</v>
      </c>
      <c r="BP167" s="124" t="e">
        <v>#N/A</v>
      </c>
      <c r="BQ167" s="124" t="e">
        <v>#N/A</v>
      </c>
      <c r="BR167" s="124" t="e">
        <v>#N/A</v>
      </c>
      <c r="BS167" s="124" t="e">
        <v>#N/A</v>
      </c>
      <c r="BT167" s="124" t="e">
        <v>#N/A</v>
      </c>
      <c r="BU167" s="124" t="e">
        <v>#N/A</v>
      </c>
      <c r="BV167" s="124" t="e">
        <v>#N/A</v>
      </c>
      <c r="BW167" s="124" t="e">
        <v>#N/A</v>
      </c>
      <c r="BX167" s="124" t="e">
        <v>#N/A</v>
      </c>
      <c r="BY167" s="124" t="e">
        <v>#N/A</v>
      </c>
      <c r="BZ167" s="124" t="e">
        <v>#N/A</v>
      </c>
      <c r="CA167" s="125"/>
      <c r="CB167" s="124" t="e">
        <v>#N/A</v>
      </c>
      <c r="CC167" s="126">
        <v>1</v>
      </c>
      <c r="CD167" s="127" t="e">
        <v>#N/A</v>
      </c>
      <c r="CE167" s="128"/>
      <c r="CF167" s="77" t="s">
        <v>4151</v>
      </c>
    </row>
    <row r="168" spans="1:84" ht="14.5" x14ac:dyDescent="0.35">
      <c r="A168" s="77">
        <v>167</v>
      </c>
      <c r="B168" s="106" t="s">
        <v>2596</v>
      </c>
      <c r="C168" s="107" t="s">
        <v>6460</v>
      </c>
      <c r="D168" s="108" t="s">
        <v>2597</v>
      </c>
      <c r="E168" s="109" t="s">
        <v>2598</v>
      </c>
      <c r="F168" s="110">
        <v>609493059</v>
      </c>
      <c r="G168" s="108" t="s">
        <v>1004</v>
      </c>
      <c r="H168" s="111" t="s">
        <v>209</v>
      </c>
      <c r="I168" s="111" t="s">
        <v>180</v>
      </c>
      <c r="J168" s="111" t="s">
        <v>4649</v>
      </c>
      <c r="K168" s="111" t="s">
        <v>199</v>
      </c>
      <c r="L168" s="112">
        <v>43452</v>
      </c>
      <c r="M168" s="111" t="s">
        <v>256</v>
      </c>
      <c r="N168" s="113"/>
      <c r="O168" s="114" t="s">
        <v>182</v>
      </c>
      <c r="P168" s="114" t="s">
        <v>184</v>
      </c>
      <c r="Q168" s="114" t="s">
        <v>184</v>
      </c>
      <c r="R168" s="114" t="s">
        <v>182</v>
      </c>
      <c r="S168" s="114" t="s">
        <v>182</v>
      </c>
      <c r="T168" s="114" t="s">
        <v>183</v>
      </c>
      <c r="U168" s="114" t="s">
        <v>183</v>
      </c>
      <c r="V168" s="115"/>
      <c r="W168" s="116" t="s">
        <v>2599</v>
      </c>
      <c r="X168" s="116" t="s">
        <v>2600</v>
      </c>
      <c r="Y168" s="117">
        <v>3485586</v>
      </c>
      <c r="Z168" s="117">
        <v>3486232</v>
      </c>
      <c r="AA168" s="118"/>
      <c r="AB168" s="119" t="s">
        <v>2601</v>
      </c>
      <c r="AC168" s="119" t="s">
        <v>2602</v>
      </c>
      <c r="AD168" s="119">
        <v>27408</v>
      </c>
      <c r="AE168" s="119" t="s">
        <v>2603</v>
      </c>
      <c r="AF168" s="119" t="s">
        <v>7409</v>
      </c>
      <c r="AG168" s="120"/>
      <c r="AH168" s="121">
        <v>44974</v>
      </c>
      <c r="AI168" s="121">
        <v>45002</v>
      </c>
      <c r="AJ168" s="121">
        <v>45002</v>
      </c>
      <c r="AK168" s="122">
        <v>45044</v>
      </c>
      <c r="AL168" s="122" t="e">
        <v>#N/A</v>
      </c>
      <c r="AM168" s="121" t="e">
        <v>#N/A</v>
      </c>
      <c r="AN168" s="121" t="e">
        <v>#N/A</v>
      </c>
      <c r="AO168" s="121" t="e">
        <v>#N/A</v>
      </c>
      <c r="AP168" s="122" t="e">
        <v>#N/A</v>
      </c>
      <c r="AQ168" s="122" t="e">
        <v>#N/A</v>
      </c>
      <c r="AR168" s="122" t="e">
        <v>#N/A</v>
      </c>
      <c r="AS168" s="122" t="e">
        <v>#N/A</v>
      </c>
      <c r="AT168" s="122">
        <v>45097</v>
      </c>
      <c r="AU168" s="121">
        <v>45922</v>
      </c>
      <c r="AV168" s="122">
        <v>45737</v>
      </c>
      <c r="AW168" s="122">
        <v>45723</v>
      </c>
      <c r="AX168" s="122" t="e">
        <v>#N/A</v>
      </c>
      <c r="AY168" s="122" t="e">
        <v>#N/A</v>
      </c>
      <c r="AZ168" s="122" t="e">
        <v>#N/A</v>
      </c>
      <c r="BA168" s="122" t="e">
        <v>#N/A</v>
      </c>
      <c r="BB168" s="122" t="e">
        <v>#N/A</v>
      </c>
      <c r="BC168" s="122" t="e">
        <v>#N/A</v>
      </c>
      <c r="BD168" s="122" t="e">
        <v>#N/A</v>
      </c>
      <c r="BE168" s="122">
        <v>45156</v>
      </c>
      <c r="BF168" s="122" t="e">
        <v>#N/A</v>
      </c>
      <c r="BG168" s="122" t="e">
        <v>#N/A</v>
      </c>
      <c r="BH168" s="122" t="e">
        <v>#N/A</v>
      </c>
      <c r="BI168" s="122" t="e">
        <v>#N/A</v>
      </c>
      <c r="BJ168" s="122" t="e">
        <v>#N/A</v>
      </c>
      <c r="BK168" s="122">
        <v>45980</v>
      </c>
      <c r="BL168" s="123"/>
      <c r="BM168" s="124" t="e">
        <v>#N/A</v>
      </c>
      <c r="BN168" s="124" t="e">
        <v>#N/A</v>
      </c>
      <c r="BO168" s="124" t="e">
        <v>#N/A</v>
      </c>
      <c r="BP168" s="124" t="e">
        <v>#N/A</v>
      </c>
      <c r="BQ168" s="124" t="e">
        <v>#N/A</v>
      </c>
      <c r="BR168" s="124" t="e">
        <v>#N/A</v>
      </c>
      <c r="BS168" s="124" t="e">
        <v>#N/A</v>
      </c>
      <c r="BT168" s="124" t="e">
        <v>#N/A</v>
      </c>
      <c r="BU168" s="124" t="e">
        <v>#N/A</v>
      </c>
      <c r="BV168" s="124" t="e">
        <v>#N/A</v>
      </c>
      <c r="BW168" s="124" t="e">
        <v>#N/A</v>
      </c>
      <c r="BX168" s="124" t="e">
        <v>#N/A</v>
      </c>
      <c r="BY168" s="124" t="e">
        <v>#N/A</v>
      </c>
      <c r="BZ168" s="124" t="e">
        <v>#N/A</v>
      </c>
      <c r="CA168" s="125"/>
      <c r="CB168" s="124">
        <v>45841</v>
      </c>
      <c r="CC168" s="126">
        <v>1</v>
      </c>
      <c r="CD168" s="127" t="s">
        <v>4161</v>
      </c>
      <c r="CE168" s="128"/>
      <c r="CF168" s="77" t="s">
        <v>4176</v>
      </c>
    </row>
    <row r="169" spans="1:84" ht="14.5" x14ac:dyDescent="0.35">
      <c r="A169" s="77">
        <v>168</v>
      </c>
      <c r="B169" s="106" t="s">
        <v>2667</v>
      </c>
      <c r="C169" s="107" t="s">
        <v>6539</v>
      </c>
      <c r="D169" s="108" t="s">
        <v>2668</v>
      </c>
      <c r="E169" s="109" t="s">
        <v>2669</v>
      </c>
      <c r="F169" s="110">
        <v>652936907</v>
      </c>
      <c r="G169" s="108" t="s">
        <v>1004</v>
      </c>
      <c r="H169" s="111" t="s">
        <v>209</v>
      </c>
      <c r="I169" s="111" t="s">
        <v>180</v>
      </c>
      <c r="J169" s="111" t="s">
        <v>4649</v>
      </c>
      <c r="K169" s="111" t="s">
        <v>199</v>
      </c>
      <c r="L169" s="112">
        <v>45063</v>
      </c>
      <c r="M169" s="111" t="s">
        <v>1712</v>
      </c>
      <c r="N169" s="113"/>
      <c r="O169" s="114" t="s">
        <v>4264</v>
      </c>
      <c r="P169" s="114" t="s">
        <v>7410</v>
      </c>
      <c r="Q169" s="114" t="s">
        <v>585</v>
      </c>
      <c r="R169" s="114" t="s">
        <v>4264</v>
      </c>
      <c r="S169" s="114" t="s">
        <v>7410</v>
      </c>
      <c r="T169" s="114" t="s">
        <v>183</v>
      </c>
      <c r="U169" s="114" t="s">
        <v>183</v>
      </c>
      <c r="V169" s="115"/>
      <c r="W169" s="116" t="s">
        <v>2670</v>
      </c>
      <c r="X169" s="116" t="s">
        <v>2671</v>
      </c>
      <c r="Y169" s="117">
        <v>3485430</v>
      </c>
      <c r="Z169" s="117">
        <v>3486393</v>
      </c>
      <c r="AA169" s="118"/>
      <c r="AB169" s="119" t="s">
        <v>5601</v>
      </c>
      <c r="AC169" s="119" t="s">
        <v>2719</v>
      </c>
      <c r="AD169" s="119">
        <v>5234</v>
      </c>
      <c r="AE169" s="119" t="s">
        <v>4903</v>
      </c>
      <c r="AF169" s="119">
        <v>0</v>
      </c>
      <c r="AG169" s="120"/>
      <c r="AH169" s="121">
        <v>45062</v>
      </c>
      <c r="AI169" s="121">
        <v>45062</v>
      </c>
      <c r="AJ169" s="121">
        <v>45062</v>
      </c>
      <c r="AK169" s="122">
        <v>45062</v>
      </c>
      <c r="AL169" s="122">
        <v>45912</v>
      </c>
      <c r="AM169" s="122" t="e">
        <v>#N/A</v>
      </c>
      <c r="AN169" s="122">
        <v>45912</v>
      </c>
      <c r="AO169" s="121">
        <v>45989</v>
      </c>
      <c r="AP169" s="122" t="e">
        <v>#N/A</v>
      </c>
      <c r="AQ169" s="122" t="e">
        <v>#N/A</v>
      </c>
      <c r="AR169" s="122">
        <v>45989</v>
      </c>
      <c r="AS169" s="122" t="e">
        <v>#N/A</v>
      </c>
      <c r="AT169" s="122" t="e">
        <v>#N/A</v>
      </c>
      <c r="AU169" s="121" t="e">
        <v>#N/A</v>
      </c>
      <c r="AV169" s="122" t="e">
        <v>#N/A</v>
      </c>
      <c r="AW169" s="122">
        <v>45763</v>
      </c>
      <c r="AX169" s="122" t="e">
        <v>#N/A</v>
      </c>
      <c r="AY169" s="122" t="e">
        <v>#N/A</v>
      </c>
      <c r="AZ169" s="122" t="e">
        <v>#N/A</v>
      </c>
      <c r="BA169" s="122" t="e">
        <v>#N/A</v>
      </c>
      <c r="BB169" s="122">
        <v>45779</v>
      </c>
      <c r="BC169" s="122" t="e">
        <v>#N/A</v>
      </c>
      <c r="BD169" s="122" t="e">
        <v>#N/A</v>
      </c>
      <c r="BE169" s="122" t="e">
        <v>#N/A</v>
      </c>
      <c r="BF169" s="122" t="e">
        <v>#N/A</v>
      </c>
      <c r="BG169" s="122" t="e">
        <v>#N/A</v>
      </c>
      <c r="BH169" s="122" t="e">
        <v>#N/A</v>
      </c>
      <c r="BI169" s="122" t="e">
        <v>#N/A</v>
      </c>
      <c r="BJ169" s="122" t="e">
        <v>#N/A</v>
      </c>
      <c r="BK169" s="122" t="e">
        <v>#N/A</v>
      </c>
      <c r="BL169" s="123"/>
      <c r="BM169" s="124" t="e">
        <v>#N/A</v>
      </c>
      <c r="BN169" s="124" t="e">
        <v>#N/A</v>
      </c>
      <c r="BO169" s="124" t="e">
        <v>#N/A</v>
      </c>
      <c r="BP169" s="124" t="e">
        <v>#N/A</v>
      </c>
      <c r="BQ169" s="124" t="e">
        <v>#N/A</v>
      </c>
      <c r="BR169" s="124" t="e">
        <v>#N/A</v>
      </c>
      <c r="BS169" s="124" t="e">
        <v>#N/A</v>
      </c>
      <c r="BT169" s="124" t="e">
        <v>#N/A</v>
      </c>
      <c r="BU169" s="124" t="e">
        <v>#N/A</v>
      </c>
      <c r="BV169" s="124" t="e">
        <v>#N/A</v>
      </c>
      <c r="BW169" s="124" t="e">
        <v>#N/A</v>
      </c>
      <c r="BX169" s="124" t="e">
        <v>#N/A</v>
      </c>
      <c r="BY169" s="124" t="e">
        <v>#N/A</v>
      </c>
      <c r="BZ169" s="124" t="e">
        <v>#N/A</v>
      </c>
      <c r="CA169" s="125"/>
      <c r="CB169" s="124" t="e">
        <v>#N/A</v>
      </c>
      <c r="CC169" s="126">
        <v>1</v>
      </c>
      <c r="CD169" s="127" t="s">
        <v>4164</v>
      </c>
      <c r="CE169" s="128"/>
      <c r="CF169" s="77" t="s">
        <v>4162</v>
      </c>
    </row>
    <row r="170" spans="1:84" ht="14.5" x14ac:dyDescent="0.35">
      <c r="A170" s="77">
        <v>169</v>
      </c>
      <c r="B170" s="106" t="s">
        <v>1738</v>
      </c>
      <c r="C170" s="107" t="s">
        <v>6477</v>
      </c>
      <c r="D170" s="108" t="s">
        <v>1756</v>
      </c>
      <c r="E170" s="109" t="s">
        <v>1757</v>
      </c>
      <c r="F170" s="110">
        <v>645558347</v>
      </c>
      <c r="G170" s="108" t="s">
        <v>1004</v>
      </c>
      <c r="H170" s="111" t="s">
        <v>209</v>
      </c>
      <c r="I170" s="111" t="s">
        <v>180</v>
      </c>
      <c r="J170" s="111" t="s">
        <v>4649</v>
      </c>
      <c r="K170" s="111" t="s">
        <v>199</v>
      </c>
      <c r="L170" s="112">
        <v>44197</v>
      </c>
      <c r="M170" s="111" t="s">
        <v>984</v>
      </c>
      <c r="N170" s="113"/>
      <c r="O170" s="114" t="s">
        <v>367</v>
      </c>
      <c r="P170" s="114" t="s">
        <v>367</v>
      </c>
      <c r="Q170" s="114" t="s">
        <v>183</v>
      </c>
      <c r="R170" s="114" t="s">
        <v>7394</v>
      </c>
      <c r="S170" s="114" t="s">
        <v>367</v>
      </c>
      <c r="T170" s="114" t="s">
        <v>367</v>
      </c>
      <c r="U170" s="114" t="s">
        <v>7411</v>
      </c>
      <c r="V170" s="115"/>
      <c r="W170" s="116" t="s">
        <v>1758</v>
      </c>
      <c r="X170" s="116" t="s">
        <v>1759</v>
      </c>
      <c r="Y170" s="117">
        <v>3485677</v>
      </c>
      <c r="Z170" s="117">
        <v>3486527</v>
      </c>
      <c r="AA170" s="118"/>
      <c r="AB170" s="119" t="s">
        <v>5602</v>
      </c>
      <c r="AC170" s="119" t="s">
        <v>1760</v>
      </c>
      <c r="AD170" s="119">
        <v>4435</v>
      </c>
      <c r="AE170" s="119" t="s">
        <v>1761</v>
      </c>
      <c r="AF170" s="119">
        <v>0</v>
      </c>
      <c r="AG170" s="120"/>
      <c r="AH170" s="121">
        <v>44753</v>
      </c>
      <c r="AI170" s="121">
        <v>44753</v>
      </c>
      <c r="AJ170" s="121">
        <v>44753</v>
      </c>
      <c r="AK170" s="122">
        <v>45044</v>
      </c>
      <c r="AL170" s="122" t="e">
        <v>#N/A</v>
      </c>
      <c r="AM170" s="122" t="e">
        <v>#N/A</v>
      </c>
      <c r="AN170" s="122" t="e">
        <v>#N/A</v>
      </c>
      <c r="AO170" s="121" t="e">
        <v>#N/A</v>
      </c>
      <c r="AP170" s="122" t="e">
        <v>#N/A</v>
      </c>
      <c r="AQ170" s="122" t="e">
        <v>#N/A</v>
      </c>
      <c r="AR170" s="122" t="e">
        <v>#N/A</v>
      </c>
      <c r="AS170" s="122" t="e">
        <v>#N/A</v>
      </c>
      <c r="AT170" s="122" t="e">
        <v>#N/A</v>
      </c>
      <c r="AU170" s="121" t="e">
        <v>#N/A</v>
      </c>
      <c r="AV170" s="122" t="e">
        <v>#N/A</v>
      </c>
      <c r="AW170" s="122">
        <v>45730</v>
      </c>
      <c r="AX170" s="122" t="e">
        <v>#N/A</v>
      </c>
      <c r="AY170" s="122" t="e">
        <v>#N/A</v>
      </c>
      <c r="AZ170" s="122" t="e">
        <v>#N/A</v>
      </c>
      <c r="BA170" s="122" t="e">
        <v>#N/A</v>
      </c>
      <c r="BB170" s="122" t="e">
        <v>#N/A</v>
      </c>
      <c r="BC170" s="122" t="e">
        <v>#N/A</v>
      </c>
      <c r="BD170" s="122" t="e">
        <v>#N/A</v>
      </c>
      <c r="BE170" s="122" t="e">
        <v>#N/A</v>
      </c>
      <c r="BF170" s="122" t="e">
        <v>#N/A</v>
      </c>
      <c r="BG170" s="122">
        <v>45947</v>
      </c>
      <c r="BH170" s="122" t="e">
        <v>#N/A</v>
      </c>
      <c r="BI170" s="122" t="e">
        <v>#N/A</v>
      </c>
      <c r="BJ170" s="122" t="e">
        <v>#N/A</v>
      </c>
      <c r="BK170" s="122" t="e">
        <v>#N/A</v>
      </c>
      <c r="BL170" s="123"/>
      <c r="BM170" s="124" t="e">
        <v>#N/A</v>
      </c>
      <c r="BN170" s="124" t="e">
        <v>#N/A</v>
      </c>
      <c r="BO170" s="124" t="e">
        <v>#N/A</v>
      </c>
      <c r="BP170" s="124" t="e">
        <v>#N/A</v>
      </c>
      <c r="BQ170" s="124" t="e">
        <v>#N/A</v>
      </c>
      <c r="BR170" s="124" t="e">
        <v>#N/A</v>
      </c>
      <c r="BS170" s="124" t="e">
        <v>#N/A</v>
      </c>
      <c r="BT170" s="124" t="e">
        <v>#N/A</v>
      </c>
      <c r="BU170" s="124" t="e">
        <v>#N/A</v>
      </c>
      <c r="BV170" s="124" t="e">
        <v>#N/A</v>
      </c>
      <c r="BW170" s="124" t="e">
        <v>#N/A</v>
      </c>
      <c r="BX170" s="124" t="e">
        <v>#N/A</v>
      </c>
      <c r="BY170" s="124" t="e">
        <v>#N/A</v>
      </c>
      <c r="BZ170" s="124" t="e">
        <v>#N/A</v>
      </c>
      <c r="CA170" s="125"/>
      <c r="CB170" s="124">
        <v>45727</v>
      </c>
      <c r="CC170" s="126">
        <v>1</v>
      </c>
      <c r="CD170" s="127" t="s">
        <v>4157</v>
      </c>
      <c r="CE170" s="128"/>
      <c r="CF170" s="77" t="s">
        <v>4201</v>
      </c>
    </row>
    <row r="171" spans="1:84" ht="14.5" x14ac:dyDescent="0.35">
      <c r="A171" s="77">
        <v>170</v>
      </c>
      <c r="B171" s="106" t="s">
        <v>2584</v>
      </c>
      <c r="C171" s="107" t="s">
        <v>6432</v>
      </c>
      <c r="D171" s="108" t="s">
        <v>2585</v>
      </c>
      <c r="E171" s="109" t="s">
        <v>2586</v>
      </c>
      <c r="F171" s="110">
        <v>603650522</v>
      </c>
      <c r="G171" s="108" t="s">
        <v>1004</v>
      </c>
      <c r="H171" s="111" t="s">
        <v>209</v>
      </c>
      <c r="I171" s="111" t="s">
        <v>180</v>
      </c>
      <c r="J171" s="111" t="s">
        <v>4649</v>
      </c>
      <c r="K171" s="111" t="s">
        <v>199</v>
      </c>
      <c r="L171" s="112">
        <v>41232</v>
      </c>
      <c r="M171" s="111" t="s">
        <v>796</v>
      </c>
      <c r="N171" s="113"/>
      <c r="O171" s="114" t="s">
        <v>246</v>
      </c>
      <c r="P171" s="114" t="s">
        <v>183</v>
      </c>
      <c r="Q171" s="114" t="s">
        <v>257</v>
      </c>
      <c r="R171" s="114" t="s">
        <v>7364</v>
      </c>
      <c r="S171" s="114" t="s">
        <v>183</v>
      </c>
      <c r="T171" s="114" t="s">
        <v>246</v>
      </c>
      <c r="U171" s="114" t="s">
        <v>246</v>
      </c>
      <c r="V171" s="115"/>
      <c r="W171" s="116" t="s">
        <v>2587</v>
      </c>
      <c r="X171" s="116" t="s">
        <v>2588</v>
      </c>
      <c r="Y171" s="117">
        <v>3485264</v>
      </c>
      <c r="Z171" s="117">
        <v>3481408</v>
      </c>
      <c r="AA171" s="118"/>
      <c r="AB171" s="119" t="s">
        <v>5775</v>
      </c>
      <c r="AC171" s="119" t="s">
        <v>2589</v>
      </c>
      <c r="AD171" s="119">
        <v>4281</v>
      </c>
      <c r="AE171" s="119" t="s">
        <v>3133</v>
      </c>
      <c r="AF171" s="119" t="s">
        <v>7412</v>
      </c>
      <c r="AG171" s="120"/>
      <c r="AH171" s="121">
        <v>44994</v>
      </c>
      <c r="AI171" s="121">
        <v>45002</v>
      </c>
      <c r="AJ171" s="121">
        <v>45002</v>
      </c>
      <c r="AK171" s="122">
        <v>45044</v>
      </c>
      <c r="AL171" s="122" t="e">
        <v>#N/A</v>
      </c>
      <c r="AM171" s="121" t="e">
        <v>#N/A</v>
      </c>
      <c r="AN171" s="121" t="e">
        <v>#N/A</v>
      </c>
      <c r="AO171" s="121" t="e">
        <v>#N/A</v>
      </c>
      <c r="AP171" s="122" t="e">
        <v>#N/A</v>
      </c>
      <c r="AQ171" s="122" t="e">
        <v>#N/A</v>
      </c>
      <c r="AR171" s="122" t="e">
        <v>#N/A</v>
      </c>
      <c r="AS171" s="122" t="e">
        <v>#N/A</v>
      </c>
      <c r="AT171" s="122">
        <v>45097</v>
      </c>
      <c r="AU171" s="121" t="e">
        <v>#N/A</v>
      </c>
      <c r="AV171" s="122" t="e">
        <v>#N/A</v>
      </c>
      <c r="AW171" s="122">
        <v>45670</v>
      </c>
      <c r="AX171" s="122" t="e">
        <v>#N/A</v>
      </c>
      <c r="AY171" s="122" t="e">
        <v>#N/A</v>
      </c>
      <c r="AZ171" s="122" t="e">
        <v>#N/A</v>
      </c>
      <c r="BA171" s="122" t="e">
        <v>#N/A</v>
      </c>
      <c r="BB171" s="122" t="e">
        <v>#N/A</v>
      </c>
      <c r="BC171" s="122" t="e">
        <v>#N/A</v>
      </c>
      <c r="BD171" s="122" t="e">
        <v>#N/A</v>
      </c>
      <c r="BE171" s="122" t="e">
        <v>#N/A</v>
      </c>
      <c r="BF171" s="122" t="e">
        <v>#N/A</v>
      </c>
      <c r="BG171" s="122" t="e">
        <v>#N/A</v>
      </c>
      <c r="BH171" s="122" t="e">
        <v>#N/A</v>
      </c>
      <c r="BI171" s="122" t="e">
        <v>#N/A</v>
      </c>
      <c r="BJ171" s="122" t="e">
        <v>#N/A</v>
      </c>
      <c r="BK171" s="122">
        <v>45978</v>
      </c>
      <c r="BL171" s="123"/>
      <c r="BM171" s="124" t="e">
        <v>#N/A</v>
      </c>
      <c r="BN171" s="124" t="e">
        <v>#N/A</v>
      </c>
      <c r="BO171" s="124" t="e">
        <v>#N/A</v>
      </c>
      <c r="BP171" s="124" t="e">
        <v>#N/A</v>
      </c>
      <c r="BQ171" s="124" t="e">
        <v>#N/A</v>
      </c>
      <c r="BR171" s="124" t="e">
        <v>#N/A</v>
      </c>
      <c r="BS171" s="124" t="e">
        <v>#N/A</v>
      </c>
      <c r="BT171" s="124" t="e">
        <v>#N/A</v>
      </c>
      <c r="BU171" s="124" t="e">
        <v>#N/A</v>
      </c>
      <c r="BV171" s="124" t="e">
        <v>#N/A</v>
      </c>
      <c r="BW171" s="124" t="e">
        <v>#N/A</v>
      </c>
      <c r="BX171" s="124" t="e">
        <v>#N/A</v>
      </c>
      <c r="BY171" s="124" t="e">
        <v>#N/A</v>
      </c>
      <c r="BZ171" s="124" t="e">
        <v>#N/A</v>
      </c>
      <c r="CA171" s="125"/>
      <c r="CB171" s="124">
        <v>45728</v>
      </c>
      <c r="CC171" s="126">
        <v>1</v>
      </c>
      <c r="CD171" s="127" t="s">
        <v>4162</v>
      </c>
      <c r="CE171" s="128"/>
      <c r="CF171" s="77" t="s">
        <v>4151</v>
      </c>
    </row>
    <row r="172" spans="1:84" ht="14.5" x14ac:dyDescent="0.35">
      <c r="A172" s="77">
        <v>171</v>
      </c>
      <c r="B172" s="106" t="s">
        <v>2571</v>
      </c>
      <c r="C172" s="107" t="s">
        <v>6442</v>
      </c>
      <c r="D172" s="108" t="s">
        <v>2572</v>
      </c>
      <c r="E172" s="109" t="s">
        <v>2573</v>
      </c>
      <c r="F172" s="110">
        <v>611481926</v>
      </c>
      <c r="G172" s="108" t="s">
        <v>1004</v>
      </c>
      <c r="H172" s="111" t="s">
        <v>209</v>
      </c>
      <c r="I172" s="111" t="s">
        <v>180</v>
      </c>
      <c r="J172" s="111" t="s">
        <v>4649</v>
      </c>
      <c r="K172" s="111" t="s">
        <v>199</v>
      </c>
      <c r="L172" s="112">
        <v>43831</v>
      </c>
      <c r="M172" s="111" t="s">
        <v>181</v>
      </c>
      <c r="N172" s="113"/>
      <c r="O172" s="114" t="s">
        <v>7255</v>
      </c>
      <c r="P172" s="114" t="s">
        <v>7255</v>
      </c>
      <c r="Q172" s="114" t="s">
        <v>330</v>
      </c>
      <c r="R172" s="114" t="s">
        <v>7380</v>
      </c>
      <c r="S172" s="114" t="s">
        <v>7255</v>
      </c>
      <c r="T172" s="114" t="s">
        <v>183</v>
      </c>
      <c r="U172" s="114" t="s">
        <v>183</v>
      </c>
      <c r="V172" s="115"/>
      <c r="W172" s="116" t="s">
        <v>2574</v>
      </c>
      <c r="X172" s="116" t="s">
        <v>2575</v>
      </c>
      <c r="Y172" s="117">
        <v>3485171</v>
      </c>
      <c r="Z172" s="117">
        <v>3481353</v>
      </c>
      <c r="AA172" s="118"/>
      <c r="AB172" s="119" t="s">
        <v>5776</v>
      </c>
      <c r="AC172" s="119" t="s">
        <v>2576</v>
      </c>
      <c r="AD172" s="119">
        <v>5867</v>
      </c>
      <c r="AE172" s="119" t="s">
        <v>3349</v>
      </c>
      <c r="AF172" s="119" t="s">
        <v>6090</v>
      </c>
      <c r="AG172" s="120"/>
      <c r="AH172" s="121">
        <v>44994</v>
      </c>
      <c r="AI172" s="121">
        <v>45058</v>
      </c>
      <c r="AJ172" s="121">
        <v>45412</v>
      </c>
      <c r="AK172" s="122">
        <v>45412</v>
      </c>
      <c r="AL172" s="122" t="e">
        <v>#N/A</v>
      </c>
      <c r="AM172" s="121" t="e">
        <v>#N/A</v>
      </c>
      <c r="AN172" s="121" t="e">
        <v>#N/A</v>
      </c>
      <c r="AO172" s="121" t="e">
        <v>#N/A</v>
      </c>
      <c r="AP172" s="122" t="e">
        <v>#N/A</v>
      </c>
      <c r="AQ172" s="122" t="e">
        <v>#N/A</v>
      </c>
      <c r="AR172" s="122" t="e">
        <v>#N/A</v>
      </c>
      <c r="AS172" s="122" t="e">
        <v>#N/A</v>
      </c>
      <c r="AT172" s="122">
        <v>45008</v>
      </c>
      <c r="AU172" s="121" t="e">
        <v>#N/A</v>
      </c>
      <c r="AV172" s="122" t="e">
        <v>#N/A</v>
      </c>
      <c r="AW172" s="122">
        <v>45671</v>
      </c>
      <c r="AX172" s="122" t="e">
        <v>#N/A</v>
      </c>
      <c r="AY172" s="122" t="e">
        <v>#N/A</v>
      </c>
      <c r="AZ172" s="122" t="e">
        <v>#N/A</v>
      </c>
      <c r="BA172" s="122" t="e">
        <v>#N/A</v>
      </c>
      <c r="BB172" s="122" t="e">
        <v>#N/A</v>
      </c>
      <c r="BC172" s="122" t="e">
        <v>#N/A</v>
      </c>
      <c r="BD172" s="122" t="e">
        <v>#N/A</v>
      </c>
      <c r="BE172" s="122" t="e">
        <v>#N/A</v>
      </c>
      <c r="BF172" s="122" t="e">
        <v>#N/A</v>
      </c>
      <c r="BG172" s="122" t="e">
        <v>#N/A</v>
      </c>
      <c r="BH172" s="122" t="e">
        <v>#N/A</v>
      </c>
      <c r="BI172" s="122" t="e">
        <v>#N/A</v>
      </c>
      <c r="BJ172" s="122" t="e">
        <v>#N/A</v>
      </c>
      <c r="BK172" s="122">
        <v>45959</v>
      </c>
      <c r="BL172" s="123"/>
      <c r="BM172" s="124" t="e">
        <v>#N/A</v>
      </c>
      <c r="BN172" s="124" t="e">
        <v>#N/A</v>
      </c>
      <c r="BO172" s="124" t="e">
        <v>#N/A</v>
      </c>
      <c r="BP172" s="124" t="e">
        <v>#N/A</v>
      </c>
      <c r="BQ172" s="124" t="e">
        <v>#N/A</v>
      </c>
      <c r="BR172" s="124" t="e">
        <v>#N/A</v>
      </c>
      <c r="BS172" s="124" t="e">
        <v>#N/A</v>
      </c>
      <c r="BT172" s="124" t="e">
        <v>#N/A</v>
      </c>
      <c r="BU172" s="124" t="e">
        <v>#N/A</v>
      </c>
      <c r="BV172" s="124" t="e">
        <v>#N/A</v>
      </c>
      <c r="BW172" s="124" t="e">
        <v>#N/A</v>
      </c>
      <c r="BX172" s="124" t="e">
        <v>#N/A</v>
      </c>
      <c r="BY172" s="124" t="e">
        <v>#N/A</v>
      </c>
      <c r="BZ172" s="124" t="e">
        <v>#N/A</v>
      </c>
      <c r="CA172" s="125"/>
      <c r="CB172" s="124" t="e">
        <v>#N/A</v>
      </c>
      <c r="CC172" s="126">
        <v>1</v>
      </c>
      <c r="CD172" s="127" t="s">
        <v>4162</v>
      </c>
      <c r="CE172" s="128"/>
      <c r="CF172" s="77" t="s">
        <v>4169</v>
      </c>
    </row>
    <row r="173" spans="1:84" ht="14.5" x14ac:dyDescent="0.35">
      <c r="A173" s="77">
        <v>172</v>
      </c>
      <c r="B173" s="106" t="s">
        <v>6337</v>
      </c>
      <c r="C173" s="107" t="s">
        <v>6338</v>
      </c>
      <c r="D173" s="108" t="s">
        <v>2525</v>
      </c>
      <c r="E173" s="109" t="s">
        <v>2526</v>
      </c>
      <c r="F173" s="110">
        <v>685004405</v>
      </c>
      <c r="G173" s="108" t="s">
        <v>1004</v>
      </c>
      <c r="H173" s="111" t="s">
        <v>209</v>
      </c>
      <c r="I173" s="111" t="s">
        <v>180</v>
      </c>
      <c r="J173" s="111" t="s">
        <v>4649</v>
      </c>
      <c r="K173" s="111" t="s">
        <v>199</v>
      </c>
      <c r="L173" s="112">
        <v>43826</v>
      </c>
      <c r="M173" s="111" t="s">
        <v>984</v>
      </c>
      <c r="N173" s="113"/>
      <c r="O173" s="114" t="s">
        <v>7062</v>
      </c>
      <c r="P173" s="114" t="s">
        <v>7413</v>
      </c>
      <c r="Q173" s="114" t="s">
        <v>7413</v>
      </c>
      <c r="R173" s="114" t="s">
        <v>7413</v>
      </c>
      <c r="S173" s="114" t="s">
        <v>7413</v>
      </c>
      <c r="T173" s="114" t="s">
        <v>4356</v>
      </c>
      <c r="U173" s="114" t="s">
        <v>4356</v>
      </c>
      <c r="V173" s="115"/>
      <c r="W173" s="116" t="s">
        <v>2527</v>
      </c>
      <c r="X173" s="116" t="s">
        <v>2528</v>
      </c>
      <c r="Y173" s="117">
        <v>3485221</v>
      </c>
      <c r="Z173" s="117">
        <v>3486170</v>
      </c>
      <c r="AA173" s="118"/>
      <c r="AB173" s="119" t="s">
        <v>5309</v>
      </c>
      <c r="AC173" s="119" t="s">
        <v>2529</v>
      </c>
      <c r="AD173" s="119">
        <v>27721</v>
      </c>
      <c r="AE173" s="119" t="s">
        <v>2530</v>
      </c>
      <c r="AF173" s="119">
        <v>0</v>
      </c>
      <c r="AG173" s="120"/>
      <c r="AH173" s="121">
        <v>44994</v>
      </c>
      <c r="AI173" s="121">
        <v>45058</v>
      </c>
      <c r="AJ173" s="121">
        <v>45058</v>
      </c>
      <c r="AK173" s="122">
        <v>45058</v>
      </c>
      <c r="AL173" s="122" t="e">
        <v>#N/A</v>
      </c>
      <c r="AM173" s="121" t="e">
        <v>#N/A</v>
      </c>
      <c r="AN173" s="121" t="e">
        <v>#N/A</v>
      </c>
      <c r="AO173" s="121" t="e">
        <v>#N/A</v>
      </c>
      <c r="AP173" s="122" t="e">
        <v>#N/A</v>
      </c>
      <c r="AQ173" s="122" t="e">
        <v>#N/A</v>
      </c>
      <c r="AR173" s="122" t="e">
        <v>#N/A</v>
      </c>
      <c r="AS173" s="122" t="e">
        <v>#N/A</v>
      </c>
      <c r="AT173" s="122">
        <v>45008</v>
      </c>
      <c r="AU173" s="121" t="e">
        <v>#N/A</v>
      </c>
      <c r="AV173" s="122" t="e">
        <v>#N/A</v>
      </c>
      <c r="AW173" s="122">
        <v>45751</v>
      </c>
      <c r="AX173" s="122" t="e">
        <v>#N/A</v>
      </c>
      <c r="AY173" s="122" t="e">
        <v>#N/A</v>
      </c>
      <c r="AZ173" s="122" t="e">
        <v>#N/A</v>
      </c>
      <c r="BA173" s="122" t="e">
        <v>#N/A</v>
      </c>
      <c r="BB173" s="122" t="e">
        <v>#N/A</v>
      </c>
      <c r="BC173" s="122" t="e">
        <v>#N/A</v>
      </c>
      <c r="BD173" s="122" t="e">
        <v>#N/A</v>
      </c>
      <c r="BE173" s="122" t="e">
        <v>#N/A</v>
      </c>
      <c r="BF173" s="122" t="e">
        <v>#N/A</v>
      </c>
      <c r="BG173" s="122" t="e">
        <v>#N/A</v>
      </c>
      <c r="BH173" s="122" t="e">
        <v>#N/A</v>
      </c>
      <c r="BI173" s="122" t="e">
        <v>#N/A</v>
      </c>
      <c r="BJ173" s="122" t="e">
        <v>#N/A</v>
      </c>
      <c r="BK173" s="122" t="e">
        <v>#N/A</v>
      </c>
      <c r="BL173" s="123"/>
      <c r="BM173" s="124" t="e">
        <v>#N/A</v>
      </c>
      <c r="BN173" s="124" t="e">
        <v>#N/A</v>
      </c>
      <c r="BO173" s="124" t="e">
        <v>#N/A</v>
      </c>
      <c r="BP173" s="124" t="e">
        <v>#N/A</v>
      </c>
      <c r="BQ173" s="124" t="e">
        <v>#N/A</v>
      </c>
      <c r="BR173" s="124" t="e">
        <v>#N/A</v>
      </c>
      <c r="BS173" s="124" t="e">
        <v>#N/A</v>
      </c>
      <c r="BT173" s="124" t="e">
        <v>#N/A</v>
      </c>
      <c r="BU173" s="124" t="e">
        <v>#N/A</v>
      </c>
      <c r="BV173" s="124" t="e">
        <v>#N/A</v>
      </c>
      <c r="BW173" s="124" t="e">
        <v>#N/A</v>
      </c>
      <c r="BX173" s="124" t="e">
        <v>#N/A</v>
      </c>
      <c r="BY173" s="124" t="e">
        <v>#N/A</v>
      </c>
      <c r="BZ173" s="124" t="e">
        <v>#N/A</v>
      </c>
      <c r="CA173" s="125"/>
      <c r="CB173" s="124">
        <v>45727</v>
      </c>
      <c r="CC173" s="126">
        <v>1</v>
      </c>
      <c r="CD173" s="127" t="e">
        <v>#N/A</v>
      </c>
      <c r="CE173" s="128"/>
      <c r="CF173" s="77" t="s">
        <v>4151</v>
      </c>
    </row>
    <row r="174" spans="1:84" ht="14.5" x14ac:dyDescent="0.35">
      <c r="A174" s="77">
        <v>173</v>
      </c>
      <c r="B174" s="106" t="s">
        <v>6329</v>
      </c>
      <c r="C174" s="107" t="s">
        <v>1128</v>
      </c>
      <c r="D174" s="108" t="s">
        <v>347</v>
      </c>
      <c r="E174" s="109" t="s">
        <v>348</v>
      </c>
      <c r="F174" s="110" t="s">
        <v>223</v>
      </c>
      <c r="G174" s="108" t="s">
        <v>1004</v>
      </c>
      <c r="H174" s="111" t="s">
        <v>209</v>
      </c>
      <c r="I174" s="111" t="s">
        <v>180</v>
      </c>
      <c r="J174" s="111" t="s">
        <v>4649</v>
      </c>
      <c r="K174" s="111" t="s">
        <v>199</v>
      </c>
      <c r="L174" s="112">
        <v>40028</v>
      </c>
      <c r="M174" s="111" t="s">
        <v>1477</v>
      </c>
      <c r="N174" s="113"/>
      <c r="O174" s="114" t="s">
        <v>184</v>
      </c>
      <c r="P174" s="114" t="s">
        <v>183</v>
      </c>
      <c r="Q174" s="114" t="s">
        <v>184</v>
      </c>
      <c r="R174" s="114" t="s">
        <v>7370</v>
      </c>
      <c r="S174" s="114" t="s">
        <v>183</v>
      </c>
      <c r="T174" s="114" t="s">
        <v>184</v>
      </c>
      <c r="U174" s="114" t="s">
        <v>184</v>
      </c>
      <c r="V174" s="115"/>
      <c r="W174" s="116" t="s">
        <v>350</v>
      </c>
      <c r="X174" s="116" t="s">
        <v>351</v>
      </c>
      <c r="Y174" s="117">
        <v>3485307</v>
      </c>
      <c r="Z174" s="117">
        <v>3486247</v>
      </c>
      <c r="AA174" s="118"/>
      <c r="AB174" s="119" t="s">
        <v>5219</v>
      </c>
      <c r="AC174" s="119" t="s">
        <v>1129</v>
      </c>
      <c r="AD174" s="119">
        <v>5879</v>
      </c>
      <c r="AE174" s="119" t="s">
        <v>3350</v>
      </c>
      <c r="AF174" s="119" t="s">
        <v>7058</v>
      </c>
      <c r="AG174" s="120"/>
      <c r="AH174" s="121">
        <v>44197</v>
      </c>
      <c r="AI174" s="121">
        <v>44197</v>
      </c>
      <c r="AJ174" s="121">
        <v>44197</v>
      </c>
      <c r="AK174" s="122">
        <v>44197</v>
      </c>
      <c r="AL174" s="122" t="e">
        <v>#N/A</v>
      </c>
      <c r="AM174" s="122" t="e">
        <v>#N/A</v>
      </c>
      <c r="AN174" s="122" t="e">
        <v>#N/A</v>
      </c>
      <c r="AO174" s="121" t="e">
        <v>#N/A</v>
      </c>
      <c r="AP174" s="122" t="e">
        <v>#N/A</v>
      </c>
      <c r="AQ174" s="122" t="e">
        <v>#N/A</v>
      </c>
      <c r="AR174" s="122" t="e">
        <v>#N/A</v>
      </c>
      <c r="AS174" s="122" t="e">
        <v>#N/A</v>
      </c>
      <c r="AT174" s="122" t="e">
        <v>#N/A</v>
      </c>
      <c r="AU174" s="121" t="e">
        <v>#N/A</v>
      </c>
      <c r="AV174" s="122" t="e">
        <v>#N/A</v>
      </c>
      <c r="AW174" s="122" t="s">
        <v>4645</v>
      </c>
      <c r="AX174" s="122" t="e">
        <v>#N/A</v>
      </c>
      <c r="AY174" s="122" t="e">
        <v>#N/A</v>
      </c>
      <c r="AZ174" s="122" t="e">
        <v>#N/A</v>
      </c>
      <c r="BA174" s="122" t="e">
        <v>#N/A</v>
      </c>
      <c r="BB174" s="122" t="e">
        <v>#N/A</v>
      </c>
      <c r="BC174" s="122" t="e">
        <v>#N/A</v>
      </c>
      <c r="BD174" s="122" t="e">
        <v>#N/A</v>
      </c>
      <c r="BE174" s="122" t="e">
        <v>#N/A</v>
      </c>
      <c r="BF174" s="122" t="e">
        <v>#N/A</v>
      </c>
      <c r="BG174" s="122" t="e">
        <v>#N/A</v>
      </c>
      <c r="BH174" s="122" t="e">
        <v>#N/A</v>
      </c>
      <c r="BI174" s="122" t="e">
        <v>#N/A</v>
      </c>
      <c r="BJ174" s="122" t="e">
        <v>#N/A</v>
      </c>
      <c r="BK174" s="122">
        <v>45968</v>
      </c>
      <c r="BL174" s="123"/>
      <c r="BM174" s="124" t="e">
        <v>#N/A</v>
      </c>
      <c r="BN174" s="124" t="e">
        <v>#N/A</v>
      </c>
      <c r="BO174" s="124" t="e">
        <v>#N/A</v>
      </c>
      <c r="BP174" s="124" t="e">
        <v>#N/A</v>
      </c>
      <c r="BQ174" s="124" t="e">
        <v>#N/A</v>
      </c>
      <c r="BR174" s="124" t="e">
        <v>#N/A</v>
      </c>
      <c r="BS174" s="124" t="e">
        <v>#N/A</v>
      </c>
      <c r="BT174" s="124" t="e">
        <v>#N/A</v>
      </c>
      <c r="BU174" s="124" t="e">
        <v>#N/A</v>
      </c>
      <c r="BV174" s="124" t="e">
        <v>#N/A</v>
      </c>
      <c r="BW174" s="124" t="e">
        <v>#N/A</v>
      </c>
      <c r="BX174" s="124" t="e">
        <v>#N/A</v>
      </c>
      <c r="BY174" s="124" t="e">
        <v>#N/A</v>
      </c>
      <c r="BZ174" s="124" t="e">
        <v>#N/A</v>
      </c>
      <c r="CA174" s="125"/>
      <c r="CB174" s="124" t="e">
        <v>#N/A</v>
      </c>
      <c r="CC174" s="126">
        <v>1</v>
      </c>
      <c r="CD174" s="127" t="e">
        <v>#N/A</v>
      </c>
      <c r="CE174" s="128"/>
      <c r="CF174" s="77" t="s">
        <v>4169</v>
      </c>
    </row>
    <row r="175" spans="1:84" ht="14.5" x14ac:dyDescent="0.35">
      <c r="A175" s="77">
        <v>174</v>
      </c>
      <c r="B175" s="106" t="s">
        <v>6342</v>
      </c>
      <c r="C175" s="107" t="s">
        <v>1230</v>
      </c>
      <c r="D175" s="108" t="s">
        <v>360</v>
      </c>
      <c r="E175" s="109" t="s">
        <v>361</v>
      </c>
      <c r="F175" s="110">
        <v>635466900</v>
      </c>
      <c r="G175" s="108" t="s">
        <v>1004</v>
      </c>
      <c r="H175" s="111" t="s">
        <v>209</v>
      </c>
      <c r="I175" s="111" t="s">
        <v>180</v>
      </c>
      <c r="J175" s="111" t="s">
        <v>4649</v>
      </c>
      <c r="K175" s="111" t="s">
        <v>199</v>
      </c>
      <c r="L175" s="112">
        <v>38971</v>
      </c>
      <c r="M175" s="111" t="s">
        <v>1477</v>
      </c>
      <c r="N175" s="113"/>
      <c r="O175" s="114" t="s">
        <v>2910</v>
      </c>
      <c r="P175" s="114" t="s">
        <v>2910</v>
      </c>
      <c r="Q175" s="114" t="s">
        <v>2910</v>
      </c>
      <c r="R175" s="114" t="s">
        <v>7414</v>
      </c>
      <c r="S175" s="114" t="s">
        <v>183</v>
      </c>
      <c r="T175" s="114" t="s">
        <v>183</v>
      </c>
      <c r="U175" s="114" t="s">
        <v>183</v>
      </c>
      <c r="V175" s="115"/>
      <c r="W175" s="116" t="s">
        <v>362</v>
      </c>
      <c r="X175" s="116" t="s">
        <v>363</v>
      </c>
      <c r="Y175" s="117">
        <v>3485399</v>
      </c>
      <c r="Z175" s="117">
        <v>3481134</v>
      </c>
      <c r="AA175" s="118"/>
      <c r="AB175" s="119" t="s">
        <v>5603</v>
      </c>
      <c r="AC175" s="119" t="s">
        <v>1231</v>
      </c>
      <c r="AD175" s="119">
        <v>4232</v>
      </c>
      <c r="AE175" s="119" t="s">
        <v>364</v>
      </c>
      <c r="AF175" s="119">
        <v>0</v>
      </c>
      <c r="AG175" s="120"/>
      <c r="AH175" s="121">
        <v>44197</v>
      </c>
      <c r="AI175" s="121">
        <v>44197</v>
      </c>
      <c r="AJ175" s="121">
        <v>44197</v>
      </c>
      <c r="AK175" s="122">
        <v>44197</v>
      </c>
      <c r="AL175" s="122" t="e">
        <v>#N/A</v>
      </c>
      <c r="AM175" s="121" t="e">
        <v>#N/A</v>
      </c>
      <c r="AN175" s="121" t="e">
        <v>#N/A</v>
      </c>
      <c r="AO175" s="121" t="e">
        <v>#N/A</v>
      </c>
      <c r="AP175" s="122" t="e">
        <v>#N/A</v>
      </c>
      <c r="AQ175" s="122" t="e">
        <v>#N/A</v>
      </c>
      <c r="AR175" s="122" t="e">
        <v>#N/A</v>
      </c>
      <c r="AS175" s="122" t="e">
        <v>#N/A</v>
      </c>
      <c r="AT175" s="122" t="e">
        <v>#N/A</v>
      </c>
      <c r="AU175" s="121" t="e">
        <v>#N/A</v>
      </c>
      <c r="AV175" s="122" t="e">
        <v>#N/A</v>
      </c>
      <c r="AW175" s="122">
        <v>45750</v>
      </c>
      <c r="AX175" s="122" t="e">
        <v>#N/A</v>
      </c>
      <c r="AY175" s="122" t="e">
        <v>#N/A</v>
      </c>
      <c r="AZ175" s="122" t="e">
        <v>#N/A</v>
      </c>
      <c r="BA175" s="122" t="e">
        <v>#N/A</v>
      </c>
      <c r="BB175" s="122" t="e">
        <v>#N/A</v>
      </c>
      <c r="BC175" s="122" t="e">
        <v>#N/A</v>
      </c>
      <c r="BD175" s="122" t="e">
        <v>#N/A</v>
      </c>
      <c r="BE175" s="122" t="e">
        <v>#N/A</v>
      </c>
      <c r="BF175" s="122" t="e">
        <v>#N/A</v>
      </c>
      <c r="BG175" s="122" t="e">
        <v>#N/A</v>
      </c>
      <c r="BH175" s="122" t="e">
        <v>#N/A</v>
      </c>
      <c r="BI175" s="122" t="e">
        <v>#N/A</v>
      </c>
      <c r="BJ175" s="122" t="e">
        <v>#N/A</v>
      </c>
      <c r="BK175" s="122" t="e">
        <v>#N/A</v>
      </c>
      <c r="BL175" s="123"/>
      <c r="BM175" s="124" t="e">
        <v>#N/A</v>
      </c>
      <c r="BN175" s="124" t="e">
        <v>#N/A</v>
      </c>
      <c r="BO175" s="124" t="e">
        <v>#N/A</v>
      </c>
      <c r="BP175" s="124" t="e">
        <v>#N/A</v>
      </c>
      <c r="BQ175" s="124" t="e">
        <v>#N/A</v>
      </c>
      <c r="BR175" s="124" t="e">
        <v>#N/A</v>
      </c>
      <c r="BS175" s="124" t="e">
        <v>#N/A</v>
      </c>
      <c r="BT175" s="124" t="e">
        <v>#N/A</v>
      </c>
      <c r="BU175" s="124" t="e">
        <v>#N/A</v>
      </c>
      <c r="BV175" s="124" t="e">
        <v>#N/A</v>
      </c>
      <c r="BW175" s="124" t="e">
        <v>#N/A</v>
      </c>
      <c r="BX175" s="124" t="e">
        <v>#N/A</v>
      </c>
      <c r="BY175" s="124" t="e">
        <v>#N/A</v>
      </c>
      <c r="BZ175" s="124" t="e">
        <v>#N/A</v>
      </c>
      <c r="CA175" s="125"/>
      <c r="CB175" s="124" t="e">
        <v>#N/A</v>
      </c>
      <c r="CC175" s="126">
        <v>1</v>
      </c>
      <c r="CD175" s="127" t="e">
        <v>#N/A</v>
      </c>
      <c r="CE175" s="128"/>
      <c r="CF175" s="77" t="s">
        <v>4169</v>
      </c>
    </row>
    <row r="176" spans="1:84" ht="14.5" x14ac:dyDescent="0.35">
      <c r="A176" s="77">
        <v>175</v>
      </c>
      <c r="B176" s="106" t="s">
        <v>2577</v>
      </c>
      <c r="C176" s="107" t="s">
        <v>6407</v>
      </c>
      <c r="D176" s="108" t="s">
        <v>2578</v>
      </c>
      <c r="E176" s="109" t="s">
        <v>2579</v>
      </c>
      <c r="F176" s="110">
        <v>629072216</v>
      </c>
      <c r="G176" s="108" t="s">
        <v>1004</v>
      </c>
      <c r="H176" s="111" t="s">
        <v>209</v>
      </c>
      <c r="I176" s="111" t="s">
        <v>180</v>
      </c>
      <c r="J176" s="111" t="s">
        <v>4649</v>
      </c>
      <c r="K176" s="111" t="s">
        <v>199</v>
      </c>
      <c r="L176" s="112">
        <v>39959</v>
      </c>
      <c r="M176" s="111" t="s">
        <v>1477</v>
      </c>
      <c r="N176" s="113"/>
      <c r="O176" s="114" t="s">
        <v>184</v>
      </c>
      <c r="P176" s="114" t="s">
        <v>184</v>
      </c>
      <c r="Q176" s="114" t="s">
        <v>183</v>
      </c>
      <c r="R176" s="114" t="s">
        <v>7374</v>
      </c>
      <c r="S176" s="114" t="s">
        <v>184</v>
      </c>
      <c r="T176" s="114" t="s">
        <v>184</v>
      </c>
      <c r="U176" s="114" t="s">
        <v>184</v>
      </c>
      <c r="V176" s="115"/>
      <c r="W176" s="116" t="s">
        <v>2580</v>
      </c>
      <c r="X176" s="116" t="s">
        <v>2581</v>
      </c>
      <c r="Y176" s="117">
        <v>3485611</v>
      </c>
      <c r="Z176" s="117">
        <v>3481190</v>
      </c>
      <c r="AA176" s="118"/>
      <c r="AB176" s="119" t="s">
        <v>5218</v>
      </c>
      <c r="AC176" s="119" t="s">
        <v>2582</v>
      </c>
      <c r="AD176" s="119">
        <v>27871</v>
      </c>
      <c r="AE176" s="119" t="s">
        <v>2583</v>
      </c>
      <c r="AF176" s="119" t="s">
        <v>7079</v>
      </c>
      <c r="AG176" s="120"/>
      <c r="AH176" s="121">
        <v>44994</v>
      </c>
      <c r="AI176" s="121">
        <v>45065</v>
      </c>
      <c r="AJ176" s="121">
        <v>45065</v>
      </c>
      <c r="AK176" s="122">
        <v>45065</v>
      </c>
      <c r="AL176" s="122" t="e">
        <v>#N/A</v>
      </c>
      <c r="AM176" s="122" t="e">
        <v>#N/A</v>
      </c>
      <c r="AN176" s="122" t="e">
        <v>#N/A</v>
      </c>
      <c r="AO176" s="121" t="e">
        <v>#N/A</v>
      </c>
      <c r="AP176" s="122" t="e">
        <v>#N/A</v>
      </c>
      <c r="AQ176" s="122" t="e">
        <v>#N/A</v>
      </c>
      <c r="AR176" s="122" t="e">
        <v>#N/A</v>
      </c>
      <c r="AS176" s="122" t="e">
        <v>#N/A</v>
      </c>
      <c r="AT176" s="122">
        <v>45008</v>
      </c>
      <c r="AU176" s="121">
        <v>45912</v>
      </c>
      <c r="AV176" s="122">
        <v>45785</v>
      </c>
      <c r="AW176" s="122">
        <v>45643</v>
      </c>
      <c r="AX176" s="122" t="e">
        <v>#N/A</v>
      </c>
      <c r="AY176" s="122" t="e">
        <v>#N/A</v>
      </c>
      <c r="AZ176" s="122" t="e">
        <v>#N/A</v>
      </c>
      <c r="BA176" s="122" t="e">
        <v>#N/A</v>
      </c>
      <c r="BB176" s="122" t="e">
        <v>#N/A</v>
      </c>
      <c r="BC176" s="122" t="e">
        <v>#N/A</v>
      </c>
      <c r="BD176" s="122" t="e">
        <v>#N/A</v>
      </c>
      <c r="BE176" s="122" t="e">
        <v>#N/A</v>
      </c>
      <c r="BF176" s="122" t="e">
        <v>#N/A</v>
      </c>
      <c r="BG176" s="122" t="e">
        <v>#N/A</v>
      </c>
      <c r="BH176" s="122" t="e">
        <v>#N/A</v>
      </c>
      <c r="BI176" s="122" t="e">
        <v>#N/A</v>
      </c>
      <c r="BJ176" s="122" t="e">
        <v>#N/A</v>
      </c>
      <c r="BK176" s="122">
        <v>45968</v>
      </c>
      <c r="BL176" s="123"/>
      <c r="BM176" s="124" t="e">
        <v>#N/A</v>
      </c>
      <c r="BN176" s="124" t="e">
        <v>#N/A</v>
      </c>
      <c r="BO176" s="124" t="e">
        <v>#N/A</v>
      </c>
      <c r="BP176" s="124" t="e">
        <v>#N/A</v>
      </c>
      <c r="BQ176" s="124" t="e">
        <v>#N/A</v>
      </c>
      <c r="BR176" s="124" t="e">
        <v>#N/A</v>
      </c>
      <c r="BS176" s="124" t="e">
        <v>#N/A</v>
      </c>
      <c r="BT176" s="124" t="e">
        <v>#N/A</v>
      </c>
      <c r="BU176" s="124" t="e">
        <v>#N/A</v>
      </c>
      <c r="BV176" s="124" t="e">
        <v>#N/A</v>
      </c>
      <c r="BW176" s="124" t="e">
        <v>#N/A</v>
      </c>
      <c r="BX176" s="124" t="e">
        <v>#N/A</v>
      </c>
      <c r="BY176" s="124" t="e">
        <v>#N/A</v>
      </c>
      <c r="BZ176" s="124" t="e">
        <v>#N/A</v>
      </c>
      <c r="CA176" s="125"/>
      <c r="CB176" s="124">
        <v>45726</v>
      </c>
      <c r="CC176" s="126">
        <v>1</v>
      </c>
      <c r="CD176" s="127" t="s">
        <v>4161</v>
      </c>
      <c r="CE176" s="128"/>
      <c r="CF176" s="77" t="s">
        <v>4169</v>
      </c>
    </row>
    <row r="177" spans="1:84" ht="14.5" x14ac:dyDescent="0.35">
      <c r="A177" s="77">
        <v>176</v>
      </c>
      <c r="B177" s="106" t="s">
        <v>6268</v>
      </c>
      <c r="C177" s="107" t="s">
        <v>1380</v>
      </c>
      <c r="D177" s="108" t="s">
        <v>945</v>
      </c>
      <c r="E177" s="109" t="s">
        <v>946</v>
      </c>
      <c r="F177" s="110" t="s">
        <v>1236</v>
      </c>
      <c r="G177" s="108" t="s">
        <v>1004</v>
      </c>
      <c r="H177" s="111" t="s">
        <v>209</v>
      </c>
      <c r="I177" s="111" t="s">
        <v>180</v>
      </c>
      <c r="J177" s="111" t="s">
        <v>4649</v>
      </c>
      <c r="K177" s="111" t="s">
        <v>199</v>
      </c>
      <c r="L177" s="112">
        <v>38068</v>
      </c>
      <c r="M177" s="111" t="s">
        <v>256</v>
      </c>
      <c r="N177" s="113"/>
      <c r="O177" s="114" t="s">
        <v>4373</v>
      </c>
      <c r="P177" s="114" t="s">
        <v>4373</v>
      </c>
      <c r="Q177" s="114" t="s">
        <v>4356</v>
      </c>
      <c r="R177" s="114" t="s">
        <v>4356</v>
      </c>
      <c r="S177" s="114" t="s">
        <v>4467</v>
      </c>
      <c r="T177" s="114" t="s">
        <v>4373</v>
      </c>
      <c r="U177" s="114" t="s">
        <v>4373</v>
      </c>
      <c r="V177" s="115"/>
      <c r="W177" s="116" t="s">
        <v>947</v>
      </c>
      <c r="X177" s="116" t="s">
        <v>948</v>
      </c>
      <c r="Y177" s="117">
        <v>3485029</v>
      </c>
      <c r="Z177" s="117">
        <v>3486321</v>
      </c>
      <c r="AA177" s="118"/>
      <c r="AB177" s="119" t="s">
        <v>5238</v>
      </c>
      <c r="AC177" s="119" t="s">
        <v>949</v>
      </c>
      <c r="AD177" s="119">
        <v>4261</v>
      </c>
      <c r="AE177" s="119" t="s">
        <v>950</v>
      </c>
      <c r="AF177" s="119" t="s">
        <v>6091</v>
      </c>
      <c r="AG177" s="120"/>
      <c r="AH177" s="121">
        <v>44552</v>
      </c>
      <c r="AI177" s="121">
        <v>44606</v>
      </c>
      <c r="AJ177" s="121">
        <v>44606</v>
      </c>
      <c r="AK177" s="122">
        <v>44838</v>
      </c>
      <c r="AL177" s="122" t="e">
        <v>#N/A</v>
      </c>
      <c r="AM177" s="121" t="e">
        <v>#N/A</v>
      </c>
      <c r="AN177" s="121" t="e">
        <v>#N/A</v>
      </c>
      <c r="AO177" s="121" t="e">
        <v>#N/A</v>
      </c>
      <c r="AP177" s="122" t="e">
        <v>#N/A</v>
      </c>
      <c r="AQ177" s="122" t="e">
        <v>#N/A</v>
      </c>
      <c r="AR177" s="122" t="e">
        <v>#N/A</v>
      </c>
      <c r="AS177" s="122" t="e">
        <v>#N/A</v>
      </c>
      <c r="AT177" s="122" t="e">
        <v>#N/A</v>
      </c>
      <c r="AU177" s="121" t="e">
        <v>#N/A</v>
      </c>
      <c r="AV177" s="122" t="e">
        <v>#N/A</v>
      </c>
      <c r="AW177" s="122" t="e">
        <v>#N/A</v>
      </c>
      <c r="AX177" s="122" t="e">
        <v>#N/A</v>
      </c>
      <c r="AY177" s="122" t="e">
        <v>#N/A</v>
      </c>
      <c r="AZ177" s="122" t="e">
        <v>#N/A</v>
      </c>
      <c r="BA177" s="122" t="e">
        <v>#N/A</v>
      </c>
      <c r="BB177" s="122" t="e">
        <v>#N/A</v>
      </c>
      <c r="BC177" s="122" t="e">
        <v>#N/A</v>
      </c>
      <c r="BD177" s="122" t="e">
        <v>#N/A</v>
      </c>
      <c r="BE177" s="122" t="e">
        <v>#N/A</v>
      </c>
      <c r="BF177" s="122" t="e">
        <v>#N/A</v>
      </c>
      <c r="BG177" s="122" t="e">
        <v>#N/A</v>
      </c>
      <c r="BH177" s="122" t="e">
        <v>#N/A</v>
      </c>
      <c r="BI177" s="122" t="e">
        <v>#N/A</v>
      </c>
      <c r="BJ177" s="122" t="e">
        <v>#N/A</v>
      </c>
      <c r="BK177" s="122">
        <v>45953</v>
      </c>
      <c r="BL177" s="123"/>
      <c r="BM177" s="124" t="e">
        <v>#N/A</v>
      </c>
      <c r="BN177" s="124" t="e">
        <v>#N/A</v>
      </c>
      <c r="BO177" s="124" t="e">
        <v>#N/A</v>
      </c>
      <c r="BP177" s="124" t="e">
        <v>#N/A</v>
      </c>
      <c r="BQ177" s="124" t="e">
        <v>#N/A</v>
      </c>
      <c r="BR177" s="124" t="e">
        <v>#N/A</v>
      </c>
      <c r="BS177" s="124" t="e">
        <v>#N/A</v>
      </c>
      <c r="BT177" s="124" t="e">
        <v>#N/A</v>
      </c>
      <c r="BU177" s="124" t="e">
        <v>#N/A</v>
      </c>
      <c r="BV177" s="124" t="e">
        <v>#N/A</v>
      </c>
      <c r="BW177" s="124" t="e">
        <v>#N/A</v>
      </c>
      <c r="BX177" s="124" t="e">
        <v>#N/A</v>
      </c>
      <c r="BY177" s="124" t="e">
        <v>#N/A</v>
      </c>
      <c r="BZ177" s="124" t="e">
        <v>#N/A</v>
      </c>
      <c r="CA177" s="125"/>
      <c r="CB177" s="124" t="e">
        <v>#N/A</v>
      </c>
      <c r="CC177" s="126">
        <v>1</v>
      </c>
      <c r="CD177" s="127" t="e">
        <v>#N/A</v>
      </c>
      <c r="CE177" s="128"/>
      <c r="CF177" s="77" t="s">
        <v>4189</v>
      </c>
    </row>
    <row r="178" spans="1:84" ht="14.5" x14ac:dyDescent="0.35">
      <c r="A178" s="77">
        <v>177</v>
      </c>
      <c r="B178" s="106" t="s">
        <v>6381</v>
      </c>
      <c r="C178" s="107" t="s">
        <v>1398</v>
      </c>
      <c r="D178" s="108" t="s">
        <v>419</v>
      </c>
      <c r="E178" s="109" t="s">
        <v>420</v>
      </c>
      <c r="F178" s="110">
        <v>652638869</v>
      </c>
      <c r="G178" s="108" t="s">
        <v>1004</v>
      </c>
      <c r="H178" s="111" t="s">
        <v>209</v>
      </c>
      <c r="I178" s="111" t="s">
        <v>180</v>
      </c>
      <c r="J178" s="111" t="s">
        <v>4649</v>
      </c>
      <c r="K178" s="111" t="s">
        <v>199</v>
      </c>
      <c r="L178" s="112">
        <v>39373</v>
      </c>
      <c r="M178" s="111" t="s">
        <v>511</v>
      </c>
      <c r="N178" s="113"/>
      <c r="O178" s="114" t="s">
        <v>184</v>
      </c>
      <c r="P178" s="114" t="s">
        <v>184</v>
      </c>
      <c r="Q178" s="114" t="s">
        <v>184</v>
      </c>
      <c r="R178" s="114" t="s">
        <v>7370</v>
      </c>
      <c r="S178" s="114" t="s">
        <v>184</v>
      </c>
      <c r="T178" s="114" t="s">
        <v>183</v>
      </c>
      <c r="U178" s="114" t="s">
        <v>183</v>
      </c>
      <c r="V178" s="115"/>
      <c r="W178" s="116" t="s">
        <v>1973</v>
      </c>
      <c r="X178" s="116" t="s">
        <v>1974</v>
      </c>
      <c r="Y178" s="117">
        <v>3485466</v>
      </c>
      <c r="Z178" s="117">
        <v>3481140</v>
      </c>
      <c r="AA178" s="118"/>
      <c r="AB178" s="119" t="s">
        <v>5446</v>
      </c>
      <c r="AC178" s="119" t="s">
        <v>1975</v>
      </c>
      <c r="AD178" s="119">
        <v>4098</v>
      </c>
      <c r="AE178" s="119" t="s">
        <v>1976</v>
      </c>
      <c r="AF178" s="119">
        <v>0</v>
      </c>
      <c r="AG178" s="120"/>
      <c r="AH178" s="121">
        <v>44197</v>
      </c>
      <c r="AI178" s="121">
        <v>44974</v>
      </c>
      <c r="AJ178" s="121">
        <v>44974</v>
      </c>
      <c r="AK178" s="122">
        <v>44974</v>
      </c>
      <c r="AL178" s="122" t="e">
        <v>#N/A</v>
      </c>
      <c r="AM178" s="121" t="e">
        <v>#N/A</v>
      </c>
      <c r="AN178" s="121" t="e">
        <v>#N/A</v>
      </c>
      <c r="AO178" s="121" t="e">
        <v>#N/A</v>
      </c>
      <c r="AP178" s="122" t="e">
        <v>#N/A</v>
      </c>
      <c r="AQ178" s="122">
        <v>45267</v>
      </c>
      <c r="AR178" s="122" t="e">
        <v>#N/A</v>
      </c>
      <c r="AS178" s="122" t="e">
        <v>#N/A</v>
      </c>
      <c r="AT178" s="122" t="e">
        <v>#N/A</v>
      </c>
      <c r="AU178" s="121" t="e">
        <v>#N/A</v>
      </c>
      <c r="AV178" s="122" t="e">
        <v>#N/A</v>
      </c>
      <c r="AW178" s="122">
        <v>45677</v>
      </c>
      <c r="AX178" s="122" t="e">
        <v>#N/A</v>
      </c>
      <c r="AY178" s="122" t="e">
        <v>#N/A</v>
      </c>
      <c r="AZ178" s="122" t="e">
        <v>#N/A</v>
      </c>
      <c r="BA178" s="122" t="e">
        <v>#N/A</v>
      </c>
      <c r="BB178" s="122">
        <v>45057</v>
      </c>
      <c r="BC178" s="122" t="e">
        <v>#N/A</v>
      </c>
      <c r="BD178" s="122" t="e">
        <v>#N/A</v>
      </c>
      <c r="BE178" s="122" t="e">
        <v>#N/A</v>
      </c>
      <c r="BF178" s="122" t="e">
        <v>#N/A</v>
      </c>
      <c r="BG178" s="122" t="e">
        <v>#N/A</v>
      </c>
      <c r="BH178" s="122" t="e">
        <v>#N/A</v>
      </c>
      <c r="BI178" s="122" t="e">
        <v>#N/A</v>
      </c>
      <c r="BJ178" s="122" t="e">
        <v>#N/A</v>
      </c>
      <c r="BK178" s="122" t="e">
        <v>#N/A</v>
      </c>
      <c r="BL178" s="123"/>
      <c r="BM178" s="124">
        <v>44197</v>
      </c>
      <c r="BN178" s="124">
        <v>44197</v>
      </c>
      <c r="BO178" s="124">
        <v>44197</v>
      </c>
      <c r="BP178" s="124">
        <v>44197</v>
      </c>
      <c r="BQ178" s="124">
        <v>44197</v>
      </c>
      <c r="BR178" s="124">
        <v>44197</v>
      </c>
      <c r="BS178" s="124" t="e">
        <v>#N/A</v>
      </c>
      <c r="BT178" s="124" t="e">
        <v>#N/A</v>
      </c>
      <c r="BU178" s="124" t="e">
        <v>#N/A</v>
      </c>
      <c r="BV178" s="124">
        <v>44197</v>
      </c>
      <c r="BW178" s="124">
        <v>44197</v>
      </c>
      <c r="BX178" s="124" t="e">
        <v>#N/A</v>
      </c>
      <c r="BY178" s="124" t="e">
        <v>#N/A</v>
      </c>
      <c r="BZ178" s="124" t="e">
        <v>#N/A</v>
      </c>
      <c r="CA178" s="125"/>
      <c r="CB178" s="124">
        <v>45841</v>
      </c>
      <c r="CC178" s="126">
        <v>1</v>
      </c>
      <c r="CD178" s="127" t="e">
        <v>#N/A</v>
      </c>
      <c r="CE178" s="128"/>
      <c r="CF178" s="77" t="s">
        <v>4162</v>
      </c>
    </row>
    <row r="179" spans="1:84" ht="14.5" x14ac:dyDescent="0.35">
      <c r="A179" s="77">
        <v>178</v>
      </c>
      <c r="B179" s="106" t="s">
        <v>39</v>
      </c>
      <c r="C179" s="107" t="s">
        <v>1131</v>
      </c>
      <c r="D179" s="108" t="s">
        <v>473</v>
      </c>
      <c r="E179" s="109" t="s">
        <v>474</v>
      </c>
      <c r="F179" s="110">
        <v>676913326</v>
      </c>
      <c r="G179" s="108" t="s">
        <v>190</v>
      </c>
      <c r="H179" s="111" t="s">
        <v>209</v>
      </c>
      <c r="I179" s="111" t="s">
        <v>180</v>
      </c>
      <c r="J179" s="111" t="s">
        <v>4649</v>
      </c>
      <c r="K179" s="111" t="s">
        <v>199</v>
      </c>
      <c r="L179" s="112">
        <v>40777</v>
      </c>
      <c r="M179" s="111" t="s">
        <v>1920</v>
      </c>
      <c r="N179" s="113"/>
      <c r="O179" s="114" t="s">
        <v>7415</v>
      </c>
      <c r="P179" s="114" t="s">
        <v>7416</v>
      </c>
      <c r="Q179" s="114" t="s">
        <v>7415</v>
      </c>
      <c r="R179" s="114" t="s">
        <v>7415</v>
      </c>
      <c r="S179" s="114" t="s">
        <v>7415</v>
      </c>
      <c r="T179" s="114" t="s">
        <v>4356</v>
      </c>
      <c r="U179" s="114" t="s">
        <v>4356</v>
      </c>
      <c r="V179" s="115"/>
      <c r="W179" s="116" t="s">
        <v>475</v>
      </c>
      <c r="X179" s="116" t="s">
        <v>3389</v>
      </c>
      <c r="Y179" s="117">
        <v>3485279</v>
      </c>
      <c r="Z179" s="117">
        <v>3481107</v>
      </c>
      <c r="AA179" s="118"/>
      <c r="AB179" s="119" t="s">
        <v>5532</v>
      </c>
      <c r="AC179" s="119" t="s">
        <v>1132</v>
      </c>
      <c r="AD179" s="119">
        <v>5823</v>
      </c>
      <c r="AE179" s="119" t="s">
        <v>4474</v>
      </c>
      <c r="AF179" s="119">
        <v>0</v>
      </c>
      <c r="AG179" s="120"/>
      <c r="AH179" s="121">
        <v>44197</v>
      </c>
      <c r="AI179" s="121">
        <v>44197</v>
      </c>
      <c r="AJ179" s="121">
        <v>44197</v>
      </c>
      <c r="AK179" s="122">
        <v>44197</v>
      </c>
      <c r="AL179" s="122">
        <v>44197</v>
      </c>
      <c r="AM179" s="121" t="e">
        <v>#N/A</v>
      </c>
      <c r="AN179" s="121" t="e">
        <v>#N/A</v>
      </c>
      <c r="AO179" s="121" t="e">
        <v>#N/A</v>
      </c>
      <c r="AP179" s="122" t="e">
        <v>#N/A</v>
      </c>
      <c r="AQ179" s="122" t="e">
        <v>#N/A</v>
      </c>
      <c r="AR179" s="122" t="e">
        <v>#N/A</v>
      </c>
      <c r="AS179" s="122" t="e">
        <v>#N/A</v>
      </c>
      <c r="AT179" s="122" t="e">
        <v>#N/A</v>
      </c>
      <c r="AU179" s="121" t="e">
        <v>#N/A</v>
      </c>
      <c r="AV179" s="122" t="e">
        <v>#N/A</v>
      </c>
      <c r="AW179" s="122" t="e">
        <v>#N/A</v>
      </c>
      <c r="AX179" s="122" t="e">
        <v>#N/A</v>
      </c>
      <c r="AY179" s="122" t="e">
        <v>#N/A</v>
      </c>
      <c r="AZ179" s="122" t="e">
        <v>#N/A</v>
      </c>
      <c r="BA179" s="122" t="e">
        <v>#N/A</v>
      </c>
      <c r="BB179" s="122" t="e">
        <v>#N/A</v>
      </c>
      <c r="BC179" s="122" t="e">
        <v>#N/A</v>
      </c>
      <c r="BD179" s="122" t="e">
        <v>#N/A</v>
      </c>
      <c r="BE179" s="122" t="e">
        <v>#N/A</v>
      </c>
      <c r="BF179" s="122" t="e">
        <v>#N/A</v>
      </c>
      <c r="BG179" s="122" t="e">
        <v>#N/A</v>
      </c>
      <c r="BH179" s="122" t="e">
        <v>#N/A</v>
      </c>
      <c r="BI179" s="122" t="e">
        <v>#N/A</v>
      </c>
      <c r="BJ179" s="122" t="e">
        <v>#N/A</v>
      </c>
      <c r="BK179" s="122" t="e">
        <v>#N/A</v>
      </c>
      <c r="BL179" s="123"/>
      <c r="BM179" s="124" t="e">
        <v>#N/A</v>
      </c>
      <c r="BN179" s="124" t="e">
        <v>#N/A</v>
      </c>
      <c r="BO179" s="124" t="e">
        <v>#N/A</v>
      </c>
      <c r="BP179" s="124" t="e">
        <v>#N/A</v>
      </c>
      <c r="BQ179" s="124" t="e">
        <v>#N/A</v>
      </c>
      <c r="BR179" s="124" t="e">
        <v>#N/A</v>
      </c>
      <c r="BS179" s="124" t="e">
        <v>#N/A</v>
      </c>
      <c r="BT179" s="124" t="e">
        <v>#N/A</v>
      </c>
      <c r="BU179" s="124" t="e">
        <v>#N/A</v>
      </c>
      <c r="BV179" s="124" t="e">
        <v>#N/A</v>
      </c>
      <c r="BW179" s="124" t="e">
        <v>#N/A</v>
      </c>
      <c r="BX179" s="124" t="e">
        <v>#N/A</v>
      </c>
      <c r="BY179" s="124" t="e">
        <v>#N/A</v>
      </c>
      <c r="BZ179" s="124" t="e">
        <v>#N/A</v>
      </c>
      <c r="CA179" s="125"/>
      <c r="CB179" s="124" t="e">
        <v>#N/A</v>
      </c>
      <c r="CC179" s="126">
        <v>1</v>
      </c>
      <c r="CD179" s="127" t="s">
        <v>4169</v>
      </c>
      <c r="CE179" s="128"/>
      <c r="CF179" s="77" t="s">
        <v>4162</v>
      </c>
    </row>
    <row r="180" spans="1:84" ht="14.5" x14ac:dyDescent="0.35">
      <c r="A180" s="77">
        <v>179</v>
      </c>
      <c r="B180" s="106" t="s">
        <v>1548</v>
      </c>
      <c r="C180" s="107" t="s">
        <v>1549</v>
      </c>
      <c r="D180" s="108" t="s">
        <v>1550</v>
      </c>
      <c r="E180" s="109" t="s">
        <v>1551</v>
      </c>
      <c r="F180" s="110">
        <v>675416262</v>
      </c>
      <c r="G180" s="108" t="s">
        <v>190</v>
      </c>
      <c r="H180" s="111" t="s">
        <v>209</v>
      </c>
      <c r="I180" s="111" t="s">
        <v>180</v>
      </c>
      <c r="J180" s="111" t="s">
        <v>4649</v>
      </c>
      <c r="K180" s="111" t="s">
        <v>199</v>
      </c>
      <c r="L180" s="112">
        <v>41514</v>
      </c>
      <c r="M180" s="111" t="s">
        <v>2628</v>
      </c>
      <c r="N180" s="113"/>
      <c r="O180" s="114" t="s">
        <v>7092</v>
      </c>
      <c r="P180" s="114" t="s">
        <v>4356</v>
      </c>
      <c r="Q180" s="114" t="s">
        <v>7092</v>
      </c>
      <c r="R180" s="114" t="s">
        <v>7092</v>
      </c>
      <c r="S180" s="114" t="s">
        <v>4356</v>
      </c>
      <c r="T180" s="114" t="s">
        <v>7092</v>
      </c>
      <c r="U180" s="114" t="s">
        <v>7092</v>
      </c>
      <c r="V180" s="115"/>
      <c r="W180" s="116" t="s">
        <v>1552</v>
      </c>
      <c r="X180" s="116" t="s">
        <v>1553</v>
      </c>
      <c r="Y180" s="117">
        <v>3485636</v>
      </c>
      <c r="Z180" s="117">
        <v>3486155</v>
      </c>
      <c r="AA180" s="118"/>
      <c r="AB180" s="119" t="s">
        <v>4953</v>
      </c>
      <c r="AC180" s="119" t="s">
        <v>1606</v>
      </c>
      <c r="AD180" s="119">
        <v>4342</v>
      </c>
      <c r="AE180" s="119" t="s">
        <v>1607</v>
      </c>
      <c r="AF180" s="119">
        <v>0</v>
      </c>
      <c r="AG180" s="120"/>
      <c r="AH180" s="121">
        <v>44641</v>
      </c>
      <c r="AI180" s="121">
        <v>44641</v>
      </c>
      <c r="AJ180" s="121">
        <v>44641</v>
      </c>
      <c r="AK180" s="122">
        <v>44641</v>
      </c>
      <c r="AL180" s="122" t="e">
        <v>#N/A</v>
      </c>
      <c r="AM180" s="121" t="e">
        <v>#N/A</v>
      </c>
      <c r="AN180" s="121" t="e">
        <v>#N/A</v>
      </c>
      <c r="AO180" s="121" t="e">
        <v>#N/A</v>
      </c>
      <c r="AP180" s="122" t="e">
        <v>#N/A</v>
      </c>
      <c r="AQ180" s="122" t="e">
        <v>#N/A</v>
      </c>
      <c r="AR180" s="122" t="e">
        <v>#N/A</v>
      </c>
      <c r="AS180" s="122" t="e">
        <v>#N/A</v>
      </c>
      <c r="AT180" s="122" t="e">
        <v>#N/A</v>
      </c>
      <c r="AU180" s="121" t="e">
        <v>#N/A</v>
      </c>
      <c r="AV180" s="122" t="e">
        <v>#N/A</v>
      </c>
      <c r="AW180" s="122" t="e">
        <v>#N/A</v>
      </c>
      <c r="AX180" s="122" t="e">
        <v>#N/A</v>
      </c>
      <c r="AY180" s="122" t="e">
        <v>#N/A</v>
      </c>
      <c r="AZ180" s="122" t="e">
        <v>#N/A</v>
      </c>
      <c r="BA180" s="122" t="e">
        <v>#N/A</v>
      </c>
      <c r="BB180" s="122" t="e">
        <v>#N/A</v>
      </c>
      <c r="BC180" s="122" t="e">
        <v>#N/A</v>
      </c>
      <c r="BD180" s="122" t="e">
        <v>#N/A</v>
      </c>
      <c r="BE180" s="122" t="e">
        <v>#N/A</v>
      </c>
      <c r="BF180" s="122" t="e">
        <v>#N/A</v>
      </c>
      <c r="BG180" s="122" t="e">
        <v>#N/A</v>
      </c>
      <c r="BH180" s="122" t="e">
        <v>#N/A</v>
      </c>
      <c r="BI180" s="122" t="e">
        <v>#N/A</v>
      </c>
      <c r="BJ180" s="122" t="e">
        <v>#N/A</v>
      </c>
      <c r="BK180" s="122" t="e">
        <v>#N/A</v>
      </c>
      <c r="BL180" s="123"/>
      <c r="BM180" s="124" t="e">
        <v>#N/A</v>
      </c>
      <c r="BN180" s="124" t="e">
        <v>#N/A</v>
      </c>
      <c r="BO180" s="124" t="e">
        <v>#N/A</v>
      </c>
      <c r="BP180" s="124" t="e">
        <v>#N/A</v>
      </c>
      <c r="BQ180" s="124" t="e">
        <v>#N/A</v>
      </c>
      <c r="BR180" s="124" t="e">
        <v>#N/A</v>
      </c>
      <c r="BS180" s="124" t="e">
        <v>#N/A</v>
      </c>
      <c r="BT180" s="124" t="e">
        <v>#N/A</v>
      </c>
      <c r="BU180" s="124" t="e">
        <v>#N/A</v>
      </c>
      <c r="BV180" s="124" t="e">
        <v>#N/A</v>
      </c>
      <c r="BW180" s="124" t="e">
        <v>#N/A</v>
      </c>
      <c r="BX180" s="124" t="e">
        <v>#N/A</v>
      </c>
      <c r="BY180" s="124" t="e">
        <v>#N/A</v>
      </c>
      <c r="BZ180" s="124" t="e">
        <v>#N/A</v>
      </c>
      <c r="CA180" s="125"/>
      <c r="CB180" s="124" t="e">
        <v>#N/A</v>
      </c>
      <c r="CC180" s="126">
        <v>1</v>
      </c>
      <c r="CD180" s="127" t="s">
        <v>4151</v>
      </c>
      <c r="CE180" s="128"/>
      <c r="CF180" s="77" t="s">
        <v>4169</v>
      </c>
    </row>
    <row r="181" spans="1:84" ht="14.5" x14ac:dyDescent="0.35">
      <c r="A181" s="77">
        <v>180</v>
      </c>
      <c r="B181" s="106" t="s">
        <v>6308</v>
      </c>
      <c r="C181" s="107" t="s">
        <v>6309</v>
      </c>
      <c r="D181" s="108" t="s">
        <v>2252</v>
      </c>
      <c r="E181" s="109" t="s">
        <v>2253</v>
      </c>
      <c r="F181" s="110">
        <v>653375524</v>
      </c>
      <c r="G181" s="108" t="s">
        <v>1004</v>
      </c>
      <c r="H181" s="111" t="s">
        <v>209</v>
      </c>
      <c r="I181" s="111" t="s">
        <v>180</v>
      </c>
      <c r="J181" s="111" t="s">
        <v>4649</v>
      </c>
      <c r="K181" s="111" t="s">
        <v>199</v>
      </c>
      <c r="L181" s="112">
        <v>38895</v>
      </c>
      <c r="M181" s="111" t="s">
        <v>796</v>
      </c>
      <c r="N181" s="113"/>
      <c r="O181" s="114" t="s">
        <v>2910</v>
      </c>
      <c r="P181" s="114" t="s">
        <v>183</v>
      </c>
      <c r="Q181" s="114" t="s">
        <v>2910</v>
      </c>
      <c r="R181" s="114" t="s">
        <v>7414</v>
      </c>
      <c r="S181" s="114" t="s">
        <v>183</v>
      </c>
      <c r="T181" s="114" t="s">
        <v>2910</v>
      </c>
      <c r="U181" s="114" t="s">
        <v>2910</v>
      </c>
      <c r="V181" s="115"/>
      <c r="W181" s="116" t="s">
        <v>2254</v>
      </c>
      <c r="X181" s="116" t="s">
        <v>2255</v>
      </c>
      <c r="Y181" s="117">
        <v>3485880</v>
      </c>
      <c r="Z181" s="117">
        <v>3486450</v>
      </c>
      <c r="AA181" s="118"/>
      <c r="AB181" s="119" t="s">
        <v>5778</v>
      </c>
      <c r="AC181" s="119" t="s">
        <v>2256</v>
      </c>
      <c r="AD181" s="119" t="s">
        <v>6207</v>
      </c>
      <c r="AE181" s="119" t="s">
        <v>3827</v>
      </c>
      <c r="AF181" s="119">
        <v>0</v>
      </c>
      <c r="AG181" s="120"/>
      <c r="AH181" s="121">
        <v>44811</v>
      </c>
      <c r="AI181" s="121">
        <v>44817</v>
      </c>
      <c r="AJ181" s="121">
        <v>45391</v>
      </c>
      <c r="AK181" s="122">
        <v>45951</v>
      </c>
      <c r="AL181" s="122" t="e">
        <v>#N/A</v>
      </c>
      <c r="AM181" s="122" t="e">
        <v>#N/A</v>
      </c>
      <c r="AN181" s="122" t="e">
        <v>#N/A</v>
      </c>
      <c r="AO181" s="121" t="e">
        <v>#N/A</v>
      </c>
      <c r="AP181" s="122" t="e">
        <v>#N/A</v>
      </c>
      <c r="AQ181" s="122" t="e">
        <v>#N/A</v>
      </c>
      <c r="AR181" s="122" t="e">
        <v>#N/A</v>
      </c>
      <c r="AS181" s="122" t="e">
        <v>#N/A</v>
      </c>
      <c r="AT181" s="122" t="e">
        <v>#N/A</v>
      </c>
      <c r="AU181" s="121" t="e">
        <v>#N/A</v>
      </c>
      <c r="AV181" s="122" t="e">
        <v>#N/A</v>
      </c>
      <c r="AW181" s="122" t="e">
        <v>#N/A</v>
      </c>
      <c r="AX181" s="122" t="e">
        <v>#N/A</v>
      </c>
      <c r="AY181" s="122" t="e">
        <v>#N/A</v>
      </c>
      <c r="AZ181" s="122" t="e">
        <v>#N/A</v>
      </c>
      <c r="BA181" s="122" t="e">
        <v>#N/A</v>
      </c>
      <c r="BB181" s="122" t="e">
        <v>#N/A</v>
      </c>
      <c r="BC181" s="122" t="e">
        <v>#N/A</v>
      </c>
      <c r="BD181" s="122" t="e">
        <v>#N/A</v>
      </c>
      <c r="BE181" s="122" t="e">
        <v>#N/A</v>
      </c>
      <c r="BF181" s="122" t="e">
        <v>#N/A</v>
      </c>
      <c r="BG181" s="122" t="e">
        <v>#N/A</v>
      </c>
      <c r="BH181" s="122" t="e">
        <v>#N/A</v>
      </c>
      <c r="BI181" s="122" t="e">
        <v>#N/A</v>
      </c>
      <c r="BJ181" s="122" t="e">
        <v>#N/A</v>
      </c>
      <c r="BK181" s="122" t="e">
        <v>#N/A</v>
      </c>
      <c r="BL181" s="123"/>
      <c r="BM181" s="124" t="e">
        <v>#N/A</v>
      </c>
      <c r="BN181" s="124" t="e">
        <v>#N/A</v>
      </c>
      <c r="BO181" s="124" t="e">
        <v>#N/A</v>
      </c>
      <c r="BP181" s="124" t="e">
        <v>#N/A</v>
      </c>
      <c r="BQ181" s="124" t="e">
        <v>#N/A</v>
      </c>
      <c r="BR181" s="124" t="e">
        <v>#N/A</v>
      </c>
      <c r="BS181" s="124" t="e">
        <v>#N/A</v>
      </c>
      <c r="BT181" s="124" t="e">
        <v>#N/A</v>
      </c>
      <c r="BU181" s="124" t="e">
        <v>#N/A</v>
      </c>
      <c r="BV181" s="124" t="e">
        <v>#N/A</v>
      </c>
      <c r="BW181" s="124" t="e">
        <v>#N/A</v>
      </c>
      <c r="BX181" s="124" t="e">
        <v>#N/A</v>
      </c>
      <c r="BY181" s="124" t="e">
        <v>#N/A</v>
      </c>
      <c r="BZ181" s="124" t="e">
        <v>#N/A</v>
      </c>
      <c r="CA181" s="125"/>
      <c r="CB181" s="124" t="e">
        <v>#N/A</v>
      </c>
      <c r="CC181" s="126">
        <v>1</v>
      </c>
      <c r="CD181" s="127" t="e">
        <v>#N/A</v>
      </c>
      <c r="CE181" s="128"/>
      <c r="CF181" s="77" t="s">
        <v>4169</v>
      </c>
    </row>
    <row r="182" spans="1:84" ht="14.5" x14ac:dyDescent="0.35">
      <c r="A182" s="77">
        <v>181</v>
      </c>
      <c r="B182" s="106" t="s">
        <v>6352</v>
      </c>
      <c r="C182" s="107" t="s">
        <v>6353</v>
      </c>
      <c r="D182" s="108" t="s">
        <v>2187</v>
      </c>
      <c r="E182" s="109" t="s">
        <v>2188</v>
      </c>
      <c r="F182" s="110" t="s">
        <v>2189</v>
      </c>
      <c r="G182" s="108" t="s">
        <v>1004</v>
      </c>
      <c r="H182" s="111" t="s">
        <v>209</v>
      </c>
      <c r="I182" s="111" t="s">
        <v>180</v>
      </c>
      <c r="J182" s="111" t="s">
        <v>4649</v>
      </c>
      <c r="K182" s="111" t="s">
        <v>199</v>
      </c>
      <c r="L182" s="112">
        <v>39077</v>
      </c>
      <c r="M182" s="111" t="s">
        <v>1546</v>
      </c>
      <c r="N182" s="113"/>
      <c r="O182" s="114" t="s">
        <v>478</v>
      </c>
      <c r="P182" s="114" t="s">
        <v>478</v>
      </c>
      <c r="Q182" s="114" t="s">
        <v>285</v>
      </c>
      <c r="R182" s="114" t="s">
        <v>7417</v>
      </c>
      <c r="S182" s="114" t="s">
        <v>478</v>
      </c>
      <c r="T182" s="114" t="s">
        <v>183</v>
      </c>
      <c r="U182" s="114" t="s">
        <v>183</v>
      </c>
      <c r="V182" s="115"/>
      <c r="W182" s="116" t="s">
        <v>2190</v>
      </c>
      <c r="X182" s="116" t="s">
        <v>2191</v>
      </c>
      <c r="Y182" s="117">
        <v>3485443</v>
      </c>
      <c r="Z182" s="117">
        <v>3481324</v>
      </c>
      <c r="AA182" s="118"/>
      <c r="AB182" s="119" t="s">
        <v>5604</v>
      </c>
      <c r="AC182" s="119" t="s">
        <v>2192</v>
      </c>
      <c r="AD182" s="119">
        <v>4573</v>
      </c>
      <c r="AE182" s="119" t="s">
        <v>2476</v>
      </c>
      <c r="AF182" s="119">
        <v>0</v>
      </c>
      <c r="AG182" s="120"/>
      <c r="AH182" s="121">
        <v>44810</v>
      </c>
      <c r="AI182" s="121">
        <v>44810</v>
      </c>
      <c r="AJ182" s="121">
        <v>44810</v>
      </c>
      <c r="AK182" s="122">
        <v>45056</v>
      </c>
      <c r="AL182" s="122" t="e">
        <v>#N/A</v>
      </c>
      <c r="AM182" s="121" t="e">
        <v>#N/A</v>
      </c>
      <c r="AN182" s="121" t="e">
        <v>#N/A</v>
      </c>
      <c r="AO182" s="121" t="e">
        <v>#N/A</v>
      </c>
      <c r="AP182" s="122" t="e">
        <v>#N/A</v>
      </c>
      <c r="AQ182" s="122" t="e">
        <v>#N/A</v>
      </c>
      <c r="AR182" s="122" t="e">
        <v>#N/A</v>
      </c>
      <c r="AS182" s="122" t="e">
        <v>#N/A</v>
      </c>
      <c r="AT182" s="122" t="e">
        <v>#N/A</v>
      </c>
      <c r="AU182" s="121" t="e">
        <v>#N/A</v>
      </c>
      <c r="AV182" s="122" t="e">
        <v>#N/A</v>
      </c>
      <c r="AW182" s="122">
        <v>45944</v>
      </c>
      <c r="AX182" s="122" t="e">
        <v>#N/A</v>
      </c>
      <c r="AY182" s="122" t="e">
        <v>#N/A</v>
      </c>
      <c r="AZ182" s="122" t="e">
        <v>#N/A</v>
      </c>
      <c r="BA182" s="122" t="e">
        <v>#N/A</v>
      </c>
      <c r="BB182" s="122" t="e">
        <v>#N/A</v>
      </c>
      <c r="BC182" s="122" t="e">
        <v>#N/A</v>
      </c>
      <c r="BD182" s="122" t="e">
        <v>#N/A</v>
      </c>
      <c r="BE182" s="122" t="e">
        <v>#N/A</v>
      </c>
      <c r="BF182" s="122" t="e">
        <v>#N/A</v>
      </c>
      <c r="BG182" s="122" t="e">
        <v>#N/A</v>
      </c>
      <c r="BH182" s="122" t="e">
        <v>#N/A</v>
      </c>
      <c r="BI182" s="122" t="e">
        <v>#N/A</v>
      </c>
      <c r="BJ182" s="122" t="e">
        <v>#N/A</v>
      </c>
      <c r="BK182" s="122" t="e">
        <v>#N/A</v>
      </c>
      <c r="BL182" s="123"/>
      <c r="BM182" s="124" t="e">
        <v>#N/A</v>
      </c>
      <c r="BN182" s="124" t="e">
        <v>#N/A</v>
      </c>
      <c r="BO182" s="124" t="e">
        <v>#N/A</v>
      </c>
      <c r="BP182" s="124" t="e">
        <v>#N/A</v>
      </c>
      <c r="BQ182" s="124" t="e">
        <v>#N/A</v>
      </c>
      <c r="BR182" s="124" t="e">
        <v>#N/A</v>
      </c>
      <c r="BS182" s="124" t="e">
        <v>#N/A</v>
      </c>
      <c r="BT182" s="124" t="e">
        <v>#N/A</v>
      </c>
      <c r="BU182" s="124" t="e">
        <v>#N/A</v>
      </c>
      <c r="BV182" s="124" t="e">
        <v>#N/A</v>
      </c>
      <c r="BW182" s="124" t="e">
        <v>#N/A</v>
      </c>
      <c r="BX182" s="124" t="e">
        <v>#N/A</v>
      </c>
      <c r="BY182" s="124" t="e">
        <v>#N/A</v>
      </c>
      <c r="BZ182" s="124" t="e">
        <v>#N/A</v>
      </c>
      <c r="CA182" s="125"/>
      <c r="CB182" s="124">
        <v>45734</v>
      </c>
      <c r="CC182" s="126">
        <v>1</v>
      </c>
      <c r="CD182" s="127" t="e">
        <v>#N/A</v>
      </c>
      <c r="CE182" s="128"/>
      <c r="CF182" s="77" t="s">
        <v>4169</v>
      </c>
    </row>
    <row r="183" spans="1:84" ht="14.5" x14ac:dyDescent="0.35">
      <c r="A183" s="77">
        <v>182</v>
      </c>
      <c r="B183" s="106" t="s">
        <v>6333</v>
      </c>
      <c r="C183" s="107" t="s">
        <v>6334</v>
      </c>
      <c r="D183" s="108" t="s">
        <v>2488</v>
      </c>
      <c r="E183" s="109" t="s">
        <v>2489</v>
      </c>
      <c r="F183" s="110" t="s">
        <v>223</v>
      </c>
      <c r="G183" s="108" t="s">
        <v>1004</v>
      </c>
      <c r="H183" s="111" t="s">
        <v>209</v>
      </c>
      <c r="I183" s="111" t="s">
        <v>180</v>
      </c>
      <c r="J183" s="111" t="s">
        <v>4649</v>
      </c>
      <c r="K183" s="111" t="s">
        <v>199</v>
      </c>
      <c r="L183" s="112">
        <v>38961</v>
      </c>
      <c r="M183" s="111" t="s">
        <v>1477</v>
      </c>
      <c r="N183" s="113"/>
      <c r="O183" s="114" t="s">
        <v>184</v>
      </c>
      <c r="P183" s="114" t="s">
        <v>184</v>
      </c>
      <c r="Q183" s="114" t="s">
        <v>183</v>
      </c>
      <c r="R183" s="114" t="s">
        <v>7374</v>
      </c>
      <c r="S183" s="114" t="s">
        <v>184</v>
      </c>
      <c r="T183" s="114" t="s">
        <v>184</v>
      </c>
      <c r="U183" s="114" t="s">
        <v>184</v>
      </c>
      <c r="V183" s="115"/>
      <c r="W183" s="116" t="s">
        <v>2490</v>
      </c>
      <c r="X183" s="116" t="s">
        <v>2491</v>
      </c>
      <c r="Y183" s="117">
        <v>3485044</v>
      </c>
      <c r="Z183" s="117">
        <v>3481219</v>
      </c>
      <c r="AA183" s="118"/>
      <c r="AB183" s="119" t="s">
        <v>5780</v>
      </c>
      <c r="AC183" s="119" t="s">
        <v>2492</v>
      </c>
      <c r="AD183" s="119">
        <v>27684</v>
      </c>
      <c r="AE183" s="119" t="s">
        <v>2493</v>
      </c>
      <c r="AF183" s="119" t="s">
        <v>7060</v>
      </c>
      <c r="AG183" s="120"/>
      <c r="AH183" s="121">
        <v>44994</v>
      </c>
      <c r="AI183" s="121">
        <v>45002</v>
      </c>
      <c r="AJ183" s="121">
        <v>45002</v>
      </c>
      <c r="AK183" s="122">
        <v>45044</v>
      </c>
      <c r="AL183" s="122" t="e">
        <v>#N/A</v>
      </c>
      <c r="AM183" s="122" t="e">
        <v>#N/A</v>
      </c>
      <c r="AN183" s="122" t="e">
        <v>#N/A</v>
      </c>
      <c r="AO183" s="121" t="e">
        <v>#N/A</v>
      </c>
      <c r="AP183" s="122" t="e">
        <v>#N/A</v>
      </c>
      <c r="AQ183" s="122" t="e">
        <v>#N/A</v>
      </c>
      <c r="AR183" s="122" t="e">
        <v>#N/A</v>
      </c>
      <c r="AS183" s="122" t="e">
        <v>#N/A</v>
      </c>
      <c r="AT183" s="122" t="e">
        <v>#N/A</v>
      </c>
      <c r="AU183" s="121" t="e">
        <v>#N/A</v>
      </c>
      <c r="AV183" s="122" t="e">
        <v>#N/A</v>
      </c>
      <c r="AW183" s="122">
        <v>45671</v>
      </c>
      <c r="AX183" s="122" t="e">
        <v>#N/A</v>
      </c>
      <c r="AY183" s="122" t="e">
        <v>#N/A</v>
      </c>
      <c r="AZ183" s="122" t="e">
        <v>#N/A</v>
      </c>
      <c r="BA183" s="122" t="e">
        <v>#N/A</v>
      </c>
      <c r="BB183" s="122" t="e">
        <v>#N/A</v>
      </c>
      <c r="BC183" s="122" t="e">
        <v>#N/A</v>
      </c>
      <c r="BD183" s="122" t="e">
        <v>#N/A</v>
      </c>
      <c r="BE183" s="122" t="e">
        <v>#N/A</v>
      </c>
      <c r="BF183" s="122" t="e">
        <v>#N/A</v>
      </c>
      <c r="BG183" s="122" t="e">
        <v>#N/A</v>
      </c>
      <c r="BH183" s="122" t="e">
        <v>#N/A</v>
      </c>
      <c r="BI183" s="122" t="e">
        <v>#N/A</v>
      </c>
      <c r="BJ183" s="122" t="e">
        <v>#N/A</v>
      </c>
      <c r="BK183" s="122">
        <v>45964</v>
      </c>
      <c r="BL183" s="123"/>
      <c r="BM183" s="124" t="e">
        <v>#N/A</v>
      </c>
      <c r="BN183" s="124" t="e">
        <v>#N/A</v>
      </c>
      <c r="BO183" s="124" t="e">
        <v>#N/A</v>
      </c>
      <c r="BP183" s="124" t="e">
        <v>#N/A</v>
      </c>
      <c r="BQ183" s="124" t="e">
        <v>#N/A</v>
      </c>
      <c r="BR183" s="124" t="e">
        <v>#N/A</v>
      </c>
      <c r="BS183" s="124" t="e">
        <v>#N/A</v>
      </c>
      <c r="BT183" s="124" t="e">
        <v>#N/A</v>
      </c>
      <c r="BU183" s="124" t="e">
        <v>#N/A</v>
      </c>
      <c r="BV183" s="124" t="e">
        <v>#N/A</v>
      </c>
      <c r="BW183" s="124" t="e">
        <v>#N/A</v>
      </c>
      <c r="BX183" s="124" t="e">
        <v>#N/A</v>
      </c>
      <c r="BY183" s="124" t="e">
        <v>#N/A</v>
      </c>
      <c r="BZ183" s="124" t="e">
        <v>#N/A</v>
      </c>
      <c r="CA183" s="125"/>
      <c r="CB183" s="124">
        <v>45841</v>
      </c>
      <c r="CC183" s="126">
        <v>1</v>
      </c>
      <c r="CD183" s="127" t="e">
        <v>#N/A</v>
      </c>
      <c r="CE183" s="128"/>
      <c r="CF183" s="77" t="s">
        <v>4169</v>
      </c>
    </row>
    <row r="184" spans="1:84" ht="14.5" x14ac:dyDescent="0.35">
      <c r="A184" s="77">
        <v>183</v>
      </c>
      <c r="B184" s="106" t="s">
        <v>6304</v>
      </c>
      <c r="C184" s="107" t="s">
        <v>1442</v>
      </c>
      <c r="D184" s="108" t="s">
        <v>970</v>
      </c>
      <c r="E184" s="109" t="s">
        <v>971</v>
      </c>
      <c r="F184" s="110">
        <v>661753946</v>
      </c>
      <c r="G184" s="108" t="s">
        <v>190</v>
      </c>
      <c r="H184" s="111" t="s">
        <v>209</v>
      </c>
      <c r="I184" s="111" t="s">
        <v>180</v>
      </c>
      <c r="J184" s="111" t="s">
        <v>4649</v>
      </c>
      <c r="K184" s="111" t="s">
        <v>199</v>
      </c>
      <c r="L184" s="112">
        <v>38597</v>
      </c>
      <c r="M184" s="111" t="s">
        <v>1477</v>
      </c>
      <c r="N184" s="113"/>
      <c r="O184" s="114" t="s">
        <v>4381</v>
      </c>
      <c r="P184" s="114" t="s">
        <v>3798</v>
      </c>
      <c r="Q184" s="114" t="s">
        <v>3798</v>
      </c>
      <c r="R184" s="114" t="s">
        <v>7356</v>
      </c>
      <c r="S184" s="114" t="s">
        <v>3798</v>
      </c>
      <c r="T184" s="114" t="s">
        <v>183</v>
      </c>
      <c r="U184" s="114" t="s">
        <v>183</v>
      </c>
      <c r="V184" s="115"/>
      <c r="W184" s="116" t="s">
        <v>972</v>
      </c>
      <c r="X184" s="116" t="s">
        <v>973</v>
      </c>
      <c r="Y184" s="117">
        <v>3485056</v>
      </c>
      <c r="Z184" s="117">
        <v>3481235</v>
      </c>
      <c r="AA184" s="118"/>
      <c r="AB184" s="119" t="s">
        <v>5704</v>
      </c>
      <c r="AC184" s="119" t="s">
        <v>1443</v>
      </c>
      <c r="AD184" s="119">
        <v>4177</v>
      </c>
      <c r="AE184" s="119" t="s">
        <v>974</v>
      </c>
      <c r="AF184" s="119">
        <v>0</v>
      </c>
      <c r="AG184" s="120"/>
      <c r="AH184" s="121">
        <v>44197</v>
      </c>
      <c r="AI184" s="121">
        <v>44544</v>
      </c>
      <c r="AJ184" s="121">
        <v>44544</v>
      </c>
      <c r="AK184" s="122">
        <v>44544</v>
      </c>
      <c r="AL184" s="122" t="e">
        <v>#N/A</v>
      </c>
      <c r="AM184" s="121" t="e">
        <v>#N/A</v>
      </c>
      <c r="AN184" s="121" t="e">
        <v>#N/A</v>
      </c>
      <c r="AO184" s="121" t="e">
        <v>#N/A</v>
      </c>
      <c r="AP184" s="122" t="e">
        <v>#N/A</v>
      </c>
      <c r="AQ184" s="122" t="e">
        <v>#N/A</v>
      </c>
      <c r="AR184" s="122" t="e">
        <v>#N/A</v>
      </c>
      <c r="AS184" s="122" t="e">
        <v>#N/A</v>
      </c>
      <c r="AT184" s="122" t="e">
        <v>#N/A</v>
      </c>
      <c r="AU184" s="121" t="e">
        <v>#N/A</v>
      </c>
      <c r="AV184" s="122" t="e">
        <v>#N/A</v>
      </c>
      <c r="AW184" s="122">
        <v>45670</v>
      </c>
      <c r="AX184" s="122" t="e">
        <v>#N/A</v>
      </c>
      <c r="AY184" s="122" t="e">
        <v>#N/A</v>
      </c>
      <c r="AZ184" s="122" t="e">
        <v>#N/A</v>
      </c>
      <c r="BA184" s="122" t="e">
        <v>#N/A</v>
      </c>
      <c r="BB184" s="122" t="e">
        <v>#N/A</v>
      </c>
      <c r="BC184" s="122" t="e">
        <v>#N/A</v>
      </c>
      <c r="BD184" s="122" t="e">
        <v>#N/A</v>
      </c>
      <c r="BE184" s="122" t="e">
        <v>#N/A</v>
      </c>
      <c r="BF184" s="122" t="e">
        <v>#N/A</v>
      </c>
      <c r="BG184" s="122" t="e">
        <v>#N/A</v>
      </c>
      <c r="BH184" s="122" t="e">
        <v>#N/A</v>
      </c>
      <c r="BI184" s="122" t="e">
        <v>#N/A</v>
      </c>
      <c r="BJ184" s="122" t="e">
        <v>#N/A</v>
      </c>
      <c r="BK184" s="122" t="e">
        <v>#N/A</v>
      </c>
      <c r="BL184" s="123"/>
      <c r="BM184" s="124" t="e">
        <v>#N/A</v>
      </c>
      <c r="BN184" s="124" t="e">
        <v>#N/A</v>
      </c>
      <c r="BO184" s="124" t="e">
        <v>#N/A</v>
      </c>
      <c r="BP184" s="124" t="e">
        <v>#N/A</v>
      </c>
      <c r="BQ184" s="124" t="e">
        <v>#N/A</v>
      </c>
      <c r="BR184" s="124" t="e">
        <v>#N/A</v>
      </c>
      <c r="BS184" s="124" t="e">
        <v>#N/A</v>
      </c>
      <c r="BT184" s="124" t="e">
        <v>#N/A</v>
      </c>
      <c r="BU184" s="124" t="e">
        <v>#N/A</v>
      </c>
      <c r="BV184" s="124" t="e">
        <v>#N/A</v>
      </c>
      <c r="BW184" s="124" t="e">
        <v>#N/A</v>
      </c>
      <c r="BX184" s="124" t="e">
        <v>#N/A</v>
      </c>
      <c r="BY184" s="124" t="e">
        <v>#N/A</v>
      </c>
      <c r="BZ184" s="124" t="e">
        <v>#N/A</v>
      </c>
      <c r="CA184" s="125"/>
      <c r="CB184" s="124" t="e">
        <v>#N/A</v>
      </c>
      <c r="CC184" s="126">
        <v>1</v>
      </c>
      <c r="CD184" s="127" t="e">
        <v>#N/A</v>
      </c>
      <c r="CE184" s="128"/>
      <c r="CF184" s="77" t="s">
        <v>4169</v>
      </c>
    </row>
    <row r="185" spans="1:84" ht="14.5" x14ac:dyDescent="0.35">
      <c r="A185" s="77">
        <v>184</v>
      </c>
      <c r="B185" s="106" t="s">
        <v>111</v>
      </c>
      <c r="C185" s="107" t="s">
        <v>1163</v>
      </c>
      <c r="D185" s="108" t="s">
        <v>721</v>
      </c>
      <c r="E185" s="109" t="s">
        <v>722</v>
      </c>
      <c r="F185" s="110">
        <v>667096921</v>
      </c>
      <c r="G185" s="108" t="s">
        <v>1004</v>
      </c>
      <c r="H185" s="111" t="s">
        <v>209</v>
      </c>
      <c r="I185" s="111" t="s">
        <v>180</v>
      </c>
      <c r="J185" s="111" t="s">
        <v>4649</v>
      </c>
      <c r="K185" s="111" t="s">
        <v>199</v>
      </c>
      <c r="L185" s="112">
        <v>43048</v>
      </c>
      <c r="M185" s="111" t="s">
        <v>256</v>
      </c>
      <c r="N185" s="113"/>
      <c r="O185" s="114" t="s">
        <v>7418</v>
      </c>
      <c r="P185" s="114" t="s">
        <v>4356</v>
      </c>
      <c r="Q185" s="114" t="s">
        <v>7418</v>
      </c>
      <c r="R185" s="114" t="s">
        <v>4469</v>
      </c>
      <c r="S185" s="114" t="s">
        <v>4356</v>
      </c>
      <c r="T185" s="114" t="s">
        <v>7418</v>
      </c>
      <c r="U185" s="114" t="s">
        <v>7418</v>
      </c>
      <c r="V185" s="115"/>
      <c r="W185" s="116" t="s">
        <v>723</v>
      </c>
      <c r="X185" s="116" t="s">
        <v>724</v>
      </c>
      <c r="Y185" s="117">
        <v>3485664</v>
      </c>
      <c r="Z185" s="117">
        <v>3486304</v>
      </c>
      <c r="AA185" s="118"/>
      <c r="AB185" s="119" t="s">
        <v>725</v>
      </c>
      <c r="AC185" s="119" t="s">
        <v>1164</v>
      </c>
      <c r="AD185" s="119">
        <v>4155</v>
      </c>
      <c r="AE185" s="119" t="s">
        <v>726</v>
      </c>
      <c r="AF185" s="119" t="s">
        <v>6218</v>
      </c>
      <c r="AG185" s="120"/>
      <c r="AH185" s="121">
        <v>44197</v>
      </c>
      <c r="AI185" s="121">
        <v>44529</v>
      </c>
      <c r="AJ185" s="121">
        <v>44529</v>
      </c>
      <c r="AK185" s="122">
        <v>44529</v>
      </c>
      <c r="AL185" s="122" t="e">
        <v>#N/A</v>
      </c>
      <c r="AM185" s="121" t="e">
        <v>#N/A</v>
      </c>
      <c r="AN185" s="121" t="e">
        <v>#N/A</v>
      </c>
      <c r="AO185" s="121" t="e">
        <v>#N/A</v>
      </c>
      <c r="AP185" s="122" t="e">
        <v>#N/A</v>
      </c>
      <c r="AQ185" s="122" t="e">
        <v>#N/A</v>
      </c>
      <c r="AR185" s="122" t="e">
        <v>#N/A</v>
      </c>
      <c r="AS185" s="122">
        <v>44652</v>
      </c>
      <c r="AT185" s="122" t="e">
        <v>#N/A</v>
      </c>
      <c r="AU185" s="121" t="e">
        <v>#N/A</v>
      </c>
      <c r="AV185" s="122" t="e">
        <v>#N/A</v>
      </c>
      <c r="AW185" s="122">
        <v>45778</v>
      </c>
      <c r="AX185" s="122" t="e">
        <v>#N/A</v>
      </c>
      <c r="AY185" s="122" t="e">
        <v>#N/A</v>
      </c>
      <c r="AZ185" s="122" t="e">
        <v>#N/A</v>
      </c>
      <c r="BA185" s="122" t="e">
        <v>#N/A</v>
      </c>
      <c r="BB185" s="122">
        <v>45057</v>
      </c>
      <c r="BC185" s="122" t="e">
        <v>#N/A</v>
      </c>
      <c r="BD185" s="122" t="e">
        <v>#N/A</v>
      </c>
      <c r="BE185" s="122" t="e">
        <v>#N/A</v>
      </c>
      <c r="BF185" s="122" t="e">
        <v>#N/A</v>
      </c>
      <c r="BG185" s="122" t="e">
        <v>#N/A</v>
      </c>
      <c r="BH185" s="122" t="e">
        <v>#N/A</v>
      </c>
      <c r="BI185" s="122" t="e">
        <v>#N/A</v>
      </c>
      <c r="BJ185" s="122" t="e">
        <v>#N/A</v>
      </c>
      <c r="BK185" s="122">
        <v>45952</v>
      </c>
      <c r="BL185" s="123"/>
      <c r="BM185" s="124" t="e">
        <v>#N/A</v>
      </c>
      <c r="BN185" s="124" t="e">
        <v>#N/A</v>
      </c>
      <c r="BO185" s="124" t="e">
        <v>#N/A</v>
      </c>
      <c r="BP185" s="124" t="e">
        <v>#N/A</v>
      </c>
      <c r="BQ185" s="124" t="e">
        <v>#N/A</v>
      </c>
      <c r="BR185" s="124" t="e">
        <v>#N/A</v>
      </c>
      <c r="BS185" s="124" t="e">
        <v>#N/A</v>
      </c>
      <c r="BT185" s="124" t="e">
        <v>#N/A</v>
      </c>
      <c r="BU185" s="124" t="e">
        <v>#N/A</v>
      </c>
      <c r="BV185" s="124" t="e">
        <v>#N/A</v>
      </c>
      <c r="BW185" s="124" t="e">
        <v>#N/A</v>
      </c>
      <c r="BX185" s="124" t="e">
        <v>#N/A</v>
      </c>
      <c r="BY185" s="124" t="e">
        <v>#N/A</v>
      </c>
      <c r="BZ185" s="124" t="e">
        <v>#N/A</v>
      </c>
      <c r="CA185" s="125"/>
      <c r="CB185" s="124">
        <v>45727</v>
      </c>
      <c r="CC185" s="126">
        <v>1</v>
      </c>
      <c r="CD185" s="127" t="s">
        <v>4169</v>
      </c>
      <c r="CE185" s="128"/>
      <c r="CF185" s="77" t="s">
        <v>4169</v>
      </c>
    </row>
    <row r="186" spans="1:84" ht="14.5" x14ac:dyDescent="0.35">
      <c r="A186" s="77">
        <v>185</v>
      </c>
      <c r="B186" s="106" t="s">
        <v>6374</v>
      </c>
      <c r="C186" s="107" t="s">
        <v>1532</v>
      </c>
      <c r="D186" s="108" t="s">
        <v>1533</v>
      </c>
      <c r="E186" s="109" t="s">
        <v>1534</v>
      </c>
      <c r="F186" s="110">
        <v>615826576</v>
      </c>
      <c r="G186" s="108" t="s">
        <v>1004</v>
      </c>
      <c r="H186" s="111" t="s">
        <v>209</v>
      </c>
      <c r="I186" s="111" t="s">
        <v>180</v>
      </c>
      <c r="J186" s="111" t="s">
        <v>4649</v>
      </c>
      <c r="K186" s="111" t="s">
        <v>199</v>
      </c>
      <c r="L186" s="112">
        <v>39517</v>
      </c>
      <c r="M186" s="111" t="s">
        <v>984</v>
      </c>
      <c r="N186" s="113"/>
      <c r="O186" s="114" t="s">
        <v>7419</v>
      </c>
      <c r="P186" s="114" t="s">
        <v>257</v>
      </c>
      <c r="Q186" s="114" t="s">
        <v>246</v>
      </c>
      <c r="R186" s="114" t="s">
        <v>7364</v>
      </c>
      <c r="S186" s="114" t="s">
        <v>257</v>
      </c>
      <c r="T186" s="114" t="s">
        <v>183</v>
      </c>
      <c r="U186" s="114" t="s">
        <v>183</v>
      </c>
      <c r="V186" s="115"/>
      <c r="W186" s="116" t="s">
        <v>1535</v>
      </c>
      <c r="X186" s="116" t="s">
        <v>1536</v>
      </c>
      <c r="Y186" s="117">
        <v>3485640</v>
      </c>
      <c r="Z186" s="117">
        <v>3486288</v>
      </c>
      <c r="AA186" s="118"/>
      <c r="AB186" s="119" t="s">
        <v>5779</v>
      </c>
      <c r="AC186" s="119" t="s">
        <v>1604</v>
      </c>
      <c r="AD186" s="119">
        <v>4351</v>
      </c>
      <c r="AE186" s="119" t="s">
        <v>1605</v>
      </c>
      <c r="AF186" s="119" t="s">
        <v>7072</v>
      </c>
      <c r="AG186" s="120"/>
      <c r="AH186" s="121">
        <v>44641</v>
      </c>
      <c r="AI186" s="121">
        <v>44641</v>
      </c>
      <c r="AJ186" s="121">
        <v>44641</v>
      </c>
      <c r="AK186" s="122">
        <v>44641</v>
      </c>
      <c r="AL186" s="122" t="e">
        <v>#N/A</v>
      </c>
      <c r="AM186" s="121" t="e">
        <v>#N/A</v>
      </c>
      <c r="AN186" s="121" t="e">
        <v>#N/A</v>
      </c>
      <c r="AO186" s="121" t="e">
        <v>#N/A</v>
      </c>
      <c r="AP186" s="122" t="e">
        <v>#N/A</v>
      </c>
      <c r="AQ186" s="122" t="e">
        <v>#N/A</v>
      </c>
      <c r="AR186" s="122" t="e">
        <v>#N/A</v>
      </c>
      <c r="AS186" s="122" t="e">
        <v>#N/A</v>
      </c>
      <c r="AT186" s="122" t="e">
        <v>#N/A</v>
      </c>
      <c r="AU186" s="121" t="e">
        <v>#N/A</v>
      </c>
      <c r="AV186" s="122" t="e">
        <v>#N/A</v>
      </c>
      <c r="AW186" s="122">
        <v>45744</v>
      </c>
      <c r="AX186" s="122" t="e">
        <v>#N/A</v>
      </c>
      <c r="AY186" s="122" t="e">
        <v>#N/A</v>
      </c>
      <c r="AZ186" s="122" t="e">
        <v>#N/A</v>
      </c>
      <c r="BA186" s="122" t="e">
        <v>#N/A</v>
      </c>
      <c r="BB186" s="122" t="e">
        <v>#N/A</v>
      </c>
      <c r="BC186" s="122" t="e">
        <v>#N/A</v>
      </c>
      <c r="BD186" s="122" t="e">
        <v>#N/A</v>
      </c>
      <c r="BE186" s="122" t="e">
        <v>#N/A</v>
      </c>
      <c r="BF186" s="122" t="e">
        <v>#N/A</v>
      </c>
      <c r="BG186" s="122" t="e">
        <v>#N/A</v>
      </c>
      <c r="BH186" s="122" t="e">
        <v>#N/A</v>
      </c>
      <c r="BI186" s="122" t="e">
        <v>#N/A</v>
      </c>
      <c r="BJ186" s="122" t="e">
        <v>#N/A</v>
      </c>
      <c r="BK186" s="122">
        <v>45964</v>
      </c>
      <c r="BL186" s="123"/>
      <c r="BM186" s="124" t="e">
        <v>#N/A</v>
      </c>
      <c r="BN186" s="124" t="e">
        <v>#N/A</v>
      </c>
      <c r="BO186" s="124" t="e">
        <v>#N/A</v>
      </c>
      <c r="BP186" s="124" t="e">
        <v>#N/A</v>
      </c>
      <c r="BQ186" s="124" t="e">
        <v>#N/A</v>
      </c>
      <c r="BR186" s="124" t="e">
        <v>#N/A</v>
      </c>
      <c r="BS186" s="124" t="e">
        <v>#N/A</v>
      </c>
      <c r="BT186" s="124" t="e">
        <v>#N/A</v>
      </c>
      <c r="BU186" s="124" t="e">
        <v>#N/A</v>
      </c>
      <c r="BV186" s="124" t="e">
        <v>#N/A</v>
      </c>
      <c r="BW186" s="124" t="e">
        <v>#N/A</v>
      </c>
      <c r="BX186" s="124" t="e">
        <v>#N/A</v>
      </c>
      <c r="BY186" s="124" t="e">
        <v>#N/A</v>
      </c>
      <c r="BZ186" s="124" t="e">
        <v>#N/A</v>
      </c>
      <c r="CA186" s="125"/>
      <c r="CB186" s="124">
        <v>45734</v>
      </c>
      <c r="CC186" s="126">
        <v>1</v>
      </c>
      <c r="CD186" s="127" t="e">
        <v>#N/A</v>
      </c>
      <c r="CE186" s="128"/>
      <c r="CF186" s="77" t="s">
        <v>4169</v>
      </c>
    </row>
    <row r="187" spans="1:84" ht="14.5" x14ac:dyDescent="0.35">
      <c r="A187" s="77">
        <v>186</v>
      </c>
      <c r="B187" s="106" t="s">
        <v>2159</v>
      </c>
      <c r="C187" s="107" t="s">
        <v>6417</v>
      </c>
      <c r="D187" s="108" t="s">
        <v>2160</v>
      </c>
      <c r="E187" s="109" t="s">
        <v>2161</v>
      </c>
      <c r="F187" s="110">
        <v>669777604</v>
      </c>
      <c r="G187" s="108" t="s">
        <v>1004</v>
      </c>
      <c r="H187" s="111" t="s">
        <v>209</v>
      </c>
      <c r="I187" s="111" t="s">
        <v>180</v>
      </c>
      <c r="J187" s="111" t="s">
        <v>4649</v>
      </c>
      <c r="K187" s="111" t="s">
        <v>199</v>
      </c>
      <c r="L187" s="112">
        <v>42613</v>
      </c>
      <c r="M187" s="111" t="s">
        <v>1546</v>
      </c>
      <c r="N187" s="113"/>
      <c r="O187" s="114" t="s">
        <v>246</v>
      </c>
      <c r="P187" s="114" t="s">
        <v>7420</v>
      </c>
      <c r="Q187" s="114" t="s">
        <v>257</v>
      </c>
      <c r="R187" s="114" t="s">
        <v>7364</v>
      </c>
      <c r="S187" s="114" t="s">
        <v>7421</v>
      </c>
      <c r="T187" s="114" t="s">
        <v>183</v>
      </c>
      <c r="U187" s="114" t="s">
        <v>183</v>
      </c>
      <c r="V187" s="115"/>
      <c r="W187" s="116" t="s">
        <v>2162</v>
      </c>
      <c r="X187" s="116" t="s">
        <v>2163</v>
      </c>
      <c r="Y187" s="117">
        <v>3486034</v>
      </c>
      <c r="Z187" s="117">
        <v>3481355</v>
      </c>
      <c r="AA187" s="118"/>
      <c r="AB187" s="119" t="s">
        <v>5248</v>
      </c>
      <c r="AC187" s="119" t="s">
        <v>2164</v>
      </c>
      <c r="AD187" s="119">
        <v>27710</v>
      </c>
      <c r="AE187" s="119" t="s">
        <v>2165</v>
      </c>
      <c r="AF187" s="119">
        <v>0</v>
      </c>
      <c r="AG187" s="120"/>
      <c r="AH187" s="121">
        <v>44775</v>
      </c>
      <c r="AI187" s="121">
        <v>44834</v>
      </c>
      <c r="AJ187" s="121">
        <v>44834</v>
      </c>
      <c r="AK187" s="122">
        <v>44994</v>
      </c>
      <c r="AL187" s="122" t="e">
        <v>#N/A</v>
      </c>
      <c r="AM187" s="122" t="e">
        <v>#N/A</v>
      </c>
      <c r="AN187" s="122" t="e">
        <v>#N/A</v>
      </c>
      <c r="AO187" s="121" t="e">
        <v>#N/A</v>
      </c>
      <c r="AP187" s="122" t="e">
        <v>#N/A</v>
      </c>
      <c r="AQ187" s="122" t="e">
        <v>#N/A</v>
      </c>
      <c r="AR187" s="122" t="e">
        <v>#N/A</v>
      </c>
      <c r="AS187" s="122" t="e">
        <v>#N/A</v>
      </c>
      <c r="AT187" s="122" t="e">
        <v>#N/A</v>
      </c>
      <c r="AU187" s="121" t="e">
        <v>#N/A</v>
      </c>
      <c r="AV187" s="122" t="e">
        <v>#N/A</v>
      </c>
      <c r="AW187" s="122">
        <v>45670</v>
      </c>
      <c r="AX187" s="122" t="e">
        <v>#N/A</v>
      </c>
      <c r="AY187" s="122" t="e">
        <v>#N/A</v>
      </c>
      <c r="AZ187" s="122" t="e">
        <v>#N/A</v>
      </c>
      <c r="BA187" s="122" t="e">
        <v>#N/A</v>
      </c>
      <c r="BB187" s="122" t="e">
        <v>#N/A</v>
      </c>
      <c r="BC187" s="122" t="e">
        <v>#N/A</v>
      </c>
      <c r="BD187" s="122" t="e">
        <v>#N/A</v>
      </c>
      <c r="BE187" s="122" t="e">
        <v>#N/A</v>
      </c>
      <c r="BF187" s="122" t="e">
        <v>#N/A</v>
      </c>
      <c r="BG187" s="122" t="e">
        <v>#N/A</v>
      </c>
      <c r="BH187" s="122" t="e">
        <v>#N/A</v>
      </c>
      <c r="BI187" s="122" t="e">
        <v>#N/A</v>
      </c>
      <c r="BJ187" s="122" t="e">
        <v>#N/A</v>
      </c>
      <c r="BK187" s="122" t="e">
        <v>#N/A</v>
      </c>
      <c r="BL187" s="123"/>
      <c r="BM187" s="124" t="e">
        <v>#N/A</v>
      </c>
      <c r="BN187" s="124" t="e">
        <v>#N/A</v>
      </c>
      <c r="BO187" s="124" t="e">
        <v>#N/A</v>
      </c>
      <c r="BP187" s="124" t="e">
        <v>#N/A</v>
      </c>
      <c r="BQ187" s="124" t="e">
        <v>#N/A</v>
      </c>
      <c r="BR187" s="124" t="e">
        <v>#N/A</v>
      </c>
      <c r="BS187" s="124" t="e">
        <v>#N/A</v>
      </c>
      <c r="BT187" s="124" t="e">
        <v>#N/A</v>
      </c>
      <c r="BU187" s="124" t="e">
        <v>#N/A</v>
      </c>
      <c r="BV187" s="124" t="e">
        <v>#N/A</v>
      </c>
      <c r="BW187" s="124" t="e">
        <v>#N/A</v>
      </c>
      <c r="BX187" s="124" t="e">
        <v>#N/A</v>
      </c>
      <c r="BY187" s="124" t="e">
        <v>#N/A</v>
      </c>
      <c r="BZ187" s="124" t="e">
        <v>#N/A</v>
      </c>
      <c r="CA187" s="125"/>
      <c r="CB187" s="124">
        <v>45728</v>
      </c>
      <c r="CC187" s="126">
        <v>1</v>
      </c>
      <c r="CD187" s="127" t="s">
        <v>4180</v>
      </c>
      <c r="CE187" s="128"/>
      <c r="CF187" s="77" t="s">
        <v>4169</v>
      </c>
    </row>
    <row r="188" spans="1:84" ht="14.5" x14ac:dyDescent="0.35">
      <c r="A188" s="77">
        <v>187</v>
      </c>
      <c r="B188" s="106" t="s">
        <v>2831</v>
      </c>
      <c r="C188" s="107" t="s">
        <v>6540</v>
      </c>
      <c r="D188" s="108" t="s">
        <v>2832</v>
      </c>
      <c r="E188" s="109" t="s">
        <v>2833</v>
      </c>
      <c r="F188" s="110">
        <v>617075228</v>
      </c>
      <c r="G188" s="108" t="s">
        <v>1004</v>
      </c>
      <c r="H188" s="111" t="s">
        <v>209</v>
      </c>
      <c r="I188" s="111" t="s">
        <v>180</v>
      </c>
      <c r="J188" s="111" t="s">
        <v>4649</v>
      </c>
      <c r="K188" s="111" t="s">
        <v>199</v>
      </c>
      <c r="L188" s="112">
        <v>45065</v>
      </c>
      <c r="M188" s="111" t="s">
        <v>511</v>
      </c>
      <c r="N188" s="113"/>
      <c r="O188" s="114" t="s">
        <v>225</v>
      </c>
      <c r="P188" s="114" t="s">
        <v>225</v>
      </c>
      <c r="Q188" s="114" t="s">
        <v>183</v>
      </c>
      <c r="R188" s="114" t="s">
        <v>7398</v>
      </c>
      <c r="S188" s="114" t="s">
        <v>225</v>
      </c>
      <c r="T188" s="114" t="s">
        <v>225</v>
      </c>
      <c r="U188" s="114" t="s">
        <v>225</v>
      </c>
      <c r="V188" s="115"/>
      <c r="W188" s="116" t="s">
        <v>2834</v>
      </c>
      <c r="X188" s="116" t="s">
        <v>2835</v>
      </c>
      <c r="Y188" s="117">
        <v>3485125</v>
      </c>
      <c r="Z188" s="117">
        <v>3481276</v>
      </c>
      <c r="AA188" s="118"/>
      <c r="AB188" s="119" t="s">
        <v>5781</v>
      </c>
      <c r="AC188" s="119" t="s">
        <v>2836</v>
      </c>
      <c r="AD188" s="119">
        <v>27482</v>
      </c>
      <c r="AE188" s="119" t="s">
        <v>2837</v>
      </c>
      <c r="AF188" s="119" t="s">
        <v>7151</v>
      </c>
      <c r="AG188" s="120"/>
      <c r="AH188" s="121">
        <v>45737</v>
      </c>
      <c r="AI188" s="121">
        <v>45351</v>
      </c>
      <c r="AJ188" s="121">
        <v>45737</v>
      </c>
      <c r="AK188" s="122">
        <v>45351</v>
      </c>
      <c r="AL188" s="122">
        <v>46010</v>
      </c>
      <c r="AM188" s="121" t="e">
        <v>#N/A</v>
      </c>
      <c r="AN188" s="121">
        <v>46010</v>
      </c>
      <c r="AO188" s="121">
        <v>46010</v>
      </c>
      <c r="AP188" s="122" t="e">
        <v>#N/A</v>
      </c>
      <c r="AQ188" s="122" t="e">
        <v>#N/A</v>
      </c>
      <c r="AR188" s="122">
        <v>46010</v>
      </c>
      <c r="AS188" s="122" t="e">
        <v>#N/A</v>
      </c>
      <c r="AT188" s="122" t="e">
        <v>#N/A</v>
      </c>
      <c r="AU188" s="121" t="e">
        <v>#N/A</v>
      </c>
      <c r="AV188" s="122" t="e">
        <v>#N/A</v>
      </c>
      <c r="AW188" s="122">
        <v>45677</v>
      </c>
      <c r="AX188" s="122" t="e">
        <v>#N/A</v>
      </c>
      <c r="AY188" s="122" t="e">
        <v>#N/A</v>
      </c>
      <c r="AZ188" s="122">
        <v>46010</v>
      </c>
      <c r="BA188" s="122" t="e">
        <v>#N/A</v>
      </c>
      <c r="BB188" s="122" t="e">
        <v>#N/A</v>
      </c>
      <c r="BC188" s="122" t="e">
        <v>#N/A</v>
      </c>
      <c r="BD188" s="122" t="e">
        <v>#N/A</v>
      </c>
      <c r="BE188" s="122" t="e">
        <v>#N/A</v>
      </c>
      <c r="BF188" s="122" t="e">
        <v>#N/A</v>
      </c>
      <c r="BG188" s="122" t="e">
        <v>#N/A</v>
      </c>
      <c r="BH188" s="122" t="e">
        <v>#N/A</v>
      </c>
      <c r="BI188" s="122" t="e">
        <v>#N/A</v>
      </c>
      <c r="BJ188" s="122">
        <v>45811</v>
      </c>
      <c r="BK188" s="122">
        <v>45971</v>
      </c>
      <c r="BL188" s="123"/>
      <c r="BM188" s="124" t="e">
        <v>#N/A</v>
      </c>
      <c r="BN188" s="124" t="e">
        <v>#N/A</v>
      </c>
      <c r="BO188" s="124" t="e">
        <v>#N/A</v>
      </c>
      <c r="BP188" s="124" t="e">
        <v>#N/A</v>
      </c>
      <c r="BQ188" s="124" t="e">
        <v>#N/A</v>
      </c>
      <c r="BR188" s="124" t="e">
        <v>#N/A</v>
      </c>
      <c r="BS188" s="124" t="e">
        <v>#N/A</v>
      </c>
      <c r="BT188" s="124" t="e">
        <v>#N/A</v>
      </c>
      <c r="BU188" s="124" t="e">
        <v>#N/A</v>
      </c>
      <c r="BV188" s="124" t="e">
        <v>#N/A</v>
      </c>
      <c r="BW188" s="124" t="e">
        <v>#N/A</v>
      </c>
      <c r="BX188" s="124" t="e">
        <v>#N/A</v>
      </c>
      <c r="BY188" s="124" t="e">
        <v>#N/A</v>
      </c>
      <c r="BZ188" s="124" t="e">
        <v>#N/A</v>
      </c>
      <c r="CA188" s="125"/>
      <c r="CB188" s="124" t="e">
        <v>#N/A</v>
      </c>
      <c r="CC188" s="126">
        <v>1</v>
      </c>
      <c r="CD188" s="127" t="s">
        <v>4175</v>
      </c>
      <c r="CE188" s="128"/>
      <c r="CF188" s="77" t="s">
        <v>4169</v>
      </c>
    </row>
    <row r="189" spans="1:84" ht="14.5" x14ac:dyDescent="0.35">
      <c r="A189" s="77">
        <v>188</v>
      </c>
      <c r="B189" s="106" t="s">
        <v>2852</v>
      </c>
      <c r="C189" s="107" t="s">
        <v>6433</v>
      </c>
      <c r="D189" s="108" t="s">
        <v>2853</v>
      </c>
      <c r="E189" s="109" t="s">
        <v>2854</v>
      </c>
      <c r="F189" s="110">
        <v>677452680</v>
      </c>
      <c r="G189" s="108" t="s">
        <v>1004</v>
      </c>
      <c r="H189" s="111" t="s">
        <v>209</v>
      </c>
      <c r="I189" s="111" t="s">
        <v>180</v>
      </c>
      <c r="J189" s="111" t="s">
        <v>4649</v>
      </c>
      <c r="K189" s="111" t="s">
        <v>199</v>
      </c>
      <c r="L189" s="112">
        <v>41232</v>
      </c>
      <c r="M189" s="111" t="s">
        <v>2967</v>
      </c>
      <c r="N189" s="113"/>
      <c r="O189" s="114" t="s">
        <v>7422</v>
      </c>
      <c r="P189" s="114" t="s">
        <v>478</v>
      </c>
      <c r="Q189" s="114" t="s">
        <v>285</v>
      </c>
      <c r="R189" s="114" t="s">
        <v>7391</v>
      </c>
      <c r="S189" s="114" t="s">
        <v>1007</v>
      </c>
      <c r="T189" s="114" t="s">
        <v>183</v>
      </c>
      <c r="U189" s="114" t="s">
        <v>183</v>
      </c>
      <c r="V189" s="115"/>
      <c r="W189" s="116" t="s">
        <v>2855</v>
      </c>
      <c r="X189" s="116" t="s">
        <v>2856</v>
      </c>
      <c r="Y189" s="117">
        <v>3485387</v>
      </c>
      <c r="Z189" s="117">
        <v>3486117</v>
      </c>
      <c r="AA189" s="118"/>
      <c r="AB189" s="119" t="s">
        <v>5258</v>
      </c>
      <c r="AC189" s="119" t="s">
        <v>2857</v>
      </c>
      <c r="AD189" s="119">
        <v>27220</v>
      </c>
      <c r="AE189" s="119" t="s">
        <v>2858</v>
      </c>
      <c r="AF189" s="119">
        <v>0</v>
      </c>
      <c r="AG189" s="120"/>
      <c r="AH189" s="121">
        <v>45737</v>
      </c>
      <c r="AI189" s="121">
        <v>45351</v>
      </c>
      <c r="AJ189" s="121">
        <v>45737</v>
      </c>
      <c r="AK189" s="122">
        <v>45351</v>
      </c>
      <c r="AL189" s="122" t="e">
        <v>#N/A</v>
      </c>
      <c r="AM189" s="121" t="e">
        <v>#N/A</v>
      </c>
      <c r="AN189" s="121" t="e">
        <v>#N/A</v>
      </c>
      <c r="AO189" s="121" t="e">
        <v>#N/A</v>
      </c>
      <c r="AP189" s="122" t="e">
        <v>#N/A</v>
      </c>
      <c r="AQ189" s="122" t="e">
        <v>#N/A</v>
      </c>
      <c r="AR189" s="122" t="e">
        <v>#N/A</v>
      </c>
      <c r="AS189" s="122" t="e">
        <v>#N/A</v>
      </c>
      <c r="AT189" s="122" t="e">
        <v>#N/A</v>
      </c>
      <c r="AU189" s="121" t="e">
        <v>#N/A</v>
      </c>
      <c r="AV189" s="122" t="e">
        <v>#N/A</v>
      </c>
      <c r="AW189" s="122">
        <v>45763</v>
      </c>
      <c r="AX189" s="122" t="e">
        <v>#N/A</v>
      </c>
      <c r="AY189" s="122" t="e">
        <v>#N/A</v>
      </c>
      <c r="AZ189" s="122" t="e">
        <v>#N/A</v>
      </c>
      <c r="BA189" s="122" t="e">
        <v>#N/A</v>
      </c>
      <c r="BB189" s="122" t="e">
        <v>#N/A</v>
      </c>
      <c r="BC189" s="122" t="e">
        <v>#N/A</v>
      </c>
      <c r="BD189" s="122" t="e">
        <v>#N/A</v>
      </c>
      <c r="BE189" s="122" t="e">
        <v>#N/A</v>
      </c>
      <c r="BF189" s="122" t="e">
        <v>#N/A</v>
      </c>
      <c r="BG189" s="122" t="e">
        <v>#N/A</v>
      </c>
      <c r="BH189" s="122" t="e">
        <v>#N/A</v>
      </c>
      <c r="BI189" s="122" t="e">
        <v>#N/A</v>
      </c>
      <c r="BJ189" s="122" t="e">
        <v>#N/A</v>
      </c>
      <c r="BK189" s="122" t="e">
        <v>#N/A</v>
      </c>
      <c r="BL189" s="123"/>
      <c r="BM189" s="124" t="e">
        <v>#N/A</v>
      </c>
      <c r="BN189" s="124" t="e">
        <v>#N/A</v>
      </c>
      <c r="BO189" s="124" t="e">
        <v>#N/A</v>
      </c>
      <c r="BP189" s="124" t="e">
        <v>#N/A</v>
      </c>
      <c r="BQ189" s="124" t="e">
        <v>#N/A</v>
      </c>
      <c r="BR189" s="124" t="e">
        <v>#N/A</v>
      </c>
      <c r="BS189" s="124" t="e">
        <v>#N/A</v>
      </c>
      <c r="BT189" s="124" t="e">
        <v>#N/A</v>
      </c>
      <c r="BU189" s="124" t="e">
        <v>#N/A</v>
      </c>
      <c r="BV189" s="124" t="e">
        <v>#N/A</v>
      </c>
      <c r="BW189" s="124" t="e">
        <v>#N/A</v>
      </c>
      <c r="BX189" s="124" t="e">
        <v>#N/A</v>
      </c>
      <c r="BY189" s="124" t="e">
        <v>#N/A</v>
      </c>
      <c r="BZ189" s="124" t="e">
        <v>#N/A</v>
      </c>
      <c r="CA189" s="125"/>
      <c r="CB189" s="124" t="e">
        <v>#N/A</v>
      </c>
      <c r="CC189" s="126">
        <v>1</v>
      </c>
      <c r="CD189" s="127" t="s">
        <v>4175</v>
      </c>
      <c r="CE189" s="128"/>
      <c r="CF189" s="77" t="s">
        <v>4169</v>
      </c>
    </row>
    <row r="190" spans="1:84" ht="14.5" x14ac:dyDescent="0.35">
      <c r="A190" s="77">
        <v>189</v>
      </c>
      <c r="B190" s="106" t="s">
        <v>6354</v>
      </c>
      <c r="C190" s="107" t="s">
        <v>6355</v>
      </c>
      <c r="D190" s="108" t="s">
        <v>2193</v>
      </c>
      <c r="E190" s="109" t="s">
        <v>2194</v>
      </c>
      <c r="F190" s="110" t="s">
        <v>2195</v>
      </c>
      <c r="G190" s="108" t="s">
        <v>1004</v>
      </c>
      <c r="H190" s="111" t="s">
        <v>209</v>
      </c>
      <c r="I190" s="111" t="s">
        <v>180</v>
      </c>
      <c r="J190" s="111" t="s">
        <v>4649</v>
      </c>
      <c r="K190" s="111" t="s">
        <v>199</v>
      </c>
      <c r="L190" s="112">
        <v>39104</v>
      </c>
      <c r="M190" s="111" t="s">
        <v>1477</v>
      </c>
      <c r="N190" s="113"/>
      <c r="O190" s="114" t="s">
        <v>225</v>
      </c>
      <c r="P190" s="114" t="s">
        <v>225</v>
      </c>
      <c r="Q190" s="114" t="s">
        <v>183</v>
      </c>
      <c r="R190" s="114" t="s">
        <v>7398</v>
      </c>
      <c r="S190" s="114" t="s">
        <v>225</v>
      </c>
      <c r="T190" s="114" t="s">
        <v>225</v>
      </c>
      <c r="U190" s="114" t="s">
        <v>225</v>
      </c>
      <c r="V190" s="115"/>
      <c r="W190" s="116" t="s">
        <v>2196</v>
      </c>
      <c r="X190" s="116" t="s">
        <v>2197</v>
      </c>
      <c r="Y190" s="117">
        <v>3485100</v>
      </c>
      <c r="Z190" s="117">
        <v>3481282</v>
      </c>
      <c r="AA190" s="118"/>
      <c r="AB190" s="119" t="s">
        <v>5606</v>
      </c>
      <c r="AC190" s="119" t="s">
        <v>2198</v>
      </c>
      <c r="AD190" s="119">
        <v>27271</v>
      </c>
      <c r="AE190" s="119" t="s">
        <v>2199</v>
      </c>
      <c r="AF190" s="119" t="s">
        <v>7066</v>
      </c>
      <c r="AG190" s="120"/>
      <c r="AH190" s="121">
        <v>44802</v>
      </c>
      <c r="AI190" s="121">
        <v>44810</v>
      </c>
      <c r="AJ190" s="121">
        <v>44810</v>
      </c>
      <c r="AK190" s="122">
        <v>44894</v>
      </c>
      <c r="AL190" s="122" t="e">
        <v>#N/A</v>
      </c>
      <c r="AM190" s="121" t="e">
        <v>#N/A</v>
      </c>
      <c r="AN190" s="121" t="e">
        <v>#N/A</v>
      </c>
      <c r="AO190" s="121" t="e">
        <v>#N/A</v>
      </c>
      <c r="AP190" s="122" t="e">
        <v>#N/A</v>
      </c>
      <c r="AQ190" s="122" t="e">
        <v>#N/A</v>
      </c>
      <c r="AR190" s="122" t="e">
        <v>#N/A</v>
      </c>
      <c r="AS190" s="122" t="e">
        <v>#N/A</v>
      </c>
      <c r="AT190" s="122" t="e">
        <v>#N/A</v>
      </c>
      <c r="AU190" s="121">
        <v>45912</v>
      </c>
      <c r="AV190" s="122">
        <v>45785</v>
      </c>
      <c r="AW190" s="122">
        <v>45670</v>
      </c>
      <c r="AX190" s="122">
        <v>45812</v>
      </c>
      <c r="AY190" s="122" t="e">
        <v>#N/A</v>
      </c>
      <c r="AZ190" s="122" t="e">
        <v>#N/A</v>
      </c>
      <c r="BA190" s="122" t="e">
        <v>#N/A</v>
      </c>
      <c r="BB190" s="122" t="e">
        <v>#N/A</v>
      </c>
      <c r="BC190" s="122" t="e">
        <v>#N/A</v>
      </c>
      <c r="BD190" s="122" t="e">
        <v>#N/A</v>
      </c>
      <c r="BE190" s="122" t="e">
        <v>#N/A</v>
      </c>
      <c r="BF190" s="122" t="e">
        <v>#N/A</v>
      </c>
      <c r="BG190" s="122">
        <v>45947</v>
      </c>
      <c r="BH190" s="122" t="e">
        <v>#N/A</v>
      </c>
      <c r="BI190" s="122" t="e">
        <v>#N/A</v>
      </c>
      <c r="BJ190" s="122" t="e">
        <v>#N/A</v>
      </c>
      <c r="BK190" s="122">
        <v>45964</v>
      </c>
      <c r="BL190" s="123"/>
      <c r="BM190" s="124" t="e">
        <v>#N/A</v>
      </c>
      <c r="BN190" s="124" t="e">
        <v>#N/A</v>
      </c>
      <c r="BO190" s="124" t="e">
        <v>#N/A</v>
      </c>
      <c r="BP190" s="124" t="e">
        <v>#N/A</v>
      </c>
      <c r="BQ190" s="124" t="e">
        <v>#N/A</v>
      </c>
      <c r="BR190" s="124" t="e">
        <v>#N/A</v>
      </c>
      <c r="BS190" s="124" t="e">
        <v>#N/A</v>
      </c>
      <c r="BT190" s="124" t="e">
        <v>#N/A</v>
      </c>
      <c r="BU190" s="124" t="e">
        <v>#N/A</v>
      </c>
      <c r="BV190" s="124" t="e">
        <v>#N/A</v>
      </c>
      <c r="BW190" s="124" t="e">
        <v>#N/A</v>
      </c>
      <c r="BX190" s="124" t="e">
        <v>#N/A</v>
      </c>
      <c r="BY190" s="124" t="e">
        <v>#N/A</v>
      </c>
      <c r="BZ190" s="124" t="e">
        <v>#N/A</v>
      </c>
      <c r="CA190" s="125"/>
      <c r="CB190" s="124">
        <v>45726</v>
      </c>
      <c r="CC190" s="126">
        <v>1</v>
      </c>
      <c r="CD190" s="127" t="e">
        <v>#N/A</v>
      </c>
      <c r="CE190" s="128"/>
      <c r="CF190" s="77" t="s">
        <v>4169</v>
      </c>
    </row>
    <row r="191" spans="1:84" ht="14.5" x14ac:dyDescent="0.35">
      <c r="A191" s="77">
        <v>190</v>
      </c>
      <c r="B191" s="106" t="s">
        <v>3620</v>
      </c>
      <c r="C191" s="107" t="s">
        <v>6649</v>
      </c>
      <c r="D191" s="108" t="s">
        <v>3621</v>
      </c>
      <c r="E191" s="109" t="s">
        <v>3622</v>
      </c>
      <c r="F191" s="110">
        <v>697943248</v>
      </c>
      <c r="G191" s="108" t="s">
        <v>1004</v>
      </c>
      <c r="H191" s="111" t="s">
        <v>209</v>
      </c>
      <c r="I191" s="111" t="s">
        <v>180</v>
      </c>
      <c r="J191" s="111" t="s">
        <v>4649</v>
      </c>
      <c r="K191" s="111" t="s">
        <v>199</v>
      </c>
      <c r="L191" s="112">
        <v>45490</v>
      </c>
      <c r="M191" s="111" t="s">
        <v>747</v>
      </c>
      <c r="N191" s="113"/>
      <c r="O191" s="114" t="s">
        <v>607</v>
      </c>
      <c r="P191" s="114" t="s">
        <v>7423</v>
      </c>
      <c r="Q191" s="114" t="s">
        <v>607</v>
      </c>
      <c r="R191" s="114" t="s">
        <v>7297</v>
      </c>
      <c r="S191" s="114" t="s">
        <v>7424</v>
      </c>
      <c r="T191" s="114" t="s">
        <v>183</v>
      </c>
      <c r="U191" s="114" t="s">
        <v>183</v>
      </c>
      <c r="V191" s="115"/>
      <c r="W191" s="116" t="s">
        <v>3623</v>
      </c>
      <c r="X191" s="116" t="s">
        <v>3624</v>
      </c>
      <c r="Y191" s="117">
        <v>3485321</v>
      </c>
      <c r="Z191" s="117">
        <v>3486494</v>
      </c>
      <c r="AA191" s="118"/>
      <c r="AB191" s="119" t="s">
        <v>5607</v>
      </c>
      <c r="AC191" s="119" t="s">
        <v>3625</v>
      </c>
      <c r="AD191" s="119">
        <v>5979</v>
      </c>
      <c r="AE191" s="119" t="s">
        <v>4262</v>
      </c>
      <c r="AF191" s="119" t="s">
        <v>6650</v>
      </c>
      <c r="AG191" s="120"/>
      <c r="AH191" s="121">
        <v>45506</v>
      </c>
      <c r="AI191" s="121">
        <v>45506</v>
      </c>
      <c r="AJ191" s="121">
        <v>45506</v>
      </c>
      <c r="AK191" s="122">
        <v>45506</v>
      </c>
      <c r="AL191" s="122" t="e">
        <v>#N/A</v>
      </c>
      <c r="AM191" s="121" t="e">
        <v>#N/A</v>
      </c>
      <c r="AN191" s="121" t="e">
        <v>#N/A</v>
      </c>
      <c r="AO191" s="121" t="e">
        <v>#N/A</v>
      </c>
      <c r="AP191" s="122" t="e">
        <v>#N/A</v>
      </c>
      <c r="AQ191" s="122" t="e">
        <v>#N/A</v>
      </c>
      <c r="AR191" s="122" t="e">
        <v>#N/A</v>
      </c>
      <c r="AS191" s="122" t="e">
        <v>#N/A</v>
      </c>
      <c r="AT191" s="122" t="e">
        <v>#N/A</v>
      </c>
      <c r="AU191" s="121" t="e">
        <v>#N/A</v>
      </c>
      <c r="AV191" s="122" t="e">
        <v>#N/A</v>
      </c>
      <c r="AW191" s="122">
        <v>45883</v>
      </c>
      <c r="AX191" s="122" t="e">
        <v>#N/A</v>
      </c>
      <c r="AY191" s="122" t="e">
        <v>#N/A</v>
      </c>
      <c r="AZ191" s="122" t="e">
        <v>#N/A</v>
      </c>
      <c r="BA191" s="122" t="e">
        <v>#N/A</v>
      </c>
      <c r="BB191" s="122" t="e">
        <v>#N/A</v>
      </c>
      <c r="BC191" s="122" t="e">
        <v>#N/A</v>
      </c>
      <c r="BD191" s="122" t="e">
        <v>#N/A</v>
      </c>
      <c r="BE191" s="122" t="e">
        <v>#N/A</v>
      </c>
      <c r="BF191" s="122" t="e">
        <v>#N/A</v>
      </c>
      <c r="BG191" s="122" t="e">
        <v>#N/A</v>
      </c>
      <c r="BH191" s="122" t="e">
        <v>#N/A</v>
      </c>
      <c r="BI191" s="122" t="e">
        <v>#N/A</v>
      </c>
      <c r="BJ191" s="122" t="e">
        <v>#N/A</v>
      </c>
      <c r="BK191" s="122">
        <v>45958</v>
      </c>
      <c r="BL191" s="123"/>
      <c r="BM191" s="124" t="e">
        <v>#N/A</v>
      </c>
      <c r="BN191" s="124" t="e">
        <v>#N/A</v>
      </c>
      <c r="BO191" s="124" t="e">
        <v>#N/A</v>
      </c>
      <c r="BP191" s="124" t="e">
        <v>#N/A</v>
      </c>
      <c r="BQ191" s="124" t="e">
        <v>#N/A</v>
      </c>
      <c r="BR191" s="124" t="e">
        <v>#N/A</v>
      </c>
      <c r="BS191" s="124" t="e">
        <v>#N/A</v>
      </c>
      <c r="BT191" s="124" t="e">
        <v>#N/A</v>
      </c>
      <c r="BU191" s="124" t="e">
        <v>#N/A</v>
      </c>
      <c r="BV191" s="124" t="e">
        <v>#N/A</v>
      </c>
      <c r="BW191" s="124" t="e">
        <v>#N/A</v>
      </c>
      <c r="BX191" s="124" t="e">
        <v>#N/A</v>
      </c>
      <c r="BY191" s="124" t="e">
        <v>#N/A</v>
      </c>
      <c r="BZ191" s="124" t="e">
        <v>#N/A</v>
      </c>
      <c r="CA191" s="125"/>
      <c r="CB191" s="124" t="e">
        <v>#N/A</v>
      </c>
      <c r="CC191" s="126">
        <v>1</v>
      </c>
      <c r="CD191" s="127" t="s">
        <v>4205</v>
      </c>
      <c r="CE191" s="128"/>
      <c r="CF191" s="77" t="s">
        <v>4169</v>
      </c>
    </row>
    <row r="192" spans="1:84" ht="14.5" x14ac:dyDescent="0.35">
      <c r="A192" s="77">
        <v>191</v>
      </c>
      <c r="B192" s="106" t="s">
        <v>58</v>
      </c>
      <c r="C192" s="107" t="s">
        <v>1174</v>
      </c>
      <c r="D192" s="108" t="s">
        <v>543</v>
      </c>
      <c r="E192" s="109" t="s">
        <v>544</v>
      </c>
      <c r="F192" s="110">
        <v>689456990</v>
      </c>
      <c r="G192" s="108" t="s">
        <v>1004</v>
      </c>
      <c r="H192" s="111" t="s">
        <v>209</v>
      </c>
      <c r="I192" s="111" t="s">
        <v>180</v>
      </c>
      <c r="J192" s="111" t="s">
        <v>4649</v>
      </c>
      <c r="K192" s="111" t="s">
        <v>199</v>
      </c>
      <c r="L192" s="112">
        <v>43529</v>
      </c>
      <c r="M192" s="111" t="s">
        <v>1477</v>
      </c>
      <c r="N192" s="113"/>
      <c r="O192" s="114" t="s">
        <v>7095</v>
      </c>
      <c r="P192" s="114" t="s">
        <v>183</v>
      </c>
      <c r="Q192" s="114" t="s">
        <v>7095</v>
      </c>
      <c r="R192" s="114" t="s">
        <v>7425</v>
      </c>
      <c r="S192" s="114" t="s">
        <v>183</v>
      </c>
      <c r="T192" s="114" t="s">
        <v>7095</v>
      </c>
      <c r="U192" s="114" t="s">
        <v>7095</v>
      </c>
      <c r="V192" s="115"/>
      <c r="W192" s="116" t="s">
        <v>546</v>
      </c>
      <c r="X192" s="116" t="s">
        <v>547</v>
      </c>
      <c r="Y192" s="117">
        <v>3485371</v>
      </c>
      <c r="Z192" s="117">
        <v>3481045</v>
      </c>
      <c r="AA192" s="118"/>
      <c r="AB192" s="119" t="s">
        <v>5783</v>
      </c>
      <c r="AC192" s="119" t="s">
        <v>1175</v>
      </c>
      <c r="AD192" s="119">
        <v>5801</v>
      </c>
      <c r="AE192" s="119" t="s">
        <v>4478</v>
      </c>
      <c r="AF192" s="119">
        <v>0</v>
      </c>
      <c r="AG192" s="120"/>
      <c r="AH192" s="121">
        <v>36892</v>
      </c>
      <c r="AI192" s="121">
        <v>45810</v>
      </c>
      <c r="AJ192" s="121">
        <v>45810</v>
      </c>
      <c r="AK192" s="122">
        <v>45810</v>
      </c>
      <c r="AL192" s="122" t="e">
        <v>#N/A</v>
      </c>
      <c r="AM192" s="122" t="e">
        <v>#N/A</v>
      </c>
      <c r="AN192" s="122" t="e">
        <v>#N/A</v>
      </c>
      <c r="AO192" s="121" t="e">
        <v>#N/A</v>
      </c>
      <c r="AP192" s="122" t="e">
        <v>#N/A</v>
      </c>
      <c r="AQ192" s="122" t="e">
        <v>#N/A</v>
      </c>
      <c r="AR192" s="122" t="e">
        <v>#N/A</v>
      </c>
      <c r="AS192" s="122" t="e">
        <v>#N/A</v>
      </c>
      <c r="AT192" s="122" t="e">
        <v>#N/A</v>
      </c>
      <c r="AU192" s="121" t="e">
        <v>#N/A</v>
      </c>
      <c r="AV192" s="122" t="e">
        <v>#N/A</v>
      </c>
      <c r="AW192" s="122">
        <v>45807</v>
      </c>
      <c r="AX192" s="122" t="e">
        <v>#N/A</v>
      </c>
      <c r="AY192" s="122" t="e">
        <v>#N/A</v>
      </c>
      <c r="AZ192" s="122" t="e">
        <v>#N/A</v>
      </c>
      <c r="BA192" s="122" t="e">
        <v>#N/A</v>
      </c>
      <c r="BB192" s="122" t="e">
        <v>#N/A</v>
      </c>
      <c r="BC192" s="122" t="e">
        <v>#N/A</v>
      </c>
      <c r="BD192" s="122" t="e">
        <v>#N/A</v>
      </c>
      <c r="BE192" s="122" t="e">
        <v>#N/A</v>
      </c>
      <c r="BF192" s="122" t="e">
        <v>#N/A</v>
      </c>
      <c r="BG192" s="122" t="e">
        <v>#N/A</v>
      </c>
      <c r="BH192" s="122" t="e">
        <v>#N/A</v>
      </c>
      <c r="BI192" s="122" t="e">
        <v>#N/A</v>
      </c>
      <c r="BJ192" s="122" t="e">
        <v>#N/A</v>
      </c>
      <c r="BK192" s="122" t="e">
        <v>#N/A</v>
      </c>
      <c r="BL192" s="123"/>
      <c r="BM192" s="124" t="e">
        <v>#N/A</v>
      </c>
      <c r="BN192" s="124" t="e">
        <v>#N/A</v>
      </c>
      <c r="BO192" s="124" t="e">
        <v>#N/A</v>
      </c>
      <c r="BP192" s="124" t="e">
        <v>#N/A</v>
      </c>
      <c r="BQ192" s="124" t="e">
        <v>#N/A</v>
      </c>
      <c r="BR192" s="124" t="e">
        <v>#N/A</v>
      </c>
      <c r="BS192" s="124" t="e">
        <v>#N/A</v>
      </c>
      <c r="BT192" s="124" t="e">
        <v>#N/A</v>
      </c>
      <c r="BU192" s="124" t="e">
        <v>#N/A</v>
      </c>
      <c r="BV192" s="124" t="e">
        <v>#N/A</v>
      </c>
      <c r="BW192" s="124" t="e">
        <v>#N/A</v>
      </c>
      <c r="BX192" s="124" t="e">
        <v>#N/A</v>
      </c>
      <c r="BY192" s="124" t="e">
        <v>#N/A</v>
      </c>
      <c r="BZ192" s="124" t="e">
        <v>#N/A</v>
      </c>
      <c r="CA192" s="125"/>
      <c r="CB192" s="124" t="e">
        <v>#N/A</v>
      </c>
      <c r="CC192" s="126">
        <v>1</v>
      </c>
      <c r="CD192" s="127" t="s">
        <v>4169</v>
      </c>
      <c r="CE192" s="128"/>
      <c r="CF192" s="77" t="s">
        <v>4169</v>
      </c>
    </row>
    <row r="193" spans="1:85" ht="14.5" x14ac:dyDescent="0.35">
      <c r="A193" s="77">
        <v>192</v>
      </c>
      <c r="B193" s="106" t="s">
        <v>1554</v>
      </c>
      <c r="C193" s="107" t="s">
        <v>1555</v>
      </c>
      <c r="D193" s="108" t="s">
        <v>1556</v>
      </c>
      <c r="E193" s="109" t="s">
        <v>1557</v>
      </c>
      <c r="F193" s="110">
        <v>622406718</v>
      </c>
      <c r="G193" s="108" t="s">
        <v>1004</v>
      </c>
      <c r="H193" s="111" t="s">
        <v>209</v>
      </c>
      <c r="I193" s="111" t="s">
        <v>180</v>
      </c>
      <c r="J193" s="111" t="s">
        <v>4649</v>
      </c>
      <c r="K193" s="111" t="s">
        <v>199</v>
      </c>
      <c r="L193" s="112">
        <v>41619</v>
      </c>
      <c r="M193" s="111" t="s">
        <v>2352</v>
      </c>
      <c r="N193" s="113"/>
      <c r="O193" s="114" t="s">
        <v>246</v>
      </c>
      <c r="P193" s="114" t="s">
        <v>257</v>
      </c>
      <c r="Q193" s="114" t="s">
        <v>246</v>
      </c>
      <c r="R193" s="114" t="s">
        <v>7364</v>
      </c>
      <c r="S193" s="114" t="s">
        <v>257</v>
      </c>
      <c r="T193" s="114" t="s">
        <v>183</v>
      </c>
      <c r="U193" s="114" t="s">
        <v>183</v>
      </c>
      <c r="V193" s="115"/>
      <c r="W193" s="116" t="s">
        <v>1558</v>
      </c>
      <c r="X193" s="116" t="s">
        <v>1559</v>
      </c>
      <c r="Y193" s="117">
        <v>3485634</v>
      </c>
      <c r="Z193" s="117">
        <v>3486594</v>
      </c>
      <c r="AA193" s="118"/>
      <c r="AB193" s="119" t="s">
        <v>5544</v>
      </c>
      <c r="AC193" s="119" t="s">
        <v>1612</v>
      </c>
      <c r="AD193" s="119">
        <v>4033</v>
      </c>
      <c r="AE193" s="119" t="s">
        <v>3059</v>
      </c>
      <c r="AF193" s="119" t="s">
        <v>7426</v>
      </c>
      <c r="AG193" s="120"/>
      <c r="AH193" s="121">
        <v>44641</v>
      </c>
      <c r="AI193" s="121">
        <v>44817</v>
      </c>
      <c r="AJ193" s="121">
        <v>44817</v>
      </c>
      <c r="AK193" s="122">
        <v>45376</v>
      </c>
      <c r="AL193" s="122" t="e">
        <v>#N/A</v>
      </c>
      <c r="AM193" s="121" t="e">
        <v>#N/A</v>
      </c>
      <c r="AN193" s="121" t="e">
        <v>#N/A</v>
      </c>
      <c r="AO193" s="121" t="e">
        <v>#N/A</v>
      </c>
      <c r="AP193" s="122" t="e">
        <v>#N/A</v>
      </c>
      <c r="AQ193" s="122" t="e">
        <v>#N/A</v>
      </c>
      <c r="AR193" s="122" t="e">
        <v>#N/A</v>
      </c>
      <c r="AS193" s="122" t="e">
        <v>#N/A</v>
      </c>
      <c r="AT193" s="122" t="e">
        <v>#N/A</v>
      </c>
      <c r="AU193" s="121" t="e">
        <v>#N/A</v>
      </c>
      <c r="AV193" s="122" t="e">
        <v>#N/A</v>
      </c>
      <c r="AW193" s="122">
        <v>45642</v>
      </c>
      <c r="AX193" s="122" t="e">
        <v>#N/A</v>
      </c>
      <c r="AY193" s="122" t="e">
        <v>#N/A</v>
      </c>
      <c r="AZ193" s="122" t="e">
        <v>#N/A</v>
      </c>
      <c r="BA193" s="122" t="e">
        <v>#N/A</v>
      </c>
      <c r="BB193" s="122" t="e">
        <v>#N/A</v>
      </c>
      <c r="BC193" s="122" t="e">
        <v>#N/A</v>
      </c>
      <c r="BD193" s="122" t="e">
        <v>#N/A</v>
      </c>
      <c r="BE193" s="122" t="e">
        <v>#N/A</v>
      </c>
      <c r="BF193" s="122" t="e">
        <v>#N/A</v>
      </c>
      <c r="BG193" s="122">
        <v>45947</v>
      </c>
      <c r="BH193" s="122" t="e">
        <v>#N/A</v>
      </c>
      <c r="BI193" s="122" t="e">
        <v>#N/A</v>
      </c>
      <c r="BJ193" s="122" t="e">
        <v>#N/A</v>
      </c>
      <c r="BK193" s="122">
        <v>45978</v>
      </c>
      <c r="BL193" s="123"/>
      <c r="BM193" s="124" t="e">
        <v>#N/A</v>
      </c>
      <c r="BN193" s="124" t="e">
        <v>#N/A</v>
      </c>
      <c r="BO193" s="124" t="e">
        <v>#N/A</v>
      </c>
      <c r="BP193" s="124" t="e">
        <v>#N/A</v>
      </c>
      <c r="BQ193" s="124" t="e">
        <v>#N/A</v>
      </c>
      <c r="BR193" s="124" t="e">
        <v>#N/A</v>
      </c>
      <c r="BS193" s="124" t="e">
        <v>#N/A</v>
      </c>
      <c r="BT193" s="124" t="e">
        <v>#N/A</v>
      </c>
      <c r="BU193" s="124" t="e">
        <v>#N/A</v>
      </c>
      <c r="BV193" s="124" t="e">
        <v>#N/A</v>
      </c>
      <c r="BW193" s="124" t="e">
        <v>#N/A</v>
      </c>
      <c r="BX193" s="124" t="e">
        <v>#N/A</v>
      </c>
      <c r="BY193" s="124" t="e">
        <v>#N/A</v>
      </c>
      <c r="BZ193" s="124" t="e">
        <v>#N/A</v>
      </c>
      <c r="CA193" s="125"/>
      <c r="CB193" s="124" t="e">
        <v>#N/A</v>
      </c>
      <c r="CC193" s="126">
        <v>1</v>
      </c>
      <c r="CD193" s="127" t="s">
        <v>4151</v>
      </c>
      <c r="CE193" s="128"/>
      <c r="CF193" s="77" t="s">
        <v>4169</v>
      </c>
    </row>
    <row r="194" spans="1:85" ht="14.5" x14ac:dyDescent="0.35">
      <c r="A194" s="77">
        <v>193</v>
      </c>
      <c r="B194" s="106" t="s">
        <v>3626</v>
      </c>
      <c r="C194" s="107" t="s">
        <v>6657</v>
      </c>
      <c r="D194" s="108" t="s">
        <v>3627</v>
      </c>
      <c r="E194" s="109" t="s">
        <v>3628</v>
      </c>
      <c r="F194" s="110">
        <v>617814743</v>
      </c>
      <c r="G194" s="108" t="s">
        <v>1004</v>
      </c>
      <c r="H194" s="111" t="s">
        <v>209</v>
      </c>
      <c r="I194" s="111" t="s">
        <v>180</v>
      </c>
      <c r="J194" s="111" t="s">
        <v>4649</v>
      </c>
      <c r="K194" s="111" t="s">
        <v>199</v>
      </c>
      <c r="L194" s="112">
        <v>45490</v>
      </c>
      <c r="M194" s="111" t="s">
        <v>2792</v>
      </c>
      <c r="N194" s="113"/>
      <c r="O194" s="114" t="s">
        <v>226</v>
      </c>
      <c r="P194" s="114" t="s">
        <v>225</v>
      </c>
      <c r="Q194" s="114" t="s">
        <v>226</v>
      </c>
      <c r="R194" s="114" t="s">
        <v>7331</v>
      </c>
      <c r="S194" s="114" t="s">
        <v>226</v>
      </c>
      <c r="T194" s="114" t="s">
        <v>183</v>
      </c>
      <c r="U194" s="114" t="s">
        <v>183</v>
      </c>
      <c r="V194" s="115"/>
      <c r="W194" s="116" t="s">
        <v>3629</v>
      </c>
      <c r="X194" s="116" t="s">
        <v>3630</v>
      </c>
      <c r="Y194" s="117">
        <v>3485476</v>
      </c>
      <c r="Z194" s="117">
        <v>3486436</v>
      </c>
      <c r="AA194" s="118"/>
      <c r="AB194" s="119" t="s">
        <v>5705</v>
      </c>
      <c r="AC194" s="119" t="s">
        <v>3631</v>
      </c>
      <c r="AD194" s="119">
        <v>5091</v>
      </c>
      <c r="AE194" s="119" t="s">
        <v>3632</v>
      </c>
      <c r="AF194" s="119" t="s">
        <v>7177</v>
      </c>
      <c r="AG194" s="120"/>
      <c r="AH194" s="121">
        <v>45506</v>
      </c>
      <c r="AI194" s="121">
        <v>45506</v>
      </c>
      <c r="AJ194" s="121">
        <v>45506</v>
      </c>
      <c r="AK194" s="122">
        <v>45506</v>
      </c>
      <c r="AL194" s="122" t="e">
        <v>#N/A</v>
      </c>
      <c r="AM194" s="121" t="e">
        <v>#N/A</v>
      </c>
      <c r="AN194" s="121" t="e">
        <v>#N/A</v>
      </c>
      <c r="AO194" s="121" t="e">
        <v>#N/A</v>
      </c>
      <c r="AP194" s="122" t="e">
        <v>#N/A</v>
      </c>
      <c r="AQ194" s="122" t="e">
        <v>#N/A</v>
      </c>
      <c r="AR194" s="122" t="e">
        <v>#N/A</v>
      </c>
      <c r="AS194" s="122" t="e">
        <v>#N/A</v>
      </c>
      <c r="AT194" s="122" t="e">
        <v>#N/A</v>
      </c>
      <c r="AU194" s="121" t="e">
        <v>#N/A</v>
      </c>
      <c r="AV194" s="122" t="e">
        <v>#N/A</v>
      </c>
      <c r="AW194" s="122">
        <v>45883</v>
      </c>
      <c r="AX194" s="122" t="e">
        <v>#N/A</v>
      </c>
      <c r="AY194" s="122" t="e">
        <v>#N/A</v>
      </c>
      <c r="AZ194" s="122" t="e">
        <v>#N/A</v>
      </c>
      <c r="BA194" s="122" t="e">
        <v>#N/A</v>
      </c>
      <c r="BB194" s="122" t="e">
        <v>#N/A</v>
      </c>
      <c r="BC194" s="122" t="e">
        <v>#N/A</v>
      </c>
      <c r="BD194" s="122" t="e">
        <v>#N/A</v>
      </c>
      <c r="BE194" s="122" t="e">
        <v>#N/A</v>
      </c>
      <c r="BF194" s="122" t="e">
        <v>#N/A</v>
      </c>
      <c r="BG194" s="122" t="e">
        <v>#N/A</v>
      </c>
      <c r="BH194" s="122" t="e">
        <v>#N/A</v>
      </c>
      <c r="BI194" s="122" t="e">
        <v>#N/A</v>
      </c>
      <c r="BJ194" s="122" t="e">
        <v>#N/A</v>
      </c>
      <c r="BK194" s="122">
        <v>45964</v>
      </c>
      <c r="BL194" s="123"/>
      <c r="BM194" s="124" t="e">
        <v>#N/A</v>
      </c>
      <c r="BN194" s="124" t="e">
        <v>#N/A</v>
      </c>
      <c r="BO194" s="124" t="e">
        <v>#N/A</v>
      </c>
      <c r="BP194" s="124" t="e">
        <v>#N/A</v>
      </c>
      <c r="BQ194" s="124" t="e">
        <v>#N/A</v>
      </c>
      <c r="BR194" s="124" t="e">
        <v>#N/A</v>
      </c>
      <c r="BS194" s="124" t="e">
        <v>#N/A</v>
      </c>
      <c r="BT194" s="124" t="e">
        <v>#N/A</v>
      </c>
      <c r="BU194" s="124" t="e">
        <v>#N/A</v>
      </c>
      <c r="BV194" s="124" t="e">
        <v>#N/A</v>
      </c>
      <c r="BW194" s="124" t="e">
        <v>#N/A</v>
      </c>
      <c r="BX194" s="124" t="e">
        <v>#N/A</v>
      </c>
      <c r="BY194" s="124" t="e">
        <v>#N/A</v>
      </c>
      <c r="BZ194" s="124" t="e">
        <v>#N/A</v>
      </c>
      <c r="CA194" s="125"/>
      <c r="CB194" s="124" t="e">
        <v>#N/A</v>
      </c>
      <c r="CC194" s="126">
        <v>1</v>
      </c>
      <c r="CD194" s="127" t="s">
        <v>4205</v>
      </c>
      <c r="CE194" s="128"/>
      <c r="CF194" s="77" t="s">
        <v>4189</v>
      </c>
    </row>
    <row r="195" spans="1:85" ht="14.5" x14ac:dyDescent="0.35">
      <c r="A195" s="77">
        <v>194</v>
      </c>
      <c r="B195" s="106" t="s">
        <v>2293</v>
      </c>
      <c r="C195" s="107" t="s">
        <v>6434</v>
      </c>
      <c r="D195" s="108" t="s">
        <v>2294</v>
      </c>
      <c r="E195" s="109" t="s">
        <v>2295</v>
      </c>
      <c r="F195" s="110">
        <v>607978895</v>
      </c>
      <c r="G195" s="108" t="s">
        <v>1004</v>
      </c>
      <c r="H195" s="111" t="s">
        <v>209</v>
      </c>
      <c r="I195" s="111" t="s">
        <v>180</v>
      </c>
      <c r="J195" s="111" t="s">
        <v>4649</v>
      </c>
      <c r="K195" s="111" t="s">
        <v>199</v>
      </c>
      <c r="L195" s="112">
        <v>41344</v>
      </c>
      <c r="M195" s="111" t="s">
        <v>796</v>
      </c>
      <c r="N195" s="113"/>
      <c r="O195" s="114" t="s">
        <v>330</v>
      </c>
      <c r="P195" s="114" t="s">
        <v>330</v>
      </c>
      <c r="Q195" s="114" t="s">
        <v>330</v>
      </c>
      <c r="R195" s="114" t="s">
        <v>7380</v>
      </c>
      <c r="S195" s="114" t="s">
        <v>4469</v>
      </c>
      <c r="T195" s="114" t="s">
        <v>183</v>
      </c>
      <c r="U195" s="114" t="s">
        <v>183</v>
      </c>
      <c r="V195" s="115"/>
      <c r="W195" s="116" t="s">
        <v>2296</v>
      </c>
      <c r="X195" s="116" t="s">
        <v>2297</v>
      </c>
      <c r="Y195" s="117">
        <v>3485077</v>
      </c>
      <c r="Z195" s="117">
        <v>3481370</v>
      </c>
      <c r="AA195" s="118"/>
      <c r="AB195" s="119" t="s">
        <v>5345</v>
      </c>
      <c r="AC195" s="119" t="s">
        <v>2298</v>
      </c>
      <c r="AD195" s="119">
        <v>27831</v>
      </c>
      <c r="AE195" s="119" t="s">
        <v>2299</v>
      </c>
      <c r="AF195" s="119" t="s">
        <v>6093</v>
      </c>
      <c r="AG195" s="120"/>
      <c r="AH195" s="121">
        <v>44817</v>
      </c>
      <c r="AI195" s="121">
        <v>44824</v>
      </c>
      <c r="AJ195" s="121">
        <v>44824</v>
      </c>
      <c r="AK195" s="122">
        <v>44994</v>
      </c>
      <c r="AL195" s="122" t="e">
        <v>#N/A</v>
      </c>
      <c r="AM195" s="121" t="e">
        <v>#N/A</v>
      </c>
      <c r="AN195" s="121" t="e">
        <v>#N/A</v>
      </c>
      <c r="AO195" s="121" t="e">
        <v>#N/A</v>
      </c>
      <c r="AP195" s="122" t="e">
        <v>#N/A</v>
      </c>
      <c r="AQ195" s="122" t="e">
        <v>#N/A</v>
      </c>
      <c r="AR195" s="122" t="e">
        <v>#N/A</v>
      </c>
      <c r="AS195" s="122" t="e">
        <v>#N/A</v>
      </c>
      <c r="AT195" s="122" t="e">
        <v>#N/A</v>
      </c>
      <c r="AU195" s="121" t="e">
        <v>#N/A</v>
      </c>
      <c r="AV195" s="122" t="e">
        <v>#N/A</v>
      </c>
      <c r="AW195" s="122">
        <v>45671</v>
      </c>
      <c r="AX195" s="122" t="e">
        <v>#N/A</v>
      </c>
      <c r="AY195" s="122" t="e">
        <v>#N/A</v>
      </c>
      <c r="AZ195" s="122" t="e">
        <v>#N/A</v>
      </c>
      <c r="BA195" s="122">
        <v>45244</v>
      </c>
      <c r="BB195" s="122" t="e">
        <v>#N/A</v>
      </c>
      <c r="BC195" s="122" t="e">
        <v>#N/A</v>
      </c>
      <c r="BD195" s="122" t="e">
        <v>#N/A</v>
      </c>
      <c r="BE195" s="122" t="e">
        <v>#N/A</v>
      </c>
      <c r="BF195" s="122" t="e">
        <v>#N/A</v>
      </c>
      <c r="BG195" s="122" t="e">
        <v>#N/A</v>
      </c>
      <c r="BH195" s="122" t="e">
        <v>#N/A</v>
      </c>
      <c r="BI195" s="122" t="e">
        <v>#N/A</v>
      </c>
      <c r="BJ195" s="122" t="e">
        <v>#N/A</v>
      </c>
      <c r="BK195" s="122" t="s">
        <v>6040</v>
      </c>
      <c r="BL195" s="123"/>
      <c r="BM195" s="124" t="e">
        <v>#N/A</v>
      </c>
      <c r="BN195" s="124" t="e">
        <v>#N/A</v>
      </c>
      <c r="BO195" s="124" t="e">
        <v>#N/A</v>
      </c>
      <c r="BP195" s="124" t="e">
        <v>#N/A</v>
      </c>
      <c r="BQ195" s="124" t="e">
        <v>#N/A</v>
      </c>
      <c r="BR195" s="124" t="e">
        <v>#N/A</v>
      </c>
      <c r="BS195" s="124" t="e">
        <v>#N/A</v>
      </c>
      <c r="BT195" s="124" t="e">
        <v>#N/A</v>
      </c>
      <c r="BU195" s="124" t="e">
        <v>#N/A</v>
      </c>
      <c r="BV195" s="124" t="e">
        <v>#N/A</v>
      </c>
      <c r="BW195" s="124" t="e">
        <v>#N/A</v>
      </c>
      <c r="BX195" s="124" t="e">
        <v>#N/A</v>
      </c>
      <c r="BY195" s="124" t="e">
        <v>#N/A</v>
      </c>
      <c r="BZ195" s="124" t="e">
        <v>#N/A</v>
      </c>
      <c r="CA195" s="125"/>
      <c r="CB195" s="124" t="e">
        <v>#N/A</v>
      </c>
      <c r="CC195" s="126">
        <v>1</v>
      </c>
      <c r="CD195" s="127" t="s">
        <v>4187</v>
      </c>
      <c r="CE195" s="128"/>
      <c r="CF195" s="77" t="s">
        <v>4169</v>
      </c>
    </row>
    <row r="196" spans="1:85" ht="14.5" x14ac:dyDescent="0.35">
      <c r="A196" s="77">
        <v>195</v>
      </c>
      <c r="B196" s="106" t="s">
        <v>3687</v>
      </c>
      <c r="C196" s="107" t="s">
        <v>6658</v>
      </c>
      <c r="D196" s="108" t="s">
        <v>3688</v>
      </c>
      <c r="E196" s="109" t="s">
        <v>3689</v>
      </c>
      <c r="F196" s="110">
        <v>622894647</v>
      </c>
      <c r="G196" s="108" t="s">
        <v>1004</v>
      </c>
      <c r="H196" s="111" t="s">
        <v>209</v>
      </c>
      <c r="I196" s="111" t="s">
        <v>180</v>
      </c>
      <c r="J196" s="111" t="s">
        <v>4649</v>
      </c>
      <c r="K196" s="111" t="s">
        <v>199</v>
      </c>
      <c r="L196" s="112">
        <v>45490</v>
      </c>
      <c r="M196" s="111" t="s">
        <v>2967</v>
      </c>
      <c r="N196" s="113"/>
      <c r="O196" s="114" t="s">
        <v>4638</v>
      </c>
      <c r="P196" s="114" t="s">
        <v>4356</v>
      </c>
      <c r="Q196" s="114" t="s">
        <v>4638</v>
      </c>
      <c r="R196" s="114" t="s">
        <v>4638</v>
      </c>
      <c r="S196" s="114" t="s">
        <v>4356</v>
      </c>
      <c r="T196" s="114" t="s">
        <v>4638</v>
      </c>
      <c r="U196" s="114" t="s">
        <v>4638</v>
      </c>
      <c r="V196" s="115"/>
      <c r="W196" s="116" t="s">
        <v>3690</v>
      </c>
      <c r="X196" s="116" t="s">
        <v>3691</v>
      </c>
      <c r="Y196" s="117">
        <v>3485836</v>
      </c>
      <c r="Z196" s="117">
        <v>3481460</v>
      </c>
      <c r="AA196" s="118"/>
      <c r="AB196" s="119" t="s">
        <v>5785</v>
      </c>
      <c r="AC196" s="119" t="s">
        <v>3692</v>
      </c>
      <c r="AD196" s="119">
        <v>5517</v>
      </c>
      <c r="AE196" s="119" t="s">
        <v>3693</v>
      </c>
      <c r="AF196" s="119" t="s">
        <v>6659</v>
      </c>
      <c r="AG196" s="120"/>
      <c r="AH196" s="121">
        <v>45506</v>
      </c>
      <c r="AI196" s="121">
        <v>45506</v>
      </c>
      <c r="AJ196" s="121">
        <v>45506</v>
      </c>
      <c r="AK196" s="122">
        <v>45506</v>
      </c>
      <c r="AL196" s="122" t="e">
        <v>#N/A</v>
      </c>
      <c r="AM196" s="121" t="e">
        <v>#N/A</v>
      </c>
      <c r="AN196" s="121" t="e">
        <v>#N/A</v>
      </c>
      <c r="AO196" s="121" t="e">
        <v>#N/A</v>
      </c>
      <c r="AP196" s="122" t="e">
        <v>#N/A</v>
      </c>
      <c r="AQ196" s="122" t="e">
        <v>#N/A</v>
      </c>
      <c r="AR196" s="122" t="e">
        <v>#N/A</v>
      </c>
      <c r="AS196" s="122" t="e">
        <v>#N/A</v>
      </c>
      <c r="AT196" s="122" t="e">
        <v>#N/A</v>
      </c>
      <c r="AU196" s="121" t="e">
        <v>#N/A</v>
      </c>
      <c r="AV196" s="122" t="e">
        <v>#N/A</v>
      </c>
      <c r="AW196" s="122">
        <v>45625</v>
      </c>
      <c r="AX196" s="122" t="e">
        <v>#N/A</v>
      </c>
      <c r="AY196" s="122" t="e">
        <v>#N/A</v>
      </c>
      <c r="AZ196" s="122" t="e">
        <v>#N/A</v>
      </c>
      <c r="BA196" s="122" t="e">
        <v>#N/A</v>
      </c>
      <c r="BB196" s="122" t="e">
        <v>#N/A</v>
      </c>
      <c r="BC196" s="122" t="e">
        <v>#N/A</v>
      </c>
      <c r="BD196" s="122" t="e">
        <v>#N/A</v>
      </c>
      <c r="BE196" s="122" t="e">
        <v>#N/A</v>
      </c>
      <c r="BF196" s="122" t="e">
        <v>#N/A</v>
      </c>
      <c r="BG196" s="122" t="e">
        <v>#N/A</v>
      </c>
      <c r="BH196" s="122" t="e">
        <v>#N/A</v>
      </c>
      <c r="BI196" s="122" t="e">
        <v>#N/A</v>
      </c>
      <c r="BJ196" s="122" t="e">
        <v>#N/A</v>
      </c>
      <c r="BK196" s="122">
        <v>45959</v>
      </c>
      <c r="BL196" s="123"/>
      <c r="BM196" s="124" t="e">
        <v>#N/A</v>
      </c>
      <c r="BN196" s="124" t="e">
        <v>#N/A</v>
      </c>
      <c r="BO196" s="124" t="e">
        <v>#N/A</v>
      </c>
      <c r="BP196" s="124" t="e">
        <v>#N/A</v>
      </c>
      <c r="BQ196" s="124" t="e">
        <v>#N/A</v>
      </c>
      <c r="BR196" s="124" t="e">
        <v>#N/A</v>
      </c>
      <c r="BS196" s="124" t="e">
        <v>#N/A</v>
      </c>
      <c r="BT196" s="124" t="e">
        <v>#N/A</v>
      </c>
      <c r="BU196" s="124" t="e">
        <v>#N/A</v>
      </c>
      <c r="BV196" s="124" t="e">
        <v>#N/A</v>
      </c>
      <c r="BW196" s="124" t="e">
        <v>#N/A</v>
      </c>
      <c r="BX196" s="124" t="e">
        <v>#N/A</v>
      </c>
      <c r="BY196" s="124" t="e">
        <v>#N/A</v>
      </c>
      <c r="BZ196" s="124" t="e">
        <v>#N/A</v>
      </c>
      <c r="CA196" s="125"/>
      <c r="CB196" s="124">
        <v>45729</v>
      </c>
      <c r="CC196" s="126">
        <v>1</v>
      </c>
      <c r="CD196" s="127" t="s">
        <v>4205</v>
      </c>
      <c r="CE196" s="128"/>
      <c r="CF196" s="77" t="s">
        <v>4169</v>
      </c>
    </row>
    <row r="197" spans="1:85" ht="14.5" x14ac:dyDescent="0.35">
      <c r="A197" s="77">
        <v>196</v>
      </c>
      <c r="B197" s="106" t="s">
        <v>38</v>
      </c>
      <c r="C197" s="107" t="s">
        <v>1268</v>
      </c>
      <c r="D197" s="108" t="s">
        <v>467</v>
      </c>
      <c r="E197" s="109" t="s">
        <v>468</v>
      </c>
      <c r="F197" s="110" t="s">
        <v>1236</v>
      </c>
      <c r="G197" s="108" t="s">
        <v>1004</v>
      </c>
      <c r="H197" s="111" t="s">
        <v>209</v>
      </c>
      <c r="I197" s="111" t="s">
        <v>180</v>
      </c>
      <c r="J197" s="111" t="s">
        <v>4649</v>
      </c>
      <c r="K197" s="111" t="s">
        <v>199</v>
      </c>
      <c r="L197" s="112">
        <v>41057</v>
      </c>
      <c r="M197" s="111" t="s">
        <v>1719</v>
      </c>
      <c r="N197" s="113"/>
      <c r="O197" s="114" t="s">
        <v>246</v>
      </c>
      <c r="P197" s="114" t="s">
        <v>257</v>
      </c>
      <c r="Q197" s="114" t="s">
        <v>183</v>
      </c>
      <c r="R197" s="114" t="s">
        <v>7363</v>
      </c>
      <c r="S197" s="114" t="s">
        <v>257</v>
      </c>
      <c r="T197" s="114" t="s">
        <v>246</v>
      </c>
      <c r="U197" s="114" t="s">
        <v>246</v>
      </c>
      <c r="V197" s="115"/>
      <c r="W197" s="116" t="s">
        <v>470</v>
      </c>
      <c r="X197" s="116" t="s">
        <v>471</v>
      </c>
      <c r="Y197" s="117">
        <v>3485062</v>
      </c>
      <c r="Z197" s="117">
        <v>3481176</v>
      </c>
      <c r="AA197" s="118"/>
      <c r="AB197" s="119" t="s">
        <v>5609</v>
      </c>
      <c r="AC197" s="119" t="s">
        <v>1269</v>
      </c>
      <c r="AD197" s="119">
        <v>4220</v>
      </c>
      <c r="AE197" s="119" t="s">
        <v>472</v>
      </c>
      <c r="AF197" s="119" t="s">
        <v>7086</v>
      </c>
      <c r="AG197" s="120"/>
      <c r="AH197" s="121">
        <v>44197</v>
      </c>
      <c r="AI197" s="121">
        <v>44197</v>
      </c>
      <c r="AJ197" s="121">
        <v>44197</v>
      </c>
      <c r="AK197" s="122">
        <v>44197</v>
      </c>
      <c r="AL197" s="122" t="e">
        <v>#N/A</v>
      </c>
      <c r="AM197" s="122" t="e">
        <v>#N/A</v>
      </c>
      <c r="AN197" s="122" t="e">
        <v>#N/A</v>
      </c>
      <c r="AO197" s="121" t="e">
        <v>#N/A</v>
      </c>
      <c r="AP197" s="122" t="e">
        <v>#N/A</v>
      </c>
      <c r="AQ197" s="122" t="e">
        <v>#N/A</v>
      </c>
      <c r="AR197" s="122" t="e">
        <v>#N/A</v>
      </c>
      <c r="AS197" s="122" t="e">
        <v>#N/A</v>
      </c>
      <c r="AT197" s="122" t="e">
        <v>#N/A</v>
      </c>
      <c r="AU197" s="121" t="e">
        <v>#N/A</v>
      </c>
      <c r="AV197" s="122" t="e">
        <v>#N/A</v>
      </c>
      <c r="AW197" s="122">
        <v>45756</v>
      </c>
      <c r="AX197" s="122" t="e">
        <v>#N/A</v>
      </c>
      <c r="AY197" s="122" t="e">
        <v>#N/A</v>
      </c>
      <c r="AZ197" s="122" t="e">
        <v>#N/A</v>
      </c>
      <c r="BA197" s="122" t="e">
        <v>#N/A</v>
      </c>
      <c r="BB197" s="122" t="e">
        <v>#N/A</v>
      </c>
      <c r="BC197" s="122" t="e">
        <v>#N/A</v>
      </c>
      <c r="BD197" s="122" t="e">
        <v>#N/A</v>
      </c>
      <c r="BE197" s="122" t="e">
        <v>#N/A</v>
      </c>
      <c r="BF197" s="122" t="e">
        <v>#N/A</v>
      </c>
      <c r="BG197" s="122" t="e">
        <v>#N/A</v>
      </c>
      <c r="BH197" s="122" t="e">
        <v>#N/A</v>
      </c>
      <c r="BI197" s="122" t="e">
        <v>#N/A</v>
      </c>
      <c r="BJ197" s="122" t="e">
        <v>#N/A</v>
      </c>
      <c r="BK197" s="122">
        <v>45971</v>
      </c>
      <c r="BL197" s="123"/>
      <c r="BM197" s="124" t="e">
        <v>#N/A</v>
      </c>
      <c r="BN197" s="124" t="e">
        <v>#N/A</v>
      </c>
      <c r="BO197" s="124" t="e">
        <v>#N/A</v>
      </c>
      <c r="BP197" s="124" t="e">
        <v>#N/A</v>
      </c>
      <c r="BQ197" s="124" t="e">
        <v>#N/A</v>
      </c>
      <c r="BR197" s="124" t="e">
        <v>#N/A</v>
      </c>
      <c r="BS197" s="124" t="e">
        <v>#N/A</v>
      </c>
      <c r="BT197" s="124" t="e">
        <v>#N/A</v>
      </c>
      <c r="BU197" s="124" t="e">
        <v>#N/A</v>
      </c>
      <c r="BV197" s="124" t="e">
        <v>#N/A</v>
      </c>
      <c r="BW197" s="124" t="e">
        <v>#N/A</v>
      </c>
      <c r="BX197" s="124" t="e">
        <v>#N/A</v>
      </c>
      <c r="BY197" s="124" t="e">
        <v>#N/A</v>
      </c>
      <c r="BZ197" s="124" t="e">
        <v>#N/A</v>
      </c>
      <c r="CA197" s="125"/>
      <c r="CB197" s="124">
        <v>45734</v>
      </c>
      <c r="CC197" s="126">
        <v>1</v>
      </c>
      <c r="CD197" s="127" t="s">
        <v>4169</v>
      </c>
      <c r="CE197" s="128"/>
      <c r="CF197" s="77" t="s">
        <v>4169</v>
      </c>
    </row>
    <row r="198" spans="1:85" ht="14.5" x14ac:dyDescent="0.35">
      <c r="A198" s="77">
        <v>197</v>
      </c>
      <c r="B198" s="106" t="s">
        <v>6364</v>
      </c>
      <c r="C198" s="107" t="s">
        <v>1297</v>
      </c>
      <c r="D198" s="108" t="s">
        <v>390</v>
      </c>
      <c r="E198" s="109" t="s">
        <v>391</v>
      </c>
      <c r="F198" s="110">
        <v>686724170</v>
      </c>
      <c r="G198" s="108" t="s">
        <v>1004</v>
      </c>
      <c r="H198" s="111" t="s">
        <v>209</v>
      </c>
      <c r="I198" s="111" t="s">
        <v>180</v>
      </c>
      <c r="J198" s="111" t="s">
        <v>4649</v>
      </c>
      <c r="K198" s="111" t="s">
        <v>199</v>
      </c>
      <c r="L198" s="112">
        <v>43107</v>
      </c>
      <c r="M198" s="111" t="s">
        <v>1719</v>
      </c>
      <c r="N198" s="113"/>
      <c r="O198" s="114" t="s">
        <v>7427</v>
      </c>
      <c r="P198" s="114" t="s">
        <v>183</v>
      </c>
      <c r="Q198" s="114" t="s">
        <v>7427</v>
      </c>
      <c r="R198" s="114" t="s">
        <v>7428</v>
      </c>
      <c r="S198" s="114" t="s">
        <v>183</v>
      </c>
      <c r="T198" s="114" t="s">
        <v>7427</v>
      </c>
      <c r="U198" s="114" t="s">
        <v>7427</v>
      </c>
      <c r="V198" s="115"/>
      <c r="W198" s="116" t="s">
        <v>392</v>
      </c>
      <c r="X198" s="116" t="s">
        <v>393</v>
      </c>
      <c r="Y198" s="117">
        <v>3485691</v>
      </c>
      <c r="Z198" s="117">
        <v>3481127</v>
      </c>
      <c r="AA198" s="118"/>
      <c r="AB198" s="119" t="s">
        <v>5246</v>
      </c>
      <c r="AC198" s="119" t="s">
        <v>1298</v>
      </c>
      <c r="AD198" s="119">
        <v>4361</v>
      </c>
      <c r="AE198" s="119" t="s">
        <v>394</v>
      </c>
      <c r="AF198" s="119">
        <v>0</v>
      </c>
      <c r="AG198" s="120"/>
      <c r="AH198" s="121">
        <v>44197</v>
      </c>
      <c r="AI198" s="121">
        <v>44197</v>
      </c>
      <c r="AJ198" s="121">
        <v>44197</v>
      </c>
      <c r="AK198" s="122">
        <v>44197</v>
      </c>
      <c r="AL198" s="122" t="e">
        <v>#N/A</v>
      </c>
      <c r="AM198" s="121" t="e">
        <v>#N/A</v>
      </c>
      <c r="AN198" s="121" t="e">
        <v>#N/A</v>
      </c>
      <c r="AO198" s="121" t="e">
        <v>#N/A</v>
      </c>
      <c r="AP198" s="122" t="e">
        <v>#N/A</v>
      </c>
      <c r="AQ198" s="122" t="e">
        <v>#N/A</v>
      </c>
      <c r="AR198" s="122" t="e">
        <v>#N/A</v>
      </c>
      <c r="AS198" s="122" t="e">
        <v>#N/A</v>
      </c>
      <c r="AT198" s="122" t="e">
        <v>#N/A</v>
      </c>
      <c r="AU198" s="121" t="e">
        <v>#N/A</v>
      </c>
      <c r="AV198" s="122" t="e">
        <v>#N/A</v>
      </c>
      <c r="AW198" s="122">
        <v>45754</v>
      </c>
      <c r="AX198" s="122" t="e">
        <v>#N/A</v>
      </c>
      <c r="AY198" s="122" t="e">
        <v>#N/A</v>
      </c>
      <c r="AZ198" s="122" t="e">
        <v>#N/A</v>
      </c>
      <c r="BA198" s="122" t="e">
        <v>#N/A</v>
      </c>
      <c r="BB198" s="122" t="e">
        <v>#N/A</v>
      </c>
      <c r="BC198" s="122" t="e">
        <v>#N/A</v>
      </c>
      <c r="BD198" s="122" t="e">
        <v>#N/A</v>
      </c>
      <c r="BE198" s="122" t="e">
        <v>#N/A</v>
      </c>
      <c r="BF198" s="122" t="e">
        <v>#N/A</v>
      </c>
      <c r="BG198" s="122" t="e">
        <v>#N/A</v>
      </c>
      <c r="BH198" s="122" t="e">
        <v>#N/A</v>
      </c>
      <c r="BI198" s="122" t="e">
        <v>#N/A</v>
      </c>
      <c r="BJ198" s="122" t="e">
        <v>#N/A</v>
      </c>
      <c r="BK198" s="122" t="e">
        <v>#N/A</v>
      </c>
      <c r="BL198" s="123"/>
      <c r="BM198" s="124" t="e">
        <v>#N/A</v>
      </c>
      <c r="BN198" s="124" t="e">
        <v>#N/A</v>
      </c>
      <c r="BO198" s="124" t="e">
        <v>#N/A</v>
      </c>
      <c r="BP198" s="124" t="e">
        <v>#N/A</v>
      </c>
      <c r="BQ198" s="124" t="e">
        <v>#N/A</v>
      </c>
      <c r="BR198" s="124" t="e">
        <v>#N/A</v>
      </c>
      <c r="BS198" s="124" t="e">
        <v>#N/A</v>
      </c>
      <c r="BT198" s="124" t="e">
        <v>#N/A</v>
      </c>
      <c r="BU198" s="124" t="e">
        <v>#N/A</v>
      </c>
      <c r="BV198" s="124" t="e">
        <v>#N/A</v>
      </c>
      <c r="BW198" s="124" t="e">
        <v>#N/A</v>
      </c>
      <c r="BX198" s="124" t="e">
        <v>#N/A</v>
      </c>
      <c r="BY198" s="124" t="e">
        <v>#N/A</v>
      </c>
      <c r="BZ198" s="124" t="e">
        <v>#N/A</v>
      </c>
      <c r="CA198" s="125"/>
      <c r="CB198" s="124" t="e">
        <v>#N/A</v>
      </c>
      <c r="CC198" s="126">
        <v>1</v>
      </c>
      <c r="CD198" s="127" t="e">
        <v>#N/A</v>
      </c>
      <c r="CE198" s="128" t="e">
        <v>#REF!</v>
      </c>
      <c r="CF198" s="77" t="s">
        <v>4169</v>
      </c>
      <c r="CG198" s="77" t="e">
        <v>#REF!</v>
      </c>
    </row>
    <row r="199" spans="1:85" ht="14.5" x14ac:dyDescent="0.35">
      <c r="A199" s="77">
        <v>198</v>
      </c>
      <c r="B199" s="106" t="s">
        <v>2147</v>
      </c>
      <c r="C199" s="107" t="s">
        <v>6478</v>
      </c>
      <c r="D199" s="108" t="s">
        <v>2148</v>
      </c>
      <c r="E199" s="109" t="s">
        <v>2149</v>
      </c>
      <c r="F199" s="110" t="s">
        <v>1236</v>
      </c>
      <c r="G199" s="108" t="s">
        <v>1004</v>
      </c>
      <c r="H199" s="111" t="s">
        <v>209</v>
      </c>
      <c r="I199" s="111" t="s">
        <v>180</v>
      </c>
      <c r="J199" s="111" t="s">
        <v>4649</v>
      </c>
      <c r="K199" s="111" t="s">
        <v>199</v>
      </c>
      <c r="L199" s="112">
        <v>44197</v>
      </c>
      <c r="M199" s="111" t="s">
        <v>1477</v>
      </c>
      <c r="N199" s="113"/>
      <c r="O199" s="114" t="s">
        <v>225</v>
      </c>
      <c r="P199" s="114" t="s">
        <v>225</v>
      </c>
      <c r="Q199" s="114" t="s">
        <v>183</v>
      </c>
      <c r="R199" s="114" t="s">
        <v>7398</v>
      </c>
      <c r="S199" s="114" t="s">
        <v>225</v>
      </c>
      <c r="T199" s="114" t="s">
        <v>225</v>
      </c>
      <c r="U199" s="114" t="s">
        <v>225</v>
      </c>
      <c r="V199" s="115"/>
      <c r="W199" s="116" t="s">
        <v>2150</v>
      </c>
      <c r="X199" s="116" t="s">
        <v>2151</v>
      </c>
      <c r="Y199" s="117">
        <v>3485595</v>
      </c>
      <c r="Z199" s="117">
        <v>3481422</v>
      </c>
      <c r="AA199" s="118"/>
      <c r="AB199" s="119" t="s">
        <v>5608</v>
      </c>
      <c r="AC199" s="119" t="s">
        <v>2152</v>
      </c>
      <c r="AD199" s="119">
        <v>27618</v>
      </c>
      <c r="AE199" s="119" t="s">
        <v>2153</v>
      </c>
      <c r="AF199" s="119">
        <v>0</v>
      </c>
      <c r="AG199" s="120"/>
      <c r="AH199" s="121">
        <v>44782</v>
      </c>
      <c r="AI199" s="121">
        <v>44811</v>
      </c>
      <c r="AJ199" s="121">
        <v>44811</v>
      </c>
      <c r="AK199" s="122">
        <v>44984</v>
      </c>
      <c r="AL199" s="122" t="e">
        <v>#N/A</v>
      </c>
      <c r="AM199" s="121" t="e">
        <v>#N/A</v>
      </c>
      <c r="AN199" s="121" t="e">
        <v>#N/A</v>
      </c>
      <c r="AO199" s="121" t="e">
        <v>#N/A</v>
      </c>
      <c r="AP199" s="122" t="e">
        <v>#N/A</v>
      </c>
      <c r="AQ199" s="122" t="e">
        <v>#N/A</v>
      </c>
      <c r="AR199" s="122" t="e">
        <v>#N/A</v>
      </c>
      <c r="AS199" s="122" t="e">
        <v>#N/A</v>
      </c>
      <c r="AT199" s="122" t="e">
        <v>#N/A</v>
      </c>
      <c r="AU199" s="121" t="e">
        <v>#N/A</v>
      </c>
      <c r="AV199" s="122" t="e">
        <v>#N/A</v>
      </c>
      <c r="AW199" s="122">
        <v>45741</v>
      </c>
      <c r="AX199" s="122" t="e">
        <v>#N/A</v>
      </c>
      <c r="AY199" s="122" t="e">
        <v>#N/A</v>
      </c>
      <c r="AZ199" s="122" t="e">
        <v>#N/A</v>
      </c>
      <c r="BA199" s="122" t="e">
        <v>#N/A</v>
      </c>
      <c r="BB199" s="122" t="e">
        <v>#N/A</v>
      </c>
      <c r="BC199" s="122" t="e">
        <v>#N/A</v>
      </c>
      <c r="BD199" s="122" t="e">
        <v>#N/A</v>
      </c>
      <c r="BE199" s="122" t="e">
        <v>#N/A</v>
      </c>
      <c r="BF199" s="122" t="e">
        <v>#N/A</v>
      </c>
      <c r="BG199" s="122" t="e">
        <v>#N/A</v>
      </c>
      <c r="BH199" s="122" t="e">
        <v>#N/A</v>
      </c>
      <c r="BI199" s="122" t="e">
        <v>#N/A</v>
      </c>
      <c r="BJ199" s="122" t="e">
        <v>#N/A</v>
      </c>
      <c r="BK199" s="122" t="e">
        <v>#N/A</v>
      </c>
      <c r="BL199" s="123"/>
      <c r="BM199" s="124" t="e">
        <v>#N/A</v>
      </c>
      <c r="BN199" s="124" t="e">
        <v>#N/A</v>
      </c>
      <c r="BO199" s="124" t="e">
        <v>#N/A</v>
      </c>
      <c r="BP199" s="124" t="e">
        <v>#N/A</v>
      </c>
      <c r="BQ199" s="124" t="e">
        <v>#N/A</v>
      </c>
      <c r="BR199" s="124" t="e">
        <v>#N/A</v>
      </c>
      <c r="BS199" s="124" t="e">
        <v>#N/A</v>
      </c>
      <c r="BT199" s="124" t="e">
        <v>#N/A</v>
      </c>
      <c r="BU199" s="124" t="e">
        <v>#N/A</v>
      </c>
      <c r="BV199" s="124" t="e">
        <v>#N/A</v>
      </c>
      <c r="BW199" s="124" t="e">
        <v>#N/A</v>
      </c>
      <c r="BX199" s="124" t="e">
        <v>#N/A</v>
      </c>
      <c r="BY199" s="124" t="e">
        <v>#N/A</v>
      </c>
      <c r="BZ199" s="124" t="e">
        <v>#N/A</v>
      </c>
      <c r="CA199" s="125"/>
      <c r="CB199" s="124">
        <v>45726</v>
      </c>
      <c r="CC199" s="126">
        <v>1</v>
      </c>
      <c r="CD199" s="127" t="s">
        <v>4180</v>
      </c>
      <c r="CE199" s="128"/>
      <c r="CF199" s="77" t="s">
        <v>4169</v>
      </c>
    </row>
    <row r="200" spans="1:85" ht="14.5" x14ac:dyDescent="0.35">
      <c r="A200" s="77">
        <v>199</v>
      </c>
      <c r="B200" s="106" t="s">
        <v>6363</v>
      </c>
      <c r="C200" s="107" t="s">
        <v>1295</v>
      </c>
      <c r="D200" s="108" t="s">
        <v>386</v>
      </c>
      <c r="E200" s="109" t="s">
        <v>387</v>
      </c>
      <c r="F200" s="110">
        <v>645766090</v>
      </c>
      <c r="G200" s="108" t="s">
        <v>1004</v>
      </c>
      <c r="H200" s="111" t="s">
        <v>209</v>
      </c>
      <c r="I200" s="111" t="s">
        <v>180</v>
      </c>
      <c r="J200" s="111" t="s">
        <v>4649</v>
      </c>
      <c r="K200" s="111" t="s">
        <v>199</v>
      </c>
      <c r="L200" s="112">
        <v>39204</v>
      </c>
      <c r="M200" s="111" t="s">
        <v>1477</v>
      </c>
      <c r="N200" s="113"/>
      <c r="O200" s="114" t="s">
        <v>226</v>
      </c>
      <c r="P200" s="114" t="s">
        <v>226</v>
      </c>
      <c r="Q200" s="114" t="s">
        <v>226</v>
      </c>
      <c r="R200" s="114" t="s">
        <v>7331</v>
      </c>
      <c r="S200" s="114" t="s">
        <v>225</v>
      </c>
      <c r="T200" s="114" t="s">
        <v>183</v>
      </c>
      <c r="U200" s="114" t="s">
        <v>183</v>
      </c>
      <c r="V200" s="115"/>
      <c r="W200" s="116" t="s">
        <v>388</v>
      </c>
      <c r="X200" s="116" t="s">
        <v>389</v>
      </c>
      <c r="Y200" s="117">
        <v>3486038</v>
      </c>
      <c r="Z200" s="117">
        <v>3481178</v>
      </c>
      <c r="AA200" s="118"/>
      <c r="AB200" s="119" t="s">
        <v>5546</v>
      </c>
      <c r="AC200" s="119" t="s">
        <v>1296</v>
      </c>
      <c r="AD200" s="119">
        <v>4004</v>
      </c>
      <c r="AE200" s="119" t="s">
        <v>3062</v>
      </c>
      <c r="AF200" s="119" t="s">
        <v>7068</v>
      </c>
      <c r="AG200" s="120"/>
      <c r="AH200" s="121">
        <v>44197</v>
      </c>
      <c r="AI200" s="121">
        <v>44197</v>
      </c>
      <c r="AJ200" s="121">
        <v>44197</v>
      </c>
      <c r="AK200" s="122">
        <v>44197</v>
      </c>
      <c r="AL200" s="122" t="e">
        <v>#N/A</v>
      </c>
      <c r="AM200" s="122" t="e">
        <v>#N/A</v>
      </c>
      <c r="AN200" s="122" t="e">
        <v>#N/A</v>
      </c>
      <c r="AO200" s="121" t="e">
        <v>#N/A</v>
      </c>
      <c r="AP200" s="122" t="e">
        <v>#N/A</v>
      </c>
      <c r="AQ200" s="122" t="e">
        <v>#N/A</v>
      </c>
      <c r="AR200" s="122" t="e">
        <v>#N/A</v>
      </c>
      <c r="AS200" s="122" t="e">
        <v>#N/A</v>
      </c>
      <c r="AT200" s="122" t="e">
        <v>#N/A</v>
      </c>
      <c r="AU200" s="121" t="e">
        <v>#N/A</v>
      </c>
      <c r="AV200" s="122" t="e">
        <v>#N/A</v>
      </c>
      <c r="AW200" s="122" t="e">
        <v>#N/A</v>
      </c>
      <c r="AX200" s="122" t="e">
        <v>#N/A</v>
      </c>
      <c r="AY200" s="122" t="e">
        <v>#N/A</v>
      </c>
      <c r="AZ200" s="122" t="e">
        <v>#N/A</v>
      </c>
      <c r="BA200" s="122" t="e">
        <v>#N/A</v>
      </c>
      <c r="BB200" s="122" t="e">
        <v>#N/A</v>
      </c>
      <c r="BC200" s="122" t="e">
        <v>#N/A</v>
      </c>
      <c r="BD200" s="122" t="e">
        <v>#N/A</v>
      </c>
      <c r="BE200" s="122" t="e">
        <v>#N/A</v>
      </c>
      <c r="BF200" s="122" t="e">
        <v>#N/A</v>
      </c>
      <c r="BG200" s="122" t="e">
        <v>#N/A</v>
      </c>
      <c r="BH200" s="122" t="e">
        <v>#N/A</v>
      </c>
      <c r="BI200" s="122" t="e">
        <v>#N/A</v>
      </c>
      <c r="BJ200" s="122" t="e">
        <v>#N/A</v>
      </c>
      <c r="BK200" s="122">
        <v>45972</v>
      </c>
      <c r="BL200" s="123"/>
      <c r="BM200" s="124" t="e">
        <v>#N/A</v>
      </c>
      <c r="BN200" s="124" t="e">
        <v>#N/A</v>
      </c>
      <c r="BO200" s="124" t="e">
        <v>#N/A</v>
      </c>
      <c r="BP200" s="124" t="e">
        <v>#N/A</v>
      </c>
      <c r="BQ200" s="124" t="e">
        <v>#N/A</v>
      </c>
      <c r="BR200" s="124" t="e">
        <v>#N/A</v>
      </c>
      <c r="BS200" s="124" t="e">
        <v>#N/A</v>
      </c>
      <c r="BT200" s="124" t="e">
        <v>#N/A</v>
      </c>
      <c r="BU200" s="124" t="e">
        <v>#N/A</v>
      </c>
      <c r="BV200" s="124" t="e">
        <v>#N/A</v>
      </c>
      <c r="BW200" s="124" t="e">
        <v>#N/A</v>
      </c>
      <c r="BX200" s="124" t="e">
        <v>#N/A</v>
      </c>
      <c r="BY200" s="124" t="e">
        <v>#N/A</v>
      </c>
      <c r="BZ200" s="124" t="e">
        <v>#N/A</v>
      </c>
      <c r="CA200" s="125"/>
      <c r="CB200" s="124" t="e">
        <v>#N/A</v>
      </c>
      <c r="CC200" s="126">
        <v>1</v>
      </c>
      <c r="CD200" s="127" t="e">
        <v>#N/A</v>
      </c>
      <c r="CE200" s="128"/>
      <c r="CF200" s="77" t="s">
        <v>4169</v>
      </c>
    </row>
    <row r="201" spans="1:85" ht="14.5" x14ac:dyDescent="0.35">
      <c r="A201" s="77">
        <v>200</v>
      </c>
      <c r="B201" s="106" t="s">
        <v>2129</v>
      </c>
      <c r="C201" s="107" t="s">
        <v>6421</v>
      </c>
      <c r="D201" s="108" t="s">
        <v>2130</v>
      </c>
      <c r="E201" s="109" t="s">
        <v>2131</v>
      </c>
      <c r="F201" s="110">
        <v>651807530</v>
      </c>
      <c r="G201" s="108" t="s">
        <v>1004</v>
      </c>
      <c r="H201" s="111" t="s">
        <v>209</v>
      </c>
      <c r="I201" s="111" t="s">
        <v>180</v>
      </c>
      <c r="J201" s="111" t="s">
        <v>4649</v>
      </c>
      <c r="K201" s="111" t="s">
        <v>199</v>
      </c>
      <c r="L201" s="112">
        <v>40880</v>
      </c>
      <c r="M201" s="111" t="s">
        <v>2352</v>
      </c>
      <c r="N201" s="113"/>
      <c r="O201" s="114" t="s">
        <v>330</v>
      </c>
      <c r="P201" s="114" t="s">
        <v>330</v>
      </c>
      <c r="Q201" s="114" t="s">
        <v>183</v>
      </c>
      <c r="R201" s="114" t="s">
        <v>7406</v>
      </c>
      <c r="S201" s="114" t="s">
        <v>330</v>
      </c>
      <c r="T201" s="114" t="s">
        <v>330</v>
      </c>
      <c r="U201" s="114" t="s">
        <v>330</v>
      </c>
      <c r="V201" s="115"/>
      <c r="W201" s="116" t="s">
        <v>2132</v>
      </c>
      <c r="X201" s="116" t="s">
        <v>2133</v>
      </c>
      <c r="Y201" s="117">
        <v>3485186</v>
      </c>
      <c r="Z201" s="117">
        <v>3481177</v>
      </c>
      <c r="AA201" s="118"/>
      <c r="AB201" s="119" t="s">
        <v>5787</v>
      </c>
      <c r="AC201" s="119" t="s">
        <v>2134</v>
      </c>
      <c r="AD201" s="119">
        <v>27284</v>
      </c>
      <c r="AE201" s="119" t="s">
        <v>2135</v>
      </c>
      <c r="AF201" s="119" t="s">
        <v>7429</v>
      </c>
      <c r="AG201" s="120"/>
      <c r="AH201" s="121">
        <v>44782</v>
      </c>
      <c r="AI201" s="121">
        <v>44834</v>
      </c>
      <c r="AJ201" s="121">
        <v>44834</v>
      </c>
      <c r="AK201" s="122">
        <v>45057</v>
      </c>
      <c r="AL201" s="122" t="e">
        <v>#N/A</v>
      </c>
      <c r="AM201" s="121" t="e">
        <v>#N/A</v>
      </c>
      <c r="AN201" s="121" t="e">
        <v>#N/A</v>
      </c>
      <c r="AO201" s="121" t="e">
        <v>#N/A</v>
      </c>
      <c r="AP201" s="122" t="e">
        <v>#N/A</v>
      </c>
      <c r="AQ201" s="122" t="e">
        <v>#N/A</v>
      </c>
      <c r="AR201" s="122" t="e">
        <v>#N/A</v>
      </c>
      <c r="AS201" s="122" t="e">
        <v>#N/A</v>
      </c>
      <c r="AT201" s="122" t="e">
        <v>#N/A</v>
      </c>
      <c r="AU201" s="121" t="e">
        <v>#N/A</v>
      </c>
      <c r="AV201" s="122" t="e">
        <v>#N/A</v>
      </c>
      <c r="AW201" s="122">
        <v>45671</v>
      </c>
      <c r="AX201" s="122" t="e">
        <v>#N/A</v>
      </c>
      <c r="AY201" s="122" t="e">
        <v>#N/A</v>
      </c>
      <c r="AZ201" s="122" t="e">
        <v>#N/A</v>
      </c>
      <c r="BA201" s="122" t="e">
        <v>#N/A</v>
      </c>
      <c r="BB201" s="122" t="e">
        <v>#N/A</v>
      </c>
      <c r="BC201" s="122" t="e">
        <v>#N/A</v>
      </c>
      <c r="BD201" s="122" t="e">
        <v>#N/A</v>
      </c>
      <c r="BE201" s="122" t="e">
        <v>#N/A</v>
      </c>
      <c r="BF201" s="122" t="e">
        <v>#N/A</v>
      </c>
      <c r="BG201" s="122" t="e">
        <v>#N/A</v>
      </c>
      <c r="BH201" s="122" t="e">
        <v>#N/A</v>
      </c>
      <c r="BI201" s="122" t="e">
        <v>#N/A</v>
      </c>
      <c r="BJ201" s="122" t="e">
        <v>#N/A</v>
      </c>
      <c r="BK201" s="122">
        <v>46009</v>
      </c>
      <c r="BL201" s="123"/>
      <c r="BM201" s="124" t="e">
        <v>#N/A</v>
      </c>
      <c r="BN201" s="124" t="e">
        <v>#N/A</v>
      </c>
      <c r="BO201" s="124" t="e">
        <v>#N/A</v>
      </c>
      <c r="BP201" s="124" t="e">
        <v>#N/A</v>
      </c>
      <c r="BQ201" s="124" t="e">
        <v>#N/A</v>
      </c>
      <c r="BR201" s="124" t="e">
        <v>#N/A</v>
      </c>
      <c r="BS201" s="124" t="e">
        <v>#N/A</v>
      </c>
      <c r="BT201" s="124" t="e">
        <v>#N/A</v>
      </c>
      <c r="BU201" s="124" t="e">
        <v>#N/A</v>
      </c>
      <c r="BV201" s="124" t="e">
        <v>#N/A</v>
      </c>
      <c r="BW201" s="124" t="e">
        <v>#N/A</v>
      </c>
      <c r="BX201" s="124" t="e">
        <v>#N/A</v>
      </c>
      <c r="BY201" s="124" t="e">
        <v>#N/A</v>
      </c>
      <c r="BZ201" s="124" t="e">
        <v>#N/A</v>
      </c>
      <c r="CA201" s="125"/>
      <c r="CB201" s="124">
        <v>45841</v>
      </c>
      <c r="CC201" s="126">
        <v>1</v>
      </c>
      <c r="CD201" s="127" t="s">
        <v>4180</v>
      </c>
      <c r="CE201" s="128"/>
      <c r="CF201" s="77" t="s">
        <v>4169</v>
      </c>
    </row>
    <row r="202" spans="1:85" ht="14.5" x14ac:dyDescent="0.35">
      <c r="A202" s="77">
        <v>201</v>
      </c>
      <c r="B202" s="106" t="s">
        <v>6299</v>
      </c>
      <c r="C202" s="107" t="s">
        <v>1309</v>
      </c>
      <c r="D202" s="108" t="s">
        <v>262</v>
      </c>
      <c r="E202" s="109" t="s">
        <v>263</v>
      </c>
      <c r="F202" s="110" t="s">
        <v>264</v>
      </c>
      <c r="G202" s="108" t="s">
        <v>1004</v>
      </c>
      <c r="H202" s="111" t="s">
        <v>209</v>
      </c>
      <c r="I202" s="111" t="s">
        <v>180</v>
      </c>
      <c r="J202" s="111" t="s">
        <v>4649</v>
      </c>
      <c r="K202" s="111" t="s">
        <v>199</v>
      </c>
      <c r="L202" s="112">
        <v>38618</v>
      </c>
      <c r="M202" s="111" t="s">
        <v>253</v>
      </c>
      <c r="N202" s="113"/>
      <c r="O202" s="114" t="s">
        <v>225</v>
      </c>
      <c r="P202" s="114" t="s">
        <v>225</v>
      </c>
      <c r="Q202" s="114" t="s">
        <v>183</v>
      </c>
      <c r="R202" s="114" t="s">
        <v>7398</v>
      </c>
      <c r="S202" s="114" t="s">
        <v>225</v>
      </c>
      <c r="T202" s="114" t="s">
        <v>225</v>
      </c>
      <c r="U202" s="114" t="s">
        <v>225</v>
      </c>
      <c r="V202" s="115"/>
      <c r="W202" s="116" t="s">
        <v>265</v>
      </c>
      <c r="X202" s="116" t="s">
        <v>266</v>
      </c>
      <c r="Y202" s="117">
        <v>3485232</v>
      </c>
      <c r="Z202" s="117">
        <v>3481091</v>
      </c>
      <c r="AA202" s="118"/>
      <c r="AB202" s="119" t="s">
        <v>5707</v>
      </c>
      <c r="AC202" s="119" t="s">
        <v>1310</v>
      </c>
      <c r="AD202" s="119">
        <v>4229</v>
      </c>
      <c r="AE202" s="119" t="s">
        <v>267</v>
      </c>
      <c r="AF202" s="119">
        <v>0</v>
      </c>
      <c r="AG202" s="120"/>
      <c r="AH202" s="121">
        <v>44197</v>
      </c>
      <c r="AI202" s="121">
        <v>44197</v>
      </c>
      <c r="AJ202" s="121">
        <v>44197</v>
      </c>
      <c r="AK202" s="122">
        <v>44197</v>
      </c>
      <c r="AL202" s="122">
        <v>44197</v>
      </c>
      <c r="AM202" s="121">
        <v>44197</v>
      </c>
      <c r="AN202" s="121" t="s">
        <v>7054</v>
      </c>
      <c r="AO202" s="121" t="e">
        <v>#N/A</v>
      </c>
      <c r="AP202" s="122" t="e">
        <v>#N/A</v>
      </c>
      <c r="AQ202" s="122" t="e">
        <v>#N/A</v>
      </c>
      <c r="AR202" s="122" t="e">
        <v>#N/A</v>
      </c>
      <c r="AS202" s="122">
        <v>44652</v>
      </c>
      <c r="AT202" s="122" t="e">
        <v>#N/A</v>
      </c>
      <c r="AU202" s="121" t="e">
        <v>#N/A</v>
      </c>
      <c r="AV202" s="122" t="e">
        <v>#N/A</v>
      </c>
      <c r="AW202" s="122">
        <v>45643</v>
      </c>
      <c r="AX202" s="122" t="e">
        <v>#N/A</v>
      </c>
      <c r="AY202" s="122" t="e">
        <v>#N/A</v>
      </c>
      <c r="AZ202" s="122" t="e">
        <v>#N/A</v>
      </c>
      <c r="BA202" s="122">
        <v>44197</v>
      </c>
      <c r="BB202" s="122" t="e">
        <v>#N/A</v>
      </c>
      <c r="BC202" s="122" t="e">
        <v>#N/A</v>
      </c>
      <c r="BD202" s="122" t="e">
        <v>#N/A</v>
      </c>
      <c r="BE202" s="122" t="e">
        <v>#N/A</v>
      </c>
      <c r="BF202" s="122" t="e">
        <v>#N/A</v>
      </c>
      <c r="BG202" s="122" t="e">
        <v>#N/A</v>
      </c>
      <c r="BH202" s="122" t="e">
        <v>#N/A</v>
      </c>
      <c r="BI202" s="122" t="e">
        <v>#N/A</v>
      </c>
      <c r="BJ202" s="122" t="e">
        <v>#N/A</v>
      </c>
      <c r="BK202" s="122" t="e">
        <v>#N/A</v>
      </c>
      <c r="BL202" s="123"/>
      <c r="BM202" s="124" t="e">
        <v>#N/A</v>
      </c>
      <c r="BN202" s="124" t="e">
        <v>#N/A</v>
      </c>
      <c r="BO202" s="124" t="e">
        <v>#N/A</v>
      </c>
      <c r="BP202" s="124" t="e">
        <v>#N/A</v>
      </c>
      <c r="BQ202" s="124" t="e">
        <v>#N/A</v>
      </c>
      <c r="BR202" s="124" t="e">
        <v>#N/A</v>
      </c>
      <c r="BS202" s="124" t="e">
        <v>#N/A</v>
      </c>
      <c r="BT202" s="124" t="e">
        <v>#N/A</v>
      </c>
      <c r="BU202" s="124" t="e">
        <v>#N/A</v>
      </c>
      <c r="BV202" s="124" t="e">
        <v>#N/A</v>
      </c>
      <c r="BW202" s="124" t="e">
        <v>#N/A</v>
      </c>
      <c r="BX202" s="124" t="e">
        <v>#N/A</v>
      </c>
      <c r="BY202" s="124" t="e">
        <v>#N/A</v>
      </c>
      <c r="BZ202" s="124" t="e">
        <v>#N/A</v>
      </c>
      <c r="CA202" s="125"/>
      <c r="CB202" s="124">
        <v>45841</v>
      </c>
      <c r="CC202" s="126">
        <v>1</v>
      </c>
      <c r="CD202" s="127" t="e">
        <v>#N/A</v>
      </c>
      <c r="CE202" s="128"/>
      <c r="CF202" s="77" t="s">
        <v>4169</v>
      </c>
    </row>
    <row r="203" spans="1:85" ht="14.5" x14ac:dyDescent="0.35">
      <c r="A203" s="77">
        <v>202</v>
      </c>
      <c r="B203" s="106" t="s">
        <v>3638</v>
      </c>
      <c r="C203" s="107" t="s">
        <v>6654</v>
      </c>
      <c r="D203" s="108" t="s">
        <v>3639</v>
      </c>
      <c r="E203" s="109" t="s">
        <v>3640</v>
      </c>
      <c r="F203" s="110">
        <v>633776516</v>
      </c>
      <c r="G203" s="108" t="s">
        <v>1004</v>
      </c>
      <c r="H203" s="111" t="s">
        <v>209</v>
      </c>
      <c r="I203" s="111" t="s">
        <v>180</v>
      </c>
      <c r="J203" s="111" t="s">
        <v>4649</v>
      </c>
      <c r="K203" s="111" t="s">
        <v>199</v>
      </c>
      <c r="L203" s="112">
        <v>45490</v>
      </c>
      <c r="M203" s="111" t="s">
        <v>2651</v>
      </c>
      <c r="N203" s="113"/>
      <c r="O203" s="114" t="s">
        <v>557</v>
      </c>
      <c r="P203" s="114" t="s">
        <v>183</v>
      </c>
      <c r="Q203" s="114" t="s">
        <v>184</v>
      </c>
      <c r="R203" s="114" t="s">
        <v>607</v>
      </c>
      <c r="S203" s="114" t="s">
        <v>183</v>
      </c>
      <c r="T203" s="114" t="s">
        <v>607</v>
      </c>
      <c r="U203" s="114" t="s">
        <v>607</v>
      </c>
      <c r="V203" s="115"/>
      <c r="W203" s="116" t="s">
        <v>3641</v>
      </c>
      <c r="X203" s="116" t="s">
        <v>3642</v>
      </c>
      <c r="Y203" s="117">
        <v>3485057</v>
      </c>
      <c r="Z203" s="117">
        <v>3486973</v>
      </c>
      <c r="AA203" s="118"/>
      <c r="AB203" s="119" t="s">
        <v>5791</v>
      </c>
      <c r="AC203" s="119" t="s">
        <v>3643</v>
      </c>
      <c r="AD203" s="119">
        <v>5291</v>
      </c>
      <c r="AE203" s="119" t="s">
        <v>3644</v>
      </c>
      <c r="AF203" s="119" t="s">
        <v>6655</v>
      </c>
      <c r="AG203" s="120"/>
      <c r="AH203" s="121">
        <v>45506</v>
      </c>
      <c r="AI203" s="121">
        <v>45506</v>
      </c>
      <c r="AJ203" s="121">
        <v>45506</v>
      </c>
      <c r="AK203" s="122">
        <v>45506</v>
      </c>
      <c r="AL203" s="122">
        <v>45600</v>
      </c>
      <c r="AM203" s="122">
        <v>45600</v>
      </c>
      <c r="AN203" s="122" t="s">
        <v>4656</v>
      </c>
      <c r="AO203" s="121" t="e">
        <v>#N/A</v>
      </c>
      <c r="AP203" s="122" t="e">
        <v>#N/A</v>
      </c>
      <c r="AQ203" s="122" t="e">
        <v>#N/A</v>
      </c>
      <c r="AR203" s="122" t="e">
        <v>#N/A</v>
      </c>
      <c r="AS203" s="122" t="e">
        <v>#N/A</v>
      </c>
      <c r="AT203" s="122" t="e">
        <v>#N/A</v>
      </c>
      <c r="AU203" s="121" t="e">
        <v>#N/A</v>
      </c>
      <c r="AV203" s="122" t="e">
        <v>#N/A</v>
      </c>
      <c r="AW203" s="122">
        <v>45625</v>
      </c>
      <c r="AX203" s="122" t="e">
        <v>#N/A</v>
      </c>
      <c r="AY203" s="122" t="e">
        <v>#N/A</v>
      </c>
      <c r="AZ203" s="122" t="e">
        <v>#N/A</v>
      </c>
      <c r="BA203" s="122" t="e">
        <v>#N/A</v>
      </c>
      <c r="BB203" s="122" t="e">
        <v>#N/A</v>
      </c>
      <c r="BC203" s="122" t="e">
        <v>#N/A</v>
      </c>
      <c r="BD203" s="122" t="e">
        <v>#N/A</v>
      </c>
      <c r="BE203" s="122" t="e">
        <v>#N/A</v>
      </c>
      <c r="BF203" s="122" t="e">
        <v>#N/A</v>
      </c>
      <c r="BG203" s="122" t="e">
        <v>#N/A</v>
      </c>
      <c r="BH203" s="122" t="e">
        <v>#N/A</v>
      </c>
      <c r="BI203" s="122" t="e">
        <v>#N/A</v>
      </c>
      <c r="BJ203" s="122" t="e">
        <v>#N/A</v>
      </c>
      <c r="BK203" s="122">
        <v>45959</v>
      </c>
      <c r="BL203" s="123"/>
      <c r="BM203" s="124" t="e">
        <v>#N/A</v>
      </c>
      <c r="BN203" s="124" t="e">
        <v>#N/A</v>
      </c>
      <c r="BO203" s="124" t="e">
        <v>#N/A</v>
      </c>
      <c r="BP203" s="124" t="e">
        <v>#N/A</v>
      </c>
      <c r="BQ203" s="124" t="e">
        <v>#N/A</v>
      </c>
      <c r="BR203" s="124" t="e">
        <v>#N/A</v>
      </c>
      <c r="BS203" s="124" t="e">
        <v>#N/A</v>
      </c>
      <c r="BT203" s="124" t="e">
        <v>#N/A</v>
      </c>
      <c r="BU203" s="124" t="e">
        <v>#N/A</v>
      </c>
      <c r="BV203" s="124" t="e">
        <v>#N/A</v>
      </c>
      <c r="BW203" s="124" t="e">
        <v>#N/A</v>
      </c>
      <c r="BX203" s="124" t="e">
        <v>#N/A</v>
      </c>
      <c r="BY203" s="124" t="e">
        <v>#N/A</v>
      </c>
      <c r="BZ203" s="124" t="e">
        <v>#N/A</v>
      </c>
      <c r="CA203" s="125"/>
      <c r="CB203" s="124" t="e">
        <v>#N/A</v>
      </c>
      <c r="CC203" s="126">
        <v>1</v>
      </c>
      <c r="CD203" s="127" t="s">
        <v>4205</v>
      </c>
      <c r="CE203" s="128" t="e">
        <v>#REF!</v>
      </c>
      <c r="CF203" s="77" t="s">
        <v>4169</v>
      </c>
      <c r="CG203" s="77" t="e">
        <v>#REF!</v>
      </c>
    </row>
    <row r="204" spans="1:85" ht="14.5" x14ac:dyDescent="0.35">
      <c r="A204" s="77">
        <v>409</v>
      </c>
      <c r="B204" s="106" t="s">
        <v>6339</v>
      </c>
      <c r="C204" s="107" t="s">
        <v>1518</v>
      </c>
      <c r="D204" s="108" t="s">
        <v>1519</v>
      </c>
      <c r="E204" s="109" t="s">
        <v>1520</v>
      </c>
      <c r="F204" s="110">
        <v>660263206</v>
      </c>
      <c r="G204" s="108" t="s">
        <v>1004</v>
      </c>
      <c r="H204" s="111" t="s">
        <v>209</v>
      </c>
      <c r="I204" s="111" t="s">
        <v>180</v>
      </c>
      <c r="J204" s="111" t="s">
        <v>4649</v>
      </c>
      <c r="K204" s="111" t="s">
        <v>199</v>
      </c>
      <c r="L204" s="112">
        <v>39435</v>
      </c>
      <c r="M204" s="111" t="s">
        <v>3172</v>
      </c>
      <c r="N204" s="113"/>
      <c r="O204" s="114" t="s">
        <v>285</v>
      </c>
      <c r="P204" s="114" t="s">
        <v>285</v>
      </c>
      <c r="Q204" s="114" t="s">
        <v>285</v>
      </c>
      <c r="R204" s="114" t="s">
        <v>7312</v>
      </c>
      <c r="S204" s="114" t="s">
        <v>285</v>
      </c>
      <c r="T204" s="114" t="s">
        <v>183</v>
      </c>
      <c r="U204" s="114" t="s">
        <v>183</v>
      </c>
      <c r="V204" s="115"/>
      <c r="W204" s="116" t="s">
        <v>1521</v>
      </c>
      <c r="X204" s="116" t="s">
        <v>2973</v>
      </c>
      <c r="Y204" s="117">
        <v>3485630</v>
      </c>
      <c r="Z204" s="117">
        <v>3486260</v>
      </c>
      <c r="AA204" s="118"/>
      <c r="AB204" s="119" t="s">
        <v>5560</v>
      </c>
      <c r="AC204" s="119" t="s">
        <v>1608</v>
      </c>
      <c r="AD204" s="119">
        <v>4326</v>
      </c>
      <c r="AE204" s="119" t="s">
        <v>1609</v>
      </c>
      <c r="AF204" s="119" t="s">
        <v>6094</v>
      </c>
      <c r="AG204" s="120"/>
      <c r="AH204" s="121">
        <v>44641</v>
      </c>
      <c r="AI204" s="121">
        <v>44641</v>
      </c>
      <c r="AJ204" s="121">
        <v>44641</v>
      </c>
      <c r="AK204" s="122">
        <v>44641</v>
      </c>
      <c r="AL204" s="122">
        <v>44911</v>
      </c>
      <c r="AM204" s="121" t="e">
        <v>#N/A</v>
      </c>
      <c r="AN204" s="121" t="e">
        <v>#N/A</v>
      </c>
      <c r="AO204" s="121" t="e">
        <v>#N/A</v>
      </c>
      <c r="AP204" s="122" t="e">
        <v>#N/A</v>
      </c>
      <c r="AQ204" s="122" t="e">
        <v>#N/A</v>
      </c>
      <c r="AR204" s="122" t="e">
        <v>#N/A</v>
      </c>
      <c r="AS204" s="122" t="e">
        <v>#N/A</v>
      </c>
      <c r="AT204" s="122" t="e">
        <v>#N/A</v>
      </c>
      <c r="AU204" s="121" t="e">
        <v>#N/A</v>
      </c>
      <c r="AV204" s="122" t="e">
        <v>#N/A</v>
      </c>
      <c r="AW204" s="122">
        <v>45679</v>
      </c>
      <c r="AX204" s="122" t="e">
        <v>#N/A</v>
      </c>
      <c r="AY204" s="122" t="e">
        <v>#N/A</v>
      </c>
      <c r="AZ204" s="122" t="e">
        <v>#N/A</v>
      </c>
      <c r="BA204" s="122" t="e">
        <v>#N/A</v>
      </c>
      <c r="BB204" s="122" t="e">
        <v>#N/A</v>
      </c>
      <c r="BC204" s="122" t="e">
        <v>#N/A</v>
      </c>
      <c r="BD204" s="122" t="e">
        <v>#N/A</v>
      </c>
      <c r="BE204" s="122" t="e">
        <v>#N/A</v>
      </c>
      <c r="BF204" s="122" t="e">
        <v>#N/A</v>
      </c>
      <c r="BG204" s="122" t="e">
        <v>#N/A</v>
      </c>
      <c r="BH204" s="122" t="e">
        <v>#N/A</v>
      </c>
      <c r="BI204" s="122" t="e">
        <v>#N/A</v>
      </c>
      <c r="BJ204" s="122" t="e">
        <v>#N/A</v>
      </c>
      <c r="BK204" s="122">
        <v>45957</v>
      </c>
      <c r="BL204" s="123"/>
      <c r="BM204" s="124" t="e">
        <v>#N/A</v>
      </c>
      <c r="BN204" s="124" t="e">
        <v>#N/A</v>
      </c>
      <c r="BO204" s="124" t="e">
        <v>#N/A</v>
      </c>
      <c r="BP204" s="124" t="e">
        <v>#N/A</v>
      </c>
      <c r="BQ204" s="124" t="e">
        <v>#N/A</v>
      </c>
      <c r="BR204" s="124" t="e">
        <v>#N/A</v>
      </c>
      <c r="BS204" s="124" t="e">
        <v>#N/A</v>
      </c>
      <c r="BT204" s="124" t="e">
        <v>#N/A</v>
      </c>
      <c r="BU204" s="124" t="e">
        <v>#N/A</v>
      </c>
      <c r="BV204" s="124" t="e">
        <v>#N/A</v>
      </c>
      <c r="BW204" s="124" t="e">
        <v>#N/A</v>
      </c>
      <c r="BX204" s="124" t="e">
        <v>#N/A</v>
      </c>
      <c r="BY204" s="124" t="e">
        <v>#N/A</v>
      </c>
      <c r="BZ204" s="124" t="e">
        <v>#N/A</v>
      </c>
      <c r="CA204" s="125"/>
      <c r="CB204" s="124" t="e">
        <v>#N/A</v>
      </c>
      <c r="CC204" s="126">
        <v>1</v>
      </c>
      <c r="CD204" s="127" t="e">
        <v>#N/A</v>
      </c>
      <c r="CE204" s="128"/>
      <c r="CF204" s="77" t="s">
        <v>4169</v>
      </c>
    </row>
    <row r="205" spans="1:85" ht="14.5" x14ac:dyDescent="0.35">
      <c r="A205" s="77">
        <v>204</v>
      </c>
      <c r="B205" s="106" t="s">
        <v>6386</v>
      </c>
      <c r="C205" s="107" t="s">
        <v>6387</v>
      </c>
      <c r="D205" s="108" t="s">
        <v>2142</v>
      </c>
      <c r="E205" s="109" t="s">
        <v>2143</v>
      </c>
      <c r="F205" s="110">
        <v>616167683</v>
      </c>
      <c r="G205" s="108" t="s">
        <v>1004</v>
      </c>
      <c r="H205" s="111" t="s">
        <v>209</v>
      </c>
      <c r="I205" s="111" t="s">
        <v>180</v>
      </c>
      <c r="J205" s="111" t="s">
        <v>4649</v>
      </c>
      <c r="K205" s="111" t="s">
        <v>199</v>
      </c>
      <c r="L205" s="112">
        <v>41774</v>
      </c>
      <c r="M205" s="111" t="s">
        <v>1037</v>
      </c>
      <c r="N205" s="113"/>
      <c r="O205" s="114" t="s">
        <v>226</v>
      </c>
      <c r="P205" s="114" t="s">
        <v>6913</v>
      </c>
      <c r="Q205" s="114" t="s">
        <v>226</v>
      </c>
      <c r="R205" s="114" t="s">
        <v>7331</v>
      </c>
      <c r="S205" s="114" t="s">
        <v>6913</v>
      </c>
      <c r="T205" s="114" t="s">
        <v>183</v>
      </c>
      <c r="U205" s="114" t="s">
        <v>183</v>
      </c>
      <c r="V205" s="115"/>
      <c r="W205" s="116" t="s">
        <v>2144</v>
      </c>
      <c r="X205" s="116" t="s">
        <v>2145</v>
      </c>
      <c r="Y205" s="117">
        <v>3485049</v>
      </c>
      <c r="Z205" s="117">
        <v>3486211</v>
      </c>
      <c r="AA205" s="118"/>
      <c r="AB205" s="119" t="s">
        <v>5790</v>
      </c>
      <c r="AC205" s="119" t="s">
        <v>2146</v>
      </c>
      <c r="AD205" s="119">
        <v>4574</v>
      </c>
      <c r="AE205" s="119" t="s">
        <v>2474</v>
      </c>
      <c r="AF205" s="119">
        <v>0</v>
      </c>
      <c r="AG205" s="120"/>
      <c r="AH205" s="121">
        <v>44782</v>
      </c>
      <c r="AI205" s="121">
        <v>44834</v>
      </c>
      <c r="AJ205" s="121">
        <v>44834</v>
      </c>
      <c r="AK205" s="122">
        <v>44984</v>
      </c>
      <c r="AL205" s="122" t="e">
        <v>#N/A</v>
      </c>
      <c r="AM205" s="121" t="e">
        <v>#N/A</v>
      </c>
      <c r="AN205" s="121" t="e">
        <v>#N/A</v>
      </c>
      <c r="AO205" s="121" t="e">
        <v>#N/A</v>
      </c>
      <c r="AP205" s="122" t="e">
        <v>#N/A</v>
      </c>
      <c r="AQ205" s="122" t="e">
        <v>#N/A</v>
      </c>
      <c r="AR205" s="122" t="e">
        <v>#N/A</v>
      </c>
      <c r="AS205" s="122" t="e">
        <v>#N/A</v>
      </c>
      <c r="AT205" s="122" t="e">
        <v>#N/A</v>
      </c>
      <c r="AU205" s="121" t="e">
        <v>#N/A</v>
      </c>
      <c r="AV205" s="122" t="e">
        <v>#N/A</v>
      </c>
      <c r="AW205" s="122">
        <v>45688</v>
      </c>
      <c r="AX205" s="122" t="e">
        <v>#N/A</v>
      </c>
      <c r="AY205" s="122" t="e">
        <v>#N/A</v>
      </c>
      <c r="AZ205" s="122" t="e">
        <v>#N/A</v>
      </c>
      <c r="BA205" s="122" t="e">
        <v>#N/A</v>
      </c>
      <c r="BB205" s="122" t="e">
        <v>#N/A</v>
      </c>
      <c r="BC205" s="122" t="e">
        <v>#N/A</v>
      </c>
      <c r="BD205" s="122" t="e">
        <v>#N/A</v>
      </c>
      <c r="BE205" s="122" t="e">
        <v>#N/A</v>
      </c>
      <c r="BF205" s="122" t="e">
        <v>#N/A</v>
      </c>
      <c r="BG205" s="122" t="e">
        <v>#N/A</v>
      </c>
      <c r="BH205" s="122" t="e">
        <v>#N/A</v>
      </c>
      <c r="BI205" s="122" t="e">
        <v>#N/A</v>
      </c>
      <c r="BJ205" s="122" t="e">
        <v>#N/A</v>
      </c>
      <c r="BK205" s="122" t="e">
        <v>#N/A</v>
      </c>
      <c r="BL205" s="123"/>
      <c r="BM205" s="124" t="e">
        <v>#N/A</v>
      </c>
      <c r="BN205" s="124" t="e">
        <v>#N/A</v>
      </c>
      <c r="BO205" s="124" t="e">
        <v>#N/A</v>
      </c>
      <c r="BP205" s="124" t="e">
        <v>#N/A</v>
      </c>
      <c r="BQ205" s="124" t="e">
        <v>#N/A</v>
      </c>
      <c r="BR205" s="124" t="e">
        <v>#N/A</v>
      </c>
      <c r="BS205" s="124" t="e">
        <v>#N/A</v>
      </c>
      <c r="BT205" s="124" t="e">
        <v>#N/A</v>
      </c>
      <c r="BU205" s="124" t="e">
        <v>#N/A</v>
      </c>
      <c r="BV205" s="124" t="e">
        <v>#N/A</v>
      </c>
      <c r="BW205" s="124" t="e">
        <v>#N/A</v>
      </c>
      <c r="BX205" s="124" t="e">
        <v>#N/A</v>
      </c>
      <c r="BY205" s="124" t="e">
        <v>#N/A</v>
      </c>
      <c r="BZ205" s="124" t="e">
        <v>#N/A</v>
      </c>
      <c r="CA205" s="125"/>
      <c r="CB205" s="124">
        <v>45841</v>
      </c>
      <c r="CC205" s="126">
        <v>1</v>
      </c>
      <c r="CD205" s="127" t="s">
        <v>4180</v>
      </c>
      <c r="CE205" s="128"/>
      <c r="CF205" s="77" t="s">
        <v>4169</v>
      </c>
    </row>
    <row r="206" spans="1:85" ht="14.5" x14ac:dyDescent="0.35">
      <c r="A206" s="77">
        <v>205</v>
      </c>
      <c r="B206" s="106" t="s">
        <v>6316</v>
      </c>
      <c r="C206" s="107" t="s">
        <v>1266</v>
      </c>
      <c r="D206" s="108" t="s">
        <v>316</v>
      </c>
      <c r="E206" s="109" t="s">
        <v>317</v>
      </c>
      <c r="F206" s="110" t="s">
        <v>1010</v>
      </c>
      <c r="G206" s="108" t="s">
        <v>1004</v>
      </c>
      <c r="H206" s="111" t="s">
        <v>209</v>
      </c>
      <c r="I206" s="111" t="s">
        <v>180</v>
      </c>
      <c r="J206" s="111" t="s">
        <v>4649</v>
      </c>
      <c r="K206" s="111" t="s">
        <v>199</v>
      </c>
      <c r="L206" s="112">
        <v>38769</v>
      </c>
      <c r="M206" s="111" t="s">
        <v>1037</v>
      </c>
      <c r="N206" s="113"/>
      <c r="O206" s="114" t="s">
        <v>478</v>
      </c>
      <c r="P206" s="114" t="s">
        <v>7430</v>
      </c>
      <c r="Q206" s="114" t="s">
        <v>285</v>
      </c>
      <c r="R206" s="114" t="s">
        <v>478</v>
      </c>
      <c r="S206" s="114" t="s">
        <v>7430</v>
      </c>
      <c r="T206" s="114" t="s">
        <v>183</v>
      </c>
      <c r="U206" s="114" t="s">
        <v>183</v>
      </c>
      <c r="V206" s="115"/>
      <c r="W206" s="116" t="s">
        <v>318</v>
      </c>
      <c r="X206" s="116" t="s">
        <v>319</v>
      </c>
      <c r="Y206" s="117">
        <v>3485336</v>
      </c>
      <c r="Z206" s="117">
        <v>3481165</v>
      </c>
      <c r="AA206" s="118"/>
      <c r="AB206" s="119" t="s">
        <v>5519</v>
      </c>
      <c r="AC206" s="119" t="s">
        <v>1267</v>
      </c>
      <c r="AD206" s="119">
        <v>4170</v>
      </c>
      <c r="AE206" s="119" t="s">
        <v>4128</v>
      </c>
      <c r="AF206" s="119" t="s">
        <v>6891</v>
      </c>
      <c r="AG206" s="120"/>
      <c r="AH206" s="121">
        <v>44197</v>
      </c>
      <c r="AI206" s="121">
        <v>44197</v>
      </c>
      <c r="AJ206" s="121">
        <v>44197</v>
      </c>
      <c r="AK206" s="122">
        <v>44197</v>
      </c>
      <c r="AL206" s="122" t="e">
        <v>#N/A</v>
      </c>
      <c r="AM206" s="122" t="e">
        <v>#N/A</v>
      </c>
      <c r="AN206" s="122" t="e">
        <v>#N/A</v>
      </c>
      <c r="AO206" s="121" t="e">
        <v>#N/A</v>
      </c>
      <c r="AP206" s="122" t="e">
        <v>#N/A</v>
      </c>
      <c r="AQ206" s="122" t="e">
        <v>#N/A</v>
      </c>
      <c r="AR206" s="122" t="e">
        <v>#N/A</v>
      </c>
      <c r="AS206" s="122" t="e">
        <v>#N/A</v>
      </c>
      <c r="AT206" s="122" t="e">
        <v>#N/A</v>
      </c>
      <c r="AU206" s="121" t="e">
        <v>#N/A</v>
      </c>
      <c r="AV206" s="122" t="e">
        <v>#N/A</v>
      </c>
      <c r="AW206" s="122">
        <v>45757</v>
      </c>
      <c r="AX206" s="122" t="e">
        <v>#N/A</v>
      </c>
      <c r="AY206" s="122" t="e">
        <v>#N/A</v>
      </c>
      <c r="AZ206" s="122" t="e">
        <v>#N/A</v>
      </c>
      <c r="BA206" s="122" t="e">
        <v>#N/A</v>
      </c>
      <c r="BB206" s="122" t="e">
        <v>#N/A</v>
      </c>
      <c r="BC206" s="122" t="e">
        <v>#N/A</v>
      </c>
      <c r="BD206" s="122" t="e">
        <v>#N/A</v>
      </c>
      <c r="BE206" s="122" t="e">
        <v>#N/A</v>
      </c>
      <c r="BF206" s="122" t="e">
        <v>#N/A</v>
      </c>
      <c r="BG206" s="122" t="e">
        <v>#N/A</v>
      </c>
      <c r="BH206" s="122" t="e">
        <v>#N/A</v>
      </c>
      <c r="BI206" s="122" t="e">
        <v>#N/A</v>
      </c>
      <c r="BJ206" s="122" t="e">
        <v>#N/A</v>
      </c>
      <c r="BK206" s="122">
        <v>45961</v>
      </c>
      <c r="BL206" s="123"/>
      <c r="BM206" s="124" t="e">
        <v>#N/A</v>
      </c>
      <c r="BN206" s="124" t="e">
        <v>#N/A</v>
      </c>
      <c r="BO206" s="124" t="e">
        <v>#N/A</v>
      </c>
      <c r="BP206" s="124" t="e">
        <v>#N/A</v>
      </c>
      <c r="BQ206" s="124" t="e">
        <v>#N/A</v>
      </c>
      <c r="BR206" s="124" t="e">
        <v>#N/A</v>
      </c>
      <c r="BS206" s="124" t="e">
        <v>#N/A</v>
      </c>
      <c r="BT206" s="124" t="e">
        <v>#N/A</v>
      </c>
      <c r="BU206" s="124" t="e">
        <v>#N/A</v>
      </c>
      <c r="BV206" s="124" t="e">
        <v>#N/A</v>
      </c>
      <c r="BW206" s="124" t="e">
        <v>#N/A</v>
      </c>
      <c r="BX206" s="124" t="e">
        <v>#N/A</v>
      </c>
      <c r="BY206" s="124" t="e">
        <v>#N/A</v>
      </c>
      <c r="BZ206" s="124" t="e">
        <v>#N/A</v>
      </c>
      <c r="CA206" s="125"/>
      <c r="CB206" s="124" t="e">
        <v>#N/A</v>
      </c>
      <c r="CC206" s="126">
        <v>1</v>
      </c>
      <c r="CD206" s="127" t="e">
        <v>#N/A</v>
      </c>
      <c r="CE206" s="128"/>
      <c r="CF206" s="77" t="s">
        <v>4169</v>
      </c>
    </row>
    <row r="207" spans="1:85" ht="14.5" x14ac:dyDescent="0.35">
      <c r="A207" s="77">
        <v>206</v>
      </c>
      <c r="B207" s="106" t="s">
        <v>6372</v>
      </c>
      <c r="C207" s="107" t="s">
        <v>6373</v>
      </c>
      <c r="D207" s="108" t="s">
        <v>2136</v>
      </c>
      <c r="E207" s="109" t="s">
        <v>2137</v>
      </c>
      <c r="F207" s="110">
        <v>675755471</v>
      </c>
      <c r="G207" s="108" t="s">
        <v>1004</v>
      </c>
      <c r="H207" s="111" t="s">
        <v>209</v>
      </c>
      <c r="I207" s="111" t="s">
        <v>180</v>
      </c>
      <c r="J207" s="111" t="s">
        <v>4649</v>
      </c>
      <c r="K207" s="111" t="s">
        <v>199</v>
      </c>
      <c r="L207" s="112">
        <v>40028</v>
      </c>
      <c r="M207" s="111" t="s">
        <v>511</v>
      </c>
      <c r="N207" s="113"/>
      <c r="O207" s="114" t="s">
        <v>184</v>
      </c>
      <c r="P207" s="114" t="s">
        <v>183</v>
      </c>
      <c r="Q207" s="114" t="s">
        <v>184</v>
      </c>
      <c r="R207" s="114" t="s">
        <v>182</v>
      </c>
      <c r="S207" s="114" t="s">
        <v>183</v>
      </c>
      <c r="T207" s="114" t="s">
        <v>182</v>
      </c>
      <c r="U207" s="114" t="s">
        <v>182</v>
      </c>
      <c r="V207" s="115"/>
      <c r="W207" s="116" t="s">
        <v>2138</v>
      </c>
      <c r="X207" s="116" t="s">
        <v>2139</v>
      </c>
      <c r="Y207" s="117">
        <v>3485119</v>
      </c>
      <c r="Z207" s="117">
        <v>3481421</v>
      </c>
      <c r="AA207" s="118"/>
      <c r="AB207" s="119" t="s">
        <v>5193</v>
      </c>
      <c r="AC207" s="119" t="s">
        <v>2140</v>
      </c>
      <c r="AD207" s="119">
        <v>27947</v>
      </c>
      <c r="AE207" s="119" t="s">
        <v>2141</v>
      </c>
      <c r="AF207" s="119" t="s">
        <v>7431</v>
      </c>
      <c r="AG207" s="120"/>
      <c r="AH207" s="121">
        <v>44782</v>
      </c>
      <c r="AI207" s="121">
        <v>44834</v>
      </c>
      <c r="AJ207" s="121">
        <v>44935</v>
      </c>
      <c r="AK207" s="122">
        <v>45044</v>
      </c>
      <c r="AL207" s="122" t="e">
        <v>#N/A</v>
      </c>
      <c r="AM207" s="121" t="e">
        <v>#N/A</v>
      </c>
      <c r="AN207" s="121" t="e">
        <v>#N/A</v>
      </c>
      <c r="AO207" s="121" t="e">
        <v>#N/A</v>
      </c>
      <c r="AP207" s="122" t="e">
        <v>#N/A</v>
      </c>
      <c r="AQ207" s="122" t="e">
        <v>#N/A</v>
      </c>
      <c r="AR207" s="122" t="e">
        <v>#N/A</v>
      </c>
      <c r="AS207" s="122" t="e">
        <v>#N/A</v>
      </c>
      <c r="AT207" s="122" t="e">
        <v>#N/A</v>
      </c>
      <c r="AU207" s="121" t="e">
        <v>#N/A</v>
      </c>
      <c r="AV207" s="122" t="e">
        <v>#N/A</v>
      </c>
      <c r="AW207" s="122">
        <v>45671</v>
      </c>
      <c r="AX207" s="122" t="e">
        <v>#N/A</v>
      </c>
      <c r="AY207" s="122" t="e">
        <v>#N/A</v>
      </c>
      <c r="AZ207" s="122" t="e">
        <v>#N/A</v>
      </c>
      <c r="BA207" s="122" t="e">
        <v>#N/A</v>
      </c>
      <c r="BB207" s="122" t="e">
        <v>#N/A</v>
      </c>
      <c r="BC207" s="122" t="e">
        <v>#N/A</v>
      </c>
      <c r="BD207" s="122" t="e">
        <v>#N/A</v>
      </c>
      <c r="BE207" s="122" t="e">
        <v>#N/A</v>
      </c>
      <c r="BF207" s="122" t="e">
        <v>#N/A</v>
      </c>
      <c r="BG207" s="122" t="e">
        <v>#N/A</v>
      </c>
      <c r="BH207" s="122" t="e">
        <v>#N/A</v>
      </c>
      <c r="BI207" s="122" t="e">
        <v>#N/A</v>
      </c>
      <c r="BJ207" s="122" t="e">
        <v>#N/A</v>
      </c>
      <c r="BK207" s="122">
        <v>45972</v>
      </c>
      <c r="BL207" s="123"/>
      <c r="BM207" s="124" t="e">
        <v>#N/A</v>
      </c>
      <c r="BN207" s="124" t="e">
        <v>#N/A</v>
      </c>
      <c r="BO207" s="124" t="e">
        <v>#N/A</v>
      </c>
      <c r="BP207" s="124" t="e">
        <v>#N/A</v>
      </c>
      <c r="BQ207" s="124" t="e">
        <v>#N/A</v>
      </c>
      <c r="BR207" s="124" t="e">
        <v>#N/A</v>
      </c>
      <c r="BS207" s="124" t="e">
        <v>#N/A</v>
      </c>
      <c r="BT207" s="124" t="e">
        <v>#N/A</v>
      </c>
      <c r="BU207" s="124" t="e">
        <v>#N/A</v>
      </c>
      <c r="BV207" s="124" t="e">
        <v>#N/A</v>
      </c>
      <c r="BW207" s="124" t="e">
        <v>#N/A</v>
      </c>
      <c r="BX207" s="124" t="e">
        <v>#N/A</v>
      </c>
      <c r="BY207" s="124" t="e">
        <v>#N/A</v>
      </c>
      <c r="BZ207" s="124" t="e">
        <v>#N/A</v>
      </c>
      <c r="CA207" s="125"/>
      <c r="CB207" s="124">
        <v>45842</v>
      </c>
      <c r="CC207" s="126">
        <v>1</v>
      </c>
      <c r="CD207" s="127" t="e">
        <v>#N/A</v>
      </c>
      <c r="CE207" s="128"/>
      <c r="CF207" s="77" t="s">
        <v>4169</v>
      </c>
    </row>
    <row r="208" spans="1:85" ht="14.5" x14ac:dyDescent="0.35">
      <c r="A208" s="77">
        <v>207</v>
      </c>
      <c r="B208" s="106" t="s">
        <v>6358</v>
      </c>
      <c r="C208" s="107" t="s">
        <v>1133</v>
      </c>
      <c r="D208" s="108" t="s">
        <v>382</v>
      </c>
      <c r="E208" s="109" t="s">
        <v>383</v>
      </c>
      <c r="F208" s="110">
        <v>670367044</v>
      </c>
      <c r="G208" s="108" t="s">
        <v>1004</v>
      </c>
      <c r="H208" s="111" t="s">
        <v>209</v>
      </c>
      <c r="I208" s="111" t="s">
        <v>180</v>
      </c>
      <c r="J208" s="111" t="s">
        <v>4649</v>
      </c>
      <c r="K208" s="111" t="s">
        <v>199</v>
      </c>
      <c r="L208" s="112">
        <v>39135</v>
      </c>
      <c r="M208" s="111" t="s">
        <v>984</v>
      </c>
      <c r="N208" s="113"/>
      <c r="O208" s="114" t="s">
        <v>226</v>
      </c>
      <c r="P208" s="114" t="s">
        <v>6917</v>
      </c>
      <c r="Q208" s="114" t="s">
        <v>226</v>
      </c>
      <c r="R208" s="114" t="s">
        <v>7331</v>
      </c>
      <c r="S208" s="114" t="s">
        <v>6913</v>
      </c>
      <c r="T208" s="114" t="s">
        <v>183</v>
      </c>
      <c r="U208" s="114" t="s">
        <v>183</v>
      </c>
      <c r="V208" s="115"/>
      <c r="W208" s="116" t="s">
        <v>384</v>
      </c>
      <c r="X208" s="116" t="s">
        <v>385</v>
      </c>
      <c r="Y208" s="117">
        <v>3485320</v>
      </c>
      <c r="Z208" s="117">
        <v>3481034</v>
      </c>
      <c r="AA208" s="118"/>
      <c r="AB208" s="119" t="s">
        <v>5709</v>
      </c>
      <c r="AC208" s="119" t="s">
        <v>1134</v>
      </c>
      <c r="AD208" s="119">
        <v>4477</v>
      </c>
      <c r="AE208" s="119" t="s">
        <v>2345</v>
      </c>
      <c r="AF208" s="119">
        <v>0</v>
      </c>
      <c r="AG208" s="120"/>
      <c r="AH208" s="121">
        <v>44197</v>
      </c>
      <c r="AI208" s="121">
        <v>44811</v>
      </c>
      <c r="AJ208" s="121">
        <v>44811</v>
      </c>
      <c r="AK208" s="122">
        <v>44197</v>
      </c>
      <c r="AL208" s="122" t="e">
        <v>#N/A</v>
      </c>
      <c r="AM208" s="122" t="e">
        <v>#N/A</v>
      </c>
      <c r="AN208" s="122" t="e">
        <v>#N/A</v>
      </c>
      <c r="AO208" s="121" t="e">
        <v>#N/A</v>
      </c>
      <c r="AP208" s="122" t="e">
        <v>#N/A</v>
      </c>
      <c r="AQ208" s="122" t="e">
        <v>#N/A</v>
      </c>
      <c r="AR208" s="122" t="e">
        <v>#N/A</v>
      </c>
      <c r="AS208" s="122" t="e">
        <v>#N/A</v>
      </c>
      <c r="AT208" s="122" t="e">
        <v>#N/A</v>
      </c>
      <c r="AU208" s="121" t="e">
        <v>#N/A</v>
      </c>
      <c r="AV208" s="122" t="e">
        <v>#N/A</v>
      </c>
      <c r="AW208" s="122">
        <v>45744</v>
      </c>
      <c r="AX208" s="122" t="e">
        <v>#N/A</v>
      </c>
      <c r="AY208" s="122" t="e">
        <v>#N/A</v>
      </c>
      <c r="AZ208" s="122" t="e">
        <v>#N/A</v>
      </c>
      <c r="BA208" s="122" t="e">
        <v>#N/A</v>
      </c>
      <c r="BB208" s="122" t="e">
        <v>#N/A</v>
      </c>
      <c r="BC208" s="122" t="e">
        <v>#N/A</v>
      </c>
      <c r="BD208" s="122" t="e">
        <v>#N/A</v>
      </c>
      <c r="BE208" s="122" t="e">
        <v>#N/A</v>
      </c>
      <c r="BF208" s="122" t="e">
        <v>#N/A</v>
      </c>
      <c r="BG208" s="122" t="e">
        <v>#N/A</v>
      </c>
      <c r="BH208" s="122" t="e">
        <v>#N/A</v>
      </c>
      <c r="BI208" s="122" t="e">
        <v>#N/A</v>
      </c>
      <c r="BJ208" s="122" t="e">
        <v>#N/A</v>
      </c>
      <c r="BK208" s="122" t="e">
        <v>#N/A</v>
      </c>
      <c r="BL208" s="123"/>
      <c r="BM208" s="124" t="e">
        <v>#N/A</v>
      </c>
      <c r="BN208" s="124" t="e">
        <v>#N/A</v>
      </c>
      <c r="BO208" s="124" t="e">
        <v>#N/A</v>
      </c>
      <c r="BP208" s="124" t="e">
        <v>#N/A</v>
      </c>
      <c r="BQ208" s="124" t="e">
        <v>#N/A</v>
      </c>
      <c r="BR208" s="124" t="e">
        <v>#N/A</v>
      </c>
      <c r="BS208" s="124" t="e">
        <v>#N/A</v>
      </c>
      <c r="BT208" s="124" t="e">
        <v>#N/A</v>
      </c>
      <c r="BU208" s="124" t="e">
        <v>#N/A</v>
      </c>
      <c r="BV208" s="124" t="e">
        <v>#N/A</v>
      </c>
      <c r="BW208" s="124" t="e">
        <v>#N/A</v>
      </c>
      <c r="BX208" s="124" t="e">
        <v>#N/A</v>
      </c>
      <c r="BY208" s="124" t="e">
        <v>#N/A</v>
      </c>
      <c r="BZ208" s="124" t="e">
        <v>#N/A</v>
      </c>
      <c r="CA208" s="125"/>
      <c r="CB208" s="124">
        <v>45841</v>
      </c>
      <c r="CC208" s="126">
        <v>1</v>
      </c>
      <c r="CD208" s="127" t="e">
        <v>#N/A</v>
      </c>
      <c r="CE208" s="128"/>
      <c r="CF208" s="77" t="s">
        <v>4167</v>
      </c>
    </row>
    <row r="209" spans="1:85" ht="14.5" x14ac:dyDescent="0.35">
      <c r="A209" s="77">
        <v>208</v>
      </c>
      <c r="B209" s="106" t="s">
        <v>47</v>
      </c>
      <c r="C209" s="107" t="s">
        <v>1385</v>
      </c>
      <c r="D209" s="108" t="s">
        <v>494</v>
      </c>
      <c r="E209" s="109" t="s">
        <v>495</v>
      </c>
      <c r="F209" s="110">
        <v>605224958</v>
      </c>
      <c r="G209" s="108" t="s">
        <v>1004</v>
      </c>
      <c r="H209" s="111" t="s">
        <v>209</v>
      </c>
      <c r="I209" s="111" t="s">
        <v>180</v>
      </c>
      <c r="J209" s="111" t="s">
        <v>4649</v>
      </c>
      <c r="K209" s="111" t="s">
        <v>199</v>
      </c>
      <c r="L209" s="112">
        <v>43577</v>
      </c>
      <c r="M209" s="111" t="s">
        <v>984</v>
      </c>
      <c r="N209" s="113"/>
      <c r="O209" s="114" t="s">
        <v>5710</v>
      </c>
      <c r="P209" s="114" t="s">
        <v>183</v>
      </c>
      <c r="Q209" s="114" t="s">
        <v>5710</v>
      </c>
      <c r="R209" s="114" t="s">
        <v>7432</v>
      </c>
      <c r="S209" s="114" t="s">
        <v>183</v>
      </c>
      <c r="T209" s="114" t="s">
        <v>7433</v>
      </c>
      <c r="U209" s="114" t="s">
        <v>7433</v>
      </c>
      <c r="V209" s="115"/>
      <c r="W209" s="116" t="s">
        <v>496</v>
      </c>
      <c r="X209" s="116" t="s">
        <v>497</v>
      </c>
      <c r="Y209" s="117">
        <v>3485111</v>
      </c>
      <c r="Z209" s="117">
        <v>3486305</v>
      </c>
      <c r="AA209" s="118"/>
      <c r="AB209" s="119" t="s">
        <v>4954</v>
      </c>
      <c r="AC209" s="119" t="s">
        <v>1386</v>
      </c>
      <c r="AD209" s="119">
        <v>4084</v>
      </c>
      <c r="AE209" s="119" t="s">
        <v>1387</v>
      </c>
      <c r="AF209" s="119" t="s">
        <v>6097</v>
      </c>
      <c r="AG209" s="120"/>
      <c r="AH209" s="121">
        <v>44197</v>
      </c>
      <c r="AI209" s="121">
        <v>44529</v>
      </c>
      <c r="AJ209" s="121">
        <v>44529</v>
      </c>
      <c r="AK209" s="122">
        <v>44529</v>
      </c>
      <c r="AL209" s="122" t="e">
        <v>#N/A</v>
      </c>
      <c r="AM209" s="121" t="e">
        <v>#N/A</v>
      </c>
      <c r="AN209" s="121" t="e">
        <v>#N/A</v>
      </c>
      <c r="AO209" s="121" t="e">
        <v>#N/A</v>
      </c>
      <c r="AP209" s="122" t="e">
        <v>#N/A</v>
      </c>
      <c r="AQ209" s="122" t="e">
        <v>#N/A</v>
      </c>
      <c r="AR209" s="122" t="e">
        <v>#N/A</v>
      </c>
      <c r="AS209" s="122" t="e">
        <v>#N/A</v>
      </c>
      <c r="AT209" s="122" t="e">
        <v>#N/A</v>
      </c>
      <c r="AU209" s="121" t="e">
        <v>#N/A</v>
      </c>
      <c r="AV209" s="122" t="e">
        <v>#N/A</v>
      </c>
      <c r="AW209" s="122">
        <v>45642</v>
      </c>
      <c r="AX209" s="122" t="e">
        <v>#N/A</v>
      </c>
      <c r="AY209" s="122" t="e">
        <v>#N/A</v>
      </c>
      <c r="AZ209" s="122" t="e">
        <v>#N/A</v>
      </c>
      <c r="BA209" s="122" t="e">
        <v>#N/A</v>
      </c>
      <c r="BB209" s="122" t="e">
        <v>#N/A</v>
      </c>
      <c r="BC209" s="122" t="e">
        <v>#N/A</v>
      </c>
      <c r="BD209" s="122" t="e">
        <v>#N/A</v>
      </c>
      <c r="BE209" s="122" t="e">
        <v>#N/A</v>
      </c>
      <c r="BF209" s="122" t="e">
        <v>#N/A</v>
      </c>
      <c r="BG209" s="122" t="e">
        <v>#N/A</v>
      </c>
      <c r="BH209" s="122" t="e">
        <v>#N/A</v>
      </c>
      <c r="BI209" s="122" t="e">
        <v>#N/A</v>
      </c>
      <c r="BJ209" s="122" t="e">
        <v>#N/A</v>
      </c>
      <c r="BK209" s="122">
        <v>45959</v>
      </c>
      <c r="BL209" s="123"/>
      <c r="BM209" s="124" t="e">
        <v>#N/A</v>
      </c>
      <c r="BN209" s="124" t="e">
        <v>#N/A</v>
      </c>
      <c r="BO209" s="124" t="e">
        <v>#N/A</v>
      </c>
      <c r="BP209" s="124" t="e">
        <v>#N/A</v>
      </c>
      <c r="BQ209" s="124" t="e">
        <v>#N/A</v>
      </c>
      <c r="BR209" s="124" t="e">
        <v>#N/A</v>
      </c>
      <c r="BS209" s="124" t="e">
        <v>#N/A</v>
      </c>
      <c r="BT209" s="124" t="e">
        <v>#N/A</v>
      </c>
      <c r="BU209" s="124" t="e">
        <v>#N/A</v>
      </c>
      <c r="BV209" s="124" t="e">
        <v>#N/A</v>
      </c>
      <c r="BW209" s="124" t="e">
        <v>#N/A</v>
      </c>
      <c r="BX209" s="124" t="e">
        <v>#N/A</v>
      </c>
      <c r="BY209" s="124" t="e">
        <v>#N/A</v>
      </c>
      <c r="BZ209" s="124" t="e">
        <v>#N/A</v>
      </c>
      <c r="CA209" s="125"/>
      <c r="CB209" s="124">
        <v>45841</v>
      </c>
      <c r="CC209" s="126">
        <v>1</v>
      </c>
      <c r="CD209" s="127" t="s">
        <v>4169</v>
      </c>
      <c r="CE209" s="128"/>
      <c r="CF209" s="77" t="s">
        <v>4169</v>
      </c>
    </row>
    <row r="210" spans="1:85" ht="14.5" x14ac:dyDescent="0.35">
      <c r="A210" s="77">
        <v>209</v>
      </c>
      <c r="B210" s="106" t="s">
        <v>6312</v>
      </c>
      <c r="C210" s="107" t="s">
        <v>1151</v>
      </c>
      <c r="D210" s="108" t="s">
        <v>298</v>
      </c>
      <c r="E210" s="109" t="s">
        <v>299</v>
      </c>
      <c r="F210" s="110">
        <v>669994339</v>
      </c>
      <c r="G210" s="108" t="s">
        <v>1004</v>
      </c>
      <c r="H210" s="111" t="s">
        <v>209</v>
      </c>
      <c r="I210" s="111" t="s">
        <v>180</v>
      </c>
      <c r="J210" s="111" t="s">
        <v>4649</v>
      </c>
      <c r="K210" s="111" t="s">
        <v>199</v>
      </c>
      <c r="L210" s="112">
        <v>40446</v>
      </c>
      <c r="M210" s="111" t="s">
        <v>984</v>
      </c>
      <c r="N210" s="113"/>
      <c r="O210" s="114" t="s">
        <v>257</v>
      </c>
      <c r="P210" s="114" t="s">
        <v>6916</v>
      </c>
      <c r="Q210" s="114" t="s">
        <v>257</v>
      </c>
      <c r="R210" s="114" t="s">
        <v>4381</v>
      </c>
      <c r="S210" s="114" t="s">
        <v>7257</v>
      </c>
      <c r="T210" s="114" t="s">
        <v>4356</v>
      </c>
      <c r="U210" s="114" t="s">
        <v>4356</v>
      </c>
      <c r="V210" s="115"/>
      <c r="W210" s="116" t="s">
        <v>300</v>
      </c>
      <c r="X210" s="116" t="s">
        <v>301</v>
      </c>
      <c r="Y210" s="117">
        <v>3485493</v>
      </c>
      <c r="Z210" s="117">
        <v>3486285</v>
      </c>
      <c r="AA210" s="118"/>
      <c r="AB210" s="119" t="s">
        <v>5262</v>
      </c>
      <c r="AC210" s="119" t="s">
        <v>1152</v>
      </c>
      <c r="AD210" s="119" t="s">
        <v>4122</v>
      </c>
      <c r="AE210" s="119" t="s">
        <v>4123</v>
      </c>
      <c r="AF210" s="119">
        <v>0</v>
      </c>
      <c r="AG210" s="120"/>
      <c r="AH210" s="121">
        <v>44197</v>
      </c>
      <c r="AI210" s="121">
        <v>44956</v>
      </c>
      <c r="AJ210" s="121">
        <v>44956</v>
      </c>
      <c r="AK210" s="122">
        <v>44956</v>
      </c>
      <c r="AL210" s="122">
        <v>45904</v>
      </c>
      <c r="AM210" s="121" t="e">
        <v>#N/A</v>
      </c>
      <c r="AN210" s="121" t="e">
        <v>#N/A</v>
      </c>
      <c r="AO210" s="121" t="e">
        <v>#N/A</v>
      </c>
      <c r="AP210" s="122" t="e">
        <v>#N/A</v>
      </c>
      <c r="AQ210" s="122" t="e">
        <v>#N/A</v>
      </c>
      <c r="AR210" s="122" t="e">
        <v>#N/A</v>
      </c>
      <c r="AS210" s="122" t="e">
        <v>#N/A</v>
      </c>
      <c r="AT210" s="122" t="e">
        <v>#N/A</v>
      </c>
      <c r="AU210" s="121" t="e">
        <v>#N/A</v>
      </c>
      <c r="AV210" s="122" t="e">
        <v>#N/A</v>
      </c>
      <c r="AW210" s="122">
        <v>45751</v>
      </c>
      <c r="AX210" s="122" t="e">
        <v>#N/A</v>
      </c>
      <c r="AY210" s="122" t="e">
        <v>#N/A</v>
      </c>
      <c r="AZ210" s="122" t="e">
        <v>#N/A</v>
      </c>
      <c r="BA210" s="122" t="e">
        <v>#N/A</v>
      </c>
      <c r="BB210" s="122" t="e">
        <v>#N/A</v>
      </c>
      <c r="BC210" s="122" t="e">
        <v>#N/A</v>
      </c>
      <c r="BD210" s="122" t="e">
        <v>#N/A</v>
      </c>
      <c r="BE210" s="122">
        <v>45156</v>
      </c>
      <c r="BF210" s="122" t="e">
        <v>#N/A</v>
      </c>
      <c r="BG210" s="122" t="e">
        <v>#N/A</v>
      </c>
      <c r="BH210" s="122" t="e">
        <v>#N/A</v>
      </c>
      <c r="BI210" s="122" t="e">
        <v>#N/A</v>
      </c>
      <c r="BJ210" s="122" t="e">
        <v>#N/A</v>
      </c>
      <c r="BK210" s="122" t="e">
        <v>#N/A</v>
      </c>
      <c r="BL210" s="123"/>
      <c r="BM210" s="124" t="e">
        <v>#N/A</v>
      </c>
      <c r="BN210" s="124" t="e">
        <v>#N/A</v>
      </c>
      <c r="BO210" s="124" t="e">
        <v>#N/A</v>
      </c>
      <c r="BP210" s="124" t="e">
        <v>#N/A</v>
      </c>
      <c r="BQ210" s="124" t="e">
        <v>#N/A</v>
      </c>
      <c r="BR210" s="124" t="e">
        <v>#N/A</v>
      </c>
      <c r="BS210" s="124" t="e">
        <v>#N/A</v>
      </c>
      <c r="BT210" s="124" t="e">
        <v>#N/A</v>
      </c>
      <c r="BU210" s="124" t="e">
        <v>#N/A</v>
      </c>
      <c r="BV210" s="124" t="e">
        <v>#N/A</v>
      </c>
      <c r="BW210" s="124" t="e">
        <v>#N/A</v>
      </c>
      <c r="BX210" s="124" t="e">
        <v>#N/A</v>
      </c>
      <c r="BY210" s="124" t="e">
        <v>#N/A</v>
      </c>
      <c r="BZ210" s="124" t="e">
        <v>#N/A</v>
      </c>
      <c r="CA210" s="125"/>
      <c r="CB210" s="124">
        <v>45726</v>
      </c>
      <c r="CC210" s="126">
        <v>1</v>
      </c>
      <c r="CD210" s="127" t="e">
        <v>#N/A</v>
      </c>
      <c r="CE210" s="128"/>
      <c r="CF210" s="77" t="s">
        <v>4153</v>
      </c>
    </row>
    <row r="211" spans="1:85" ht="14.5" x14ac:dyDescent="0.35">
      <c r="A211" s="77">
        <v>210</v>
      </c>
      <c r="B211" s="106" t="s">
        <v>6365</v>
      </c>
      <c r="C211" s="107" t="s">
        <v>6366</v>
      </c>
      <c r="D211" s="108" t="s">
        <v>2243</v>
      </c>
      <c r="E211" s="109" t="s">
        <v>2244</v>
      </c>
      <c r="F211" s="110">
        <v>670845768</v>
      </c>
      <c r="G211" s="108" t="s">
        <v>1004</v>
      </c>
      <c r="H211" s="111" t="s">
        <v>209</v>
      </c>
      <c r="I211" s="111" t="s">
        <v>180</v>
      </c>
      <c r="J211" s="111" t="s">
        <v>4649</v>
      </c>
      <c r="K211" s="111" t="s">
        <v>199</v>
      </c>
      <c r="L211" s="112">
        <v>40028</v>
      </c>
      <c r="M211" s="111" t="s">
        <v>1477</v>
      </c>
      <c r="N211" s="113"/>
      <c r="O211" s="114" t="s">
        <v>184</v>
      </c>
      <c r="P211" s="114" t="s">
        <v>6914</v>
      </c>
      <c r="Q211" s="114" t="s">
        <v>184</v>
      </c>
      <c r="R211" s="114" t="s">
        <v>7370</v>
      </c>
      <c r="S211" s="114" t="s">
        <v>6914</v>
      </c>
      <c r="T211" s="114" t="s">
        <v>183</v>
      </c>
      <c r="U211" s="114" t="s">
        <v>183</v>
      </c>
      <c r="V211" s="115"/>
      <c r="W211" s="116" t="s">
        <v>2245</v>
      </c>
      <c r="X211" s="116" t="s">
        <v>2246</v>
      </c>
      <c r="Y211" s="117">
        <v>3485523</v>
      </c>
      <c r="Z211" s="117">
        <v>3481206</v>
      </c>
      <c r="AA211" s="118"/>
      <c r="AB211" s="119" t="s">
        <v>5708</v>
      </c>
      <c r="AC211" s="119" t="s">
        <v>2247</v>
      </c>
      <c r="AD211" s="119">
        <v>27785</v>
      </c>
      <c r="AE211" s="119" t="s">
        <v>4132</v>
      </c>
      <c r="AF211" s="119" t="s">
        <v>6096</v>
      </c>
      <c r="AG211" s="120"/>
      <c r="AH211" s="121">
        <v>44817</v>
      </c>
      <c r="AI211" s="121">
        <v>44817</v>
      </c>
      <c r="AJ211" s="121">
        <v>44817</v>
      </c>
      <c r="AK211" s="122">
        <v>44984</v>
      </c>
      <c r="AL211" s="122" t="e">
        <v>#N/A</v>
      </c>
      <c r="AM211" s="121" t="e">
        <v>#N/A</v>
      </c>
      <c r="AN211" s="121" t="e">
        <v>#N/A</v>
      </c>
      <c r="AO211" s="121" t="e">
        <v>#N/A</v>
      </c>
      <c r="AP211" s="122" t="e">
        <v>#N/A</v>
      </c>
      <c r="AQ211" s="122" t="e">
        <v>#N/A</v>
      </c>
      <c r="AR211" s="122" t="e">
        <v>#N/A</v>
      </c>
      <c r="AS211" s="122" t="e">
        <v>#N/A</v>
      </c>
      <c r="AT211" s="122" t="e">
        <v>#N/A</v>
      </c>
      <c r="AU211" s="121" t="e">
        <v>#N/A</v>
      </c>
      <c r="AV211" s="122" t="e">
        <v>#N/A</v>
      </c>
      <c r="AW211" s="122">
        <v>45677</v>
      </c>
      <c r="AX211" s="122" t="e">
        <v>#N/A</v>
      </c>
      <c r="AY211" s="122" t="e">
        <v>#N/A</v>
      </c>
      <c r="AZ211" s="122" t="e">
        <v>#N/A</v>
      </c>
      <c r="BA211" s="122" t="e">
        <v>#N/A</v>
      </c>
      <c r="BB211" s="122" t="e">
        <v>#N/A</v>
      </c>
      <c r="BC211" s="122" t="e">
        <v>#N/A</v>
      </c>
      <c r="BD211" s="122" t="e">
        <v>#N/A</v>
      </c>
      <c r="BE211" s="122" t="e">
        <v>#N/A</v>
      </c>
      <c r="BF211" s="122" t="e">
        <v>#N/A</v>
      </c>
      <c r="BG211" s="122" t="e">
        <v>#N/A</v>
      </c>
      <c r="BH211" s="122" t="e">
        <v>#N/A</v>
      </c>
      <c r="BI211" s="122" t="e">
        <v>#N/A</v>
      </c>
      <c r="BJ211" s="122" t="e">
        <v>#N/A</v>
      </c>
      <c r="BK211" s="122">
        <v>45959</v>
      </c>
      <c r="BL211" s="123"/>
      <c r="BM211" s="124" t="e">
        <v>#N/A</v>
      </c>
      <c r="BN211" s="124" t="e">
        <v>#N/A</v>
      </c>
      <c r="BO211" s="124" t="e">
        <v>#N/A</v>
      </c>
      <c r="BP211" s="124" t="e">
        <v>#N/A</v>
      </c>
      <c r="BQ211" s="124" t="e">
        <v>#N/A</v>
      </c>
      <c r="BR211" s="124" t="e">
        <v>#N/A</v>
      </c>
      <c r="BS211" s="124" t="e">
        <v>#N/A</v>
      </c>
      <c r="BT211" s="124" t="e">
        <v>#N/A</v>
      </c>
      <c r="BU211" s="124" t="e">
        <v>#N/A</v>
      </c>
      <c r="BV211" s="124" t="e">
        <v>#N/A</v>
      </c>
      <c r="BW211" s="124" t="e">
        <v>#N/A</v>
      </c>
      <c r="BX211" s="124" t="e">
        <v>#N/A</v>
      </c>
      <c r="BY211" s="124" t="e">
        <v>#N/A</v>
      </c>
      <c r="BZ211" s="124" t="e">
        <v>#N/A</v>
      </c>
      <c r="CA211" s="125"/>
      <c r="CB211" s="124">
        <v>45841</v>
      </c>
      <c r="CC211" s="126">
        <v>1</v>
      </c>
      <c r="CD211" s="127" t="e">
        <v>#N/A</v>
      </c>
      <c r="CE211" s="128"/>
      <c r="CF211" s="77" t="s">
        <v>4169</v>
      </c>
    </row>
    <row r="212" spans="1:85" ht="14.5" x14ac:dyDescent="0.35">
      <c r="A212" s="77">
        <v>211</v>
      </c>
      <c r="B212" s="106" t="s">
        <v>1741</v>
      </c>
      <c r="C212" s="107" t="s">
        <v>6437</v>
      </c>
      <c r="D212" s="108" t="s">
        <v>1779</v>
      </c>
      <c r="E212" s="109" t="s">
        <v>1780</v>
      </c>
      <c r="F212" s="110">
        <v>654803374</v>
      </c>
      <c r="G212" s="108" t="s">
        <v>1004</v>
      </c>
      <c r="H212" s="111" t="s">
        <v>209</v>
      </c>
      <c r="I212" s="111" t="s">
        <v>180</v>
      </c>
      <c r="J212" s="111" t="s">
        <v>4649</v>
      </c>
      <c r="K212" s="111" t="s">
        <v>199</v>
      </c>
      <c r="L212" s="112">
        <v>41282</v>
      </c>
      <c r="M212" s="111" t="s">
        <v>253</v>
      </c>
      <c r="N212" s="113"/>
      <c r="O212" s="114" t="s">
        <v>6198</v>
      </c>
      <c r="P212" s="114" t="s">
        <v>6198</v>
      </c>
      <c r="Q212" s="114" t="s">
        <v>4381</v>
      </c>
      <c r="R212" s="114" t="s">
        <v>4381</v>
      </c>
      <c r="S212" s="114" t="s">
        <v>6198</v>
      </c>
      <c r="T212" s="114" t="s">
        <v>4356</v>
      </c>
      <c r="U212" s="114" t="s">
        <v>4356</v>
      </c>
      <c r="V212" s="115"/>
      <c r="W212" s="116" t="s">
        <v>1781</v>
      </c>
      <c r="X212" s="116" t="s">
        <v>1782</v>
      </c>
      <c r="Y212" s="117">
        <v>3485682</v>
      </c>
      <c r="Z212" s="117">
        <v>3486532</v>
      </c>
      <c r="AA212" s="118"/>
      <c r="AB212" s="119" t="s">
        <v>5521</v>
      </c>
      <c r="AC212" s="119" t="s">
        <v>1783</v>
      </c>
      <c r="AD212" s="119">
        <v>4418</v>
      </c>
      <c r="AE212" s="119" t="s">
        <v>1784</v>
      </c>
      <c r="AF212" s="119" t="s">
        <v>7434</v>
      </c>
      <c r="AG212" s="120"/>
      <c r="AH212" s="121">
        <v>44753</v>
      </c>
      <c r="AI212" s="121">
        <v>44753</v>
      </c>
      <c r="AJ212" s="121">
        <v>44753</v>
      </c>
      <c r="AK212" s="122">
        <v>44994</v>
      </c>
      <c r="AL212" s="122" t="e">
        <v>#N/A</v>
      </c>
      <c r="AM212" s="121" t="e">
        <v>#N/A</v>
      </c>
      <c r="AN212" s="121" t="e">
        <v>#N/A</v>
      </c>
      <c r="AO212" s="121" t="e">
        <v>#N/A</v>
      </c>
      <c r="AP212" s="122" t="e">
        <v>#N/A</v>
      </c>
      <c r="AQ212" s="122">
        <v>45267</v>
      </c>
      <c r="AR212" s="122" t="e">
        <v>#N/A</v>
      </c>
      <c r="AS212" s="122" t="e">
        <v>#N/A</v>
      </c>
      <c r="AT212" s="122" t="e">
        <v>#N/A</v>
      </c>
      <c r="AU212" s="121" t="e">
        <v>#N/A</v>
      </c>
      <c r="AV212" s="122" t="e">
        <v>#N/A</v>
      </c>
      <c r="AW212" s="122">
        <v>45642</v>
      </c>
      <c r="AX212" s="122" t="e">
        <v>#N/A</v>
      </c>
      <c r="AY212" s="122" t="e">
        <v>#N/A</v>
      </c>
      <c r="AZ212" s="122" t="e">
        <v>#N/A</v>
      </c>
      <c r="BA212" s="122" t="e">
        <v>#N/A</v>
      </c>
      <c r="BB212" s="122" t="e">
        <v>#N/A</v>
      </c>
      <c r="BC212" s="122" t="e">
        <v>#N/A</v>
      </c>
      <c r="BD212" s="122" t="e">
        <v>#N/A</v>
      </c>
      <c r="BE212" s="122" t="e">
        <v>#N/A</v>
      </c>
      <c r="BF212" s="122" t="e">
        <v>#N/A</v>
      </c>
      <c r="BG212" s="122" t="e">
        <v>#N/A</v>
      </c>
      <c r="BH212" s="122" t="e">
        <v>#N/A</v>
      </c>
      <c r="BI212" s="122" t="e">
        <v>#N/A</v>
      </c>
      <c r="BJ212" s="122" t="e">
        <v>#N/A</v>
      </c>
      <c r="BK212" s="122">
        <v>45978</v>
      </c>
      <c r="BL212" s="123"/>
      <c r="BM212" s="124" t="e">
        <v>#N/A</v>
      </c>
      <c r="BN212" s="124" t="e">
        <v>#N/A</v>
      </c>
      <c r="BO212" s="124" t="e">
        <v>#N/A</v>
      </c>
      <c r="BP212" s="124" t="e">
        <v>#N/A</v>
      </c>
      <c r="BQ212" s="124" t="e">
        <v>#N/A</v>
      </c>
      <c r="BR212" s="124" t="e">
        <v>#N/A</v>
      </c>
      <c r="BS212" s="124" t="e">
        <v>#N/A</v>
      </c>
      <c r="BT212" s="124" t="e">
        <v>#N/A</v>
      </c>
      <c r="BU212" s="124" t="e">
        <v>#N/A</v>
      </c>
      <c r="BV212" s="124" t="e">
        <v>#N/A</v>
      </c>
      <c r="BW212" s="124" t="e">
        <v>#N/A</v>
      </c>
      <c r="BX212" s="124" t="e">
        <v>#N/A</v>
      </c>
      <c r="BY212" s="124" t="e">
        <v>#N/A</v>
      </c>
      <c r="BZ212" s="124" t="e">
        <v>#N/A</v>
      </c>
      <c r="CA212" s="125"/>
      <c r="CB212" s="124">
        <v>45728</v>
      </c>
      <c r="CC212" s="126">
        <v>1</v>
      </c>
      <c r="CD212" s="127" t="s">
        <v>4157</v>
      </c>
      <c r="CE212" s="128"/>
      <c r="CF212" s="77" t="s">
        <v>4151</v>
      </c>
    </row>
    <row r="213" spans="1:85" ht="14.5" x14ac:dyDescent="0.35">
      <c r="A213" s="77">
        <v>212</v>
      </c>
      <c r="B213" s="106" t="s">
        <v>6394</v>
      </c>
      <c r="C213" s="107" t="s">
        <v>6395</v>
      </c>
      <c r="D213" s="108" t="s">
        <v>2224</v>
      </c>
      <c r="E213" s="109" t="s">
        <v>2225</v>
      </c>
      <c r="F213" s="110">
        <v>627640199</v>
      </c>
      <c r="G213" s="108" t="s">
        <v>1004</v>
      </c>
      <c r="H213" s="111" t="s">
        <v>209</v>
      </c>
      <c r="I213" s="111" t="s">
        <v>180</v>
      </c>
      <c r="J213" s="111" t="s">
        <v>4649</v>
      </c>
      <c r="K213" s="111" t="s">
        <v>199</v>
      </c>
      <c r="L213" s="112">
        <v>41855</v>
      </c>
      <c r="M213" s="111" t="s">
        <v>253</v>
      </c>
      <c r="N213" s="113"/>
      <c r="O213" s="114" t="s">
        <v>225</v>
      </c>
      <c r="P213" s="114" t="s">
        <v>225</v>
      </c>
      <c r="Q213" s="114" t="s">
        <v>225</v>
      </c>
      <c r="R213" s="114" t="s">
        <v>7358</v>
      </c>
      <c r="S213" s="114" t="s">
        <v>225</v>
      </c>
      <c r="T213" s="114" t="s">
        <v>183</v>
      </c>
      <c r="U213" s="114" t="s">
        <v>183</v>
      </c>
      <c r="V213" s="115"/>
      <c r="W213" s="116" t="s">
        <v>2226</v>
      </c>
      <c r="X213" s="116" t="s">
        <v>2227</v>
      </c>
      <c r="Y213" s="117">
        <v>3485158</v>
      </c>
      <c r="Z213" s="117">
        <v>3481032</v>
      </c>
      <c r="AA213" s="118"/>
      <c r="AB213" s="119" t="s">
        <v>5333</v>
      </c>
      <c r="AC213" s="119" t="s">
        <v>2397</v>
      </c>
      <c r="AD213" s="119">
        <v>4001</v>
      </c>
      <c r="AE213" s="119" t="s">
        <v>2930</v>
      </c>
      <c r="AF213" s="119" t="s">
        <v>7076</v>
      </c>
      <c r="AG213" s="120"/>
      <c r="AH213" s="121">
        <v>44817</v>
      </c>
      <c r="AI213" s="121">
        <v>45240</v>
      </c>
      <c r="AJ213" s="121">
        <v>44817</v>
      </c>
      <c r="AK213" s="122">
        <v>45240</v>
      </c>
      <c r="AL213" s="122">
        <v>45238</v>
      </c>
      <c r="AM213" s="121">
        <v>45240</v>
      </c>
      <c r="AN213" s="121" t="s">
        <v>7059</v>
      </c>
      <c r="AO213" s="121" t="e">
        <v>#N/A</v>
      </c>
      <c r="AP213" s="122" t="e">
        <v>#N/A</v>
      </c>
      <c r="AQ213" s="122" t="e">
        <v>#N/A</v>
      </c>
      <c r="AR213" s="122">
        <v>45239</v>
      </c>
      <c r="AS213" s="122" t="e">
        <v>#N/A</v>
      </c>
      <c r="AT213" s="122" t="e">
        <v>#N/A</v>
      </c>
      <c r="AU213" s="121" t="e">
        <v>#N/A</v>
      </c>
      <c r="AV213" s="122" t="e">
        <v>#N/A</v>
      </c>
      <c r="AW213" s="122">
        <v>45670</v>
      </c>
      <c r="AX213" s="122" t="e">
        <v>#N/A</v>
      </c>
      <c r="AY213" s="122" t="e">
        <v>#N/A</v>
      </c>
      <c r="AZ213" s="122" t="e">
        <v>#N/A</v>
      </c>
      <c r="BA213" s="122" t="e">
        <v>#N/A</v>
      </c>
      <c r="BB213" s="122" t="e">
        <v>#N/A</v>
      </c>
      <c r="BC213" s="122" t="e">
        <v>#N/A</v>
      </c>
      <c r="BD213" s="122" t="e">
        <v>#N/A</v>
      </c>
      <c r="BE213" s="122" t="e">
        <v>#N/A</v>
      </c>
      <c r="BF213" s="122" t="e">
        <v>#N/A</v>
      </c>
      <c r="BG213" s="122" t="e">
        <v>#N/A</v>
      </c>
      <c r="BH213" s="122" t="e">
        <v>#N/A</v>
      </c>
      <c r="BI213" s="122" t="e">
        <v>#N/A</v>
      </c>
      <c r="BJ213" s="122" t="e">
        <v>#N/A</v>
      </c>
      <c r="BK213" s="122">
        <v>45964</v>
      </c>
      <c r="BL213" s="123"/>
      <c r="BM213" s="124" t="e">
        <v>#N/A</v>
      </c>
      <c r="BN213" s="124" t="e">
        <v>#N/A</v>
      </c>
      <c r="BO213" s="124" t="e">
        <v>#N/A</v>
      </c>
      <c r="BP213" s="124" t="e">
        <v>#N/A</v>
      </c>
      <c r="BQ213" s="124" t="e">
        <v>#N/A</v>
      </c>
      <c r="BR213" s="124" t="e">
        <v>#N/A</v>
      </c>
      <c r="BS213" s="124" t="e">
        <v>#N/A</v>
      </c>
      <c r="BT213" s="124" t="e">
        <v>#N/A</v>
      </c>
      <c r="BU213" s="124" t="e">
        <v>#N/A</v>
      </c>
      <c r="BV213" s="124" t="e">
        <v>#N/A</v>
      </c>
      <c r="BW213" s="124" t="e">
        <v>#N/A</v>
      </c>
      <c r="BX213" s="124" t="e">
        <v>#N/A</v>
      </c>
      <c r="BY213" s="124" t="e">
        <v>#N/A</v>
      </c>
      <c r="BZ213" s="124" t="e">
        <v>#N/A</v>
      </c>
      <c r="CA213" s="125"/>
      <c r="CB213" s="124">
        <v>45726</v>
      </c>
      <c r="CC213" s="126">
        <v>1</v>
      </c>
      <c r="CD213" s="127" t="s">
        <v>4186</v>
      </c>
      <c r="CE213" s="128"/>
      <c r="CF213" s="77" t="s">
        <v>4169</v>
      </c>
    </row>
    <row r="214" spans="1:85" ht="14.5" x14ac:dyDescent="0.35">
      <c r="A214" s="77">
        <v>213</v>
      </c>
      <c r="B214" s="106" t="s">
        <v>6327</v>
      </c>
      <c r="C214" s="107" t="s">
        <v>1315</v>
      </c>
      <c r="D214" s="108" t="s">
        <v>338</v>
      </c>
      <c r="E214" s="109" t="s">
        <v>339</v>
      </c>
      <c r="F214" s="110">
        <v>629027122</v>
      </c>
      <c r="G214" s="108" t="s">
        <v>1004</v>
      </c>
      <c r="H214" s="111" t="s">
        <v>209</v>
      </c>
      <c r="I214" s="111" t="s">
        <v>180</v>
      </c>
      <c r="J214" s="111" t="s">
        <v>4649</v>
      </c>
      <c r="K214" s="111" t="s">
        <v>199</v>
      </c>
      <c r="L214" s="112">
        <v>38915</v>
      </c>
      <c r="M214" s="111" t="s">
        <v>253</v>
      </c>
      <c r="N214" s="113"/>
      <c r="O214" s="114" t="s">
        <v>7435</v>
      </c>
      <c r="P214" s="114" t="s">
        <v>7435</v>
      </c>
      <c r="Q214" s="114" t="s">
        <v>4356</v>
      </c>
      <c r="R214" s="114" t="s">
        <v>4356</v>
      </c>
      <c r="S214" s="114" t="s">
        <v>7435</v>
      </c>
      <c r="T214" s="114" t="s">
        <v>7435</v>
      </c>
      <c r="U214" s="114" t="s">
        <v>7435</v>
      </c>
      <c r="V214" s="115"/>
      <c r="W214" s="116" t="s">
        <v>340</v>
      </c>
      <c r="X214" s="116" t="s">
        <v>341</v>
      </c>
      <c r="Y214" s="117">
        <v>3485269</v>
      </c>
      <c r="Z214" s="117">
        <v>3486469</v>
      </c>
      <c r="AA214" s="118"/>
      <c r="AB214" s="119" t="s">
        <v>5610</v>
      </c>
      <c r="AC214" s="119" t="s">
        <v>1316</v>
      </c>
      <c r="AD214" s="119">
        <v>5447</v>
      </c>
      <c r="AE214" s="119" t="s">
        <v>3822</v>
      </c>
      <c r="AF214" s="119" t="s">
        <v>7057</v>
      </c>
      <c r="AG214" s="120"/>
      <c r="AH214" s="121">
        <v>44197</v>
      </c>
      <c r="AI214" s="121">
        <v>45523</v>
      </c>
      <c r="AJ214" s="121">
        <v>45523</v>
      </c>
      <c r="AK214" s="122">
        <v>45523</v>
      </c>
      <c r="AL214" s="122">
        <v>44403</v>
      </c>
      <c r="AM214" s="121">
        <v>44197</v>
      </c>
      <c r="AN214" s="121" t="s">
        <v>7054</v>
      </c>
      <c r="AO214" s="121" t="e">
        <v>#N/A</v>
      </c>
      <c r="AP214" s="122" t="e">
        <v>#N/A</v>
      </c>
      <c r="AQ214" s="122" t="e">
        <v>#N/A</v>
      </c>
      <c r="AR214" s="122">
        <v>44676</v>
      </c>
      <c r="AS214" s="122" t="e">
        <v>#N/A</v>
      </c>
      <c r="AT214" s="122" t="e">
        <v>#N/A</v>
      </c>
      <c r="AU214" s="121" t="e">
        <v>#N/A</v>
      </c>
      <c r="AV214" s="122" t="e">
        <v>#N/A</v>
      </c>
      <c r="AW214" s="122">
        <v>45642</v>
      </c>
      <c r="AX214" s="122" t="e">
        <v>#N/A</v>
      </c>
      <c r="AY214" s="122" t="e">
        <v>#N/A</v>
      </c>
      <c r="AZ214" s="122" t="e">
        <v>#N/A</v>
      </c>
      <c r="BA214" s="122">
        <v>44197</v>
      </c>
      <c r="BB214" s="122">
        <v>45690</v>
      </c>
      <c r="BC214" s="122" t="e">
        <v>#N/A</v>
      </c>
      <c r="BD214" s="122" t="e">
        <v>#N/A</v>
      </c>
      <c r="BE214" s="122" t="e">
        <v>#N/A</v>
      </c>
      <c r="BF214" s="122" t="e">
        <v>#N/A</v>
      </c>
      <c r="BG214" s="122" t="e">
        <v>#N/A</v>
      </c>
      <c r="BH214" s="122" t="e">
        <v>#N/A</v>
      </c>
      <c r="BI214" s="122" t="e">
        <v>#N/A</v>
      </c>
      <c r="BJ214" s="122" t="e">
        <v>#N/A</v>
      </c>
      <c r="BK214" s="122">
        <v>45968</v>
      </c>
      <c r="BL214" s="123"/>
      <c r="BM214" s="124" t="e">
        <v>#N/A</v>
      </c>
      <c r="BN214" s="124" t="e">
        <v>#N/A</v>
      </c>
      <c r="BO214" s="124" t="e">
        <v>#N/A</v>
      </c>
      <c r="BP214" s="124" t="e">
        <v>#N/A</v>
      </c>
      <c r="BQ214" s="124" t="e">
        <v>#N/A</v>
      </c>
      <c r="BR214" s="124" t="e">
        <v>#N/A</v>
      </c>
      <c r="BS214" s="124" t="e">
        <v>#N/A</v>
      </c>
      <c r="BT214" s="124" t="e">
        <v>#N/A</v>
      </c>
      <c r="BU214" s="124" t="e">
        <v>#N/A</v>
      </c>
      <c r="BV214" s="124" t="e">
        <v>#N/A</v>
      </c>
      <c r="BW214" s="124" t="e">
        <v>#N/A</v>
      </c>
      <c r="BX214" s="124" t="e">
        <v>#N/A</v>
      </c>
      <c r="BY214" s="124" t="e">
        <v>#N/A</v>
      </c>
      <c r="BZ214" s="124" t="e">
        <v>#N/A</v>
      </c>
      <c r="CA214" s="125"/>
      <c r="CB214" s="124">
        <v>45727</v>
      </c>
      <c r="CC214" s="126">
        <v>1</v>
      </c>
      <c r="CD214" s="127" t="e">
        <v>#N/A</v>
      </c>
      <c r="CE214" s="128"/>
      <c r="CF214" s="77" t="s">
        <v>4169</v>
      </c>
    </row>
    <row r="215" spans="1:85" ht="14.5" x14ac:dyDescent="0.35">
      <c r="A215" s="77">
        <v>214</v>
      </c>
      <c r="B215" s="106" t="s">
        <v>30</v>
      </c>
      <c r="C215" s="107" t="s">
        <v>1446</v>
      </c>
      <c r="D215" s="108" t="s">
        <v>434</v>
      </c>
      <c r="E215" s="109" t="s">
        <v>435</v>
      </c>
      <c r="F215" s="110">
        <v>676895823</v>
      </c>
      <c r="G215" s="108" t="s">
        <v>1004</v>
      </c>
      <c r="H215" s="111" t="s">
        <v>209</v>
      </c>
      <c r="I215" s="111" t="s">
        <v>180</v>
      </c>
      <c r="J215" s="111" t="s">
        <v>4649</v>
      </c>
      <c r="K215" s="111" t="s">
        <v>199</v>
      </c>
      <c r="L215" s="112">
        <v>39939</v>
      </c>
      <c r="M215" s="111" t="s">
        <v>253</v>
      </c>
      <c r="N215" s="113"/>
      <c r="O215" s="114" t="s">
        <v>226</v>
      </c>
      <c r="P215" s="114" t="s">
        <v>4467</v>
      </c>
      <c r="Q215" s="114" t="s">
        <v>4373</v>
      </c>
      <c r="R215" s="114" t="s">
        <v>4373</v>
      </c>
      <c r="S215" s="114" t="s">
        <v>4373</v>
      </c>
      <c r="T215" s="114" t="s">
        <v>183</v>
      </c>
      <c r="U215" s="114" t="s">
        <v>183</v>
      </c>
      <c r="V215" s="115"/>
      <c r="W215" s="116" t="s">
        <v>436</v>
      </c>
      <c r="X215" s="116" t="s">
        <v>437</v>
      </c>
      <c r="Y215" s="117">
        <v>3485198</v>
      </c>
      <c r="Z215" s="117">
        <v>3481033</v>
      </c>
      <c r="AA215" s="118"/>
      <c r="AB215" s="119" t="s">
        <v>5789</v>
      </c>
      <c r="AC215" s="119" t="s">
        <v>1447</v>
      </c>
      <c r="AD215" s="119" t="s">
        <v>3923</v>
      </c>
      <c r="AE215" s="119" t="s">
        <v>3923</v>
      </c>
      <c r="AF215" s="119" t="s">
        <v>7081</v>
      </c>
      <c r="AG215" s="120"/>
      <c r="AH215" s="121">
        <v>44197</v>
      </c>
      <c r="AI215" s="121">
        <v>45240</v>
      </c>
      <c r="AJ215" s="121">
        <v>45195</v>
      </c>
      <c r="AK215" s="122">
        <v>45240</v>
      </c>
      <c r="AL215" s="122">
        <v>45238</v>
      </c>
      <c r="AM215" s="121">
        <v>45240</v>
      </c>
      <c r="AN215" s="121" t="s">
        <v>7059</v>
      </c>
      <c r="AO215" s="121" t="e">
        <v>#N/A</v>
      </c>
      <c r="AP215" s="122" t="e">
        <v>#N/A</v>
      </c>
      <c r="AQ215" s="122" t="e">
        <v>#N/A</v>
      </c>
      <c r="AR215" s="122">
        <v>45239</v>
      </c>
      <c r="AS215" s="122" t="e">
        <v>#N/A</v>
      </c>
      <c r="AT215" s="122" t="e">
        <v>#N/A</v>
      </c>
      <c r="AU215" s="121" t="e">
        <v>#N/A</v>
      </c>
      <c r="AV215" s="122" t="e">
        <v>#N/A</v>
      </c>
      <c r="AW215" s="122">
        <v>45670</v>
      </c>
      <c r="AX215" s="122" t="e">
        <v>#N/A</v>
      </c>
      <c r="AY215" s="122" t="e">
        <v>#N/A</v>
      </c>
      <c r="AZ215" s="122" t="e">
        <v>#N/A</v>
      </c>
      <c r="BA215" s="122" t="e">
        <v>#N/A</v>
      </c>
      <c r="BB215" s="122" t="e">
        <v>#N/A</v>
      </c>
      <c r="BC215" s="122" t="e">
        <v>#N/A</v>
      </c>
      <c r="BD215" s="122" t="e">
        <v>#N/A</v>
      </c>
      <c r="BE215" s="122" t="e">
        <v>#N/A</v>
      </c>
      <c r="BF215" s="122" t="e">
        <v>#N/A</v>
      </c>
      <c r="BG215" s="122" t="e">
        <v>#N/A</v>
      </c>
      <c r="BH215" s="122" t="e">
        <v>#N/A</v>
      </c>
      <c r="BI215" s="122" t="e">
        <v>#N/A</v>
      </c>
      <c r="BJ215" s="122" t="e">
        <v>#N/A</v>
      </c>
      <c r="BK215" s="122">
        <v>45964</v>
      </c>
      <c r="BL215" s="123"/>
      <c r="BM215" s="124" t="e">
        <v>#N/A</v>
      </c>
      <c r="BN215" s="124" t="e">
        <v>#N/A</v>
      </c>
      <c r="BO215" s="124" t="e">
        <v>#N/A</v>
      </c>
      <c r="BP215" s="124" t="e">
        <v>#N/A</v>
      </c>
      <c r="BQ215" s="124" t="e">
        <v>#N/A</v>
      </c>
      <c r="BR215" s="124" t="e">
        <v>#N/A</v>
      </c>
      <c r="BS215" s="124" t="e">
        <v>#N/A</v>
      </c>
      <c r="BT215" s="124" t="e">
        <v>#N/A</v>
      </c>
      <c r="BU215" s="124" t="e">
        <v>#N/A</v>
      </c>
      <c r="BV215" s="124" t="e">
        <v>#N/A</v>
      </c>
      <c r="BW215" s="124" t="e">
        <v>#N/A</v>
      </c>
      <c r="BX215" s="124" t="e">
        <v>#N/A</v>
      </c>
      <c r="BY215" s="124" t="e">
        <v>#N/A</v>
      </c>
      <c r="BZ215" s="124" t="e">
        <v>#N/A</v>
      </c>
      <c r="CA215" s="125"/>
      <c r="CB215" s="124">
        <v>45727</v>
      </c>
      <c r="CC215" s="126">
        <v>1</v>
      </c>
      <c r="CD215" s="127" t="s">
        <v>4151</v>
      </c>
      <c r="CE215" s="128"/>
      <c r="CF215" s="77" t="s">
        <v>4169</v>
      </c>
    </row>
    <row r="216" spans="1:85" ht="14.5" x14ac:dyDescent="0.35">
      <c r="A216" s="77">
        <v>215</v>
      </c>
      <c r="B216" s="106" t="s">
        <v>6370</v>
      </c>
      <c r="C216" s="107" t="s">
        <v>1468</v>
      </c>
      <c r="D216" s="108" t="s">
        <v>408</v>
      </c>
      <c r="E216" s="109" t="s">
        <v>409</v>
      </c>
      <c r="F216" s="110">
        <v>692386517</v>
      </c>
      <c r="G216" s="108" t="s">
        <v>1004</v>
      </c>
      <c r="H216" s="111" t="s">
        <v>209</v>
      </c>
      <c r="I216" s="111" t="s">
        <v>180</v>
      </c>
      <c r="J216" s="111" t="s">
        <v>4649</v>
      </c>
      <c r="K216" s="111" t="s">
        <v>199</v>
      </c>
      <c r="L216" s="112">
        <v>41801</v>
      </c>
      <c r="M216" s="111" t="s">
        <v>253</v>
      </c>
      <c r="N216" s="113"/>
      <c r="O216" s="114" t="s">
        <v>4046</v>
      </c>
      <c r="P216" s="114" t="s">
        <v>7270</v>
      </c>
      <c r="Q216" s="114" t="s">
        <v>4046</v>
      </c>
      <c r="R216" s="114" t="s">
        <v>4046</v>
      </c>
      <c r="S216" s="114" t="s">
        <v>7270</v>
      </c>
      <c r="T216" s="114" t="s">
        <v>183</v>
      </c>
      <c r="U216" s="114" t="s">
        <v>183</v>
      </c>
      <c r="V216" s="115"/>
      <c r="W216" s="116" t="s">
        <v>411</v>
      </c>
      <c r="X216" s="116" t="s">
        <v>412</v>
      </c>
      <c r="Y216" s="117">
        <v>3485453</v>
      </c>
      <c r="Z216" s="117">
        <v>3481064</v>
      </c>
      <c r="AA216" s="118"/>
      <c r="AB216" s="119" t="s">
        <v>5176</v>
      </c>
      <c r="AC216" s="119" t="s">
        <v>1469</v>
      </c>
      <c r="AD216" s="119">
        <v>26154</v>
      </c>
      <c r="AE216" s="119" t="s">
        <v>3930</v>
      </c>
      <c r="AF216" s="119" t="s">
        <v>7069</v>
      </c>
      <c r="AG216" s="120"/>
      <c r="AH216" s="121">
        <v>44197</v>
      </c>
      <c r="AI216" s="121">
        <v>44197</v>
      </c>
      <c r="AJ216" s="121">
        <v>44197</v>
      </c>
      <c r="AK216" s="122">
        <v>44197</v>
      </c>
      <c r="AL216" s="122">
        <v>45076</v>
      </c>
      <c r="AM216" s="121">
        <v>45091</v>
      </c>
      <c r="AN216" s="121" t="s">
        <v>7070</v>
      </c>
      <c r="AO216" s="121" t="e">
        <v>#N/A</v>
      </c>
      <c r="AP216" s="122" t="e">
        <v>#N/A</v>
      </c>
      <c r="AQ216" s="122" t="e">
        <v>#N/A</v>
      </c>
      <c r="AR216" s="122">
        <v>45091</v>
      </c>
      <c r="AS216" s="122" t="e">
        <v>#N/A</v>
      </c>
      <c r="AT216" s="122" t="e">
        <v>#N/A</v>
      </c>
      <c r="AU216" s="121" t="e">
        <v>#N/A</v>
      </c>
      <c r="AV216" s="122" t="e">
        <v>#N/A</v>
      </c>
      <c r="AW216" s="122">
        <v>45939</v>
      </c>
      <c r="AX216" s="122" t="e">
        <v>#N/A</v>
      </c>
      <c r="AY216" s="122" t="e">
        <v>#N/A</v>
      </c>
      <c r="AZ216" s="122" t="e">
        <v>#N/A</v>
      </c>
      <c r="BA216" s="122">
        <v>45091</v>
      </c>
      <c r="BB216" s="122" t="e">
        <v>#N/A</v>
      </c>
      <c r="BC216" s="122" t="e">
        <v>#N/A</v>
      </c>
      <c r="BD216" s="122" t="e">
        <v>#N/A</v>
      </c>
      <c r="BE216" s="122" t="e">
        <v>#N/A</v>
      </c>
      <c r="BF216" s="122" t="e">
        <v>#N/A</v>
      </c>
      <c r="BG216" s="122" t="e">
        <v>#N/A</v>
      </c>
      <c r="BH216" s="122" t="e">
        <v>#N/A</v>
      </c>
      <c r="BI216" s="122" t="e">
        <v>#N/A</v>
      </c>
      <c r="BJ216" s="122" t="e">
        <v>#N/A</v>
      </c>
      <c r="BK216" s="122">
        <v>45961</v>
      </c>
      <c r="BL216" s="123"/>
      <c r="BM216" s="124" t="e">
        <v>#N/A</v>
      </c>
      <c r="BN216" s="124" t="e">
        <v>#N/A</v>
      </c>
      <c r="BO216" s="124" t="e">
        <v>#N/A</v>
      </c>
      <c r="BP216" s="124" t="e">
        <v>#N/A</v>
      </c>
      <c r="BQ216" s="124" t="e">
        <v>#N/A</v>
      </c>
      <c r="BR216" s="124" t="e">
        <v>#N/A</v>
      </c>
      <c r="BS216" s="124" t="e">
        <v>#N/A</v>
      </c>
      <c r="BT216" s="124" t="e">
        <v>#N/A</v>
      </c>
      <c r="BU216" s="124" t="e">
        <v>#N/A</v>
      </c>
      <c r="BV216" s="124" t="e">
        <v>#N/A</v>
      </c>
      <c r="BW216" s="124" t="e">
        <v>#N/A</v>
      </c>
      <c r="BX216" s="124" t="e">
        <v>#N/A</v>
      </c>
      <c r="BY216" s="124" t="e">
        <v>#N/A</v>
      </c>
      <c r="BZ216" s="124" t="e">
        <v>#N/A</v>
      </c>
      <c r="CA216" s="125"/>
      <c r="CB216" s="124">
        <v>45728</v>
      </c>
      <c r="CC216" s="126">
        <v>1</v>
      </c>
      <c r="CD216" s="127" t="e">
        <v>#N/A</v>
      </c>
      <c r="CE216" s="128"/>
      <c r="CF216" s="77" t="s">
        <v>4169</v>
      </c>
    </row>
    <row r="217" spans="1:85" ht="14.5" x14ac:dyDescent="0.35">
      <c r="A217" s="77">
        <v>216</v>
      </c>
      <c r="B217" s="106" t="s">
        <v>6332</v>
      </c>
      <c r="C217" s="107" t="s">
        <v>1237</v>
      </c>
      <c r="D217" s="108" t="s">
        <v>353</v>
      </c>
      <c r="E217" s="109" t="s">
        <v>354</v>
      </c>
      <c r="F217" s="110">
        <v>955695126</v>
      </c>
      <c r="G217" s="108" t="s">
        <v>1004</v>
      </c>
      <c r="H217" s="111" t="s">
        <v>209</v>
      </c>
      <c r="I217" s="111" t="s">
        <v>180</v>
      </c>
      <c r="J217" s="111" t="s">
        <v>4649</v>
      </c>
      <c r="K217" s="111" t="s">
        <v>199</v>
      </c>
      <c r="L217" s="112">
        <v>38961</v>
      </c>
      <c r="M217" s="111" t="s">
        <v>2646</v>
      </c>
      <c r="N217" s="113"/>
      <c r="O217" s="114" t="s">
        <v>7246</v>
      </c>
      <c r="P217" s="114" t="s">
        <v>7246</v>
      </c>
      <c r="Q217" s="114" t="s">
        <v>469</v>
      </c>
      <c r="R217" s="114" t="s">
        <v>7246</v>
      </c>
      <c r="S217" s="114" t="s">
        <v>7246</v>
      </c>
      <c r="T217" s="114" t="s">
        <v>183</v>
      </c>
      <c r="U217" s="114" t="s">
        <v>183</v>
      </c>
      <c r="V217" s="115"/>
      <c r="W217" s="116" t="s">
        <v>355</v>
      </c>
      <c r="X217" s="116" t="s">
        <v>356</v>
      </c>
      <c r="Y217" s="117">
        <v>3485161</v>
      </c>
      <c r="Z217" s="117">
        <v>3481075</v>
      </c>
      <c r="AA217" s="118"/>
      <c r="AB217" s="119" t="s">
        <v>5703</v>
      </c>
      <c r="AC217" s="119" t="s">
        <v>1238</v>
      </c>
      <c r="AD217" s="119">
        <v>4153</v>
      </c>
      <c r="AE217" s="119" t="s">
        <v>357</v>
      </c>
      <c r="AF217" s="119">
        <v>0</v>
      </c>
      <c r="AG217" s="120"/>
      <c r="AH217" s="121">
        <v>44197</v>
      </c>
      <c r="AI217" s="121">
        <v>44197</v>
      </c>
      <c r="AJ217" s="121">
        <v>44197</v>
      </c>
      <c r="AK217" s="122">
        <v>44197</v>
      </c>
      <c r="AL217" s="122" t="e">
        <v>#N/A</v>
      </c>
      <c r="AM217" s="121" t="e">
        <v>#N/A</v>
      </c>
      <c r="AN217" s="121" t="e">
        <v>#N/A</v>
      </c>
      <c r="AO217" s="121" t="e">
        <v>#N/A</v>
      </c>
      <c r="AP217" s="122" t="e">
        <v>#N/A</v>
      </c>
      <c r="AQ217" s="122" t="e">
        <v>#N/A</v>
      </c>
      <c r="AR217" s="122" t="e">
        <v>#N/A</v>
      </c>
      <c r="AS217" s="122" t="e">
        <v>#N/A</v>
      </c>
      <c r="AT217" s="122" t="e">
        <v>#N/A</v>
      </c>
      <c r="AU217" s="121" t="e">
        <v>#N/A</v>
      </c>
      <c r="AV217" s="122" t="e">
        <v>#N/A</v>
      </c>
      <c r="AW217" s="122" t="e">
        <v>#N/A</v>
      </c>
      <c r="AX217" s="122" t="e">
        <v>#N/A</v>
      </c>
      <c r="AY217" s="122" t="e">
        <v>#N/A</v>
      </c>
      <c r="AZ217" s="122" t="e">
        <v>#N/A</v>
      </c>
      <c r="BA217" s="122" t="e">
        <v>#N/A</v>
      </c>
      <c r="BB217" s="122" t="e">
        <v>#N/A</v>
      </c>
      <c r="BC217" s="122" t="e">
        <v>#N/A</v>
      </c>
      <c r="BD217" s="122" t="e">
        <v>#N/A</v>
      </c>
      <c r="BE217" s="122" t="e">
        <v>#N/A</v>
      </c>
      <c r="BF217" s="122" t="e">
        <v>#N/A</v>
      </c>
      <c r="BG217" s="122" t="e">
        <v>#N/A</v>
      </c>
      <c r="BH217" s="122" t="e">
        <v>#N/A</v>
      </c>
      <c r="BI217" s="122" t="e">
        <v>#N/A</v>
      </c>
      <c r="BJ217" s="122" t="e">
        <v>#N/A</v>
      </c>
      <c r="BK217" s="122" t="e">
        <v>#N/A</v>
      </c>
      <c r="BL217" s="123"/>
      <c r="BM217" s="124" t="e">
        <v>#N/A</v>
      </c>
      <c r="BN217" s="124" t="e">
        <v>#N/A</v>
      </c>
      <c r="BO217" s="124" t="e">
        <v>#N/A</v>
      </c>
      <c r="BP217" s="124" t="e">
        <v>#N/A</v>
      </c>
      <c r="BQ217" s="124" t="e">
        <v>#N/A</v>
      </c>
      <c r="BR217" s="124" t="e">
        <v>#N/A</v>
      </c>
      <c r="BS217" s="124" t="e">
        <v>#N/A</v>
      </c>
      <c r="BT217" s="124" t="e">
        <v>#N/A</v>
      </c>
      <c r="BU217" s="124" t="e">
        <v>#N/A</v>
      </c>
      <c r="BV217" s="124" t="e">
        <v>#N/A</v>
      </c>
      <c r="BW217" s="124" t="e">
        <v>#N/A</v>
      </c>
      <c r="BX217" s="124" t="e">
        <v>#N/A</v>
      </c>
      <c r="BY217" s="124" t="e">
        <v>#N/A</v>
      </c>
      <c r="BZ217" s="124" t="e">
        <v>#N/A</v>
      </c>
      <c r="CA217" s="125"/>
      <c r="CB217" s="124" t="e">
        <v>#N/A</v>
      </c>
      <c r="CC217" s="126">
        <v>1</v>
      </c>
      <c r="CD217" s="127" t="e">
        <v>#N/A</v>
      </c>
      <c r="CE217" s="128"/>
      <c r="CF217" s="77" t="s">
        <v>4161</v>
      </c>
    </row>
    <row r="218" spans="1:85" ht="14.5" x14ac:dyDescent="0.35">
      <c r="A218" s="77">
        <v>217</v>
      </c>
      <c r="B218" s="106" t="s">
        <v>3905</v>
      </c>
      <c r="C218" s="107" t="s">
        <v>6702</v>
      </c>
      <c r="D218" s="108" t="s">
        <v>3906</v>
      </c>
      <c r="E218" s="109" t="s">
        <v>3907</v>
      </c>
      <c r="F218" s="110">
        <v>656764247</v>
      </c>
      <c r="G218" s="108" t="s">
        <v>1004</v>
      </c>
      <c r="H218" s="111" t="s">
        <v>209</v>
      </c>
      <c r="I218" s="111" t="s">
        <v>180</v>
      </c>
      <c r="J218" s="111" t="s">
        <v>4649</v>
      </c>
      <c r="K218" s="111" t="s">
        <v>199</v>
      </c>
      <c r="L218" s="112">
        <v>45544</v>
      </c>
      <c r="M218" s="111" t="s">
        <v>1719</v>
      </c>
      <c r="N218" s="113"/>
      <c r="O218" s="114" t="s">
        <v>257</v>
      </c>
      <c r="P218" s="114" t="s">
        <v>183</v>
      </c>
      <c r="Q218" s="114" t="s">
        <v>257</v>
      </c>
      <c r="R218" s="114" t="s">
        <v>7356</v>
      </c>
      <c r="S218" s="114" t="s">
        <v>183</v>
      </c>
      <c r="T218" s="114" t="s">
        <v>257</v>
      </c>
      <c r="U218" s="114" t="s">
        <v>257</v>
      </c>
      <c r="V218" s="115"/>
      <c r="W218" s="116" t="s">
        <v>3908</v>
      </c>
      <c r="X218" s="116" t="s">
        <v>3909</v>
      </c>
      <c r="Y218" s="117">
        <v>3485775</v>
      </c>
      <c r="Z218" s="117">
        <v>3486429</v>
      </c>
      <c r="AA218" s="118"/>
      <c r="AB218" s="119" t="s">
        <v>3984</v>
      </c>
      <c r="AC218" s="119" t="s">
        <v>3934</v>
      </c>
      <c r="AD218" s="119">
        <v>26143</v>
      </c>
      <c r="AE218" s="119" t="s">
        <v>3910</v>
      </c>
      <c r="AF218" s="119" t="s">
        <v>7185</v>
      </c>
      <c r="AG218" s="120"/>
      <c r="AH218" s="121">
        <v>45560</v>
      </c>
      <c r="AI218" s="121">
        <v>45560</v>
      </c>
      <c r="AJ218" s="121">
        <v>45560</v>
      </c>
      <c r="AK218" s="122">
        <v>45560</v>
      </c>
      <c r="AL218" s="122" t="e">
        <v>#N/A</v>
      </c>
      <c r="AM218" s="121" t="e">
        <v>#N/A</v>
      </c>
      <c r="AN218" s="121" t="e">
        <v>#N/A</v>
      </c>
      <c r="AO218" s="121" t="e">
        <v>#N/A</v>
      </c>
      <c r="AP218" s="122" t="e">
        <v>#N/A</v>
      </c>
      <c r="AQ218" s="122" t="e">
        <v>#N/A</v>
      </c>
      <c r="AR218" s="122" t="e">
        <v>#N/A</v>
      </c>
      <c r="AS218" s="122" t="e">
        <v>#N/A</v>
      </c>
      <c r="AT218" s="122" t="e">
        <v>#N/A</v>
      </c>
      <c r="AU218" s="121" t="e">
        <v>#N/A</v>
      </c>
      <c r="AV218" s="122" t="e">
        <v>#N/A</v>
      </c>
      <c r="AW218" s="122">
        <v>45677</v>
      </c>
      <c r="AX218" s="122" t="e">
        <v>#N/A</v>
      </c>
      <c r="AY218" s="122" t="e">
        <v>#N/A</v>
      </c>
      <c r="AZ218" s="122" t="e">
        <v>#N/A</v>
      </c>
      <c r="BA218" s="122" t="e">
        <v>#N/A</v>
      </c>
      <c r="BB218" s="122" t="e">
        <v>#N/A</v>
      </c>
      <c r="BC218" s="122" t="e">
        <v>#N/A</v>
      </c>
      <c r="BD218" s="122" t="e">
        <v>#N/A</v>
      </c>
      <c r="BE218" s="122" t="e">
        <v>#N/A</v>
      </c>
      <c r="BF218" s="122" t="e">
        <v>#N/A</v>
      </c>
      <c r="BG218" s="122" t="e">
        <v>#N/A</v>
      </c>
      <c r="BH218" s="122" t="e">
        <v>#N/A</v>
      </c>
      <c r="BI218" s="122" t="e">
        <v>#N/A</v>
      </c>
      <c r="BJ218" s="122" t="e">
        <v>#N/A</v>
      </c>
      <c r="BK218" s="122" t="s">
        <v>6040</v>
      </c>
      <c r="BL218" s="123"/>
      <c r="BM218" s="124" t="e">
        <v>#N/A</v>
      </c>
      <c r="BN218" s="124" t="e">
        <v>#N/A</v>
      </c>
      <c r="BO218" s="124" t="e">
        <v>#N/A</v>
      </c>
      <c r="BP218" s="124" t="e">
        <v>#N/A</v>
      </c>
      <c r="BQ218" s="124" t="e">
        <v>#N/A</v>
      </c>
      <c r="BR218" s="124" t="e">
        <v>#N/A</v>
      </c>
      <c r="BS218" s="124" t="e">
        <v>#N/A</v>
      </c>
      <c r="BT218" s="124" t="e">
        <v>#N/A</v>
      </c>
      <c r="BU218" s="124" t="e">
        <v>#N/A</v>
      </c>
      <c r="BV218" s="124" t="e">
        <v>#N/A</v>
      </c>
      <c r="BW218" s="124" t="e">
        <v>#N/A</v>
      </c>
      <c r="BX218" s="124" t="e">
        <v>#N/A</v>
      </c>
      <c r="BY218" s="124" t="e">
        <v>#N/A</v>
      </c>
      <c r="BZ218" s="124" t="e">
        <v>#N/A</v>
      </c>
      <c r="CA218" s="125"/>
      <c r="CB218" s="124" t="e">
        <v>#N/A</v>
      </c>
      <c r="CC218" s="126">
        <v>1</v>
      </c>
      <c r="CD218" s="127" t="s">
        <v>4210</v>
      </c>
      <c r="CE218" s="128"/>
      <c r="CF218" s="77" t="s">
        <v>4169</v>
      </c>
    </row>
    <row r="219" spans="1:85" ht="14.5" x14ac:dyDescent="0.35">
      <c r="A219" s="77">
        <v>218</v>
      </c>
      <c r="B219" s="106" t="s">
        <v>3294</v>
      </c>
      <c r="C219" s="107" t="s">
        <v>6415</v>
      </c>
      <c r="D219" s="108" t="s">
        <v>3322</v>
      </c>
      <c r="E219" s="109" t="s">
        <v>3295</v>
      </c>
      <c r="F219" s="110">
        <v>626628852</v>
      </c>
      <c r="G219" s="108" t="s">
        <v>1004</v>
      </c>
      <c r="H219" s="111" t="s">
        <v>209</v>
      </c>
      <c r="I219" s="111" t="s">
        <v>180</v>
      </c>
      <c r="J219" s="111" t="s">
        <v>4649</v>
      </c>
      <c r="K219" s="111" t="s">
        <v>199</v>
      </c>
      <c r="L219" s="112">
        <v>40834</v>
      </c>
      <c r="M219" s="111" t="s">
        <v>2651</v>
      </c>
      <c r="N219" s="113"/>
      <c r="O219" s="114" t="s">
        <v>4264</v>
      </c>
      <c r="P219" s="114" t="s">
        <v>4264</v>
      </c>
      <c r="Q219" s="114" t="s">
        <v>585</v>
      </c>
      <c r="R219" s="114" t="s">
        <v>4264</v>
      </c>
      <c r="S219" s="114" t="s">
        <v>4264</v>
      </c>
      <c r="T219" s="114" t="s">
        <v>183</v>
      </c>
      <c r="U219" s="114" t="s">
        <v>183</v>
      </c>
      <c r="V219" s="115"/>
      <c r="W219" s="116" t="s">
        <v>3296</v>
      </c>
      <c r="X219" s="116" t="s">
        <v>3297</v>
      </c>
      <c r="Y219" s="117">
        <v>3485281</v>
      </c>
      <c r="Z219" s="117">
        <v>3481067</v>
      </c>
      <c r="AA219" s="118"/>
      <c r="AB219" s="119" t="s">
        <v>5215</v>
      </c>
      <c r="AC219" s="119" t="s">
        <v>3298</v>
      </c>
      <c r="AD219" s="119">
        <v>27601</v>
      </c>
      <c r="AE219" s="119" t="s">
        <v>3299</v>
      </c>
      <c r="AF219" s="119">
        <v>0</v>
      </c>
      <c r="AG219" s="120"/>
      <c r="AH219" s="121">
        <v>45448</v>
      </c>
      <c r="AI219" s="121">
        <v>45448</v>
      </c>
      <c r="AJ219" s="121">
        <v>45448</v>
      </c>
      <c r="AK219" s="122">
        <v>45448</v>
      </c>
      <c r="AL219" s="122" t="e">
        <v>#N/A</v>
      </c>
      <c r="AM219" s="121" t="e">
        <v>#N/A</v>
      </c>
      <c r="AN219" s="121" t="e">
        <v>#N/A</v>
      </c>
      <c r="AO219" s="121" t="e">
        <v>#N/A</v>
      </c>
      <c r="AP219" s="122" t="e">
        <v>#N/A</v>
      </c>
      <c r="AQ219" s="122" t="e">
        <v>#N/A</v>
      </c>
      <c r="AR219" s="122" t="e">
        <v>#N/A</v>
      </c>
      <c r="AS219" s="122" t="e">
        <v>#N/A</v>
      </c>
      <c r="AT219" s="122">
        <v>45441</v>
      </c>
      <c r="AU219" s="121" t="e">
        <v>#N/A</v>
      </c>
      <c r="AV219" s="122" t="e">
        <v>#N/A</v>
      </c>
      <c r="AW219" s="122">
        <v>45763</v>
      </c>
      <c r="AX219" s="122" t="e">
        <v>#N/A</v>
      </c>
      <c r="AY219" s="122" t="e">
        <v>#N/A</v>
      </c>
      <c r="AZ219" s="122" t="e">
        <v>#N/A</v>
      </c>
      <c r="BA219" s="122" t="e">
        <v>#N/A</v>
      </c>
      <c r="BB219" s="122" t="e">
        <v>#N/A</v>
      </c>
      <c r="BC219" s="122" t="e">
        <v>#N/A</v>
      </c>
      <c r="BD219" s="122" t="e">
        <v>#N/A</v>
      </c>
      <c r="BE219" s="122" t="e">
        <v>#N/A</v>
      </c>
      <c r="BF219" s="122" t="e">
        <v>#N/A</v>
      </c>
      <c r="BG219" s="122" t="e">
        <v>#N/A</v>
      </c>
      <c r="BH219" s="122" t="e">
        <v>#N/A</v>
      </c>
      <c r="BI219" s="122" t="e">
        <v>#N/A</v>
      </c>
      <c r="BJ219" s="122" t="e">
        <v>#N/A</v>
      </c>
      <c r="BK219" s="122" t="e">
        <v>#N/A</v>
      </c>
      <c r="BL219" s="123"/>
      <c r="BM219" s="124" t="e">
        <v>#N/A</v>
      </c>
      <c r="BN219" s="124" t="e">
        <v>#N/A</v>
      </c>
      <c r="BO219" s="124" t="e">
        <v>#N/A</v>
      </c>
      <c r="BP219" s="124" t="e">
        <v>#N/A</v>
      </c>
      <c r="BQ219" s="124" t="e">
        <v>#N/A</v>
      </c>
      <c r="BR219" s="124" t="e">
        <v>#N/A</v>
      </c>
      <c r="BS219" s="124" t="e">
        <v>#N/A</v>
      </c>
      <c r="BT219" s="124" t="e">
        <v>#N/A</v>
      </c>
      <c r="BU219" s="124" t="e">
        <v>#N/A</v>
      </c>
      <c r="BV219" s="124" t="e">
        <v>#N/A</v>
      </c>
      <c r="BW219" s="124" t="e">
        <v>#N/A</v>
      </c>
      <c r="BX219" s="124" t="e">
        <v>#N/A</v>
      </c>
      <c r="BY219" s="124" t="e">
        <v>#N/A</v>
      </c>
      <c r="BZ219" s="124" t="e">
        <v>#N/A</v>
      </c>
      <c r="CA219" s="125"/>
      <c r="CB219" s="124" t="e">
        <v>#N/A</v>
      </c>
      <c r="CC219" s="126">
        <v>1</v>
      </c>
      <c r="CD219" s="127" t="s">
        <v>4150</v>
      </c>
      <c r="CE219" s="128"/>
      <c r="CF219" s="77" t="s">
        <v>4188</v>
      </c>
    </row>
    <row r="220" spans="1:85" ht="14.5" x14ac:dyDescent="0.35">
      <c r="A220" s="77">
        <v>219</v>
      </c>
      <c r="B220" s="106" t="s">
        <v>3431</v>
      </c>
      <c r="C220" s="107" t="s">
        <v>6457</v>
      </c>
      <c r="D220" s="108" t="s">
        <v>3494</v>
      </c>
      <c r="E220" s="109" t="s">
        <v>3432</v>
      </c>
      <c r="F220" s="110">
        <v>647026340</v>
      </c>
      <c r="G220" s="108" t="s">
        <v>1004</v>
      </c>
      <c r="H220" s="111" t="s">
        <v>209</v>
      </c>
      <c r="I220" s="111" t="s">
        <v>180</v>
      </c>
      <c r="J220" s="111" t="s">
        <v>4649</v>
      </c>
      <c r="K220" s="111" t="s">
        <v>199</v>
      </c>
      <c r="L220" s="112">
        <v>45323</v>
      </c>
      <c r="M220" s="111" t="s">
        <v>1477</v>
      </c>
      <c r="N220" s="113"/>
      <c r="O220" s="114" t="s">
        <v>4381</v>
      </c>
      <c r="P220" s="114" t="s">
        <v>4356</v>
      </c>
      <c r="Q220" s="114" t="s">
        <v>4381</v>
      </c>
      <c r="R220" s="114" t="s">
        <v>4381</v>
      </c>
      <c r="S220" s="114" t="s">
        <v>4356</v>
      </c>
      <c r="T220" s="114" t="s">
        <v>4381</v>
      </c>
      <c r="U220" s="114" t="s">
        <v>4381</v>
      </c>
      <c r="V220" s="115"/>
      <c r="W220" s="116" t="s">
        <v>3433</v>
      </c>
      <c r="X220" s="116" t="s">
        <v>3434</v>
      </c>
      <c r="Y220" s="117">
        <v>3485460</v>
      </c>
      <c r="Z220" s="117">
        <v>3481062</v>
      </c>
      <c r="AA220" s="118"/>
      <c r="AB220" s="119" t="s">
        <v>5542</v>
      </c>
      <c r="AC220" s="119" t="s">
        <v>3435</v>
      </c>
      <c r="AD220" s="119">
        <v>27210</v>
      </c>
      <c r="AE220" s="119" t="s">
        <v>3436</v>
      </c>
      <c r="AF220" s="119" t="s">
        <v>7436</v>
      </c>
      <c r="AG220" s="120"/>
      <c r="AH220" s="121">
        <v>45492</v>
      </c>
      <c r="AI220" s="121">
        <v>45492</v>
      </c>
      <c r="AJ220" s="121">
        <v>45492</v>
      </c>
      <c r="AK220" s="122">
        <v>45492</v>
      </c>
      <c r="AL220" s="122">
        <v>45975</v>
      </c>
      <c r="AM220" s="121" t="e">
        <v>#N/A</v>
      </c>
      <c r="AN220" s="121">
        <v>45975</v>
      </c>
      <c r="AO220" s="121">
        <v>45975</v>
      </c>
      <c r="AP220" s="122" t="e">
        <v>#N/A</v>
      </c>
      <c r="AQ220" s="122" t="e">
        <v>#N/A</v>
      </c>
      <c r="AR220" s="122">
        <v>45975</v>
      </c>
      <c r="AS220" s="122" t="e">
        <v>#N/A</v>
      </c>
      <c r="AT220" s="122">
        <v>45492</v>
      </c>
      <c r="AU220" s="121" t="e">
        <v>#N/A</v>
      </c>
      <c r="AV220" s="122" t="e">
        <v>#N/A</v>
      </c>
      <c r="AW220" s="122">
        <v>45670</v>
      </c>
      <c r="AX220" s="122" t="e">
        <v>#N/A</v>
      </c>
      <c r="AY220" s="122" t="e">
        <v>#N/A</v>
      </c>
      <c r="AZ220" s="122" t="e">
        <v>#N/A</v>
      </c>
      <c r="BA220" s="122" t="e">
        <v>#N/A</v>
      </c>
      <c r="BB220" s="122" t="e">
        <v>#N/A</v>
      </c>
      <c r="BC220" s="122" t="e">
        <v>#N/A</v>
      </c>
      <c r="BD220" s="122" t="e">
        <v>#N/A</v>
      </c>
      <c r="BE220" s="122" t="e">
        <v>#N/A</v>
      </c>
      <c r="BF220" s="122" t="e">
        <v>#N/A</v>
      </c>
      <c r="BG220" s="122" t="e">
        <v>#N/A</v>
      </c>
      <c r="BH220" s="122" t="e">
        <v>#N/A</v>
      </c>
      <c r="BI220" s="122" t="e">
        <v>#N/A</v>
      </c>
      <c r="BJ220" s="122" t="e">
        <v>#N/A</v>
      </c>
      <c r="BK220" s="122">
        <v>46000</v>
      </c>
      <c r="BL220" s="123"/>
      <c r="BM220" s="124" t="e">
        <v>#N/A</v>
      </c>
      <c r="BN220" s="124" t="e">
        <v>#N/A</v>
      </c>
      <c r="BO220" s="124" t="e">
        <v>#N/A</v>
      </c>
      <c r="BP220" s="124" t="e">
        <v>#N/A</v>
      </c>
      <c r="BQ220" s="124" t="e">
        <v>#N/A</v>
      </c>
      <c r="BR220" s="124" t="e">
        <v>#N/A</v>
      </c>
      <c r="BS220" s="124" t="e">
        <v>#N/A</v>
      </c>
      <c r="BT220" s="124" t="e">
        <v>#N/A</v>
      </c>
      <c r="BU220" s="124" t="e">
        <v>#N/A</v>
      </c>
      <c r="BV220" s="124" t="e">
        <v>#N/A</v>
      </c>
      <c r="BW220" s="124" t="e">
        <v>#N/A</v>
      </c>
      <c r="BX220" s="124" t="e">
        <v>#N/A</v>
      </c>
      <c r="BY220" s="124" t="e">
        <v>#N/A</v>
      </c>
      <c r="BZ220" s="124" t="e">
        <v>#N/A</v>
      </c>
      <c r="CA220" s="125"/>
      <c r="CB220" s="124">
        <v>45728</v>
      </c>
      <c r="CC220" s="126">
        <v>1</v>
      </c>
      <c r="CD220" s="127" t="s">
        <v>4203</v>
      </c>
      <c r="CE220" s="128"/>
      <c r="CF220" s="77" t="s">
        <v>4157</v>
      </c>
    </row>
    <row r="221" spans="1:85" ht="14.5" x14ac:dyDescent="0.35">
      <c r="A221" s="77">
        <v>220</v>
      </c>
      <c r="B221" s="106" t="s">
        <v>3444</v>
      </c>
      <c r="C221" s="107" t="s">
        <v>6599</v>
      </c>
      <c r="D221" s="108" t="s">
        <v>3489</v>
      </c>
      <c r="E221" s="109" t="s">
        <v>3445</v>
      </c>
      <c r="F221" s="110">
        <v>671137402</v>
      </c>
      <c r="G221" s="108" t="s">
        <v>1004</v>
      </c>
      <c r="H221" s="111" t="s">
        <v>209</v>
      </c>
      <c r="I221" s="111" t="s">
        <v>180</v>
      </c>
      <c r="J221" s="111" t="s">
        <v>4649</v>
      </c>
      <c r="K221" s="111" t="s">
        <v>199</v>
      </c>
      <c r="L221" s="112">
        <v>45327</v>
      </c>
      <c r="M221" s="111" t="s">
        <v>984</v>
      </c>
      <c r="N221" s="113"/>
      <c r="O221" s="114" t="s">
        <v>226</v>
      </c>
      <c r="P221" s="114" t="s">
        <v>183</v>
      </c>
      <c r="Q221" s="114" t="s">
        <v>225</v>
      </c>
      <c r="R221" s="114" t="s">
        <v>7331</v>
      </c>
      <c r="S221" s="114" t="s">
        <v>183</v>
      </c>
      <c r="T221" s="114" t="s">
        <v>226</v>
      </c>
      <c r="U221" s="114" t="s">
        <v>226</v>
      </c>
      <c r="V221" s="115"/>
      <c r="W221" s="116" t="s">
        <v>3423</v>
      </c>
      <c r="X221" s="116" t="s">
        <v>3424</v>
      </c>
      <c r="Y221" s="117">
        <v>3485797</v>
      </c>
      <c r="Z221" s="117">
        <v>3486358</v>
      </c>
      <c r="AA221" s="118"/>
      <c r="AB221" s="119" t="s">
        <v>5344</v>
      </c>
      <c r="AC221" s="119" t="s">
        <v>3497</v>
      </c>
      <c r="AD221" s="119">
        <v>5761</v>
      </c>
      <c r="AE221" s="119" t="s">
        <v>6909</v>
      </c>
      <c r="AF221" s="119" t="s">
        <v>7437</v>
      </c>
      <c r="AG221" s="120"/>
      <c r="AH221" s="121">
        <v>45492</v>
      </c>
      <c r="AI221" s="121">
        <v>45492</v>
      </c>
      <c r="AJ221" s="121">
        <v>45492</v>
      </c>
      <c r="AK221" s="122">
        <v>45492</v>
      </c>
      <c r="AL221" s="122" t="e">
        <v>#N/A</v>
      </c>
      <c r="AM221" s="121" t="e">
        <v>#N/A</v>
      </c>
      <c r="AN221" s="121" t="e">
        <v>#N/A</v>
      </c>
      <c r="AO221" s="121" t="e">
        <v>#N/A</v>
      </c>
      <c r="AP221" s="122" t="e">
        <v>#N/A</v>
      </c>
      <c r="AQ221" s="122" t="e">
        <v>#N/A</v>
      </c>
      <c r="AR221" s="122" t="e">
        <v>#N/A</v>
      </c>
      <c r="AS221" s="122" t="e">
        <v>#N/A</v>
      </c>
      <c r="AT221" s="122">
        <v>45492</v>
      </c>
      <c r="AU221" s="121">
        <v>45912</v>
      </c>
      <c r="AV221" s="122">
        <v>45786</v>
      </c>
      <c r="AW221" s="122">
        <v>45692</v>
      </c>
      <c r="AX221" s="122" t="e">
        <v>#N/A</v>
      </c>
      <c r="AY221" s="122" t="e">
        <v>#N/A</v>
      </c>
      <c r="AZ221" s="122" t="e">
        <v>#N/A</v>
      </c>
      <c r="BA221" s="122" t="e">
        <v>#N/A</v>
      </c>
      <c r="BB221" s="122" t="e">
        <v>#N/A</v>
      </c>
      <c r="BC221" s="122" t="e">
        <v>#N/A</v>
      </c>
      <c r="BD221" s="122" t="e">
        <v>#N/A</v>
      </c>
      <c r="BE221" s="122" t="e">
        <v>#N/A</v>
      </c>
      <c r="BF221" s="122" t="e">
        <v>#N/A</v>
      </c>
      <c r="BG221" s="122" t="e">
        <v>#N/A</v>
      </c>
      <c r="BH221" s="122" t="e">
        <v>#N/A</v>
      </c>
      <c r="BI221" s="122" t="e">
        <v>#N/A</v>
      </c>
      <c r="BJ221" s="122" t="e">
        <v>#N/A</v>
      </c>
      <c r="BK221" s="122">
        <v>45972</v>
      </c>
      <c r="BL221" s="123"/>
      <c r="BM221" s="124" t="e">
        <v>#N/A</v>
      </c>
      <c r="BN221" s="124" t="e">
        <v>#N/A</v>
      </c>
      <c r="BO221" s="124" t="e">
        <v>#N/A</v>
      </c>
      <c r="BP221" s="124" t="e">
        <v>#N/A</v>
      </c>
      <c r="BQ221" s="124" t="e">
        <v>#N/A</v>
      </c>
      <c r="BR221" s="124" t="e">
        <v>#N/A</v>
      </c>
      <c r="BS221" s="124" t="e">
        <v>#N/A</v>
      </c>
      <c r="BT221" s="124" t="e">
        <v>#N/A</v>
      </c>
      <c r="BU221" s="124" t="e">
        <v>#N/A</v>
      </c>
      <c r="BV221" s="124" t="e">
        <v>#N/A</v>
      </c>
      <c r="BW221" s="124" t="e">
        <v>#N/A</v>
      </c>
      <c r="BX221" s="124" t="e">
        <v>#N/A</v>
      </c>
      <c r="BY221" s="124" t="e">
        <v>#N/A</v>
      </c>
      <c r="BZ221" s="124" t="e">
        <v>#N/A</v>
      </c>
      <c r="CA221" s="125"/>
      <c r="CB221" s="124">
        <v>45842</v>
      </c>
      <c r="CC221" s="126">
        <v>1</v>
      </c>
      <c r="CD221" s="127" t="s">
        <v>4203</v>
      </c>
      <c r="CE221" s="128"/>
      <c r="CF221" s="77" t="s">
        <v>4150</v>
      </c>
    </row>
    <row r="222" spans="1:85" ht="14.5" x14ac:dyDescent="0.35">
      <c r="A222" s="77">
        <v>221</v>
      </c>
      <c r="B222" s="106" t="s">
        <v>3558</v>
      </c>
      <c r="C222" s="107" t="s">
        <v>6646</v>
      </c>
      <c r="D222" s="108" t="s">
        <v>3559</v>
      </c>
      <c r="E222" s="109" t="s">
        <v>3560</v>
      </c>
      <c r="F222" s="110">
        <v>635817054</v>
      </c>
      <c r="G222" s="108" t="s">
        <v>1004</v>
      </c>
      <c r="H222" s="111" t="s">
        <v>209</v>
      </c>
      <c r="I222" s="111" t="s">
        <v>180</v>
      </c>
      <c r="J222" s="111" t="s">
        <v>4649</v>
      </c>
      <c r="K222" s="111" t="s">
        <v>199</v>
      </c>
      <c r="L222" s="112">
        <v>45481</v>
      </c>
      <c r="M222" s="111" t="s">
        <v>2352</v>
      </c>
      <c r="N222" s="113"/>
      <c r="O222" s="114" t="s">
        <v>225</v>
      </c>
      <c r="P222" s="114" t="s">
        <v>226</v>
      </c>
      <c r="Q222" s="114" t="s">
        <v>225</v>
      </c>
      <c r="R222" s="114" t="s">
        <v>7331</v>
      </c>
      <c r="S222" s="114" t="s">
        <v>226</v>
      </c>
      <c r="T222" s="114" t="s">
        <v>183</v>
      </c>
      <c r="U222" s="114" t="s">
        <v>183</v>
      </c>
      <c r="V222" s="115"/>
      <c r="W222" s="116" t="s">
        <v>3561</v>
      </c>
      <c r="X222" s="116" t="s">
        <v>3562</v>
      </c>
      <c r="Y222" s="117">
        <v>3485722</v>
      </c>
      <c r="Z222" s="117">
        <v>3486463</v>
      </c>
      <c r="AA222" s="118"/>
      <c r="AB222" s="119" t="s">
        <v>5826</v>
      </c>
      <c r="AC222" s="119" t="s">
        <v>3611</v>
      </c>
      <c r="AD222" s="119">
        <v>5978</v>
      </c>
      <c r="AE222" s="119" t="s">
        <v>4258</v>
      </c>
      <c r="AF222" s="119" t="s">
        <v>7438</v>
      </c>
      <c r="AG222" s="120"/>
      <c r="AH222" s="121">
        <v>45492</v>
      </c>
      <c r="AI222" s="121">
        <v>45492</v>
      </c>
      <c r="AJ222" s="121">
        <v>45492</v>
      </c>
      <c r="AK222" s="122">
        <v>45492</v>
      </c>
      <c r="AL222" s="122" t="e">
        <v>#N/A</v>
      </c>
      <c r="AM222" s="121" t="e">
        <v>#N/A</v>
      </c>
      <c r="AN222" s="121" t="e">
        <v>#N/A</v>
      </c>
      <c r="AO222" s="121" t="e">
        <v>#N/A</v>
      </c>
      <c r="AP222" s="122" t="e">
        <v>#N/A</v>
      </c>
      <c r="AQ222" s="122" t="e">
        <v>#N/A</v>
      </c>
      <c r="AR222" s="122" t="e">
        <v>#N/A</v>
      </c>
      <c r="AS222" s="122" t="e">
        <v>#N/A</v>
      </c>
      <c r="AT222" s="122" t="e">
        <v>#N/A</v>
      </c>
      <c r="AU222" s="121" t="e">
        <v>#N/A</v>
      </c>
      <c r="AV222" s="122" t="e">
        <v>#N/A</v>
      </c>
      <c r="AW222" s="122">
        <v>45756</v>
      </c>
      <c r="AX222" s="122" t="e">
        <v>#N/A</v>
      </c>
      <c r="AY222" s="122" t="e">
        <v>#N/A</v>
      </c>
      <c r="AZ222" s="122" t="e">
        <v>#N/A</v>
      </c>
      <c r="BA222" s="122" t="e">
        <v>#N/A</v>
      </c>
      <c r="BB222" s="122" t="e">
        <v>#N/A</v>
      </c>
      <c r="BC222" s="122" t="e">
        <v>#N/A</v>
      </c>
      <c r="BD222" s="122" t="e">
        <v>#N/A</v>
      </c>
      <c r="BE222" s="122" t="e">
        <v>#N/A</v>
      </c>
      <c r="BF222" s="122" t="e">
        <v>#N/A</v>
      </c>
      <c r="BG222" s="122" t="e">
        <v>#N/A</v>
      </c>
      <c r="BH222" s="122" t="e">
        <v>#N/A</v>
      </c>
      <c r="BI222" s="122" t="e">
        <v>#N/A</v>
      </c>
      <c r="BJ222" s="122" t="e">
        <v>#N/A</v>
      </c>
      <c r="BK222" s="122">
        <v>45980</v>
      </c>
      <c r="BL222" s="123"/>
      <c r="BM222" s="124" t="e">
        <v>#N/A</v>
      </c>
      <c r="BN222" s="124" t="e">
        <v>#N/A</v>
      </c>
      <c r="BO222" s="124" t="e">
        <v>#N/A</v>
      </c>
      <c r="BP222" s="124" t="e">
        <v>#N/A</v>
      </c>
      <c r="BQ222" s="124" t="e">
        <v>#N/A</v>
      </c>
      <c r="BR222" s="124" t="e">
        <v>#N/A</v>
      </c>
      <c r="BS222" s="124" t="e">
        <v>#N/A</v>
      </c>
      <c r="BT222" s="124" t="e">
        <v>#N/A</v>
      </c>
      <c r="BU222" s="124" t="e">
        <v>#N/A</v>
      </c>
      <c r="BV222" s="124" t="e">
        <v>#N/A</v>
      </c>
      <c r="BW222" s="124" t="e">
        <v>#N/A</v>
      </c>
      <c r="BX222" s="124" t="e">
        <v>#N/A</v>
      </c>
      <c r="BY222" s="124" t="e">
        <v>#N/A</v>
      </c>
      <c r="BZ222" s="124" t="e">
        <v>#N/A</v>
      </c>
      <c r="CA222" s="125"/>
      <c r="CB222" s="124">
        <v>45841</v>
      </c>
      <c r="CC222" s="126">
        <v>1</v>
      </c>
      <c r="CD222" s="127" t="s">
        <v>4203</v>
      </c>
      <c r="CE222" s="128" t="e">
        <v>#REF!</v>
      </c>
      <c r="CF222" s="77" t="s">
        <v>4169</v>
      </c>
      <c r="CG222" s="77" t="e">
        <v>#REF!</v>
      </c>
    </row>
    <row r="223" spans="1:85" ht="14.5" x14ac:dyDescent="0.35">
      <c r="A223" s="77">
        <v>222</v>
      </c>
      <c r="B223" s="106" t="s">
        <v>3975</v>
      </c>
      <c r="C223" s="107" t="s">
        <v>6710</v>
      </c>
      <c r="D223" s="108" t="s">
        <v>3976</v>
      </c>
      <c r="E223" s="109" t="s">
        <v>3977</v>
      </c>
      <c r="F223" s="110" t="s">
        <v>3978</v>
      </c>
      <c r="G223" s="108" t="s">
        <v>1004</v>
      </c>
      <c r="H223" s="111" t="s">
        <v>209</v>
      </c>
      <c r="I223" s="111" t="s">
        <v>180</v>
      </c>
      <c r="J223" s="111" t="s">
        <v>4649</v>
      </c>
      <c r="K223" s="111" t="s">
        <v>199</v>
      </c>
      <c r="L223" s="112">
        <v>45579</v>
      </c>
      <c r="M223" s="111" t="s">
        <v>2651</v>
      </c>
      <c r="N223" s="113"/>
      <c r="O223" s="114" t="s">
        <v>3831</v>
      </c>
      <c r="P223" s="114" t="s">
        <v>183</v>
      </c>
      <c r="Q223" s="114" t="s">
        <v>585</v>
      </c>
      <c r="R223" s="114" t="s">
        <v>7382</v>
      </c>
      <c r="S223" s="114" t="s">
        <v>183</v>
      </c>
      <c r="T223" s="114" t="s">
        <v>3831</v>
      </c>
      <c r="U223" s="114" t="s">
        <v>3831</v>
      </c>
      <c r="V223" s="115"/>
      <c r="W223" s="116" t="s">
        <v>3979</v>
      </c>
      <c r="X223" s="116" t="s">
        <v>3980</v>
      </c>
      <c r="Y223" s="117">
        <v>3487046</v>
      </c>
      <c r="Z223" s="117">
        <v>3481296</v>
      </c>
      <c r="AA223" s="118"/>
      <c r="AB223" s="119" t="s">
        <v>5729</v>
      </c>
      <c r="AC223" s="119" t="s">
        <v>3981</v>
      </c>
      <c r="AD223" s="119">
        <v>5771</v>
      </c>
      <c r="AE223" s="119" t="s">
        <v>3982</v>
      </c>
      <c r="AF223" s="119">
        <v>0</v>
      </c>
      <c r="AG223" s="120"/>
      <c r="AH223" s="121">
        <v>45579</v>
      </c>
      <c r="AI223" s="121">
        <v>45579</v>
      </c>
      <c r="AJ223" s="121">
        <v>45579</v>
      </c>
      <c r="AK223" s="122">
        <v>45579</v>
      </c>
      <c r="AL223" s="122">
        <v>45911</v>
      </c>
      <c r="AM223" s="121" t="e">
        <v>#N/A</v>
      </c>
      <c r="AN223" s="121" t="s">
        <v>7190</v>
      </c>
      <c r="AO223" s="121" t="e">
        <v>#N/A</v>
      </c>
      <c r="AP223" s="122" t="e">
        <v>#N/A</v>
      </c>
      <c r="AQ223" s="122" t="e">
        <v>#N/A</v>
      </c>
      <c r="AR223" s="122" t="e">
        <v>#N/A</v>
      </c>
      <c r="AS223" s="122" t="e">
        <v>#N/A</v>
      </c>
      <c r="AT223" s="122" t="e">
        <v>#N/A</v>
      </c>
      <c r="AU223" s="121" t="e">
        <v>#N/A</v>
      </c>
      <c r="AV223" s="122" t="e">
        <v>#N/A</v>
      </c>
      <c r="AW223" s="122">
        <v>45735</v>
      </c>
      <c r="AX223" s="122" t="e">
        <v>#N/A</v>
      </c>
      <c r="AY223" s="122" t="e">
        <v>#N/A</v>
      </c>
      <c r="AZ223" s="122" t="e">
        <v>#N/A</v>
      </c>
      <c r="BA223" s="122" t="e">
        <v>#N/A</v>
      </c>
      <c r="BB223" s="122" t="e">
        <v>#N/A</v>
      </c>
      <c r="BC223" s="122" t="e">
        <v>#N/A</v>
      </c>
      <c r="BD223" s="122" t="e">
        <v>#N/A</v>
      </c>
      <c r="BE223" s="122" t="e">
        <v>#N/A</v>
      </c>
      <c r="BF223" s="122" t="e">
        <v>#N/A</v>
      </c>
      <c r="BG223" s="122" t="e">
        <v>#N/A</v>
      </c>
      <c r="BH223" s="122" t="e">
        <v>#N/A</v>
      </c>
      <c r="BI223" s="122" t="e">
        <v>#N/A</v>
      </c>
      <c r="BJ223" s="122">
        <v>45811</v>
      </c>
      <c r="BK223" s="122" t="e">
        <v>#N/A</v>
      </c>
      <c r="BL223" s="123"/>
      <c r="BM223" s="124" t="e">
        <v>#N/A</v>
      </c>
      <c r="BN223" s="124" t="e">
        <v>#N/A</v>
      </c>
      <c r="BO223" s="124" t="e">
        <v>#N/A</v>
      </c>
      <c r="BP223" s="124" t="e">
        <v>#N/A</v>
      </c>
      <c r="BQ223" s="124" t="e">
        <v>#N/A</v>
      </c>
      <c r="BR223" s="124" t="e">
        <v>#N/A</v>
      </c>
      <c r="BS223" s="124" t="e">
        <v>#N/A</v>
      </c>
      <c r="BT223" s="124" t="e">
        <v>#N/A</v>
      </c>
      <c r="BU223" s="124" t="e">
        <v>#N/A</v>
      </c>
      <c r="BV223" s="124" t="e">
        <v>#N/A</v>
      </c>
      <c r="BW223" s="124" t="e">
        <v>#N/A</v>
      </c>
      <c r="BX223" s="124" t="e">
        <v>#N/A</v>
      </c>
      <c r="BY223" s="124" t="e">
        <v>#N/A</v>
      </c>
      <c r="BZ223" s="124" t="e">
        <v>#N/A</v>
      </c>
      <c r="CA223" s="125"/>
      <c r="CB223" s="124" t="e">
        <v>#N/A</v>
      </c>
      <c r="CC223" s="126">
        <v>1</v>
      </c>
      <c r="CD223" s="127" t="s">
        <v>4212</v>
      </c>
      <c r="CE223" s="128"/>
      <c r="CF223" s="77" t="s">
        <v>4180</v>
      </c>
    </row>
    <row r="224" spans="1:85" ht="14.5" x14ac:dyDescent="0.35">
      <c r="A224" s="77">
        <v>223</v>
      </c>
      <c r="B224" s="106" t="s">
        <v>3839</v>
      </c>
      <c r="C224" s="107" t="s">
        <v>6698</v>
      </c>
      <c r="D224" s="108" t="s">
        <v>3840</v>
      </c>
      <c r="E224" s="109" t="s">
        <v>3841</v>
      </c>
      <c r="F224" s="110">
        <v>610854624</v>
      </c>
      <c r="G224" s="108" t="s">
        <v>1004</v>
      </c>
      <c r="H224" s="111" t="s">
        <v>209</v>
      </c>
      <c r="I224" s="111" t="s">
        <v>180</v>
      </c>
      <c r="J224" s="111" t="s">
        <v>4649</v>
      </c>
      <c r="K224" s="111" t="s">
        <v>199</v>
      </c>
      <c r="L224" s="112">
        <v>45532</v>
      </c>
      <c r="M224" s="111" t="s">
        <v>3172</v>
      </c>
      <c r="N224" s="113"/>
      <c r="O224" s="114" t="s">
        <v>7439</v>
      </c>
      <c r="P224" s="114" t="s">
        <v>7439</v>
      </c>
      <c r="Q224" s="114" t="s">
        <v>4356</v>
      </c>
      <c r="R224" s="114" t="s">
        <v>4356</v>
      </c>
      <c r="S224" s="114" t="s">
        <v>7439</v>
      </c>
      <c r="T224" s="114" t="s">
        <v>7439</v>
      </c>
      <c r="U224" s="114" t="s">
        <v>7439</v>
      </c>
      <c r="V224" s="115"/>
      <c r="W224" s="116" t="s">
        <v>3842</v>
      </c>
      <c r="X224" s="116" t="s">
        <v>3843</v>
      </c>
      <c r="Y224" s="117">
        <v>3487012</v>
      </c>
      <c r="Z224" s="117">
        <v>3481516</v>
      </c>
      <c r="AA224" s="118"/>
      <c r="AB224" s="119" t="s">
        <v>5640</v>
      </c>
      <c r="AC224" s="119" t="s">
        <v>3889</v>
      </c>
      <c r="AD224" s="119">
        <v>26091</v>
      </c>
      <c r="AE224" s="119" t="s">
        <v>3890</v>
      </c>
      <c r="AF224" s="119">
        <v>0</v>
      </c>
      <c r="AG224" s="120"/>
      <c r="AH224" s="121">
        <v>45547</v>
      </c>
      <c r="AI224" s="121">
        <v>45547</v>
      </c>
      <c r="AJ224" s="121">
        <v>45547</v>
      </c>
      <c r="AK224" s="122">
        <v>45547</v>
      </c>
      <c r="AL224" s="122">
        <v>45874</v>
      </c>
      <c r="AM224" s="121" t="e">
        <v>#N/A</v>
      </c>
      <c r="AN224" s="121" t="e">
        <v>#N/A</v>
      </c>
      <c r="AO224" s="121" t="s">
        <v>7183</v>
      </c>
      <c r="AP224" s="122" t="e">
        <v>#N/A</v>
      </c>
      <c r="AQ224" s="122">
        <v>45874</v>
      </c>
      <c r="AR224" s="122" t="e">
        <v>#N/A</v>
      </c>
      <c r="AS224" s="122" t="e">
        <v>#N/A</v>
      </c>
      <c r="AT224" s="122" t="e">
        <v>#N/A</v>
      </c>
      <c r="AU224" s="121">
        <v>45922</v>
      </c>
      <c r="AV224" s="122">
        <v>45734</v>
      </c>
      <c r="AW224" s="122">
        <v>45586</v>
      </c>
      <c r="AX224" s="122" t="e">
        <v>#N/A</v>
      </c>
      <c r="AY224" s="122" t="e">
        <v>#N/A</v>
      </c>
      <c r="AZ224" s="122" t="e">
        <v>#N/A</v>
      </c>
      <c r="BA224" s="122" t="e">
        <v>#N/A</v>
      </c>
      <c r="BB224" s="122" t="e">
        <v>#N/A</v>
      </c>
      <c r="BC224" s="122" t="e">
        <v>#N/A</v>
      </c>
      <c r="BD224" s="122" t="e">
        <v>#N/A</v>
      </c>
      <c r="BE224" s="122" t="e">
        <v>#N/A</v>
      </c>
      <c r="BF224" s="122" t="e">
        <v>#N/A</v>
      </c>
      <c r="BG224" s="122" t="e">
        <v>#N/A</v>
      </c>
      <c r="BH224" s="122" t="e">
        <v>#N/A</v>
      </c>
      <c r="BI224" s="122" t="e">
        <v>#N/A</v>
      </c>
      <c r="BJ224" s="122" t="e">
        <v>#N/A</v>
      </c>
      <c r="BK224" s="122" t="e">
        <v>#N/A</v>
      </c>
      <c r="BL224" s="123"/>
      <c r="BM224" s="124" t="e">
        <v>#N/A</v>
      </c>
      <c r="BN224" s="124" t="e">
        <v>#N/A</v>
      </c>
      <c r="BO224" s="124" t="e">
        <v>#N/A</v>
      </c>
      <c r="BP224" s="124" t="e">
        <v>#N/A</v>
      </c>
      <c r="BQ224" s="124" t="e">
        <v>#N/A</v>
      </c>
      <c r="BR224" s="124" t="e">
        <v>#N/A</v>
      </c>
      <c r="BS224" s="124" t="e">
        <v>#N/A</v>
      </c>
      <c r="BT224" s="124" t="e">
        <v>#N/A</v>
      </c>
      <c r="BU224" s="124" t="e">
        <v>#N/A</v>
      </c>
      <c r="BV224" s="124" t="e">
        <v>#N/A</v>
      </c>
      <c r="BW224" s="124" t="e">
        <v>#N/A</v>
      </c>
      <c r="BX224" s="124" t="e">
        <v>#N/A</v>
      </c>
      <c r="BY224" s="124" t="e">
        <v>#N/A</v>
      </c>
      <c r="BZ224" s="124" t="e">
        <v>#N/A</v>
      </c>
      <c r="CA224" s="125"/>
      <c r="CB224" s="124">
        <v>45729</v>
      </c>
      <c r="CC224" s="126">
        <v>1</v>
      </c>
      <c r="CD224" s="127" t="s">
        <v>4208</v>
      </c>
      <c r="CE224" s="128"/>
      <c r="CF224" s="77" t="s">
        <v>4169</v>
      </c>
    </row>
    <row r="225" spans="1:84" ht="14.5" x14ac:dyDescent="0.35">
      <c r="A225" s="77">
        <v>224</v>
      </c>
      <c r="B225" s="106" t="s">
        <v>3707</v>
      </c>
      <c r="C225" s="107" t="s">
        <v>6678</v>
      </c>
      <c r="D225" s="108" t="s">
        <v>3708</v>
      </c>
      <c r="E225" s="109" t="s">
        <v>3709</v>
      </c>
      <c r="F225" s="110">
        <v>610838043</v>
      </c>
      <c r="G225" s="108" t="s">
        <v>1004</v>
      </c>
      <c r="H225" s="111" t="s">
        <v>209</v>
      </c>
      <c r="I225" s="111" t="s">
        <v>180</v>
      </c>
      <c r="J225" s="111" t="s">
        <v>4649</v>
      </c>
      <c r="K225" s="111" t="s">
        <v>199</v>
      </c>
      <c r="L225" s="112">
        <v>45502</v>
      </c>
      <c r="M225" s="111" t="s">
        <v>2122</v>
      </c>
      <c r="N225" s="113"/>
      <c r="O225" s="114" t="s">
        <v>585</v>
      </c>
      <c r="P225" s="114" t="s">
        <v>183</v>
      </c>
      <c r="Q225" s="114" t="s">
        <v>7440</v>
      </c>
      <c r="R225" s="114" t="s">
        <v>7441</v>
      </c>
      <c r="S225" s="114" t="s">
        <v>183</v>
      </c>
      <c r="T225" s="114" t="s">
        <v>7440</v>
      </c>
      <c r="U225" s="114" t="s">
        <v>7440</v>
      </c>
      <c r="V225" s="115"/>
      <c r="W225" s="116" t="s">
        <v>3710</v>
      </c>
      <c r="X225" s="116" t="s">
        <v>3711</v>
      </c>
      <c r="Y225" s="117">
        <v>3485899</v>
      </c>
      <c r="Z225" s="117">
        <v>3481503</v>
      </c>
      <c r="AA225" s="118"/>
      <c r="AB225" s="119" t="s">
        <v>5728</v>
      </c>
      <c r="AC225" s="119" t="s">
        <v>3761</v>
      </c>
      <c r="AD225" s="119">
        <v>5852</v>
      </c>
      <c r="AE225" s="119" t="s">
        <v>3712</v>
      </c>
      <c r="AF225" s="119" t="s">
        <v>6679</v>
      </c>
      <c r="AG225" s="120"/>
      <c r="AH225" s="121">
        <v>45514</v>
      </c>
      <c r="AI225" s="121">
        <v>45514</v>
      </c>
      <c r="AJ225" s="121">
        <v>45514</v>
      </c>
      <c r="AK225" s="122">
        <v>45514</v>
      </c>
      <c r="AL225" s="122" t="e">
        <v>#N/A</v>
      </c>
      <c r="AM225" s="121" t="e">
        <v>#N/A</v>
      </c>
      <c r="AN225" s="121" t="e">
        <v>#N/A</v>
      </c>
      <c r="AO225" s="121" t="e">
        <v>#N/A</v>
      </c>
      <c r="AP225" s="122" t="e">
        <v>#N/A</v>
      </c>
      <c r="AQ225" s="122" t="e">
        <v>#N/A</v>
      </c>
      <c r="AR225" s="122" t="e">
        <v>#N/A</v>
      </c>
      <c r="AS225" s="122" t="e">
        <v>#N/A</v>
      </c>
      <c r="AT225" s="122" t="e">
        <v>#N/A</v>
      </c>
      <c r="AU225" s="121" t="e">
        <v>#N/A</v>
      </c>
      <c r="AV225" s="122" t="e">
        <v>#N/A</v>
      </c>
      <c r="AW225" s="122">
        <v>45680</v>
      </c>
      <c r="AX225" s="122" t="e">
        <v>#N/A</v>
      </c>
      <c r="AY225" s="122" t="e">
        <v>#N/A</v>
      </c>
      <c r="AZ225" s="122" t="e">
        <v>#N/A</v>
      </c>
      <c r="BA225" s="122" t="e">
        <v>#N/A</v>
      </c>
      <c r="BB225" s="122" t="e">
        <v>#N/A</v>
      </c>
      <c r="BC225" s="122" t="e">
        <v>#N/A</v>
      </c>
      <c r="BD225" s="122" t="e">
        <v>#N/A</v>
      </c>
      <c r="BE225" s="122" t="e">
        <v>#N/A</v>
      </c>
      <c r="BF225" s="122" t="e">
        <v>#N/A</v>
      </c>
      <c r="BG225" s="122" t="e">
        <v>#N/A</v>
      </c>
      <c r="BH225" s="122" t="e">
        <v>#N/A</v>
      </c>
      <c r="BI225" s="122" t="e">
        <v>#N/A</v>
      </c>
      <c r="BJ225" s="122">
        <v>45811</v>
      </c>
      <c r="BK225" s="122">
        <v>45957</v>
      </c>
      <c r="BL225" s="123"/>
      <c r="BM225" s="124" t="e">
        <v>#N/A</v>
      </c>
      <c r="BN225" s="124" t="e">
        <v>#N/A</v>
      </c>
      <c r="BO225" s="124" t="e">
        <v>#N/A</v>
      </c>
      <c r="BP225" s="124" t="e">
        <v>#N/A</v>
      </c>
      <c r="BQ225" s="124" t="e">
        <v>#N/A</v>
      </c>
      <c r="BR225" s="124" t="e">
        <v>#N/A</v>
      </c>
      <c r="BS225" s="124" t="e">
        <v>#N/A</v>
      </c>
      <c r="BT225" s="124" t="e">
        <v>#N/A</v>
      </c>
      <c r="BU225" s="124" t="e">
        <v>#N/A</v>
      </c>
      <c r="BV225" s="124" t="e">
        <v>#N/A</v>
      </c>
      <c r="BW225" s="124" t="e">
        <v>#N/A</v>
      </c>
      <c r="BX225" s="124" t="e">
        <v>#N/A</v>
      </c>
      <c r="BY225" s="124" t="e">
        <v>#N/A</v>
      </c>
      <c r="BZ225" s="124" t="e">
        <v>#N/A</v>
      </c>
      <c r="CA225" s="125"/>
      <c r="CB225" s="124" t="e">
        <v>#N/A</v>
      </c>
      <c r="CC225" s="126">
        <v>1</v>
      </c>
      <c r="CD225" s="127" t="s">
        <v>4171</v>
      </c>
      <c r="CE225" s="128"/>
      <c r="CF225" s="77" t="s">
        <v>4153</v>
      </c>
    </row>
    <row r="226" spans="1:84" ht="14.5" x14ac:dyDescent="0.35">
      <c r="A226" s="77">
        <v>225</v>
      </c>
      <c r="B226" s="106" t="s">
        <v>3719</v>
      </c>
      <c r="C226" s="107" t="s">
        <v>6669</v>
      </c>
      <c r="D226" s="108" t="s">
        <v>3720</v>
      </c>
      <c r="E226" s="109" t="s">
        <v>3721</v>
      </c>
      <c r="F226" s="110">
        <v>645739133</v>
      </c>
      <c r="G226" s="108" t="s">
        <v>1004</v>
      </c>
      <c r="H226" s="111" t="s">
        <v>209</v>
      </c>
      <c r="I226" s="111" t="s">
        <v>180</v>
      </c>
      <c r="J226" s="111" t="s">
        <v>4649</v>
      </c>
      <c r="K226" s="111" t="s">
        <v>199</v>
      </c>
      <c r="L226" s="112">
        <v>45502</v>
      </c>
      <c r="M226" s="111" t="s">
        <v>1712</v>
      </c>
      <c r="N226" s="113"/>
      <c r="O226" s="114" t="s">
        <v>7442</v>
      </c>
      <c r="P226" s="114" t="s">
        <v>7442</v>
      </c>
      <c r="Q226" s="114" t="s">
        <v>7442</v>
      </c>
      <c r="R226" s="114" t="s">
        <v>7442</v>
      </c>
      <c r="S226" s="114" t="s">
        <v>7442</v>
      </c>
      <c r="T226" s="114" t="s">
        <v>183</v>
      </c>
      <c r="U226" s="114" t="s">
        <v>183</v>
      </c>
      <c r="V226" s="115"/>
      <c r="W226" s="116" t="s">
        <v>3722</v>
      </c>
      <c r="X226" s="116" t="s">
        <v>3723</v>
      </c>
      <c r="Y226" s="117">
        <v>3487010</v>
      </c>
      <c r="Z226" s="117">
        <v>3481513</v>
      </c>
      <c r="AA226" s="118"/>
      <c r="AB226" s="119" t="s">
        <v>5827</v>
      </c>
      <c r="AC226" s="119" t="s">
        <v>3763</v>
      </c>
      <c r="AD226" s="119">
        <v>5965</v>
      </c>
      <c r="AE226" s="119" t="s">
        <v>3724</v>
      </c>
      <c r="AF226" s="119" t="s">
        <v>6670</v>
      </c>
      <c r="AG226" s="120"/>
      <c r="AH226" s="121">
        <v>45514</v>
      </c>
      <c r="AI226" s="121">
        <v>45514</v>
      </c>
      <c r="AJ226" s="121">
        <v>45514</v>
      </c>
      <c r="AK226" s="122">
        <v>45514</v>
      </c>
      <c r="AL226" s="122" t="e">
        <v>#N/A</v>
      </c>
      <c r="AM226" s="121" t="e">
        <v>#N/A</v>
      </c>
      <c r="AN226" s="121" t="e">
        <v>#N/A</v>
      </c>
      <c r="AO226" s="121" t="e">
        <v>#N/A</v>
      </c>
      <c r="AP226" s="122" t="e">
        <v>#N/A</v>
      </c>
      <c r="AQ226" s="122" t="e">
        <v>#N/A</v>
      </c>
      <c r="AR226" s="122" t="e">
        <v>#N/A</v>
      </c>
      <c r="AS226" s="122" t="e">
        <v>#N/A</v>
      </c>
      <c r="AT226" s="122" t="e">
        <v>#N/A</v>
      </c>
      <c r="AU226" s="121" t="e">
        <v>#N/A</v>
      </c>
      <c r="AV226" s="122" t="e">
        <v>#N/A</v>
      </c>
      <c r="AW226" s="122">
        <v>45583</v>
      </c>
      <c r="AX226" s="122" t="e">
        <v>#N/A</v>
      </c>
      <c r="AY226" s="122" t="e">
        <v>#N/A</v>
      </c>
      <c r="AZ226" s="122" t="e">
        <v>#N/A</v>
      </c>
      <c r="BA226" s="122" t="e">
        <v>#N/A</v>
      </c>
      <c r="BB226" s="122" t="e">
        <v>#N/A</v>
      </c>
      <c r="BC226" s="122" t="e">
        <v>#N/A</v>
      </c>
      <c r="BD226" s="122" t="e">
        <v>#N/A</v>
      </c>
      <c r="BE226" s="122" t="e">
        <v>#N/A</v>
      </c>
      <c r="BF226" s="122" t="e">
        <v>#N/A</v>
      </c>
      <c r="BG226" s="122" t="e">
        <v>#N/A</v>
      </c>
      <c r="BH226" s="122" t="e">
        <v>#N/A</v>
      </c>
      <c r="BI226" s="122" t="e">
        <v>#N/A</v>
      </c>
      <c r="BJ226" s="122" t="e">
        <v>#N/A</v>
      </c>
      <c r="BK226" s="122">
        <v>45958</v>
      </c>
      <c r="BL226" s="123"/>
      <c r="BM226" s="124" t="e">
        <v>#N/A</v>
      </c>
      <c r="BN226" s="124" t="e">
        <v>#N/A</v>
      </c>
      <c r="BO226" s="124" t="e">
        <v>#N/A</v>
      </c>
      <c r="BP226" s="124" t="e">
        <v>#N/A</v>
      </c>
      <c r="BQ226" s="124" t="e">
        <v>#N/A</v>
      </c>
      <c r="BR226" s="124" t="e">
        <v>#N/A</v>
      </c>
      <c r="BS226" s="124" t="e">
        <v>#N/A</v>
      </c>
      <c r="BT226" s="124" t="e">
        <v>#N/A</v>
      </c>
      <c r="BU226" s="124" t="e">
        <v>#N/A</v>
      </c>
      <c r="BV226" s="124" t="e">
        <v>#N/A</v>
      </c>
      <c r="BW226" s="124" t="e">
        <v>#N/A</v>
      </c>
      <c r="BX226" s="124" t="e">
        <v>#N/A</v>
      </c>
      <c r="BY226" s="124" t="e">
        <v>#N/A</v>
      </c>
      <c r="BZ226" s="124" t="e">
        <v>#N/A</v>
      </c>
      <c r="CA226" s="125"/>
      <c r="CB226" s="124" t="e">
        <v>#N/A</v>
      </c>
      <c r="CC226" s="126">
        <v>1</v>
      </c>
      <c r="CD226" s="127" t="s">
        <v>4171</v>
      </c>
      <c r="CE226" s="128"/>
      <c r="CF226" s="77" t="s">
        <v>4153</v>
      </c>
    </row>
    <row r="227" spans="1:84" ht="14.5" x14ac:dyDescent="0.35">
      <c r="A227" s="77">
        <v>226</v>
      </c>
      <c r="B227" s="106" t="s">
        <v>3835</v>
      </c>
      <c r="C227" s="107" t="s">
        <v>6699</v>
      </c>
      <c r="D227" s="108" t="s">
        <v>3836</v>
      </c>
      <c r="E227" s="109" t="s">
        <v>3837</v>
      </c>
      <c r="F227" s="110">
        <v>652311345</v>
      </c>
      <c r="G227" s="108" t="s">
        <v>1004</v>
      </c>
      <c r="H227" s="111" t="s">
        <v>209</v>
      </c>
      <c r="I227" s="111" t="s">
        <v>180</v>
      </c>
      <c r="J227" s="111" t="s">
        <v>4649</v>
      </c>
      <c r="K227" s="111" t="s">
        <v>199</v>
      </c>
      <c r="L227" s="112">
        <v>45532</v>
      </c>
      <c r="M227" s="111" t="s">
        <v>2646</v>
      </c>
      <c r="N227" s="113"/>
      <c r="O227" s="114" t="s">
        <v>4477</v>
      </c>
      <c r="P227" s="114" t="s">
        <v>4477</v>
      </c>
      <c r="Q227" s="114" t="s">
        <v>4356</v>
      </c>
      <c r="R227" s="114" t="s">
        <v>4356</v>
      </c>
      <c r="S227" s="114" t="s">
        <v>4477</v>
      </c>
      <c r="T227" s="114" t="s">
        <v>7278</v>
      </c>
      <c r="U227" s="114" t="s">
        <v>585</v>
      </c>
      <c r="V227" s="115"/>
      <c r="W227" s="116" t="s">
        <v>4350</v>
      </c>
      <c r="X227" s="116" t="s">
        <v>4052</v>
      </c>
      <c r="Y227" s="117">
        <v>3487007</v>
      </c>
      <c r="Z227" s="117">
        <v>3481512</v>
      </c>
      <c r="AA227" s="118"/>
      <c r="AB227" s="119" t="s">
        <v>3838</v>
      </c>
      <c r="AC227" s="119" t="s">
        <v>3887</v>
      </c>
      <c r="AD227" s="119">
        <v>26089</v>
      </c>
      <c r="AE227" s="119" t="s">
        <v>3888</v>
      </c>
      <c r="AF227" s="119" t="s">
        <v>7443</v>
      </c>
      <c r="AG227" s="120"/>
      <c r="AH227" s="121">
        <v>45547</v>
      </c>
      <c r="AI227" s="121">
        <v>45547</v>
      </c>
      <c r="AJ227" s="121">
        <v>45547</v>
      </c>
      <c r="AK227" s="122">
        <v>45547</v>
      </c>
      <c r="AL227" s="122" t="e">
        <v>#N/A</v>
      </c>
      <c r="AM227" s="121" t="e">
        <v>#N/A</v>
      </c>
      <c r="AN227" s="121" t="e">
        <v>#N/A</v>
      </c>
      <c r="AO227" s="121" t="e">
        <v>#N/A</v>
      </c>
      <c r="AP227" s="122" t="e">
        <v>#N/A</v>
      </c>
      <c r="AQ227" s="122" t="e">
        <v>#N/A</v>
      </c>
      <c r="AR227" s="122" t="e">
        <v>#N/A</v>
      </c>
      <c r="AS227" s="122" t="e">
        <v>#N/A</v>
      </c>
      <c r="AT227" s="122" t="e">
        <v>#N/A</v>
      </c>
      <c r="AU227" s="121" t="e">
        <v>#N/A</v>
      </c>
      <c r="AV227" s="122" t="e">
        <v>#N/A</v>
      </c>
      <c r="AW227" s="122">
        <v>45734</v>
      </c>
      <c r="AX227" s="122" t="e">
        <v>#N/A</v>
      </c>
      <c r="AY227" s="122" t="e">
        <v>#N/A</v>
      </c>
      <c r="AZ227" s="122" t="e">
        <v>#N/A</v>
      </c>
      <c r="BA227" s="122" t="e">
        <v>#N/A</v>
      </c>
      <c r="BB227" s="122" t="e">
        <v>#N/A</v>
      </c>
      <c r="BC227" s="122" t="e">
        <v>#N/A</v>
      </c>
      <c r="BD227" s="122" t="e">
        <v>#N/A</v>
      </c>
      <c r="BE227" s="122" t="e">
        <v>#N/A</v>
      </c>
      <c r="BF227" s="122" t="e">
        <v>#N/A</v>
      </c>
      <c r="BG227" s="122" t="e">
        <v>#N/A</v>
      </c>
      <c r="BH227" s="122" t="e">
        <v>#N/A</v>
      </c>
      <c r="BI227" s="122" t="e">
        <v>#N/A</v>
      </c>
      <c r="BJ227" s="122" t="e">
        <v>#N/A</v>
      </c>
      <c r="BK227" s="122">
        <v>45973</v>
      </c>
      <c r="BL227" s="123"/>
      <c r="BM227" s="124" t="e">
        <v>#N/A</v>
      </c>
      <c r="BN227" s="124" t="e">
        <v>#N/A</v>
      </c>
      <c r="BO227" s="124" t="e">
        <v>#N/A</v>
      </c>
      <c r="BP227" s="124" t="e">
        <v>#N/A</v>
      </c>
      <c r="BQ227" s="124" t="e">
        <v>#N/A</v>
      </c>
      <c r="BR227" s="124" t="e">
        <v>#N/A</v>
      </c>
      <c r="BS227" s="124" t="e">
        <v>#N/A</v>
      </c>
      <c r="BT227" s="124" t="e">
        <v>#N/A</v>
      </c>
      <c r="BU227" s="124" t="e">
        <v>#N/A</v>
      </c>
      <c r="BV227" s="124" t="e">
        <v>#N/A</v>
      </c>
      <c r="BW227" s="124" t="e">
        <v>#N/A</v>
      </c>
      <c r="BX227" s="124" t="e">
        <v>#N/A</v>
      </c>
      <c r="BY227" s="124" t="e">
        <v>#N/A</v>
      </c>
      <c r="BZ227" s="124" t="e">
        <v>#N/A</v>
      </c>
      <c r="CA227" s="125"/>
      <c r="CB227" s="124" t="e">
        <v>#N/A</v>
      </c>
      <c r="CC227" s="126">
        <v>1</v>
      </c>
      <c r="CD227" s="127" t="s">
        <v>4208</v>
      </c>
      <c r="CE227" s="128"/>
      <c r="CF227" s="77" t="s">
        <v>4169</v>
      </c>
    </row>
    <row r="228" spans="1:84" ht="14.5" x14ac:dyDescent="0.35">
      <c r="A228" s="77">
        <v>227</v>
      </c>
      <c r="B228" s="106" t="s">
        <v>3854</v>
      </c>
      <c r="C228" s="107" t="s">
        <v>6697</v>
      </c>
      <c r="D228" s="108" t="s">
        <v>3855</v>
      </c>
      <c r="E228" s="109" t="s">
        <v>3856</v>
      </c>
      <c r="F228" s="110">
        <v>680854693</v>
      </c>
      <c r="G228" s="108" t="s">
        <v>1004</v>
      </c>
      <c r="H228" s="111" t="s">
        <v>209</v>
      </c>
      <c r="I228" s="111" t="s">
        <v>180</v>
      </c>
      <c r="J228" s="111" t="s">
        <v>4649</v>
      </c>
      <c r="K228" s="111" t="s">
        <v>199</v>
      </c>
      <c r="L228" s="112">
        <v>45532</v>
      </c>
      <c r="M228" s="111" t="s">
        <v>3172</v>
      </c>
      <c r="N228" s="113"/>
      <c r="O228" s="114" t="s">
        <v>285</v>
      </c>
      <c r="P228" s="114" t="s">
        <v>285</v>
      </c>
      <c r="Q228" s="114" t="s">
        <v>183</v>
      </c>
      <c r="R228" s="114" t="s">
        <v>7444</v>
      </c>
      <c r="S228" s="114" t="s">
        <v>285</v>
      </c>
      <c r="T228" s="114" t="s">
        <v>285</v>
      </c>
      <c r="U228" s="114" t="s">
        <v>285</v>
      </c>
      <c r="V228" s="115"/>
      <c r="W228" s="116" t="s">
        <v>4036</v>
      </c>
      <c r="X228" s="116" t="s">
        <v>4037</v>
      </c>
      <c r="Y228" s="117">
        <v>3487028</v>
      </c>
      <c r="Z228" s="117">
        <v>3481534</v>
      </c>
      <c r="AA228" s="118"/>
      <c r="AB228" s="119" t="s">
        <v>3857</v>
      </c>
      <c r="AC228" s="119" t="s">
        <v>3895</v>
      </c>
      <c r="AD228" s="119">
        <v>26101</v>
      </c>
      <c r="AE228" s="119" t="s">
        <v>3896</v>
      </c>
      <c r="AF228" s="119" t="s">
        <v>7445</v>
      </c>
      <c r="AG228" s="120"/>
      <c r="AH228" s="121">
        <v>45547</v>
      </c>
      <c r="AI228" s="121">
        <v>45547</v>
      </c>
      <c r="AJ228" s="121">
        <v>45547</v>
      </c>
      <c r="AK228" s="122">
        <v>45547</v>
      </c>
      <c r="AL228" s="122">
        <v>45874</v>
      </c>
      <c r="AM228" s="121" t="e">
        <v>#N/A</v>
      </c>
      <c r="AN228" s="121" t="e">
        <v>#N/A</v>
      </c>
      <c r="AO228" s="121" t="s">
        <v>7183</v>
      </c>
      <c r="AP228" s="122" t="e">
        <v>#N/A</v>
      </c>
      <c r="AQ228" s="122">
        <v>45874</v>
      </c>
      <c r="AR228" s="122" t="e">
        <v>#N/A</v>
      </c>
      <c r="AS228" s="122" t="e">
        <v>#N/A</v>
      </c>
      <c r="AT228" s="122" t="e">
        <v>#N/A</v>
      </c>
      <c r="AU228" s="121" t="e">
        <v>#N/A</v>
      </c>
      <c r="AV228" s="122" t="e">
        <v>#N/A</v>
      </c>
      <c r="AW228" s="122">
        <v>45754</v>
      </c>
      <c r="AX228" s="122" t="e">
        <v>#N/A</v>
      </c>
      <c r="AY228" s="122" t="e">
        <v>#N/A</v>
      </c>
      <c r="AZ228" s="122" t="e">
        <v>#N/A</v>
      </c>
      <c r="BA228" s="122" t="e">
        <v>#N/A</v>
      </c>
      <c r="BB228" s="122" t="e">
        <v>#N/A</v>
      </c>
      <c r="BC228" s="122" t="e">
        <v>#N/A</v>
      </c>
      <c r="BD228" s="122" t="e">
        <v>#N/A</v>
      </c>
      <c r="BE228" s="122" t="e">
        <v>#N/A</v>
      </c>
      <c r="BF228" s="122" t="e">
        <v>#N/A</v>
      </c>
      <c r="BG228" s="122" t="e">
        <v>#N/A</v>
      </c>
      <c r="BH228" s="122" t="e">
        <v>#N/A</v>
      </c>
      <c r="BI228" s="122" t="e">
        <v>#N/A</v>
      </c>
      <c r="BJ228" s="122" t="e">
        <v>#N/A</v>
      </c>
      <c r="BK228" s="122">
        <v>45978</v>
      </c>
      <c r="BL228" s="123"/>
      <c r="BM228" s="124" t="e">
        <v>#N/A</v>
      </c>
      <c r="BN228" s="124" t="e">
        <v>#N/A</v>
      </c>
      <c r="BO228" s="124" t="e">
        <v>#N/A</v>
      </c>
      <c r="BP228" s="124" t="e">
        <v>#N/A</v>
      </c>
      <c r="BQ228" s="124" t="e">
        <v>#N/A</v>
      </c>
      <c r="BR228" s="124" t="e">
        <v>#N/A</v>
      </c>
      <c r="BS228" s="124" t="e">
        <v>#N/A</v>
      </c>
      <c r="BT228" s="124" t="e">
        <v>#N/A</v>
      </c>
      <c r="BU228" s="124" t="e">
        <v>#N/A</v>
      </c>
      <c r="BV228" s="124" t="e">
        <v>#N/A</v>
      </c>
      <c r="BW228" s="124" t="e">
        <v>#N/A</v>
      </c>
      <c r="BX228" s="124" t="e">
        <v>#N/A</v>
      </c>
      <c r="BY228" s="124" t="e">
        <v>#N/A</v>
      </c>
      <c r="BZ228" s="124" t="e">
        <v>#N/A</v>
      </c>
      <c r="CA228" s="125"/>
      <c r="CB228" s="124">
        <v>45734</v>
      </c>
      <c r="CC228" s="126">
        <v>1</v>
      </c>
      <c r="CD228" s="127" t="s">
        <v>4208</v>
      </c>
      <c r="CE228" s="128"/>
      <c r="CF228" s="77" t="s">
        <v>4199</v>
      </c>
    </row>
    <row r="229" spans="1:84" ht="14.5" x14ac:dyDescent="0.35">
      <c r="A229" s="77">
        <v>228</v>
      </c>
      <c r="B229" s="106" t="s">
        <v>6277</v>
      </c>
      <c r="C229" s="107" t="s">
        <v>1313</v>
      </c>
      <c r="D229" s="108">
        <v>411988</v>
      </c>
      <c r="E229" s="109" t="s">
        <v>222</v>
      </c>
      <c r="F229" s="110" t="s">
        <v>223</v>
      </c>
      <c r="G229" s="108" t="s">
        <v>1004</v>
      </c>
      <c r="H229" s="111" t="s">
        <v>209</v>
      </c>
      <c r="I229" s="111" t="s">
        <v>180</v>
      </c>
      <c r="J229" s="111" t="s">
        <v>4649</v>
      </c>
      <c r="K229" s="111" t="s">
        <v>199</v>
      </c>
      <c r="L229" s="112">
        <v>38078</v>
      </c>
      <c r="M229" s="111" t="s">
        <v>181</v>
      </c>
      <c r="N229" s="113"/>
      <c r="O229" s="114" t="s">
        <v>7262</v>
      </c>
      <c r="P229" s="114" t="s">
        <v>7262</v>
      </c>
      <c r="Q229" s="114" t="s">
        <v>4356</v>
      </c>
      <c r="R229" s="114" t="s">
        <v>4356</v>
      </c>
      <c r="S229" s="114" t="s">
        <v>7262</v>
      </c>
      <c r="T229" s="114" t="s">
        <v>7262</v>
      </c>
      <c r="U229" s="114" t="s">
        <v>7262</v>
      </c>
      <c r="V229" s="115"/>
      <c r="W229" s="116" t="s">
        <v>227</v>
      </c>
      <c r="X229" s="116" t="s">
        <v>228</v>
      </c>
      <c r="Y229" s="117">
        <v>3485383</v>
      </c>
      <c r="Z229" s="117">
        <v>3481116</v>
      </c>
      <c r="AA229" s="118"/>
      <c r="AB229" s="119" t="s">
        <v>5276</v>
      </c>
      <c r="AC229" s="119" t="s">
        <v>1314</v>
      </c>
      <c r="AD229" s="119">
        <v>4114</v>
      </c>
      <c r="AE229" s="119" t="s">
        <v>229</v>
      </c>
      <c r="AF229" s="119">
        <v>0</v>
      </c>
      <c r="AG229" s="120"/>
      <c r="AH229" s="121">
        <v>44197</v>
      </c>
      <c r="AI229" s="121">
        <v>44197</v>
      </c>
      <c r="AJ229" s="121">
        <v>44197</v>
      </c>
      <c r="AK229" s="122">
        <v>44197</v>
      </c>
      <c r="AL229" s="122">
        <v>44851</v>
      </c>
      <c r="AM229" s="122" t="e">
        <v>#N/A</v>
      </c>
      <c r="AN229" s="122" t="e">
        <v>#N/A</v>
      </c>
      <c r="AO229" s="121" t="e">
        <v>#N/A</v>
      </c>
      <c r="AP229" s="122" t="e">
        <v>#N/A</v>
      </c>
      <c r="AQ229" s="122" t="e">
        <v>#N/A</v>
      </c>
      <c r="AR229" s="122" t="e">
        <v>#N/A</v>
      </c>
      <c r="AS229" s="122" t="e">
        <v>#N/A</v>
      </c>
      <c r="AT229" s="122" t="e">
        <v>#N/A</v>
      </c>
      <c r="AU229" s="121" t="e">
        <v>#N/A</v>
      </c>
      <c r="AV229" s="122" t="e">
        <v>#N/A</v>
      </c>
      <c r="AW229" s="122">
        <v>45688</v>
      </c>
      <c r="AX229" s="122" t="e">
        <v>#N/A</v>
      </c>
      <c r="AY229" s="122" t="e">
        <v>#N/A</v>
      </c>
      <c r="AZ229" s="122" t="e">
        <v>#N/A</v>
      </c>
      <c r="BA229" s="122" t="e">
        <v>#N/A</v>
      </c>
      <c r="BB229" s="122" t="e">
        <v>#N/A</v>
      </c>
      <c r="BC229" s="122" t="e">
        <v>#N/A</v>
      </c>
      <c r="BD229" s="122" t="e">
        <v>#N/A</v>
      </c>
      <c r="BE229" s="122" t="e">
        <v>#N/A</v>
      </c>
      <c r="BF229" s="122" t="e">
        <v>#N/A</v>
      </c>
      <c r="BG229" s="122" t="e">
        <v>#N/A</v>
      </c>
      <c r="BH229" s="122">
        <v>45446</v>
      </c>
      <c r="BI229" s="122" t="e">
        <v>#N/A</v>
      </c>
      <c r="BJ229" s="122" t="e">
        <v>#N/A</v>
      </c>
      <c r="BK229" s="122" t="e">
        <v>#N/A</v>
      </c>
      <c r="BL229" s="123"/>
      <c r="BM229" s="124" t="e">
        <v>#N/A</v>
      </c>
      <c r="BN229" s="124" t="e">
        <v>#N/A</v>
      </c>
      <c r="BO229" s="124" t="e">
        <v>#N/A</v>
      </c>
      <c r="BP229" s="124" t="e">
        <v>#N/A</v>
      </c>
      <c r="BQ229" s="124" t="e">
        <v>#N/A</v>
      </c>
      <c r="BR229" s="124" t="e">
        <v>#N/A</v>
      </c>
      <c r="BS229" s="124" t="e">
        <v>#N/A</v>
      </c>
      <c r="BT229" s="124" t="e">
        <v>#N/A</v>
      </c>
      <c r="BU229" s="124" t="e">
        <v>#N/A</v>
      </c>
      <c r="BV229" s="124" t="e">
        <v>#N/A</v>
      </c>
      <c r="BW229" s="124" t="e">
        <v>#N/A</v>
      </c>
      <c r="BX229" s="124" t="e">
        <v>#N/A</v>
      </c>
      <c r="BY229" s="124" t="e">
        <v>#N/A</v>
      </c>
      <c r="BZ229" s="124" t="e">
        <v>#N/A</v>
      </c>
      <c r="CA229" s="125"/>
      <c r="CB229" s="124" t="e">
        <v>#N/A</v>
      </c>
      <c r="CC229" s="126">
        <v>1</v>
      </c>
      <c r="CD229" s="127" t="e">
        <v>#N/A</v>
      </c>
      <c r="CE229" s="128"/>
      <c r="CF229" s="77" t="s">
        <v>4169</v>
      </c>
    </row>
    <row r="230" spans="1:84" ht="14.5" x14ac:dyDescent="0.35">
      <c r="A230" s="77">
        <v>229</v>
      </c>
      <c r="B230" s="106" t="s">
        <v>2672</v>
      </c>
      <c r="C230" s="107" t="s">
        <v>6535</v>
      </c>
      <c r="D230" s="108" t="s">
        <v>2673</v>
      </c>
      <c r="E230" s="109" t="s">
        <v>2674</v>
      </c>
      <c r="F230" s="110">
        <v>658986553</v>
      </c>
      <c r="G230" s="108" t="s">
        <v>1004</v>
      </c>
      <c r="H230" s="111" t="s">
        <v>209</v>
      </c>
      <c r="I230" s="111" t="s">
        <v>180</v>
      </c>
      <c r="J230" s="111" t="s">
        <v>4649</v>
      </c>
      <c r="K230" s="111" t="s">
        <v>199</v>
      </c>
      <c r="L230" s="112">
        <v>45063</v>
      </c>
      <c r="M230" s="111" t="s">
        <v>284</v>
      </c>
      <c r="N230" s="113"/>
      <c r="O230" s="114" t="s">
        <v>478</v>
      </c>
      <c r="P230" s="114" t="s">
        <v>478</v>
      </c>
      <c r="Q230" s="114" t="s">
        <v>183</v>
      </c>
      <c r="R230" s="114" t="s">
        <v>7391</v>
      </c>
      <c r="S230" s="114" t="s">
        <v>183</v>
      </c>
      <c r="T230" s="114" t="s">
        <v>1007</v>
      </c>
      <c r="U230" s="114" t="s">
        <v>1007</v>
      </c>
      <c r="V230" s="115"/>
      <c r="W230" s="116" t="s">
        <v>2675</v>
      </c>
      <c r="X230" s="116" t="s">
        <v>2676</v>
      </c>
      <c r="Y230" s="117">
        <v>3485580</v>
      </c>
      <c r="Z230" s="117">
        <v>3486524</v>
      </c>
      <c r="AA230" s="118"/>
      <c r="AB230" s="119" t="s">
        <v>2677</v>
      </c>
      <c r="AC230" s="119" t="s">
        <v>2720</v>
      </c>
      <c r="AD230" s="119">
        <v>4598</v>
      </c>
      <c r="AE230" s="119" t="s">
        <v>2678</v>
      </c>
      <c r="AF230" s="119">
        <v>0</v>
      </c>
      <c r="AG230" s="120"/>
      <c r="AH230" s="121">
        <v>45062</v>
      </c>
      <c r="AI230" s="121">
        <v>45062</v>
      </c>
      <c r="AJ230" s="121">
        <v>45062</v>
      </c>
      <c r="AK230" s="122">
        <v>45062</v>
      </c>
      <c r="AL230" s="122" t="e">
        <v>#N/A</v>
      </c>
      <c r="AM230" s="121" t="e">
        <v>#N/A</v>
      </c>
      <c r="AN230" s="121" t="e">
        <v>#N/A</v>
      </c>
      <c r="AO230" s="121" t="e">
        <v>#N/A</v>
      </c>
      <c r="AP230" s="122" t="e">
        <v>#N/A</v>
      </c>
      <c r="AQ230" s="122" t="e">
        <v>#N/A</v>
      </c>
      <c r="AR230" s="122" t="e">
        <v>#N/A</v>
      </c>
      <c r="AS230" s="122" t="e">
        <v>#N/A</v>
      </c>
      <c r="AT230" s="122" t="e">
        <v>#N/A</v>
      </c>
      <c r="AU230" s="121" t="e">
        <v>#N/A</v>
      </c>
      <c r="AV230" s="122" t="e">
        <v>#N/A</v>
      </c>
      <c r="AW230" s="122" t="e">
        <v>#N/A</v>
      </c>
      <c r="AX230" s="122" t="e">
        <v>#N/A</v>
      </c>
      <c r="AY230" s="122" t="e">
        <v>#N/A</v>
      </c>
      <c r="AZ230" s="122" t="e">
        <v>#N/A</v>
      </c>
      <c r="BA230" s="122" t="e">
        <v>#N/A</v>
      </c>
      <c r="BB230" s="122" t="e">
        <v>#N/A</v>
      </c>
      <c r="BC230" s="122" t="e">
        <v>#N/A</v>
      </c>
      <c r="BD230" s="122" t="e">
        <v>#N/A</v>
      </c>
      <c r="BE230" s="122" t="e">
        <v>#N/A</v>
      </c>
      <c r="BF230" s="122" t="e">
        <v>#N/A</v>
      </c>
      <c r="BG230" s="122" t="e">
        <v>#N/A</v>
      </c>
      <c r="BH230" s="122">
        <v>45446</v>
      </c>
      <c r="BI230" s="122" t="e">
        <v>#N/A</v>
      </c>
      <c r="BJ230" s="122" t="e">
        <v>#N/A</v>
      </c>
      <c r="BK230" s="122" t="e">
        <v>#N/A</v>
      </c>
      <c r="BL230" s="123"/>
      <c r="BM230" s="124" t="e">
        <v>#N/A</v>
      </c>
      <c r="BN230" s="124" t="e">
        <v>#N/A</v>
      </c>
      <c r="BO230" s="124" t="e">
        <v>#N/A</v>
      </c>
      <c r="BP230" s="124" t="e">
        <v>#N/A</v>
      </c>
      <c r="BQ230" s="124" t="e">
        <v>#N/A</v>
      </c>
      <c r="BR230" s="124" t="e">
        <v>#N/A</v>
      </c>
      <c r="BS230" s="124" t="e">
        <v>#N/A</v>
      </c>
      <c r="BT230" s="124" t="e">
        <v>#N/A</v>
      </c>
      <c r="BU230" s="124" t="e">
        <v>#N/A</v>
      </c>
      <c r="BV230" s="124" t="e">
        <v>#N/A</v>
      </c>
      <c r="BW230" s="124" t="e">
        <v>#N/A</v>
      </c>
      <c r="BX230" s="124" t="e">
        <v>#N/A</v>
      </c>
      <c r="BY230" s="124" t="e">
        <v>#N/A</v>
      </c>
      <c r="BZ230" s="124" t="e">
        <v>#N/A</v>
      </c>
      <c r="CA230" s="125"/>
      <c r="CB230" s="124" t="e">
        <v>#N/A</v>
      </c>
      <c r="CC230" s="126">
        <v>1</v>
      </c>
      <c r="CD230" s="127" t="s">
        <v>4164</v>
      </c>
      <c r="CE230" s="128"/>
      <c r="CF230" s="77" t="s">
        <v>4169</v>
      </c>
    </row>
    <row r="231" spans="1:84" ht="14.5" x14ac:dyDescent="0.35">
      <c r="A231" s="77">
        <v>230</v>
      </c>
      <c r="B231" s="106" t="s">
        <v>6284</v>
      </c>
      <c r="C231" s="107" t="s">
        <v>6285</v>
      </c>
      <c r="D231" s="108" t="s">
        <v>2507</v>
      </c>
      <c r="E231" s="109" t="s">
        <v>2508</v>
      </c>
      <c r="F231" s="110">
        <v>637322530</v>
      </c>
      <c r="G231" s="108" t="s">
        <v>1004</v>
      </c>
      <c r="H231" s="111" t="s">
        <v>209</v>
      </c>
      <c r="I231" s="111" t="s">
        <v>180</v>
      </c>
      <c r="J231" s="111" t="s">
        <v>4649</v>
      </c>
      <c r="K231" s="111" t="s">
        <v>199</v>
      </c>
      <c r="L231" s="112">
        <v>43408</v>
      </c>
      <c r="M231" s="111" t="s">
        <v>1712</v>
      </c>
      <c r="N231" s="113"/>
      <c r="O231" s="114" t="s">
        <v>568</v>
      </c>
      <c r="P231" s="114" t="s">
        <v>568</v>
      </c>
      <c r="Q231" s="114" t="s">
        <v>568</v>
      </c>
      <c r="R231" s="114" t="s">
        <v>7446</v>
      </c>
      <c r="S231" s="114" t="s">
        <v>6016</v>
      </c>
      <c r="T231" s="114" t="s">
        <v>183</v>
      </c>
      <c r="U231" s="114" t="s">
        <v>183</v>
      </c>
      <c r="V231" s="115"/>
      <c r="W231" s="116" t="s">
        <v>2509</v>
      </c>
      <c r="X231" s="116" t="s">
        <v>2510</v>
      </c>
      <c r="Y231" s="117">
        <v>3485209</v>
      </c>
      <c r="Z231" s="117">
        <v>3481171</v>
      </c>
      <c r="AA231" s="118"/>
      <c r="AB231" s="119" t="s">
        <v>5245</v>
      </c>
      <c r="AC231" s="119" t="s">
        <v>2511</v>
      </c>
      <c r="AD231" s="119">
        <v>27032</v>
      </c>
      <c r="AE231" s="119" t="s">
        <v>2512</v>
      </c>
      <c r="AF231" s="119">
        <v>0</v>
      </c>
      <c r="AG231" s="120"/>
      <c r="AH231" s="121">
        <v>44994</v>
      </c>
      <c r="AI231" s="121">
        <v>45002</v>
      </c>
      <c r="AJ231" s="121">
        <v>45002</v>
      </c>
      <c r="AK231" s="122">
        <v>45044</v>
      </c>
      <c r="AL231" s="122" t="e">
        <v>#N/A</v>
      </c>
      <c r="AM231" s="121" t="e">
        <v>#N/A</v>
      </c>
      <c r="AN231" s="121" t="e">
        <v>#N/A</v>
      </c>
      <c r="AO231" s="121" t="e">
        <v>#N/A</v>
      </c>
      <c r="AP231" s="122" t="e">
        <v>#N/A</v>
      </c>
      <c r="AQ231" s="122" t="e">
        <v>#N/A</v>
      </c>
      <c r="AR231" s="122" t="e">
        <v>#N/A</v>
      </c>
      <c r="AS231" s="122" t="e">
        <v>#N/A</v>
      </c>
      <c r="AT231" s="122" t="s">
        <v>4646</v>
      </c>
      <c r="AU231" s="121" t="e">
        <v>#N/A</v>
      </c>
      <c r="AV231" s="122" t="e">
        <v>#N/A</v>
      </c>
      <c r="AW231" s="122">
        <v>45688</v>
      </c>
      <c r="AX231" s="122" t="e">
        <v>#N/A</v>
      </c>
      <c r="AY231" s="122" t="e">
        <v>#N/A</v>
      </c>
      <c r="AZ231" s="122" t="e">
        <v>#N/A</v>
      </c>
      <c r="BA231" s="122" t="e">
        <v>#N/A</v>
      </c>
      <c r="BB231" s="122" t="e">
        <v>#N/A</v>
      </c>
      <c r="BC231" s="122" t="e">
        <v>#N/A</v>
      </c>
      <c r="BD231" s="122" t="e">
        <v>#N/A</v>
      </c>
      <c r="BE231" s="122" t="e">
        <v>#N/A</v>
      </c>
      <c r="BF231" s="122" t="e">
        <v>#N/A</v>
      </c>
      <c r="BG231" s="122" t="e">
        <v>#N/A</v>
      </c>
      <c r="BH231" s="122" t="e">
        <v>#N/A</v>
      </c>
      <c r="BI231" s="122" t="e">
        <v>#N/A</v>
      </c>
      <c r="BJ231" s="122" t="e">
        <v>#N/A</v>
      </c>
      <c r="BK231" s="122" t="e">
        <v>#N/A</v>
      </c>
      <c r="BL231" s="123"/>
      <c r="BM231" s="124" t="e">
        <v>#N/A</v>
      </c>
      <c r="BN231" s="124" t="e">
        <v>#N/A</v>
      </c>
      <c r="BO231" s="124" t="e">
        <v>#N/A</v>
      </c>
      <c r="BP231" s="124" t="e">
        <v>#N/A</v>
      </c>
      <c r="BQ231" s="124" t="e">
        <v>#N/A</v>
      </c>
      <c r="BR231" s="124" t="e">
        <v>#N/A</v>
      </c>
      <c r="BS231" s="124" t="e">
        <v>#N/A</v>
      </c>
      <c r="BT231" s="124" t="e">
        <v>#N/A</v>
      </c>
      <c r="BU231" s="124" t="e">
        <v>#N/A</v>
      </c>
      <c r="BV231" s="124" t="e">
        <v>#N/A</v>
      </c>
      <c r="BW231" s="124" t="e">
        <v>#N/A</v>
      </c>
      <c r="BX231" s="124" t="e">
        <v>#N/A</v>
      </c>
      <c r="BY231" s="124" t="e">
        <v>#N/A</v>
      </c>
      <c r="BZ231" s="124" t="e">
        <v>#N/A</v>
      </c>
      <c r="CA231" s="125"/>
      <c r="CB231" s="124" t="e">
        <v>#N/A</v>
      </c>
      <c r="CC231" s="126">
        <v>1</v>
      </c>
      <c r="CD231" s="127" t="e">
        <v>#N/A</v>
      </c>
      <c r="CE231" s="128"/>
      <c r="CF231" s="77" t="s">
        <v>4169</v>
      </c>
    </row>
    <row r="232" spans="1:84" ht="14.5" x14ac:dyDescent="0.35">
      <c r="A232" s="77">
        <v>231</v>
      </c>
      <c r="B232" s="106" t="s">
        <v>5076</v>
      </c>
      <c r="C232" s="107" t="s">
        <v>6816</v>
      </c>
      <c r="D232" s="108" t="s">
        <v>4905</v>
      </c>
      <c r="E232" s="109" t="s">
        <v>4906</v>
      </c>
      <c r="F232" s="110">
        <v>634940272</v>
      </c>
      <c r="G232" s="108" t="s">
        <v>1004</v>
      </c>
      <c r="H232" s="111" t="s">
        <v>209</v>
      </c>
      <c r="I232" s="111" t="s">
        <v>180</v>
      </c>
      <c r="J232" s="111" t="s">
        <v>4649</v>
      </c>
      <c r="K232" s="111" t="s">
        <v>199</v>
      </c>
      <c r="L232" s="112">
        <v>45873</v>
      </c>
      <c r="M232" s="111" t="s">
        <v>1712</v>
      </c>
      <c r="N232" s="113"/>
      <c r="O232" s="114" t="s">
        <v>567</v>
      </c>
      <c r="P232" s="114" t="s">
        <v>567</v>
      </c>
      <c r="Q232" s="114" t="s">
        <v>568</v>
      </c>
      <c r="R232" s="114" t="s">
        <v>7447</v>
      </c>
      <c r="S232" s="114" t="s">
        <v>568</v>
      </c>
      <c r="T232" s="114" t="s">
        <v>183</v>
      </c>
      <c r="U232" s="114" t="s">
        <v>183</v>
      </c>
      <c r="V232" s="115"/>
      <c r="W232" s="116" t="s">
        <v>4907</v>
      </c>
      <c r="X232" s="116" t="s">
        <v>4908</v>
      </c>
      <c r="Y232" s="117" t="s">
        <v>4909</v>
      </c>
      <c r="Z232" s="117">
        <v>3486335</v>
      </c>
      <c r="AA232" s="118"/>
      <c r="AB232" s="119" t="s">
        <v>5274</v>
      </c>
      <c r="AC232" s="119" t="s">
        <v>4910</v>
      </c>
      <c r="AD232" s="119" t="s">
        <v>4911</v>
      </c>
      <c r="AE232" s="119" t="s">
        <v>4912</v>
      </c>
      <c r="AF232" s="119">
        <v>0</v>
      </c>
      <c r="AG232" s="120"/>
      <c r="AH232" s="121">
        <v>45873</v>
      </c>
      <c r="AI232" s="121">
        <v>45873</v>
      </c>
      <c r="AJ232" s="121">
        <v>45873</v>
      </c>
      <c r="AK232" s="122">
        <v>45873</v>
      </c>
      <c r="AL232" s="122" t="e">
        <v>#N/A</v>
      </c>
      <c r="AM232" s="122" t="e">
        <v>#N/A</v>
      </c>
      <c r="AN232" s="122" t="e">
        <v>#N/A</v>
      </c>
      <c r="AO232" s="121" t="e">
        <v>#N/A</v>
      </c>
      <c r="AP232" s="122" t="e">
        <v>#N/A</v>
      </c>
      <c r="AQ232" s="122" t="e">
        <v>#N/A</v>
      </c>
      <c r="AR232" s="122" t="e">
        <v>#N/A</v>
      </c>
      <c r="AS232" s="122" t="e">
        <v>#N/A</v>
      </c>
      <c r="AT232" s="122" t="e">
        <v>#N/A</v>
      </c>
      <c r="AU232" s="121" t="e">
        <v>#N/A</v>
      </c>
      <c r="AV232" s="122" t="e">
        <v>#N/A</v>
      </c>
      <c r="AW232" s="122">
        <v>45873</v>
      </c>
      <c r="AX232" s="122" t="e">
        <v>#N/A</v>
      </c>
      <c r="AY232" s="122" t="e">
        <v>#N/A</v>
      </c>
      <c r="AZ232" s="122" t="e">
        <v>#N/A</v>
      </c>
      <c r="BA232" s="122" t="e">
        <v>#N/A</v>
      </c>
      <c r="BB232" s="122" t="e">
        <v>#N/A</v>
      </c>
      <c r="BC232" s="122" t="e">
        <v>#N/A</v>
      </c>
      <c r="BD232" s="122" t="e">
        <v>#N/A</v>
      </c>
      <c r="BE232" s="122" t="e">
        <v>#N/A</v>
      </c>
      <c r="BF232" s="122" t="e">
        <v>#N/A</v>
      </c>
      <c r="BG232" s="122" t="e">
        <v>#N/A</v>
      </c>
      <c r="BH232" s="122" t="e">
        <v>#N/A</v>
      </c>
      <c r="BI232" s="122" t="e">
        <v>#N/A</v>
      </c>
      <c r="BJ232" s="122" t="e">
        <v>#N/A</v>
      </c>
      <c r="BK232" s="122" t="e">
        <v>#N/A</v>
      </c>
      <c r="BL232" s="123"/>
      <c r="BM232" s="124" t="e">
        <v>#N/A</v>
      </c>
      <c r="BN232" s="124" t="e">
        <v>#N/A</v>
      </c>
      <c r="BO232" s="124" t="e">
        <v>#N/A</v>
      </c>
      <c r="BP232" s="124" t="e">
        <v>#N/A</v>
      </c>
      <c r="BQ232" s="124" t="e">
        <v>#N/A</v>
      </c>
      <c r="BR232" s="124" t="e">
        <v>#N/A</v>
      </c>
      <c r="BS232" s="124" t="e">
        <v>#N/A</v>
      </c>
      <c r="BT232" s="124" t="e">
        <v>#N/A</v>
      </c>
      <c r="BU232" s="124" t="e">
        <v>#N/A</v>
      </c>
      <c r="BV232" s="124" t="e">
        <v>#N/A</v>
      </c>
      <c r="BW232" s="124" t="e">
        <v>#N/A</v>
      </c>
      <c r="BX232" s="124" t="e">
        <v>#N/A</v>
      </c>
      <c r="BY232" s="124" t="e">
        <v>#N/A</v>
      </c>
      <c r="BZ232" s="124" t="e">
        <v>#N/A</v>
      </c>
      <c r="CA232" s="125"/>
      <c r="CB232" s="124" t="e">
        <v>#N/A</v>
      </c>
      <c r="CC232" s="126">
        <v>1</v>
      </c>
      <c r="CD232" s="127" t="e">
        <v>#N/A</v>
      </c>
      <c r="CE232" s="128"/>
      <c r="CF232" s="77" t="s">
        <v>4169</v>
      </c>
    </row>
    <row r="233" spans="1:84" ht="14.5" x14ac:dyDescent="0.35">
      <c r="A233" s="77">
        <v>232</v>
      </c>
      <c r="B233" s="106" t="s">
        <v>5146</v>
      </c>
      <c r="C233" s="107" t="s">
        <v>6825</v>
      </c>
      <c r="D233" s="108" t="s">
        <v>5147</v>
      </c>
      <c r="E233" s="109" t="s">
        <v>5148</v>
      </c>
      <c r="F233" s="110">
        <v>675567696</v>
      </c>
      <c r="G233" s="108" t="s">
        <v>1004</v>
      </c>
      <c r="H233" s="111" t="s">
        <v>209</v>
      </c>
      <c r="I233" s="111" t="s">
        <v>180</v>
      </c>
      <c r="J233" s="111" t="s">
        <v>4649</v>
      </c>
      <c r="K233" s="111" t="s">
        <v>199</v>
      </c>
      <c r="L233" s="112">
        <v>45873</v>
      </c>
      <c r="M233" s="111" t="s">
        <v>2463</v>
      </c>
      <c r="N233" s="113"/>
      <c r="O233" s="114" t="s">
        <v>567</v>
      </c>
      <c r="P233" s="114" t="s">
        <v>567</v>
      </c>
      <c r="Q233" s="114" t="s">
        <v>568</v>
      </c>
      <c r="R233" s="114" t="s">
        <v>7447</v>
      </c>
      <c r="S233" s="114" t="s">
        <v>568</v>
      </c>
      <c r="T233" s="114" t="s">
        <v>183</v>
      </c>
      <c r="U233" s="114" t="s">
        <v>183</v>
      </c>
      <c r="V233" s="115"/>
      <c r="W233" s="116" t="s">
        <v>5149</v>
      </c>
      <c r="X233" s="116" t="s">
        <v>5150</v>
      </c>
      <c r="Y233" s="117">
        <v>3487083</v>
      </c>
      <c r="Z233" s="117">
        <v>3486773</v>
      </c>
      <c r="AA233" s="118"/>
      <c r="AB233" s="119" t="s">
        <v>5597</v>
      </c>
      <c r="AC233" s="119" t="s">
        <v>5151</v>
      </c>
      <c r="AD233" s="119" t="s">
        <v>5152</v>
      </c>
      <c r="AE233" s="119" t="s">
        <v>5153</v>
      </c>
      <c r="AF233" s="119">
        <v>0</v>
      </c>
      <c r="AG233" s="120"/>
      <c r="AH233" s="121">
        <v>45873</v>
      </c>
      <c r="AI233" s="121">
        <v>45873</v>
      </c>
      <c r="AJ233" s="121">
        <v>45873</v>
      </c>
      <c r="AK233" s="122">
        <v>45873</v>
      </c>
      <c r="AL233" s="122" t="e">
        <v>#N/A</v>
      </c>
      <c r="AM233" s="121" t="e">
        <v>#N/A</v>
      </c>
      <c r="AN233" s="121" t="e">
        <v>#N/A</v>
      </c>
      <c r="AO233" s="121" t="e">
        <v>#N/A</v>
      </c>
      <c r="AP233" s="122" t="e">
        <v>#N/A</v>
      </c>
      <c r="AQ233" s="122" t="e">
        <v>#N/A</v>
      </c>
      <c r="AR233" s="122" t="e">
        <v>#N/A</v>
      </c>
      <c r="AS233" s="122" t="e">
        <v>#N/A</v>
      </c>
      <c r="AT233" s="122" t="e">
        <v>#N/A</v>
      </c>
      <c r="AU233" s="121" t="e">
        <v>#N/A</v>
      </c>
      <c r="AV233" s="122" t="e">
        <v>#N/A</v>
      </c>
      <c r="AW233" s="122">
        <v>45873</v>
      </c>
      <c r="AX233" s="122" t="e">
        <v>#N/A</v>
      </c>
      <c r="AY233" s="122" t="e">
        <v>#N/A</v>
      </c>
      <c r="AZ233" s="122" t="e">
        <v>#N/A</v>
      </c>
      <c r="BA233" s="122" t="e">
        <v>#N/A</v>
      </c>
      <c r="BB233" s="122" t="e">
        <v>#N/A</v>
      </c>
      <c r="BC233" s="122" t="e">
        <v>#N/A</v>
      </c>
      <c r="BD233" s="122" t="e">
        <v>#N/A</v>
      </c>
      <c r="BE233" s="122" t="e">
        <v>#N/A</v>
      </c>
      <c r="BF233" s="122" t="e">
        <v>#N/A</v>
      </c>
      <c r="BG233" s="122" t="e">
        <v>#N/A</v>
      </c>
      <c r="BH233" s="122" t="e">
        <v>#N/A</v>
      </c>
      <c r="BI233" s="122" t="e">
        <v>#N/A</v>
      </c>
      <c r="BJ233" s="122" t="e">
        <v>#N/A</v>
      </c>
      <c r="BK233" s="122" t="e">
        <v>#N/A</v>
      </c>
      <c r="BL233" s="123"/>
      <c r="BM233" s="124" t="e">
        <v>#N/A</v>
      </c>
      <c r="BN233" s="124" t="e">
        <v>#N/A</v>
      </c>
      <c r="BO233" s="124" t="e">
        <v>#N/A</v>
      </c>
      <c r="BP233" s="124" t="e">
        <v>#N/A</v>
      </c>
      <c r="BQ233" s="124" t="e">
        <v>#N/A</v>
      </c>
      <c r="BR233" s="124" t="e">
        <v>#N/A</v>
      </c>
      <c r="BS233" s="124" t="e">
        <v>#N/A</v>
      </c>
      <c r="BT233" s="124" t="e">
        <v>#N/A</v>
      </c>
      <c r="BU233" s="124" t="e">
        <v>#N/A</v>
      </c>
      <c r="BV233" s="124" t="e">
        <v>#N/A</v>
      </c>
      <c r="BW233" s="124" t="e">
        <v>#N/A</v>
      </c>
      <c r="BX233" s="124" t="e">
        <v>#N/A</v>
      </c>
      <c r="BY233" s="124" t="e">
        <v>#N/A</v>
      </c>
      <c r="BZ233" s="124" t="e">
        <v>#N/A</v>
      </c>
      <c r="CA233" s="125"/>
      <c r="CB233" s="124" t="e">
        <v>#N/A</v>
      </c>
      <c r="CC233" s="126">
        <v>1</v>
      </c>
      <c r="CD233" s="127" t="s">
        <v>4904</v>
      </c>
      <c r="CE233" s="128"/>
      <c r="CF233" s="77" t="s">
        <v>4169</v>
      </c>
    </row>
    <row r="234" spans="1:84" ht="14.5" x14ac:dyDescent="0.35">
      <c r="A234" s="77">
        <v>233</v>
      </c>
      <c r="B234" s="106" t="s">
        <v>5059</v>
      </c>
      <c r="C234" s="107" t="s">
        <v>6814</v>
      </c>
      <c r="D234" s="108" t="s">
        <v>5060</v>
      </c>
      <c r="E234" s="109" t="s">
        <v>5061</v>
      </c>
      <c r="F234" s="110">
        <v>668563430</v>
      </c>
      <c r="G234" s="108" t="s">
        <v>1004</v>
      </c>
      <c r="H234" s="111" t="s">
        <v>209</v>
      </c>
      <c r="I234" s="111" t="s">
        <v>180</v>
      </c>
      <c r="J234" s="111" t="s">
        <v>4649</v>
      </c>
      <c r="K234" s="111" t="s">
        <v>199</v>
      </c>
      <c r="L234" s="112">
        <v>45873</v>
      </c>
      <c r="M234" s="111" t="s">
        <v>491</v>
      </c>
      <c r="N234" s="113"/>
      <c r="O234" s="114" t="s">
        <v>568</v>
      </c>
      <c r="P234" s="114" t="s">
        <v>183</v>
      </c>
      <c r="Q234" s="114" t="s">
        <v>568</v>
      </c>
      <c r="R234" s="114" t="s">
        <v>7447</v>
      </c>
      <c r="S234" s="114" t="s">
        <v>183</v>
      </c>
      <c r="T234" s="114" t="s">
        <v>567</v>
      </c>
      <c r="U234" s="114" t="s">
        <v>567</v>
      </c>
      <c r="V234" s="115"/>
      <c r="W234" s="116" t="s">
        <v>5062</v>
      </c>
      <c r="X234" s="116" t="s">
        <v>5063</v>
      </c>
      <c r="Y234" s="117">
        <v>3485268</v>
      </c>
      <c r="Z234" s="117">
        <v>3481156</v>
      </c>
      <c r="AA234" s="118"/>
      <c r="AB234" s="119" t="s">
        <v>5064</v>
      </c>
      <c r="AC234" s="119" t="s">
        <v>5065</v>
      </c>
      <c r="AD234" s="119" t="s">
        <v>5066</v>
      </c>
      <c r="AE234" s="119" t="s">
        <v>5067</v>
      </c>
      <c r="AF234" s="119">
        <v>0</v>
      </c>
      <c r="AG234" s="120"/>
      <c r="AH234" s="121">
        <v>45873</v>
      </c>
      <c r="AI234" s="121">
        <v>45873</v>
      </c>
      <c r="AJ234" s="121">
        <v>45873</v>
      </c>
      <c r="AK234" s="122">
        <v>45873</v>
      </c>
      <c r="AL234" s="122" t="e">
        <v>#N/A</v>
      </c>
      <c r="AM234" s="121" t="e">
        <v>#N/A</v>
      </c>
      <c r="AN234" s="121" t="e">
        <v>#N/A</v>
      </c>
      <c r="AO234" s="121" t="e">
        <v>#N/A</v>
      </c>
      <c r="AP234" s="122" t="e">
        <v>#N/A</v>
      </c>
      <c r="AQ234" s="122" t="e">
        <v>#N/A</v>
      </c>
      <c r="AR234" s="122" t="e">
        <v>#N/A</v>
      </c>
      <c r="AS234" s="122" t="e">
        <v>#N/A</v>
      </c>
      <c r="AT234" s="122" t="e">
        <v>#N/A</v>
      </c>
      <c r="AU234" s="121" t="e">
        <v>#N/A</v>
      </c>
      <c r="AV234" s="122" t="e">
        <v>#N/A</v>
      </c>
      <c r="AW234" s="122">
        <v>45873</v>
      </c>
      <c r="AX234" s="122" t="e">
        <v>#N/A</v>
      </c>
      <c r="AY234" s="122" t="e">
        <v>#N/A</v>
      </c>
      <c r="AZ234" s="122" t="e">
        <v>#N/A</v>
      </c>
      <c r="BA234" s="122" t="e">
        <v>#N/A</v>
      </c>
      <c r="BB234" s="122" t="e">
        <v>#N/A</v>
      </c>
      <c r="BC234" s="122" t="e">
        <v>#N/A</v>
      </c>
      <c r="BD234" s="122" t="e">
        <v>#N/A</v>
      </c>
      <c r="BE234" s="122" t="e">
        <v>#N/A</v>
      </c>
      <c r="BF234" s="122" t="e">
        <v>#N/A</v>
      </c>
      <c r="BG234" s="122" t="e">
        <v>#N/A</v>
      </c>
      <c r="BH234" s="122" t="e">
        <v>#N/A</v>
      </c>
      <c r="BI234" s="122" t="e">
        <v>#N/A</v>
      </c>
      <c r="BJ234" s="122" t="e">
        <v>#N/A</v>
      </c>
      <c r="BK234" s="122" t="e">
        <v>#N/A</v>
      </c>
      <c r="BL234" s="123"/>
      <c r="BM234" s="124" t="e">
        <v>#N/A</v>
      </c>
      <c r="BN234" s="124" t="e">
        <v>#N/A</v>
      </c>
      <c r="BO234" s="124" t="e">
        <v>#N/A</v>
      </c>
      <c r="BP234" s="124" t="e">
        <v>#N/A</v>
      </c>
      <c r="BQ234" s="124" t="e">
        <v>#N/A</v>
      </c>
      <c r="BR234" s="124" t="e">
        <v>#N/A</v>
      </c>
      <c r="BS234" s="124" t="e">
        <v>#N/A</v>
      </c>
      <c r="BT234" s="124" t="e">
        <v>#N/A</v>
      </c>
      <c r="BU234" s="124" t="e">
        <v>#N/A</v>
      </c>
      <c r="BV234" s="124" t="e">
        <v>#N/A</v>
      </c>
      <c r="BW234" s="124" t="e">
        <v>#N/A</v>
      </c>
      <c r="BX234" s="124" t="e">
        <v>#N/A</v>
      </c>
      <c r="BY234" s="124" t="e">
        <v>#N/A</v>
      </c>
      <c r="BZ234" s="124" t="e">
        <v>#N/A</v>
      </c>
      <c r="CA234" s="125"/>
      <c r="CB234" s="124" t="e">
        <v>#N/A</v>
      </c>
      <c r="CC234" s="126">
        <v>1</v>
      </c>
      <c r="CD234" s="127" t="s">
        <v>5058</v>
      </c>
      <c r="CE234" s="128"/>
      <c r="CF234" s="77" t="s">
        <v>4169</v>
      </c>
    </row>
    <row r="235" spans="1:84" ht="14.5" x14ac:dyDescent="0.35">
      <c r="A235" s="77">
        <v>234</v>
      </c>
      <c r="B235" s="106" t="s">
        <v>32</v>
      </c>
      <c r="C235" s="107" t="s">
        <v>1170</v>
      </c>
      <c r="D235" s="108" t="s">
        <v>443</v>
      </c>
      <c r="E235" s="109" t="s">
        <v>444</v>
      </c>
      <c r="F235" s="110">
        <v>666749422</v>
      </c>
      <c r="G235" s="108" t="s">
        <v>1004</v>
      </c>
      <c r="H235" s="111" t="s">
        <v>209</v>
      </c>
      <c r="I235" s="111" t="s">
        <v>180</v>
      </c>
      <c r="J235" s="111" t="s">
        <v>4649</v>
      </c>
      <c r="K235" s="111" t="s">
        <v>199</v>
      </c>
      <c r="L235" s="112">
        <v>39939</v>
      </c>
      <c r="M235" s="111" t="s">
        <v>1546</v>
      </c>
      <c r="N235" s="113"/>
      <c r="O235" s="114" t="s">
        <v>7448</v>
      </c>
      <c r="P235" s="114" t="s">
        <v>7448</v>
      </c>
      <c r="Q235" s="114" t="s">
        <v>7448</v>
      </c>
      <c r="R235" s="114" t="s">
        <v>7449</v>
      </c>
      <c r="S235" s="114" t="s">
        <v>7254</v>
      </c>
      <c r="T235" s="114" t="s">
        <v>183</v>
      </c>
      <c r="U235" s="114" t="s">
        <v>183</v>
      </c>
      <c r="V235" s="115"/>
      <c r="W235" s="116" t="s">
        <v>445</v>
      </c>
      <c r="X235" s="116" t="s">
        <v>446</v>
      </c>
      <c r="Y235" s="117">
        <v>3485039</v>
      </c>
      <c r="Z235" s="117">
        <v>3481118</v>
      </c>
      <c r="AA235" s="118"/>
      <c r="AB235" s="119" t="s">
        <v>5236</v>
      </c>
      <c r="AC235" s="119" t="s">
        <v>1171</v>
      </c>
      <c r="AD235" s="119">
        <v>4338</v>
      </c>
      <c r="AE235" s="119" t="s">
        <v>447</v>
      </c>
      <c r="AF235" s="119" t="s">
        <v>7450</v>
      </c>
      <c r="AG235" s="120"/>
      <c r="AH235" s="121">
        <v>44197</v>
      </c>
      <c r="AI235" s="121">
        <v>44197</v>
      </c>
      <c r="AJ235" s="121">
        <v>44197</v>
      </c>
      <c r="AK235" s="122">
        <v>44197</v>
      </c>
      <c r="AL235" s="122">
        <v>44197</v>
      </c>
      <c r="AM235" s="122" t="e">
        <v>#N/A</v>
      </c>
      <c r="AN235" s="122" t="s">
        <v>7054</v>
      </c>
      <c r="AO235" s="121" t="e">
        <v>#N/A</v>
      </c>
      <c r="AP235" s="122" t="e">
        <v>#N/A</v>
      </c>
      <c r="AQ235" s="122" t="e">
        <v>#N/A</v>
      </c>
      <c r="AR235" s="122" t="e">
        <v>#N/A</v>
      </c>
      <c r="AS235" s="122" t="e">
        <v>#N/A</v>
      </c>
      <c r="AT235" s="122" t="e">
        <v>#N/A</v>
      </c>
      <c r="AU235" s="121" t="e">
        <v>#N/A</v>
      </c>
      <c r="AV235" s="122" t="e">
        <v>#N/A</v>
      </c>
      <c r="AW235" s="122">
        <v>45643</v>
      </c>
      <c r="AX235" s="122">
        <v>44727</v>
      </c>
      <c r="AY235" s="122" t="e">
        <v>#N/A</v>
      </c>
      <c r="AZ235" s="122" t="e">
        <v>#N/A</v>
      </c>
      <c r="BA235" s="122" t="e">
        <v>#N/A</v>
      </c>
      <c r="BB235" s="122" t="e">
        <v>#N/A</v>
      </c>
      <c r="BC235" s="122" t="e">
        <v>#N/A</v>
      </c>
      <c r="BD235" s="122" t="e">
        <v>#N/A</v>
      </c>
      <c r="BE235" s="122" t="e">
        <v>#N/A</v>
      </c>
      <c r="BF235" s="122" t="e">
        <v>#N/A</v>
      </c>
      <c r="BG235" s="122" t="e">
        <v>#N/A</v>
      </c>
      <c r="BH235" s="122" t="e">
        <v>#N/A</v>
      </c>
      <c r="BI235" s="122" t="e">
        <v>#N/A</v>
      </c>
      <c r="BJ235" s="122" t="e">
        <v>#N/A</v>
      </c>
      <c r="BK235" s="122">
        <v>45972</v>
      </c>
      <c r="BL235" s="123"/>
      <c r="BM235" s="124" t="e">
        <v>#N/A</v>
      </c>
      <c r="BN235" s="124" t="e">
        <v>#N/A</v>
      </c>
      <c r="BO235" s="124" t="e">
        <v>#N/A</v>
      </c>
      <c r="BP235" s="124" t="e">
        <v>#N/A</v>
      </c>
      <c r="BQ235" s="124" t="e">
        <v>#N/A</v>
      </c>
      <c r="BR235" s="124" t="e">
        <v>#N/A</v>
      </c>
      <c r="BS235" s="124" t="e">
        <v>#N/A</v>
      </c>
      <c r="BT235" s="124" t="e">
        <v>#N/A</v>
      </c>
      <c r="BU235" s="124" t="e">
        <v>#N/A</v>
      </c>
      <c r="BV235" s="124" t="e">
        <v>#N/A</v>
      </c>
      <c r="BW235" s="124" t="e">
        <v>#N/A</v>
      </c>
      <c r="BX235" s="124" t="e">
        <v>#N/A</v>
      </c>
      <c r="BY235" s="124" t="e">
        <v>#N/A</v>
      </c>
      <c r="BZ235" s="124" t="e">
        <v>#N/A</v>
      </c>
      <c r="CA235" s="125"/>
      <c r="CB235" s="124" t="e">
        <v>#N/A</v>
      </c>
      <c r="CC235" s="126">
        <v>1</v>
      </c>
      <c r="CD235" s="127" t="s">
        <v>4169</v>
      </c>
      <c r="CE235" s="128"/>
      <c r="CF235" s="77" t="s">
        <v>4169</v>
      </c>
    </row>
    <row r="236" spans="1:84" ht="14.5" x14ac:dyDescent="0.35">
      <c r="A236" s="77">
        <v>235</v>
      </c>
      <c r="B236" s="106" t="s">
        <v>6346</v>
      </c>
      <c r="C236" s="107" t="s">
        <v>1293</v>
      </c>
      <c r="D236" s="108" t="s">
        <v>372</v>
      </c>
      <c r="E236" s="109" t="s">
        <v>373</v>
      </c>
      <c r="F236" s="110">
        <v>657211189</v>
      </c>
      <c r="G236" s="108" t="s">
        <v>1004</v>
      </c>
      <c r="H236" s="111" t="s">
        <v>209</v>
      </c>
      <c r="I236" s="111" t="s">
        <v>180</v>
      </c>
      <c r="J236" s="111" t="s">
        <v>4649</v>
      </c>
      <c r="K236" s="111" t="s">
        <v>199</v>
      </c>
      <c r="L236" s="112">
        <v>39027</v>
      </c>
      <c r="M236" s="111" t="s">
        <v>1546</v>
      </c>
      <c r="N236" s="113"/>
      <c r="O236" s="114" t="s">
        <v>226</v>
      </c>
      <c r="P236" s="114" t="s">
        <v>226</v>
      </c>
      <c r="Q236" s="114" t="s">
        <v>225</v>
      </c>
      <c r="R236" s="114" t="s">
        <v>7331</v>
      </c>
      <c r="S236" s="114" t="s">
        <v>226</v>
      </c>
      <c r="T236" s="114" t="s">
        <v>183</v>
      </c>
      <c r="U236" s="114" t="s">
        <v>183</v>
      </c>
      <c r="V236" s="115"/>
      <c r="W236" s="116" t="s">
        <v>374</v>
      </c>
      <c r="X236" s="116" t="s">
        <v>375</v>
      </c>
      <c r="Y236" s="117">
        <v>3485010</v>
      </c>
      <c r="Z236" s="117">
        <v>3481141</v>
      </c>
      <c r="AA236" s="118"/>
      <c r="AB236" s="119" t="s">
        <v>5611</v>
      </c>
      <c r="AC236" s="119" t="s">
        <v>1294</v>
      </c>
      <c r="AD236" s="119">
        <v>4360</v>
      </c>
      <c r="AE236" s="119" t="s">
        <v>376</v>
      </c>
      <c r="AF236" s="119" t="s">
        <v>7064</v>
      </c>
      <c r="AG236" s="120"/>
      <c r="AH236" s="121">
        <v>44197</v>
      </c>
      <c r="AI236" s="121">
        <v>44197</v>
      </c>
      <c r="AJ236" s="121">
        <v>44197</v>
      </c>
      <c r="AK236" s="122">
        <v>44197</v>
      </c>
      <c r="AL236" s="122" t="e">
        <v>#N/A</v>
      </c>
      <c r="AM236" s="121" t="e">
        <v>#N/A</v>
      </c>
      <c r="AN236" s="121" t="e">
        <v>#N/A</v>
      </c>
      <c r="AO236" s="121" t="s">
        <v>7065</v>
      </c>
      <c r="AP236" s="122" t="e">
        <v>#N/A</v>
      </c>
      <c r="AQ236" s="122">
        <v>45267</v>
      </c>
      <c r="AR236" s="122" t="e">
        <v>#N/A</v>
      </c>
      <c r="AS236" s="122" t="e">
        <v>#N/A</v>
      </c>
      <c r="AT236" s="122" t="e">
        <v>#N/A</v>
      </c>
      <c r="AU236" s="121">
        <v>45912</v>
      </c>
      <c r="AV236" s="122">
        <v>45737</v>
      </c>
      <c r="AW236" s="122">
        <v>45670</v>
      </c>
      <c r="AX236" s="122" t="e">
        <v>#N/A</v>
      </c>
      <c r="AY236" s="122" t="e">
        <v>#N/A</v>
      </c>
      <c r="AZ236" s="122" t="e">
        <v>#N/A</v>
      </c>
      <c r="BA236" s="122" t="e">
        <v>#N/A</v>
      </c>
      <c r="BB236" s="122" t="e">
        <v>#N/A</v>
      </c>
      <c r="BC236" s="122" t="e">
        <v>#N/A</v>
      </c>
      <c r="BD236" s="122" t="e">
        <v>#N/A</v>
      </c>
      <c r="BE236" s="122" t="e">
        <v>#N/A</v>
      </c>
      <c r="BF236" s="122" t="e">
        <v>#N/A</v>
      </c>
      <c r="BG236" s="122" t="e">
        <v>#N/A</v>
      </c>
      <c r="BH236" s="122" t="e">
        <v>#N/A</v>
      </c>
      <c r="BI236" s="122" t="e">
        <v>#N/A</v>
      </c>
      <c r="BJ236" s="122" t="e">
        <v>#N/A</v>
      </c>
      <c r="BK236" s="122">
        <v>45968</v>
      </c>
      <c r="BL236" s="123"/>
      <c r="BM236" s="124" t="e">
        <v>#N/A</v>
      </c>
      <c r="BN236" s="124" t="e">
        <v>#N/A</v>
      </c>
      <c r="BO236" s="124" t="e">
        <v>#N/A</v>
      </c>
      <c r="BP236" s="124" t="e">
        <v>#N/A</v>
      </c>
      <c r="BQ236" s="124" t="e">
        <v>#N/A</v>
      </c>
      <c r="BR236" s="124" t="e">
        <v>#N/A</v>
      </c>
      <c r="BS236" s="124" t="e">
        <v>#N/A</v>
      </c>
      <c r="BT236" s="124" t="e">
        <v>#N/A</v>
      </c>
      <c r="BU236" s="124" t="e">
        <v>#N/A</v>
      </c>
      <c r="BV236" s="124" t="e">
        <v>#N/A</v>
      </c>
      <c r="BW236" s="124" t="e">
        <v>#N/A</v>
      </c>
      <c r="BX236" s="124" t="e">
        <v>#N/A</v>
      </c>
      <c r="BY236" s="124" t="e">
        <v>#N/A</v>
      </c>
      <c r="BZ236" s="124" t="e">
        <v>#N/A</v>
      </c>
      <c r="CA236" s="125"/>
      <c r="CB236" s="124" t="e">
        <v>#N/A</v>
      </c>
      <c r="CC236" s="126">
        <v>1</v>
      </c>
      <c r="CD236" s="127" t="e">
        <v>#N/A</v>
      </c>
      <c r="CE236" s="128"/>
      <c r="CF236" s="77" t="s">
        <v>4203</v>
      </c>
    </row>
    <row r="237" spans="1:84" ht="14.5" x14ac:dyDescent="0.35">
      <c r="A237" s="77">
        <v>236</v>
      </c>
      <c r="B237" s="106" t="s">
        <v>2544</v>
      </c>
      <c r="C237" s="107" t="s">
        <v>6412</v>
      </c>
      <c r="D237" s="108" t="s">
        <v>2545</v>
      </c>
      <c r="E237" s="109" t="s">
        <v>2546</v>
      </c>
      <c r="F237" s="110">
        <v>636368809</v>
      </c>
      <c r="G237" s="108" t="s">
        <v>190</v>
      </c>
      <c r="H237" s="111" t="s">
        <v>209</v>
      </c>
      <c r="I237" s="111" t="s">
        <v>180</v>
      </c>
      <c r="J237" s="111" t="s">
        <v>4649</v>
      </c>
      <c r="K237" s="111" t="s">
        <v>199</v>
      </c>
      <c r="L237" s="112">
        <v>40385</v>
      </c>
      <c r="M237" s="111" t="s">
        <v>329</v>
      </c>
      <c r="N237" s="113"/>
      <c r="O237" s="114" t="s">
        <v>7247</v>
      </c>
      <c r="P237" s="114" t="s">
        <v>7247</v>
      </c>
      <c r="Q237" s="114" t="s">
        <v>3825</v>
      </c>
      <c r="R237" s="114" t="s">
        <v>7331</v>
      </c>
      <c r="S237" s="114" t="s">
        <v>7247</v>
      </c>
      <c r="T237" s="114" t="s">
        <v>183</v>
      </c>
      <c r="U237" s="114" t="s">
        <v>183</v>
      </c>
      <c r="V237" s="115"/>
      <c r="W237" s="116" t="s">
        <v>2547</v>
      </c>
      <c r="X237" s="116" t="s">
        <v>2548</v>
      </c>
      <c r="Y237" s="117">
        <v>3485693</v>
      </c>
      <c r="Z237" s="117">
        <v>3481346</v>
      </c>
      <c r="AA237" s="118"/>
      <c r="AB237" s="119" t="s">
        <v>5668</v>
      </c>
      <c r="AC237" s="119" t="s">
        <v>2549</v>
      </c>
      <c r="AD237" s="119">
        <v>27569</v>
      </c>
      <c r="AE237" s="119" t="s">
        <v>2550</v>
      </c>
      <c r="AF237" s="119">
        <v>0</v>
      </c>
      <c r="AG237" s="120"/>
      <c r="AH237" s="121">
        <v>44994</v>
      </c>
      <c r="AI237" s="121">
        <v>45065</v>
      </c>
      <c r="AJ237" s="121">
        <v>45065</v>
      </c>
      <c r="AK237" s="122">
        <v>45065</v>
      </c>
      <c r="AL237" s="122" t="e">
        <v>#N/A</v>
      </c>
      <c r="AM237" s="122" t="e">
        <v>#N/A</v>
      </c>
      <c r="AN237" s="122" t="e">
        <v>#N/A</v>
      </c>
      <c r="AO237" s="121" t="e">
        <v>#N/A</v>
      </c>
      <c r="AP237" s="122" t="e">
        <v>#N/A</v>
      </c>
      <c r="AQ237" s="122" t="e">
        <v>#N/A</v>
      </c>
      <c r="AR237" s="122" t="e">
        <v>#N/A</v>
      </c>
      <c r="AS237" s="122" t="e">
        <v>#N/A</v>
      </c>
      <c r="AT237" s="122">
        <v>45008</v>
      </c>
      <c r="AU237" s="121" t="e">
        <v>#N/A</v>
      </c>
      <c r="AV237" s="122" t="e">
        <v>#N/A</v>
      </c>
      <c r="AW237" s="122" t="e">
        <v>#N/A</v>
      </c>
      <c r="AX237" s="122" t="e">
        <v>#N/A</v>
      </c>
      <c r="AY237" s="122" t="e">
        <v>#N/A</v>
      </c>
      <c r="AZ237" s="122" t="e">
        <v>#N/A</v>
      </c>
      <c r="BA237" s="122" t="e">
        <v>#N/A</v>
      </c>
      <c r="BB237" s="122" t="e">
        <v>#N/A</v>
      </c>
      <c r="BC237" s="122" t="e">
        <v>#N/A</v>
      </c>
      <c r="BD237" s="122" t="e">
        <v>#N/A</v>
      </c>
      <c r="BE237" s="122" t="e">
        <v>#N/A</v>
      </c>
      <c r="BF237" s="122" t="e">
        <v>#N/A</v>
      </c>
      <c r="BG237" s="122" t="e">
        <v>#N/A</v>
      </c>
      <c r="BH237" s="122" t="e">
        <v>#N/A</v>
      </c>
      <c r="BI237" s="122" t="e">
        <v>#N/A</v>
      </c>
      <c r="BJ237" s="122" t="e">
        <v>#N/A</v>
      </c>
      <c r="BK237" s="122" t="e">
        <v>#N/A</v>
      </c>
      <c r="BL237" s="123"/>
      <c r="BM237" s="124">
        <v>45371</v>
      </c>
      <c r="BN237" s="124">
        <v>45373</v>
      </c>
      <c r="BO237" s="124">
        <v>45583</v>
      </c>
      <c r="BP237" s="124" t="e">
        <v>#N/A</v>
      </c>
      <c r="BQ237" s="124" t="e">
        <v>#N/A</v>
      </c>
      <c r="BR237" s="124" t="e">
        <v>#N/A</v>
      </c>
      <c r="BS237" s="124" t="s">
        <v>199</v>
      </c>
      <c r="BT237" s="124" t="e">
        <v>#N/A</v>
      </c>
      <c r="BU237" s="124" t="e">
        <v>#N/A</v>
      </c>
      <c r="BV237" s="124" t="e">
        <v>#N/A</v>
      </c>
      <c r="BW237" s="124" t="e">
        <v>#N/A</v>
      </c>
      <c r="BX237" s="124" t="e">
        <v>#N/A</v>
      </c>
      <c r="BY237" s="124" t="e">
        <v>#N/A</v>
      </c>
      <c r="BZ237" s="124" t="e">
        <v>#N/A</v>
      </c>
      <c r="CA237" s="125"/>
      <c r="CB237" s="124" t="e">
        <v>#N/A</v>
      </c>
      <c r="CC237" s="126">
        <v>1</v>
      </c>
      <c r="CD237" s="127" t="s">
        <v>4162</v>
      </c>
      <c r="CE237" s="128"/>
      <c r="CF237" s="77" t="s">
        <v>4152</v>
      </c>
    </row>
    <row r="238" spans="1:84" ht="14.5" x14ac:dyDescent="0.35">
      <c r="A238" s="77">
        <v>237</v>
      </c>
      <c r="B238" s="106" t="s">
        <v>6290</v>
      </c>
      <c r="C238" s="107" t="s">
        <v>1150</v>
      </c>
      <c r="D238" s="108" t="s">
        <v>251</v>
      </c>
      <c r="E238" s="109" t="s">
        <v>252</v>
      </c>
      <c r="F238" s="110">
        <v>657751046</v>
      </c>
      <c r="G238" s="108" t="s">
        <v>190</v>
      </c>
      <c r="H238" s="111" t="s">
        <v>209</v>
      </c>
      <c r="I238" s="111" t="s">
        <v>180</v>
      </c>
      <c r="J238" s="111" t="s">
        <v>4649</v>
      </c>
      <c r="K238" s="111" t="s">
        <v>199</v>
      </c>
      <c r="L238" s="112">
        <v>45871</v>
      </c>
      <c r="M238" s="111" t="s">
        <v>2628</v>
      </c>
      <c r="N238" s="113"/>
      <c r="O238" s="114" t="s">
        <v>3797</v>
      </c>
      <c r="P238" s="114" t="s">
        <v>3797</v>
      </c>
      <c r="Q238" s="114" t="s">
        <v>183</v>
      </c>
      <c r="R238" s="114" t="s">
        <v>7364</v>
      </c>
      <c r="S238" s="114" t="s">
        <v>183</v>
      </c>
      <c r="T238" s="114" t="s">
        <v>7451</v>
      </c>
      <c r="U238" s="114" t="s">
        <v>7451</v>
      </c>
      <c r="V238" s="115"/>
      <c r="W238" s="116" t="s">
        <v>4921</v>
      </c>
      <c r="X238" s="116" t="s">
        <v>4922</v>
      </c>
      <c r="Y238" s="117">
        <v>3485226</v>
      </c>
      <c r="Z238" s="117">
        <v>3486264</v>
      </c>
      <c r="AA238" s="118"/>
      <c r="AB238" s="119" t="s">
        <v>5788</v>
      </c>
      <c r="AC238" s="119" t="s">
        <v>4923</v>
      </c>
      <c r="AD238" s="119">
        <v>5136</v>
      </c>
      <c r="AE238" s="119" t="s">
        <v>4924</v>
      </c>
      <c r="AF238" s="119">
        <v>0</v>
      </c>
      <c r="AG238" s="120"/>
      <c r="AH238" s="121">
        <v>44197</v>
      </c>
      <c r="AI238" s="121">
        <v>44529</v>
      </c>
      <c r="AJ238" s="121">
        <v>44529</v>
      </c>
      <c r="AK238" s="122">
        <v>44529</v>
      </c>
      <c r="AL238" s="122" t="e">
        <v>#N/A</v>
      </c>
      <c r="AM238" s="121" t="e">
        <v>#N/A</v>
      </c>
      <c r="AN238" s="121" t="e">
        <v>#N/A</v>
      </c>
      <c r="AO238" s="121" t="e">
        <v>#N/A</v>
      </c>
      <c r="AP238" s="122" t="e">
        <v>#N/A</v>
      </c>
      <c r="AQ238" s="122" t="e">
        <v>#N/A</v>
      </c>
      <c r="AR238" s="122" t="e">
        <v>#N/A</v>
      </c>
      <c r="AS238" s="122" t="e">
        <v>#N/A</v>
      </c>
      <c r="AT238" s="122" t="e">
        <v>#N/A</v>
      </c>
      <c r="AU238" s="121" t="e">
        <v>#N/A</v>
      </c>
      <c r="AV238" s="122" t="e">
        <v>#N/A</v>
      </c>
      <c r="AW238" s="122">
        <v>45643</v>
      </c>
      <c r="AX238" s="122" t="e">
        <v>#N/A</v>
      </c>
      <c r="AY238" s="122" t="e">
        <v>#N/A</v>
      </c>
      <c r="AZ238" s="122" t="e">
        <v>#N/A</v>
      </c>
      <c r="BA238" s="122" t="e">
        <v>#N/A</v>
      </c>
      <c r="BB238" s="122" t="e">
        <v>#N/A</v>
      </c>
      <c r="BC238" s="122" t="e">
        <v>#N/A</v>
      </c>
      <c r="BD238" s="122" t="e">
        <v>#N/A</v>
      </c>
      <c r="BE238" s="122" t="e">
        <v>#N/A</v>
      </c>
      <c r="BF238" s="122" t="e">
        <v>#N/A</v>
      </c>
      <c r="BG238" s="122" t="e">
        <v>#N/A</v>
      </c>
      <c r="BH238" s="122" t="e">
        <v>#N/A</v>
      </c>
      <c r="BI238" s="122" t="e">
        <v>#N/A</v>
      </c>
      <c r="BJ238" s="122" t="e">
        <v>#N/A</v>
      </c>
      <c r="BK238" s="122" t="e">
        <v>#N/A</v>
      </c>
      <c r="BL238" s="123"/>
      <c r="BM238" s="124" t="e">
        <v>#N/A</v>
      </c>
      <c r="BN238" s="124" t="e">
        <v>#N/A</v>
      </c>
      <c r="BO238" s="124" t="e">
        <v>#N/A</v>
      </c>
      <c r="BP238" s="124" t="e">
        <v>#N/A</v>
      </c>
      <c r="BQ238" s="124" t="e">
        <v>#N/A</v>
      </c>
      <c r="BR238" s="124" t="e">
        <v>#N/A</v>
      </c>
      <c r="BS238" s="124" t="e">
        <v>#N/A</v>
      </c>
      <c r="BT238" s="124" t="e">
        <v>#N/A</v>
      </c>
      <c r="BU238" s="124" t="e">
        <v>#N/A</v>
      </c>
      <c r="BV238" s="124" t="e">
        <v>#N/A</v>
      </c>
      <c r="BW238" s="124" t="e">
        <v>#N/A</v>
      </c>
      <c r="BX238" s="124" t="e">
        <v>#N/A</v>
      </c>
      <c r="BY238" s="124" t="e">
        <v>#N/A</v>
      </c>
      <c r="BZ238" s="124" t="e">
        <v>#N/A</v>
      </c>
      <c r="CA238" s="125"/>
      <c r="CB238" s="124">
        <v>45728</v>
      </c>
      <c r="CC238" s="126">
        <v>1</v>
      </c>
      <c r="CD238" s="127" t="e">
        <v>#N/A</v>
      </c>
      <c r="CE238" s="128"/>
      <c r="CF238" s="77" t="s">
        <v>4190</v>
      </c>
    </row>
    <row r="239" spans="1:84" ht="14.5" x14ac:dyDescent="0.35">
      <c r="A239" s="77">
        <v>238</v>
      </c>
      <c r="B239" s="106" t="s">
        <v>1018</v>
      </c>
      <c r="C239" s="107" t="s">
        <v>1583</v>
      </c>
      <c r="D239" s="108" t="s">
        <v>1019</v>
      </c>
      <c r="E239" s="109" t="s">
        <v>1020</v>
      </c>
      <c r="F239" s="110">
        <v>680164446</v>
      </c>
      <c r="G239" s="108" t="s">
        <v>190</v>
      </c>
      <c r="H239" s="111" t="s">
        <v>209</v>
      </c>
      <c r="I239" s="111" t="s">
        <v>180</v>
      </c>
      <c r="J239" s="111" t="s">
        <v>4649</v>
      </c>
      <c r="K239" s="111" t="s">
        <v>199</v>
      </c>
      <c r="L239" s="112">
        <v>43009</v>
      </c>
      <c r="M239" s="111" t="s">
        <v>1920</v>
      </c>
      <c r="N239" s="113"/>
      <c r="O239" s="114" t="s">
        <v>7259</v>
      </c>
      <c r="P239" s="114" t="s">
        <v>7452</v>
      </c>
      <c r="Q239" s="114" t="s">
        <v>4356</v>
      </c>
      <c r="R239" s="114" t="s">
        <v>7452</v>
      </c>
      <c r="S239" s="114" t="s">
        <v>4356</v>
      </c>
      <c r="T239" s="114" t="s">
        <v>7452</v>
      </c>
      <c r="U239" s="114" t="s">
        <v>7452</v>
      </c>
      <c r="V239" s="115"/>
      <c r="W239" s="116" t="s">
        <v>1021</v>
      </c>
      <c r="X239" s="116" t="s">
        <v>1022</v>
      </c>
      <c r="Y239" s="117">
        <v>3485624</v>
      </c>
      <c r="Z239" s="117">
        <v>3486394</v>
      </c>
      <c r="AA239" s="118"/>
      <c r="AB239" s="119" t="s">
        <v>5726</v>
      </c>
      <c r="AC239" s="119" t="s">
        <v>1584</v>
      </c>
      <c r="AD239" s="119">
        <v>5367</v>
      </c>
      <c r="AE239" s="119" t="s">
        <v>3348</v>
      </c>
      <c r="AF239" s="119">
        <v>0</v>
      </c>
      <c r="AG239" s="120"/>
      <c r="AH239" s="121">
        <v>44606</v>
      </c>
      <c r="AI239" s="121">
        <v>45448</v>
      </c>
      <c r="AJ239" s="121">
        <v>45448</v>
      </c>
      <c r="AK239" s="122">
        <v>45448</v>
      </c>
      <c r="AL239" s="122" t="e">
        <v>#N/A</v>
      </c>
      <c r="AM239" s="121" t="e">
        <v>#N/A</v>
      </c>
      <c r="AN239" s="121" t="e">
        <v>#N/A</v>
      </c>
      <c r="AO239" s="121" t="e">
        <v>#N/A</v>
      </c>
      <c r="AP239" s="122" t="e">
        <v>#N/A</v>
      </c>
      <c r="AQ239" s="122" t="e">
        <v>#N/A</v>
      </c>
      <c r="AR239" s="122" t="e">
        <v>#N/A</v>
      </c>
      <c r="AS239" s="122" t="e">
        <v>#N/A</v>
      </c>
      <c r="AT239" s="122" t="e">
        <v>#N/A</v>
      </c>
      <c r="AU239" s="121" t="e">
        <v>#N/A</v>
      </c>
      <c r="AV239" s="122">
        <v>45616</v>
      </c>
      <c r="AW239" s="122">
        <v>45495</v>
      </c>
      <c r="AX239" s="122" t="e">
        <v>#N/A</v>
      </c>
      <c r="AY239" s="122">
        <v>44865</v>
      </c>
      <c r="AZ239" s="122" t="e">
        <v>#N/A</v>
      </c>
      <c r="BA239" s="122" t="e">
        <v>#N/A</v>
      </c>
      <c r="BB239" s="122" t="e">
        <v>#N/A</v>
      </c>
      <c r="BC239" s="122" t="e">
        <v>#N/A</v>
      </c>
      <c r="BD239" s="122" t="e">
        <v>#N/A</v>
      </c>
      <c r="BE239" s="122" t="e">
        <v>#N/A</v>
      </c>
      <c r="BF239" s="122" t="e">
        <v>#N/A</v>
      </c>
      <c r="BG239" s="122" t="e">
        <v>#N/A</v>
      </c>
      <c r="BH239" s="122" t="e">
        <v>#N/A</v>
      </c>
      <c r="BI239" s="122" t="e">
        <v>#N/A</v>
      </c>
      <c r="BJ239" s="122" t="e">
        <v>#N/A</v>
      </c>
      <c r="BK239" s="122" t="e">
        <v>#N/A</v>
      </c>
      <c r="BL239" s="123"/>
      <c r="BM239" s="124" t="e">
        <v>#N/A</v>
      </c>
      <c r="BN239" s="124" t="e">
        <v>#N/A</v>
      </c>
      <c r="BO239" s="124" t="e">
        <v>#N/A</v>
      </c>
      <c r="BP239" s="124" t="e">
        <v>#N/A</v>
      </c>
      <c r="BQ239" s="124" t="e">
        <v>#N/A</v>
      </c>
      <c r="BR239" s="124" t="e">
        <v>#N/A</v>
      </c>
      <c r="BS239" s="124" t="e">
        <v>#N/A</v>
      </c>
      <c r="BT239" s="124" t="e">
        <v>#N/A</v>
      </c>
      <c r="BU239" s="124" t="e">
        <v>#N/A</v>
      </c>
      <c r="BV239" s="124" t="e">
        <v>#N/A</v>
      </c>
      <c r="BW239" s="124" t="e">
        <v>#N/A</v>
      </c>
      <c r="BX239" s="124" t="e">
        <v>#N/A</v>
      </c>
      <c r="BY239" s="124" t="e">
        <v>#N/A</v>
      </c>
      <c r="BZ239" s="124" t="e">
        <v>#N/A</v>
      </c>
      <c r="CA239" s="125"/>
      <c r="CB239" s="124">
        <v>45841</v>
      </c>
      <c r="CC239" s="126">
        <v>1</v>
      </c>
      <c r="CD239" s="127" t="s">
        <v>4150</v>
      </c>
      <c r="CE239" s="128"/>
      <c r="CF239" s="77" t="s">
        <v>4169</v>
      </c>
    </row>
    <row r="240" spans="1:84" ht="14.5" x14ac:dyDescent="0.35">
      <c r="A240" s="77">
        <v>239</v>
      </c>
      <c r="B240" s="106" t="s">
        <v>2551</v>
      </c>
      <c r="C240" s="107" t="s">
        <v>6413</v>
      </c>
      <c r="D240" s="108" t="s">
        <v>2552</v>
      </c>
      <c r="E240" s="109" t="s">
        <v>2553</v>
      </c>
      <c r="F240" s="110">
        <v>656472872</v>
      </c>
      <c r="G240" s="108" t="s">
        <v>1004</v>
      </c>
      <c r="H240" s="111" t="s">
        <v>209</v>
      </c>
      <c r="I240" s="111" t="s">
        <v>180</v>
      </c>
      <c r="J240" s="111" t="s">
        <v>4649</v>
      </c>
      <c r="K240" s="111" t="s">
        <v>199</v>
      </c>
      <c r="L240" s="112">
        <v>40478</v>
      </c>
      <c r="M240" s="111" t="s">
        <v>284</v>
      </c>
      <c r="N240" s="113"/>
      <c r="O240" s="114" t="s">
        <v>225</v>
      </c>
      <c r="P240" s="114" t="s">
        <v>183</v>
      </c>
      <c r="Q240" s="114" t="s">
        <v>225</v>
      </c>
      <c r="R240" s="114" t="s">
        <v>7331</v>
      </c>
      <c r="S240" s="114" t="s">
        <v>183</v>
      </c>
      <c r="T240" s="114" t="s">
        <v>226</v>
      </c>
      <c r="U240" s="114" t="s">
        <v>226</v>
      </c>
      <c r="V240" s="115"/>
      <c r="W240" s="116" t="s">
        <v>2554</v>
      </c>
      <c r="X240" s="116" t="s">
        <v>2555</v>
      </c>
      <c r="Y240" s="117">
        <v>3485104</v>
      </c>
      <c r="Z240" s="117">
        <v>3481037</v>
      </c>
      <c r="AA240" s="118"/>
      <c r="AB240" s="119" t="s">
        <v>5342</v>
      </c>
      <c r="AC240" s="119" t="s">
        <v>2556</v>
      </c>
      <c r="AD240" s="119">
        <v>27067</v>
      </c>
      <c r="AE240" s="119" t="s">
        <v>2557</v>
      </c>
      <c r="AF240" s="119" t="s">
        <v>6092</v>
      </c>
      <c r="AG240" s="120"/>
      <c r="AH240" s="121">
        <v>44994</v>
      </c>
      <c r="AI240" s="121">
        <v>45002</v>
      </c>
      <c r="AJ240" s="121">
        <v>45002</v>
      </c>
      <c r="AK240" s="122">
        <v>45057</v>
      </c>
      <c r="AL240" s="122" t="e">
        <v>#N/A</v>
      </c>
      <c r="AM240" s="121" t="e">
        <v>#N/A</v>
      </c>
      <c r="AN240" s="121" t="e">
        <v>#N/A</v>
      </c>
      <c r="AO240" s="121" t="e">
        <v>#N/A</v>
      </c>
      <c r="AP240" s="122" t="e">
        <v>#N/A</v>
      </c>
      <c r="AQ240" s="122" t="e">
        <v>#N/A</v>
      </c>
      <c r="AR240" s="122" t="e">
        <v>#N/A</v>
      </c>
      <c r="AS240" s="122" t="e">
        <v>#N/A</v>
      </c>
      <c r="AT240" s="122">
        <v>45097</v>
      </c>
      <c r="AU240" s="121" t="e">
        <v>#N/A</v>
      </c>
      <c r="AV240" s="122" t="e">
        <v>#N/A</v>
      </c>
      <c r="AW240" s="122">
        <v>45919</v>
      </c>
      <c r="AX240" s="122" t="e">
        <v>#N/A</v>
      </c>
      <c r="AY240" s="122" t="e">
        <v>#N/A</v>
      </c>
      <c r="AZ240" s="122" t="e">
        <v>#N/A</v>
      </c>
      <c r="BA240" s="122" t="e">
        <v>#N/A</v>
      </c>
      <c r="BB240" s="122" t="e">
        <v>#N/A</v>
      </c>
      <c r="BC240" s="122" t="e">
        <v>#N/A</v>
      </c>
      <c r="BD240" s="122" t="e">
        <v>#N/A</v>
      </c>
      <c r="BE240" s="122" t="e">
        <v>#N/A</v>
      </c>
      <c r="BF240" s="122" t="e">
        <v>#N/A</v>
      </c>
      <c r="BG240" s="122" t="e">
        <v>#N/A</v>
      </c>
      <c r="BH240" s="122" t="e">
        <v>#N/A</v>
      </c>
      <c r="BI240" s="122" t="e">
        <v>#N/A</v>
      </c>
      <c r="BJ240" s="122" t="e">
        <v>#N/A</v>
      </c>
      <c r="BK240" s="122">
        <v>45952</v>
      </c>
      <c r="BL240" s="123"/>
      <c r="BM240" s="124" t="e">
        <v>#N/A</v>
      </c>
      <c r="BN240" s="124" t="e">
        <v>#N/A</v>
      </c>
      <c r="BO240" s="124" t="e">
        <v>#N/A</v>
      </c>
      <c r="BP240" s="124" t="e">
        <v>#N/A</v>
      </c>
      <c r="BQ240" s="124" t="e">
        <v>#N/A</v>
      </c>
      <c r="BR240" s="124" t="e">
        <v>#N/A</v>
      </c>
      <c r="BS240" s="124" t="e">
        <v>#N/A</v>
      </c>
      <c r="BT240" s="124" t="e">
        <v>#N/A</v>
      </c>
      <c r="BU240" s="124" t="e">
        <v>#N/A</v>
      </c>
      <c r="BV240" s="124" t="e">
        <v>#N/A</v>
      </c>
      <c r="BW240" s="124" t="e">
        <v>#N/A</v>
      </c>
      <c r="BX240" s="124" t="e">
        <v>#N/A</v>
      </c>
      <c r="BY240" s="124" t="e">
        <v>#N/A</v>
      </c>
      <c r="BZ240" s="124" t="e">
        <v>#N/A</v>
      </c>
      <c r="CA240" s="125"/>
      <c r="CB240" s="124" t="e">
        <v>#N/A</v>
      </c>
      <c r="CC240" s="126">
        <v>1</v>
      </c>
      <c r="CD240" s="127" t="s">
        <v>4162</v>
      </c>
      <c r="CE240" s="128"/>
      <c r="CF240" s="77" t="s">
        <v>4169</v>
      </c>
    </row>
    <row r="241" spans="1:84" ht="14.5" x14ac:dyDescent="0.35">
      <c r="A241" s="77">
        <v>240</v>
      </c>
      <c r="B241" s="106" t="s">
        <v>2845</v>
      </c>
      <c r="C241" s="107" t="s">
        <v>6543</v>
      </c>
      <c r="D241" s="108" t="s">
        <v>2846</v>
      </c>
      <c r="E241" s="109" t="s">
        <v>2847</v>
      </c>
      <c r="F241" s="110">
        <v>635469325</v>
      </c>
      <c r="G241" s="108" t="s">
        <v>1004</v>
      </c>
      <c r="H241" s="111" t="s">
        <v>209</v>
      </c>
      <c r="I241" s="111" t="s">
        <v>180</v>
      </c>
      <c r="J241" s="111" t="s">
        <v>4649</v>
      </c>
      <c r="K241" s="111" t="s">
        <v>199</v>
      </c>
      <c r="L241" s="112">
        <v>45078</v>
      </c>
      <c r="M241" s="111" t="s">
        <v>284</v>
      </c>
      <c r="N241" s="113"/>
      <c r="O241" s="114" t="s">
        <v>4373</v>
      </c>
      <c r="P241" s="114" t="s">
        <v>4467</v>
      </c>
      <c r="Q241" s="114" t="s">
        <v>4356</v>
      </c>
      <c r="R241" s="114" t="s">
        <v>4356</v>
      </c>
      <c r="S241" s="114" t="s">
        <v>4467</v>
      </c>
      <c r="T241" s="114" t="s">
        <v>4373</v>
      </c>
      <c r="U241" s="114" t="s">
        <v>4373</v>
      </c>
      <c r="V241" s="115"/>
      <c r="W241" s="116" t="s">
        <v>2848</v>
      </c>
      <c r="X241" s="116" t="s">
        <v>2849</v>
      </c>
      <c r="Y241" s="117">
        <v>3485456</v>
      </c>
      <c r="Z241" s="117">
        <v>3481480</v>
      </c>
      <c r="AA241" s="118"/>
      <c r="AB241" s="119" t="s">
        <v>5706</v>
      </c>
      <c r="AC241" s="119" t="s">
        <v>2850</v>
      </c>
      <c r="AD241" s="119">
        <v>27351</v>
      </c>
      <c r="AE241" s="119" t="s">
        <v>2851</v>
      </c>
      <c r="AF241" s="119" t="s">
        <v>7152</v>
      </c>
      <c r="AG241" s="120"/>
      <c r="AH241" s="121">
        <v>45813</v>
      </c>
      <c r="AI241" s="121">
        <v>45351</v>
      </c>
      <c r="AJ241" s="121" t="e">
        <v>#N/A</v>
      </c>
      <c r="AK241" s="122">
        <v>45351</v>
      </c>
      <c r="AL241" s="122" t="e">
        <v>#N/A</v>
      </c>
      <c r="AM241" s="122" t="e">
        <v>#N/A</v>
      </c>
      <c r="AN241" s="122" t="e">
        <v>#N/A</v>
      </c>
      <c r="AO241" s="121" t="e">
        <v>#N/A</v>
      </c>
      <c r="AP241" s="122" t="e">
        <v>#N/A</v>
      </c>
      <c r="AQ241" s="122" t="e">
        <v>#N/A</v>
      </c>
      <c r="AR241" s="122" t="e">
        <v>#N/A</v>
      </c>
      <c r="AS241" s="122" t="e">
        <v>#N/A</v>
      </c>
      <c r="AT241" s="122" t="e">
        <v>#N/A</v>
      </c>
      <c r="AU241" s="121" t="e">
        <v>#N/A</v>
      </c>
      <c r="AV241" s="122" t="s">
        <v>7153</v>
      </c>
      <c r="AW241" s="122">
        <v>45700</v>
      </c>
      <c r="AX241" s="122" t="e">
        <v>#N/A</v>
      </c>
      <c r="AY241" s="122" t="e">
        <v>#N/A</v>
      </c>
      <c r="AZ241" s="122" t="e">
        <v>#N/A</v>
      </c>
      <c r="BA241" s="122" t="e">
        <v>#N/A</v>
      </c>
      <c r="BB241" s="122" t="e">
        <v>#N/A</v>
      </c>
      <c r="BC241" s="122" t="e">
        <v>#N/A</v>
      </c>
      <c r="BD241" s="122" t="e">
        <v>#N/A</v>
      </c>
      <c r="BE241" s="122" t="e">
        <v>#N/A</v>
      </c>
      <c r="BF241" s="122" t="e">
        <v>#N/A</v>
      </c>
      <c r="BG241" s="122" t="e">
        <v>#N/A</v>
      </c>
      <c r="BH241" s="122" t="e">
        <v>#N/A</v>
      </c>
      <c r="BI241" s="122" t="e">
        <v>#N/A</v>
      </c>
      <c r="BJ241" s="122" t="e">
        <v>#N/A</v>
      </c>
      <c r="BK241" s="122">
        <v>45971</v>
      </c>
      <c r="BL241" s="123"/>
      <c r="BM241" s="124" t="e">
        <v>#N/A</v>
      </c>
      <c r="BN241" s="124" t="e">
        <v>#N/A</v>
      </c>
      <c r="BO241" s="124" t="e">
        <v>#N/A</v>
      </c>
      <c r="BP241" s="124" t="e">
        <v>#N/A</v>
      </c>
      <c r="BQ241" s="124" t="e">
        <v>#N/A</v>
      </c>
      <c r="BR241" s="124" t="e">
        <v>#N/A</v>
      </c>
      <c r="BS241" s="124" t="e">
        <v>#N/A</v>
      </c>
      <c r="BT241" s="124" t="e">
        <v>#N/A</v>
      </c>
      <c r="BU241" s="124" t="e">
        <v>#N/A</v>
      </c>
      <c r="BV241" s="124" t="e">
        <v>#N/A</v>
      </c>
      <c r="BW241" s="124" t="e">
        <v>#N/A</v>
      </c>
      <c r="BX241" s="124" t="e">
        <v>#N/A</v>
      </c>
      <c r="BY241" s="124" t="e">
        <v>#N/A</v>
      </c>
      <c r="BZ241" s="124" t="e">
        <v>#N/A</v>
      </c>
      <c r="CA241" s="125"/>
      <c r="CB241" s="124">
        <v>45726</v>
      </c>
      <c r="CC241" s="126">
        <v>1</v>
      </c>
      <c r="CD241" s="127" t="s">
        <v>4175</v>
      </c>
      <c r="CE241" s="128"/>
      <c r="CF241" s="77" t="s">
        <v>4169</v>
      </c>
    </row>
    <row r="242" spans="1:84" ht="14.5" x14ac:dyDescent="0.35">
      <c r="A242" s="77">
        <v>241</v>
      </c>
      <c r="B242" s="106" t="s">
        <v>2859</v>
      </c>
      <c r="C242" s="107" t="s">
        <v>6524</v>
      </c>
      <c r="D242" s="108" t="s">
        <v>6525</v>
      </c>
      <c r="E242" s="109" t="s">
        <v>6237</v>
      </c>
      <c r="F242" s="110">
        <v>650467033</v>
      </c>
      <c r="G242" s="108" t="s">
        <v>1004</v>
      </c>
      <c r="H242" s="111" t="s">
        <v>209</v>
      </c>
      <c r="I242" s="111" t="s">
        <v>180</v>
      </c>
      <c r="J242" s="111" t="s">
        <v>4649</v>
      </c>
      <c r="K242" s="111" t="s">
        <v>199</v>
      </c>
      <c r="L242" s="112">
        <v>45061</v>
      </c>
      <c r="M242" s="111" t="s">
        <v>1546</v>
      </c>
      <c r="N242" s="113"/>
      <c r="O242" s="114" t="s">
        <v>7248</v>
      </c>
      <c r="P242" s="114" t="s">
        <v>7248</v>
      </c>
      <c r="Q242" s="114" t="s">
        <v>7248</v>
      </c>
      <c r="R242" s="114" t="s">
        <v>7248</v>
      </c>
      <c r="S242" s="114" t="s">
        <v>4046</v>
      </c>
      <c r="T242" s="114" t="s">
        <v>183</v>
      </c>
      <c r="U242" s="114" t="s">
        <v>183</v>
      </c>
      <c r="V242" s="115"/>
      <c r="W242" s="116" t="s">
        <v>6526</v>
      </c>
      <c r="X242" s="116" t="s">
        <v>6527</v>
      </c>
      <c r="Y242" s="117">
        <v>3485143</v>
      </c>
      <c r="Z242" s="117">
        <v>3481428</v>
      </c>
      <c r="AA242" s="118"/>
      <c r="AB242" s="119" t="s">
        <v>6528</v>
      </c>
      <c r="AC242" s="119" t="s">
        <v>6529</v>
      </c>
      <c r="AD242" s="119">
        <v>27016</v>
      </c>
      <c r="AE242" s="119" t="s">
        <v>6530</v>
      </c>
      <c r="AF242" s="119" t="s">
        <v>7453</v>
      </c>
      <c r="AG242" s="120"/>
      <c r="AH242" s="121">
        <v>45737</v>
      </c>
      <c r="AI242" s="121">
        <v>45351</v>
      </c>
      <c r="AJ242" s="121">
        <v>45737</v>
      </c>
      <c r="AK242" s="122">
        <v>45351</v>
      </c>
      <c r="AL242" s="122" t="e">
        <v>#N/A</v>
      </c>
      <c r="AM242" s="122" t="e">
        <v>#N/A</v>
      </c>
      <c r="AN242" s="122" t="e">
        <v>#N/A</v>
      </c>
      <c r="AO242" s="121" t="e">
        <v>#N/A</v>
      </c>
      <c r="AP242" s="122" t="e">
        <v>#N/A</v>
      </c>
      <c r="AQ242" s="122" t="e">
        <v>#N/A</v>
      </c>
      <c r="AR242" s="122" t="e">
        <v>#N/A</v>
      </c>
      <c r="AS242" s="122" t="e">
        <v>#N/A</v>
      </c>
      <c r="AT242" s="122">
        <v>45138</v>
      </c>
      <c r="AU242" s="121" t="e">
        <v>#N/A</v>
      </c>
      <c r="AV242" s="122" t="e">
        <v>#N/A</v>
      </c>
      <c r="AW242" s="122">
        <v>45762</v>
      </c>
      <c r="AX242" s="122" t="e">
        <v>#N/A</v>
      </c>
      <c r="AY242" s="122" t="e">
        <v>#N/A</v>
      </c>
      <c r="AZ242" s="122" t="e">
        <v>#N/A</v>
      </c>
      <c r="BA242" s="122" t="e">
        <v>#N/A</v>
      </c>
      <c r="BB242" s="122" t="e">
        <v>#N/A</v>
      </c>
      <c r="BC242" s="122" t="e">
        <v>#N/A</v>
      </c>
      <c r="BD242" s="122" t="e">
        <v>#N/A</v>
      </c>
      <c r="BE242" s="122" t="e">
        <v>#N/A</v>
      </c>
      <c r="BF242" s="122" t="e">
        <v>#N/A</v>
      </c>
      <c r="BG242" s="122" t="e">
        <v>#N/A</v>
      </c>
      <c r="BH242" s="122" t="e">
        <v>#N/A</v>
      </c>
      <c r="BI242" s="122" t="e">
        <v>#N/A</v>
      </c>
      <c r="BJ242" s="122" t="e">
        <v>#N/A</v>
      </c>
      <c r="BK242" s="122">
        <v>45959</v>
      </c>
      <c r="BL242" s="123"/>
      <c r="BM242" s="124" t="e">
        <v>#N/A</v>
      </c>
      <c r="BN242" s="124" t="e">
        <v>#N/A</v>
      </c>
      <c r="BO242" s="124" t="e">
        <v>#N/A</v>
      </c>
      <c r="BP242" s="124" t="e">
        <v>#N/A</v>
      </c>
      <c r="BQ242" s="124" t="e">
        <v>#N/A</v>
      </c>
      <c r="BR242" s="124" t="e">
        <v>#N/A</v>
      </c>
      <c r="BS242" s="124" t="e">
        <v>#N/A</v>
      </c>
      <c r="BT242" s="124" t="e">
        <v>#N/A</v>
      </c>
      <c r="BU242" s="124" t="e">
        <v>#N/A</v>
      </c>
      <c r="BV242" s="124" t="e">
        <v>#N/A</v>
      </c>
      <c r="BW242" s="124" t="e">
        <v>#N/A</v>
      </c>
      <c r="BX242" s="124" t="e">
        <v>#N/A</v>
      </c>
      <c r="BY242" s="124" t="e">
        <v>#N/A</v>
      </c>
      <c r="BZ242" s="124" t="e">
        <v>#N/A</v>
      </c>
      <c r="CA242" s="125"/>
      <c r="CB242" s="124" t="e">
        <v>#N/A</v>
      </c>
      <c r="CC242" s="126">
        <v>1</v>
      </c>
      <c r="CD242" s="127" t="s">
        <v>4175</v>
      </c>
      <c r="CE242" s="128"/>
      <c r="CF242" s="77" t="s">
        <v>4169</v>
      </c>
    </row>
    <row r="243" spans="1:84" ht="14.5" x14ac:dyDescent="0.35">
      <c r="A243" s="77">
        <v>242</v>
      </c>
      <c r="B243" s="106" t="s">
        <v>6289</v>
      </c>
      <c r="C243" s="107" t="s">
        <v>1582</v>
      </c>
      <c r="D243" s="108" t="s">
        <v>1016</v>
      </c>
      <c r="E243" s="109" t="s">
        <v>1017</v>
      </c>
      <c r="F243" s="110">
        <v>625237348</v>
      </c>
      <c r="G243" s="108" t="s">
        <v>1004</v>
      </c>
      <c r="H243" s="111" t="s">
        <v>209</v>
      </c>
      <c r="I243" s="111" t="s">
        <v>180</v>
      </c>
      <c r="J243" s="111" t="s">
        <v>4649</v>
      </c>
      <c r="K243" s="111" t="s">
        <v>199</v>
      </c>
      <c r="L243" s="112">
        <v>45371</v>
      </c>
      <c r="M243" s="111" t="s">
        <v>1719</v>
      </c>
      <c r="N243" s="113"/>
      <c r="O243" s="114" t="s">
        <v>226</v>
      </c>
      <c r="P243" s="114" t="s">
        <v>225</v>
      </c>
      <c r="Q243" s="114" t="s">
        <v>183</v>
      </c>
      <c r="R243" s="114" t="s">
        <v>7365</v>
      </c>
      <c r="S243" s="114" t="s">
        <v>226</v>
      </c>
      <c r="T243" s="114" t="s">
        <v>226</v>
      </c>
      <c r="U243" s="114" t="s">
        <v>226</v>
      </c>
      <c r="V243" s="115"/>
      <c r="W243" s="116" t="s">
        <v>3225</v>
      </c>
      <c r="X243" s="116" t="s">
        <v>3226</v>
      </c>
      <c r="Y243" s="117">
        <v>3485854</v>
      </c>
      <c r="Z243" s="117">
        <v>3486431</v>
      </c>
      <c r="AA243" s="118"/>
      <c r="AB243" s="119" t="s">
        <v>5822</v>
      </c>
      <c r="AC243" s="119" t="s">
        <v>3227</v>
      </c>
      <c r="AD243" s="119">
        <v>5911</v>
      </c>
      <c r="AE243" s="119" t="s">
        <v>3407</v>
      </c>
      <c r="AF243" s="119" t="s">
        <v>6100</v>
      </c>
      <c r="AG243" s="120"/>
      <c r="AH243" s="121">
        <v>44606</v>
      </c>
      <c r="AI243" s="121">
        <v>45460</v>
      </c>
      <c r="AJ243" s="121">
        <v>45460</v>
      </c>
      <c r="AK243" s="122">
        <v>45460</v>
      </c>
      <c r="AL243" s="122" t="e">
        <v>#N/A</v>
      </c>
      <c r="AM243" s="122" t="e">
        <v>#N/A</v>
      </c>
      <c r="AN243" s="122" t="e">
        <v>#N/A</v>
      </c>
      <c r="AO243" s="121" t="e">
        <v>#N/A</v>
      </c>
      <c r="AP243" s="122" t="e">
        <v>#N/A</v>
      </c>
      <c r="AQ243" s="122" t="e">
        <v>#N/A</v>
      </c>
      <c r="AR243" s="122" t="e">
        <v>#N/A</v>
      </c>
      <c r="AS243" s="122" t="e">
        <v>#N/A</v>
      </c>
      <c r="AT243" s="122" t="e">
        <v>#N/A</v>
      </c>
      <c r="AU243" s="121" t="e">
        <v>#N/A</v>
      </c>
      <c r="AV243" s="122" t="e">
        <v>#N/A</v>
      </c>
      <c r="AW243" s="122">
        <v>45723</v>
      </c>
      <c r="AX243" s="122" t="e">
        <v>#N/A</v>
      </c>
      <c r="AY243" s="122" t="e">
        <v>#N/A</v>
      </c>
      <c r="AZ243" s="122" t="e">
        <v>#N/A</v>
      </c>
      <c r="BA243" s="122" t="e">
        <v>#N/A</v>
      </c>
      <c r="BB243" s="122" t="e">
        <v>#N/A</v>
      </c>
      <c r="BC243" s="122" t="e">
        <v>#N/A</v>
      </c>
      <c r="BD243" s="122" t="e">
        <v>#N/A</v>
      </c>
      <c r="BE243" s="122" t="e">
        <v>#N/A</v>
      </c>
      <c r="BF243" s="122" t="e">
        <v>#N/A</v>
      </c>
      <c r="BG243" s="122" t="e">
        <v>#N/A</v>
      </c>
      <c r="BH243" s="122" t="e">
        <v>#N/A</v>
      </c>
      <c r="BI243" s="122" t="e">
        <v>#N/A</v>
      </c>
      <c r="BJ243" s="122">
        <v>45811</v>
      </c>
      <c r="BK243" s="122">
        <v>45952</v>
      </c>
      <c r="BL243" s="123"/>
      <c r="BM243" s="124" t="e">
        <v>#N/A</v>
      </c>
      <c r="BN243" s="124" t="e">
        <v>#N/A</v>
      </c>
      <c r="BO243" s="124" t="e">
        <v>#N/A</v>
      </c>
      <c r="BP243" s="124" t="e">
        <v>#N/A</v>
      </c>
      <c r="BQ243" s="124" t="e">
        <v>#N/A</v>
      </c>
      <c r="BR243" s="124" t="e">
        <v>#N/A</v>
      </c>
      <c r="BS243" s="124" t="e">
        <v>#N/A</v>
      </c>
      <c r="BT243" s="124" t="e">
        <v>#N/A</v>
      </c>
      <c r="BU243" s="124" t="e">
        <v>#N/A</v>
      </c>
      <c r="BV243" s="124" t="e">
        <v>#N/A</v>
      </c>
      <c r="BW243" s="124" t="e">
        <v>#N/A</v>
      </c>
      <c r="BX243" s="124" t="e">
        <v>#N/A</v>
      </c>
      <c r="BY243" s="124" t="e">
        <v>#N/A</v>
      </c>
      <c r="BZ243" s="124" t="e">
        <v>#N/A</v>
      </c>
      <c r="CA243" s="125"/>
      <c r="CB243" s="124" t="e">
        <v>#N/A</v>
      </c>
      <c r="CC243" s="126">
        <v>1</v>
      </c>
      <c r="CD243" s="127" t="e">
        <v>#N/A</v>
      </c>
      <c r="CE243" s="128"/>
      <c r="CF243" s="77" t="s">
        <v>4169</v>
      </c>
    </row>
    <row r="244" spans="1:84" ht="14.5" x14ac:dyDescent="0.35">
      <c r="A244" s="77">
        <v>243</v>
      </c>
      <c r="B244" s="106" t="s">
        <v>3448</v>
      </c>
      <c r="C244" s="107" t="s">
        <v>6595</v>
      </c>
      <c r="D244" s="108" t="s">
        <v>3498</v>
      </c>
      <c r="E244" s="109" t="s">
        <v>3449</v>
      </c>
      <c r="F244" s="110">
        <v>695496758</v>
      </c>
      <c r="G244" s="108" t="s">
        <v>1004</v>
      </c>
      <c r="H244" s="111" t="s">
        <v>209</v>
      </c>
      <c r="I244" s="111" t="s">
        <v>180</v>
      </c>
      <c r="J244" s="111" t="s">
        <v>4649</v>
      </c>
      <c r="K244" s="111" t="s">
        <v>199</v>
      </c>
      <c r="L244" s="112">
        <v>45327</v>
      </c>
      <c r="M244" s="111" t="s">
        <v>2352</v>
      </c>
      <c r="N244" s="113"/>
      <c r="O244" s="114" t="s">
        <v>225</v>
      </c>
      <c r="P244" s="114" t="s">
        <v>225</v>
      </c>
      <c r="Q244" s="114" t="s">
        <v>225</v>
      </c>
      <c r="R244" s="114" t="s">
        <v>7358</v>
      </c>
      <c r="S244" s="114" t="s">
        <v>225</v>
      </c>
      <c r="T244" s="114" t="s">
        <v>183</v>
      </c>
      <c r="U244" s="114" t="s">
        <v>183</v>
      </c>
      <c r="V244" s="115"/>
      <c r="W244" s="116" t="s">
        <v>3450</v>
      </c>
      <c r="X244" s="116" t="s">
        <v>3451</v>
      </c>
      <c r="Y244" s="117">
        <v>3485701</v>
      </c>
      <c r="Z244" s="117">
        <v>3486349</v>
      </c>
      <c r="AA244" s="118"/>
      <c r="AB244" s="119" t="s">
        <v>3452</v>
      </c>
      <c r="AC244" s="119" t="s">
        <v>3453</v>
      </c>
      <c r="AD244" s="119">
        <v>27467</v>
      </c>
      <c r="AE244" s="119" t="s">
        <v>3454</v>
      </c>
      <c r="AF244" s="119" t="s">
        <v>6596</v>
      </c>
      <c r="AG244" s="120"/>
      <c r="AH244" s="121">
        <v>45481</v>
      </c>
      <c r="AI244" s="121">
        <v>45492</v>
      </c>
      <c r="AJ244" s="121">
        <v>45492</v>
      </c>
      <c r="AK244" s="122">
        <v>45492</v>
      </c>
      <c r="AL244" s="122" t="e">
        <v>#N/A</v>
      </c>
      <c r="AM244" s="121" t="e">
        <v>#N/A</v>
      </c>
      <c r="AN244" s="121" t="e">
        <v>#N/A</v>
      </c>
      <c r="AO244" s="121" t="e">
        <v>#N/A</v>
      </c>
      <c r="AP244" s="122" t="e">
        <v>#N/A</v>
      </c>
      <c r="AQ244" s="122" t="e">
        <v>#N/A</v>
      </c>
      <c r="AR244" s="122" t="e">
        <v>#N/A</v>
      </c>
      <c r="AS244" s="122" t="e">
        <v>#N/A</v>
      </c>
      <c r="AT244" s="122">
        <v>45492</v>
      </c>
      <c r="AU244" s="121" t="e">
        <v>#N/A</v>
      </c>
      <c r="AV244" s="122" t="e">
        <v>#N/A</v>
      </c>
      <c r="AW244" s="122">
        <v>45692</v>
      </c>
      <c r="AX244" s="122" t="e">
        <v>#N/A</v>
      </c>
      <c r="AY244" s="122" t="e">
        <v>#N/A</v>
      </c>
      <c r="AZ244" s="122" t="e">
        <v>#N/A</v>
      </c>
      <c r="BA244" s="122" t="e">
        <v>#N/A</v>
      </c>
      <c r="BB244" s="122" t="e">
        <v>#N/A</v>
      </c>
      <c r="BC244" s="122" t="e">
        <v>#N/A</v>
      </c>
      <c r="BD244" s="122" t="e">
        <v>#N/A</v>
      </c>
      <c r="BE244" s="122" t="e">
        <v>#N/A</v>
      </c>
      <c r="BF244" s="122" t="e">
        <v>#N/A</v>
      </c>
      <c r="BG244" s="122" t="e">
        <v>#N/A</v>
      </c>
      <c r="BH244" s="122" t="e">
        <v>#N/A</v>
      </c>
      <c r="BI244" s="122" t="e">
        <v>#N/A</v>
      </c>
      <c r="BJ244" s="122" t="e">
        <v>#N/A</v>
      </c>
      <c r="BK244" s="122">
        <v>45953</v>
      </c>
      <c r="BL244" s="123"/>
      <c r="BM244" s="124" t="e">
        <v>#N/A</v>
      </c>
      <c r="BN244" s="124" t="e">
        <v>#N/A</v>
      </c>
      <c r="BO244" s="124" t="e">
        <v>#N/A</v>
      </c>
      <c r="BP244" s="124" t="e">
        <v>#N/A</v>
      </c>
      <c r="BQ244" s="124" t="e">
        <v>#N/A</v>
      </c>
      <c r="BR244" s="124" t="e">
        <v>#N/A</v>
      </c>
      <c r="BS244" s="124" t="e">
        <v>#N/A</v>
      </c>
      <c r="BT244" s="124" t="e">
        <v>#N/A</v>
      </c>
      <c r="BU244" s="124" t="e">
        <v>#N/A</v>
      </c>
      <c r="BV244" s="124" t="e">
        <v>#N/A</v>
      </c>
      <c r="BW244" s="124" t="e">
        <v>#N/A</v>
      </c>
      <c r="BX244" s="124" t="e">
        <v>#N/A</v>
      </c>
      <c r="BY244" s="124" t="e">
        <v>#N/A</v>
      </c>
      <c r="BZ244" s="124" t="e">
        <v>#N/A</v>
      </c>
      <c r="CA244" s="125"/>
      <c r="CB244" s="124">
        <v>45723</v>
      </c>
      <c r="CC244" s="126">
        <v>1</v>
      </c>
      <c r="CD244" s="127" t="s">
        <v>4203</v>
      </c>
      <c r="CE244" s="128"/>
      <c r="CF244" s="77" t="s">
        <v>4169</v>
      </c>
    </row>
    <row r="245" spans="1:84" ht="14.5" x14ac:dyDescent="0.35">
      <c r="A245" s="77">
        <v>244</v>
      </c>
      <c r="B245" s="106" t="s">
        <v>3633</v>
      </c>
      <c r="C245" s="107" t="s">
        <v>6660</v>
      </c>
      <c r="D245" s="108" t="s">
        <v>3634</v>
      </c>
      <c r="E245" s="109" t="s">
        <v>3635</v>
      </c>
      <c r="F245" s="110">
        <v>711751513</v>
      </c>
      <c r="G245" s="108" t="s">
        <v>1004</v>
      </c>
      <c r="H245" s="111" t="s">
        <v>209</v>
      </c>
      <c r="I245" s="111" t="s">
        <v>180</v>
      </c>
      <c r="J245" s="111" t="s">
        <v>4649</v>
      </c>
      <c r="K245" s="111" t="s">
        <v>199</v>
      </c>
      <c r="L245" s="112">
        <v>45490</v>
      </c>
      <c r="M245" s="111" t="s">
        <v>2122</v>
      </c>
      <c r="N245" s="113"/>
      <c r="O245" s="114" t="s">
        <v>182</v>
      </c>
      <c r="P245" s="114" t="s">
        <v>6914</v>
      </c>
      <c r="Q245" s="114" t="s">
        <v>7071</v>
      </c>
      <c r="R245" s="114" t="s">
        <v>7454</v>
      </c>
      <c r="S245" s="114" t="s">
        <v>7071</v>
      </c>
      <c r="T245" s="114" t="s">
        <v>7071</v>
      </c>
      <c r="U245" s="114" t="s">
        <v>4263</v>
      </c>
      <c r="V245" s="115"/>
      <c r="W245" s="116" t="s">
        <v>3758</v>
      </c>
      <c r="X245" s="116" t="s">
        <v>3759</v>
      </c>
      <c r="Y245" s="117">
        <v>3485962</v>
      </c>
      <c r="Z245" s="117">
        <v>3481442</v>
      </c>
      <c r="AA245" s="118"/>
      <c r="AB245" s="119" t="s">
        <v>5698</v>
      </c>
      <c r="AC245" s="119" t="s">
        <v>3636</v>
      </c>
      <c r="AD245" s="119">
        <v>5185</v>
      </c>
      <c r="AE245" s="119" t="s">
        <v>3637</v>
      </c>
      <c r="AF245" s="119">
        <v>0</v>
      </c>
      <c r="AG245" s="120"/>
      <c r="AH245" s="121">
        <v>45506</v>
      </c>
      <c r="AI245" s="121">
        <v>45506</v>
      </c>
      <c r="AJ245" s="121">
        <v>45506</v>
      </c>
      <c r="AK245" s="122">
        <v>45506</v>
      </c>
      <c r="AL245" s="122" t="e">
        <v>#N/A</v>
      </c>
      <c r="AM245" s="122" t="e">
        <v>#N/A</v>
      </c>
      <c r="AN245" s="122" t="e">
        <v>#N/A</v>
      </c>
      <c r="AO245" s="121" t="e">
        <v>#N/A</v>
      </c>
      <c r="AP245" s="122" t="e">
        <v>#N/A</v>
      </c>
      <c r="AQ245" s="122" t="e">
        <v>#N/A</v>
      </c>
      <c r="AR245" s="122" t="e">
        <v>#N/A</v>
      </c>
      <c r="AS245" s="122" t="e">
        <v>#N/A</v>
      </c>
      <c r="AT245" s="122" t="e">
        <v>#N/A</v>
      </c>
      <c r="AU245" s="121">
        <v>45922</v>
      </c>
      <c r="AV245" s="122">
        <v>45734</v>
      </c>
      <c r="AW245" s="122">
        <v>45694</v>
      </c>
      <c r="AX245" s="122" t="e">
        <v>#N/A</v>
      </c>
      <c r="AY245" s="122" t="e">
        <v>#N/A</v>
      </c>
      <c r="AZ245" s="122" t="e">
        <v>#N/A</v>
      </c>
      <c r="BA245" s="122" t="e">
        <v>#N/A</v>
      </c>
      <c r="BB245" s="122" t="e">
        <v>#N/A</v>
      </c>
      <c r="BC245" s="122" t="e">
        <v>#N/A</v>
      </c>
      <c r="BD245" s="122" t="e">
        <v>#N/A</v>
      </c>
      <c r="BE245" s="122" t="e">
        <v>#N/A</v>
      </c>
      <c r="BF245" s="122" t="e">
        <v>#N/A</v>
      </c>
      <c r="BG245" s="122" t="e">
        <v>#N/A</v>
      </c>
      <c r="BH245" s="122" t="e">
        <v>#N/A</v>
      </c>
      <c r="BI245" s="122" t="e">
        <v>#N/A</v>
      </c>
      <c r="BJ245" s="122" t="e">
        <v>#N/A</v>
      </c>
      <c r="BK245" s="122" t="e">
        <v>#N/A</v>
      </c>
      <c r="BL245" s="123"/>
      <c r="BM245" s="124" t="e">
        <v>#N/A</v>
      </c>
      <c r="BN245" s="124" t="e">
        <v>#N/A</v>
      </c>
      <c r="BO245" s="124" t="e">
        <v>#N/A</v>
      </c>
      <c r="BP245" s="124" t="e">
        <v>#N/A</v>
      </c>
      <c r="BQ245" s="124" t="e">
        <v>#N/A</v>
      </c>
      <c r="BR245" s="124" t="e">
        <v>#N/A</v>
      </c>
      <c r="BS245" s="124" t="e">
        <v>#N/A</v>
      </c>
      <c r="BT245" s="124" t="e">
        <v>#N/A</v>
      </c>
      <c r="BU245" s="124" t="e">
        <v>#N/A</v>
      </c>
      <c r="BV245" s="124" t="e">
        <v>#N/A</v>
      </c>
      <c r="BW245" s="124" t="e">
        <v>#N/A</v>
      </c>
      <c r="BX245" s="124" t="e">
        <v>#N/A</v>
      </c>
      <c r="BY245" s="124" t="e">
        <v>#N/A</v>
      </c>
      <c r="BZ245" s="124" t="e">
        <v>#N/A</v>
      </c>
      <c r="CA245" s="125"/>
      <c r="CB245" s="124" t="e">
        <v>#N/A</v>
      </c>
      <c r="CC245" s="126">
        <v>1</v>
      </c>
      <c r="CD245" s="127" t="s">
        <v>4205</v>
      </c>
      <c r="CE245" s="128"/>
      <c r="CF245" s="77" t="s">
        <v>4169</v>
      </c>
    </row>
    <row r="246" spans="1:84" ht="14.5" x14ac:dyDescent="0.35">
      <c r="A246" s="77">
        <v>245</v>
      </c>
      <c r="B246" s="106" t="s">
        <v>3612</v>
      </c>
      <c r="C246" s="107" t="s">
        <v>6666</v>
      </c>
      <c r="D246" s="108" t="s">
        <v>3613</v>
      </c>
      <c r="E246" s="109" t="s">
        <v>3614</v>
      </c>
      <c r="F246" s="110">
        <v>604819320</v>
      </c>
      <c r="G246" s="108" t="s">
        <v>1004</v>
      </c>
      <c r="H246" s="111" t="s">
        <v>209</v>
      </c>
      <c r="I246" s="111" t="s">
        <v>180</v>
      </c>
      <c r="J246" s="111" t="s">
        <v>4649</v>
      </c>
      <c r="K246" s="111" t="s">
        <v>199</v>
      </c>
      <c r="L246" s="112">
        <v>45490</v>
      </c>
      <c r="M246" s="111" t="s">
        <v>3172</v>
      </c>
      <c r="N246" s="113"/>
      <c r="O246" s="114" t="s">
        <v>4477</v>
      </c>
      <c r="P246" s="114" t="s">
        <v>4477</v>
      </c>
      <c r="Q246" s="114" t="s">
        <v>4477</v>
      </c>
      <c r="R246" s="114" t="s">
        <v>4477</v>
      </c>
      <c r="S246" s="114" t="s">
        <v>4477</v>
      </c>
      <c r="T246" s="114" t="s">
        <v>4356</v>
      </c>
      <c r="U246" s="114" t="s">
        <v>4356</v>
      </c>
      <c r="V246" s="115"/>
      <c r="W246" s="116" t="s">
        <v>3615</v>
      </c>
      <c r="X246" s="116" t="s">
        <v>3616</v>
      </c>
      <c r="Y246" s="117">
        <v>3485304</v>
      </c>
      <c r="Z246" s="117">
        <v>3486468</v>
      </c>
      <c r="AA246" s="118"/>
      <c r="AB246" s="119" t="s">
        <v>3617</v>
      </c>
      <c r="AC246" s="119" t="s">
        <v>3618</v>
      </c>
      <c r="AD246" s="119">
        <v>5083</v>
      </c>
      <c r="AE246" s="119" t="s">
        <v>3619</v>
      </c>
      <c r="AF246" s="119" t="s">
        <v>7455</v>
      </c>
      <c r="AG246" s="120"/>
      <c r="AH246" s="121">
        <v>45506</v>
      </c>
      <c r="AI246" s="121">
        <v>45506</v>
      </c>
      <c r="AJ246" s="121">
        <v>45506</v>
      </c>
      <c r="AK246" s="122">
        <v>45506</v>
      </c>
      <c r="AL246" s="122">
        <v>45600</v>
      </c>
      <c r="AM246" s="121">
        <v>45600</v>
      </c>
      <c r="AN246" s="121">
        <v>45600</v>
      </c>
      <c r="AO246" s="121">
        <v>45930</v>
      </c>
      <c r="AP246" s="122" t="e">
        <v>#N/A</v>
      </c>
      <c r="AQ246" s="122">
        <v>45875</v>
      </c>
      <c r="AR246" s="122">
        <v>45973</v>
      </c>
      <c r="AS246" s="122" t="e">
        <v>#N/A</v>
      </c>
      <c r="AT246" s="122" t="e">
        <v>#N/A</v>
      </c>
      <c r="AU246" s="121" t="e">
        <v>#N/A</v>
      </c>
      <c r="AV246" s="122" t="e">
        <v>#N/A</v>
      </c>
      <c r="AW246" s="122">
        <v>45694</v>
      </c>
      <c r="AX246" s="122">
        <v>45812</v>
      </c>
      <c r="AY246" s="122" t="e">
        <v>#N/A</v>
      </c>
      <c r="AZ246" s="122" t="e">
        <v>#N/A</v>
      </c>
      <c r="BA246" s="122" t="e">
        <v>#N/A</v>
      </c>
      <c r="BB246" s="122" t="e">
        <v>#N/A</v>
      </c>
      <c r="BC246" s="122" t="e">
        <v>#N/A</v>
      </c>
      <c r="BD246" s="122" t="e">
        <v>#N/A</v>
      </c>
      <c r="BE246" s="122" t="e">
        <v>#N/A</v>
      </c>
      <c r="BF246" s="122" t="e">
        <v>#N/A</v>
      </c>
      <c r="BG246" s="122" t="e">
        <v>#N/A</v>
      </c>
      <c r="BH246" s="122" t="e">
        <v>#N/A</v>
      </c>
      <c r="BI246" s="122">
        <v>45569</v>
      </c>
      <c r="BJ246" s="122" t="e">
        <v>#N/A</v>
      </c>
      <c r="BK246" s="122">
        <v>46002</v>
      </c>
      <c r="BL246" s="123"/>
      <c r="BM246" s="124" t="e">
        <v>#N/A</v>
      </c>
      <c r="BN246" s="124" t="e">
        <v>#N/A</v>
      </c>
      <c r="BO246" s="124" t="e">
        <v>#N/A</v>
      </c>
      <c r="BP246" s="124" t="e">
        <v>#N/A</v>
      </c>
      <c r="BQ246" s="124" t="e">
        <v>#N/A</v>
      </c>
      <c r="BR246" s="124" t="e">
        <v>#N/A</v>
      </c>
      <c r="BS246" s="124" t="e">
        <v>#N/A</v>
      </c>
      <c r="BT246" s="124" t="e">
        <v>#N/A</v>
      </c>
      <c r="BU246" s="124" t="e">
        <v>#N/A</v>
      </c>
      <c r="BV246" s="124" t="e">
        <v>#N/A</v>
      </c>
      <c r="BW246" s="124" t="e">
        <v>#N/A</v>
      </c>
      <c r="BX246" s="124" t="e">
        <v>#N/A</v>
      </c>
      <c r="BY246" s="124" t="e">
        <v>#N/A</v>
      </c>
      <c r="BZ246" s="124" t="e">
        <v>#N/A</v>
      </c>
      <c r="CA246" s="125"/>
      <c r="CB246" s="124" t="e">
        <v>#N/A</v>
      </c>
      <c r="CC246" s="126">
        <v>1</v>
      </c>
      <c r="CD246" s="127" t="s">
        <v>4205</v>
      </c>
      <c r="CE246" s="128"/>
      <c r="CF246" s="77" t="s">
        <v>4169</v>
      </c>
    </row>
    <row r="247" spans="1:84" ht="14.5" x14ac:dyDescent="0.35">
      <c r="A247" s="77">
        <v>246</v>
      </c>
      <c r="B247" s="106" t="s">
        <v>3946</v>
      </c>
      <c r="C247" s="107" t="s">
        <v>6709</v>
      </c>
      <c r="D247" s="108" t="s">
        <v>3947</v>
      </c>
      <c r="E247" s="109" t="s">
        <v>3948</v>
      </c>
      <c r="F247" s="110" t="s">
        <v>3949</v>
      </c>
      <c r="G247" s="108" t="s">
        <v>1004</v>
      </c>
      <c r="H247" s="111" t="s">
        <v>209</v>
      </c>
      <c r="I247" s="111" t="s">
        <v>180</v>
      </c>
      <c r="J247" s="111" t="s">
        <v>4649</v>
      </c>
      <c r="K247" s="111" t="s">
        <v>199</v>
      </c>
      <c r="L247" s="112">
        <v>45579</v>
      </c>
      <c r="M247" s="111" t="s">
        <v>2933</v>
      </c>
      <c r="N247" s="113"/>
      <c r="O247" s="114" t="s">
        <v>182</v>
      </c>
      <c r="P247" s="114" t="s">
        <v>184</v>
      </c>
      <c r="Q247" s="114" t="s">
        <v>182</v>
      </c>
      <c r="R247" s="114" t="s">
        <v>182</v>
      </c>
      <c r="S247" s="114" t="s">
        <v>182</v>
      </c>
      <c r="T247" s="114" t="s">
        <v>183</v>
      </c>
      <c r="U247" s="114" t="s">
        <v>183</v>
      </c>
      <c r="V247" s="115"/>
      <c r="W247" s="116" t="s">
        <v>3950</v>
      </c>
      <c r="X247" s="116" t="s">
        <v>3951</v>
      </c>
      <c r="Y247" s="117">
        <v>3485980</v>
      </c>
      <c r="Z247" s="117">
        <v>3486683</v>
      </c>
      <c r="AA247" s="118"/>
      <c r="AB247" s="119" t="s">
        <v>5637</v>
      </c>
      <c r="AC247" s="119" t="s">
        <v>3952</v>
      </c>
      <c r="AD247" s="119">
        <v>5914</v>
      </c>
      <c r="AE247" s="119" t="s">
        <v>3953</v>
      </c>
      <c r="AF247" s="119" t="s">
        <v>7188</v>
      </c>
      <c r="AG247" s="120"/>
      <c r="AH247" s="121">
        <v>45560</v>
      </c>
      <c r="AI247" s="121">
        <v>45579</v>
      </c>
      <c r="AJ247" s="121">
        <v>45579</v>
      </c>
      <c r="AK247" s="122">
        <v>45579</v>
      </c>
      <c r="AL247" s="122">
        <v>45912</v>
      </c>
      <c r="AM247" s="121" t="e">
        <v>#N/A</v>
      </c>
      <c r="AN247" s="121" t="s">
        <v>7189</v>
      </c>
      <c r="AO247" s="121" t="e">
        <v>#N/A</v>
      </c>
      <c r="AP247" s="122" t="e">
        <v>#N/A</v>
      </c>
      <c r="AQ247" s="122" t="e">
        <v>#N/A</v>
      </c>
      <c r="AR247" s="122" t="e">
        <v>#N/A</v>
      </c>
      <c r="AS247" s="122" t="e">
        <v>#N/A</v>
      </c>
      <c r="AT247" s="122" t="e">
        <v>#N/A</v>
      </c>
      <c r="AU247" s="121" t="e">
        <v>#N/A</v>
      </c>
      <c r="AV247" s="122" t="e">
        <v>#N/A</v>
      </c>
      <c r="AW247" s="122">
        <v>45694</v>
      </c>
      <c r="AX247" s="122" t="e">
        <v>#N/A</v>
      </c>
      <c r="AY247" s="122" t="e">
        <v>#N/A</v>
      </c>
      <c r="AZ247" s="122" t="e">
        <v>#N/A</v>
      </c>
      <c r="BA247" s="122" t="e">
        <v>#N/A</v>
      </c>
      <c r="BB247" s="122" t="e">
        <v>#N/A</v>
      </c>
      <c r="BC247" s="122" t="e">
        <v>#N/A</v>
      </c>
      <c r="BD247" s="122" t="e">
        <v>#N/A</v>
      </c>
      <c r="BE247" s="122" t="e">
        <v>#N/A</v>
      </c>
      <c r="BF247" s="122" t="e">
        <v>#N/A</v>
      </c>
      <c r="BG247" s="122" t="e">
        <v>#N/A</v>
      </c>
      <c r="BH247" s="122" t="e">
        <v>#N/A</v>
      </c>
      <c r="BI247" s="122" t="e">
        <v>#N/A</v>
      </c>
      <c r="BJ247" s="122" t="e">
        <v>#N/A</v>
      </c>
      <c r="BK247" s="122">
        <v>45961</v>
      </c>
      <c r="BL247" s="123"/>
      <c r="BM247" s="124" t="e">
        <v>#N/A</v>
      </c>
      <c r="BN247" s="124" t="e">
        <v>#N/A</v>
      </c>
      <c r="BO247" s="124" t="e">
        <v>#N/A</v>
      </c>
      <c r="BP247" s="124" t="e">
        <v>#N/A</v>
      </c>
      <c r="BQ247" s="124" t="e">
        <v>#N/A</v>
      </c>
      <c r="BR247" s="124" t="e">
        <v>#N/A</v>
      </c>
      <c r="BS247" s="124" t="e">
        <v>#N/A</v>
      </c>
      <c r="BT247" s="124" t="e">
        <v>#N/A</v>
      </c>
      <c r="BU247" s="124" t="e">
        <v>#N/A</v>
      </c>
      <c r="BV247" s="124" t="e">
        <v>#N/A</v>
      </c>
      <c r="BW247" s="124" t="e">
        <v>#N/A</v>
      </c>
      <c r="BX247" s="124" t="e">
        <v>#N/A</v>
      </c>
      <c r="BY247" s="124" t="e">
        <v>#N/A</v>
      </c>
      <c r="BZ247" s="124" t="e">
        <v>#N/A</v>
      </c>
      <c r="CA247" s="125"/>
      <c r="CB247" s="124" t="e">
        <v>#N/A</v>
      </c>
      <c r="CC247" s="126">
        <v>1</v>
      </c>
      <c r="CD247" s="127" t="s">
        <v>4212</v>
      </c>
      <c r="CE247" s="128"/>
      <c r="CF247" s="77" t="s">
        <v>4169</v>
      </c>
    </row>
    <row r="248" spans="1:84" ht="14.5" x14ac:dyDescent="0.35">
      <c r="A248" s="77">
        <v>247</v>
      </c>
      <c r="B248" s="106" t="s">
        <v>3666</v>
      </c>
      <c r="C248" s="107" t="s">
        <v>6665</v>
      </c>
      <c r="D248" s="108" t="s">
        <v>3667</v>
      </c>
      <c r="E248" s="109" t="s">
        <v>3668</v>
      </c>
      <c r="F248" s="110">
        <v>744635588</v>
      </c>
      <c r="G248" s="108" t="s">
        <v>1004</v>
      </c>
      <c r="H248" s="111" t="s">
        <v>209</v>
      </c>
      <c r="I248" s="111" t="s">
        <v>180</v>
      </c>
      <c r="J248" s="111" t="s">
        <v>4649</v>
      </c>
      <c r="K248" s="111" t="s">
        <v>199</v>
      </c>
      <c r="L248" s="112">
        <v>45490</v>
      </c>
      <c r="M248" s="111" t="s">
        <v>2651</v>
      </c>
      <c r="N248" s="113"/>
      <c r="O248" s="114" t="s">
        <v>1007</v>
      </c>
      <c r="P248" s="114" t="s">
        <v>1007</v>
      </c>
      <c r="Q248" s="114" t="s">
        <v>4477</v>
      </c>
      <c r="R248" s="114" t="s">
        <v>4356</v>
      </c>
      <c r="S248" s="114" t="s">
        <v>4356</v>
      </c>
      <c r="T248" s="114" t="s">
        <v>4477</v>
      </c>
      <c r="U248" s="114" t="s">
        <v>4477</v>
      </c>
      <c r="V248" s="115"/>
      <c r="W248" s="116" t="s">
        <v>3669</v>
      </c>
      <c r="X248" s="116" t="s">
        <v>3670</v>
      </c>
      <c r="Y248" s="117">
        <v>3485574</v>
      </c>
      <c r="Z248" s="117">
        <v>3481552</v>
      </c>
      <c r="AA248" s="118"/>
      <c r="AB248" s="119" t="s">
        <v>3671</v>
      </c>
      <c r="AC248" s="119" t="s">
        <v>3672</v>
      </c>
      <c r="AD248" s="119">
        <v>5416</v>
      </c>
      <c r="AE248" s="119" t="s">
        <v>3673</v>
      </c>
      <c r="AF248" s="119">
        <v>0</v>
      </c>
      <c r="AG248" s="120"/>
      <c r="AH248" s="121">
        <v>45506</v>
      </c>
      <c r="AI248" s="121">
        <v>45506</v>
      </c>
      <c r="AJ248" s="121">
        <v>45506</v>
      </c>
      <c r="AK248" s="122">
        <v>45506</v>
      </c>
      <c r="AL248" s="122" t="e">
        <v>#N/A</v>
      </c>
      <c r="AM248" s="121" t="e">
        <v>#N/A</v>
      </c>
      <c r="AN248" s="121" t="e">
        <v>#N/A</v>
      </c>
      <c r="AO248" s="121" t="e">
        <v>#N/A</v>
      </c>
      <c r="AP248" s="122" t="e">
        <v>#N/A</v>
      </c>
      <c r="AQ248" s="122" t="e">
        <v>#N/A</v>
      </c>
      <c r="AR248" s="122" t="e">
        <v>#N/A</v>
      </c>
      <c r="AS248" s="122" t="e">
        <v>#N/A</v>
      </c>
      <c r="AT248" s="122" t="e">
        <v>#N/A</v>
      </c>
      <c r="AU248" s="121" t="e">
        <v>#N/A</v>
      </c>
      <c r="AV248" s="122" t="e">
        <v>#N/A</v>
      </c>
      <c r="AW248" s="122">
        <v>45744</v>
      </c>
      <c r="AX248" s="122" t="e">
        <v>#N/A</v>
      </c>
      <c r="AY248" s="122" t="e">
        <v>#N/A</v>
      </c>
      <c r="AZ248" s="122" t="e">
        <v>#N/A</v>
      </c>
      <c r="BA248" s="122" t="e">
        <v>#N/A</v>
      </c>
      <c r="BB248" s="122" t="e">
        <v>#N/A</v>
      </c>
      <c r="BC248" s="122" t="e">
        <v>#N/A</v>
      </c>
      <c r="BD248" s="122" t="e">
        <v>#N/A</v>
      </c>
      <c r="BE248" s="122" t="e">
        <v>#N/A</v>
      </c>
      <c r="BF248" s="122" t="e">
        <v>#N/A</v>
      </c>
      <c r="BG248" s="122" t="e">
        <v>#N/A</v>
      </c>
      <c r="BH248" s="122" t="e">
        <v>#N/A</v>
      </c>
      <c r="BI248" s="122" t="e">
        <v>#N/A</v>
      </c>
      <c r="BJ248" s="122" t="e">
        <v>#N/A</v>
      </c>
      <c r="BK248" s="122" t="e">
        <v>#N/A</v>
      </c>
      <c r="BL248" s="123"/>
      <c r="BM248" s="124">
        <v>45931</v>
      </c>
      <c r="BN248" s="124">
        <v>45931</v>
      </c>
      <c r="BO248" s="124">
        <v>45938</v>
      </c>
      <c r="BP248" s="124" t="e">
        <v>#N/A</v>
      </c>
      <c r="BQ248" s="124" t="e">
        <v>#N/A</v>
      </c>
      <c r="BR248" s="124" t="e">
        <v>#N/A</v>
      </c>
      <c r="BS248" s="124" t="e">
        <v>#N/A</v>
      </c>
      <c r="BT248" s="124" t="e">
        <v>#N/A</v>
      </c>
      <c r="BU248" s="124" t="e">
        <v>#N/A</v>
      </c>
      <c r="BV248" s="124" t="e">
        <v>#N/A</v>
      </c>
      <c r="BW248" s="124" t="e">
        <v>#N/A</v>
      </c>
      <c r="BX248" s="124" t="e">
        <v>#N/A</v>
      </c>
      <c r="BY248" s="124" t="e">
        <v>#N/A</v>
      </c>
      <c r="BZ248" s="124" t="e">
        <v>#N/A</v>
      </c>
      <c r="CA248" s="125"/>
      <c r="CB248" s="124">
        <v>45729</v>
      </c>
      <c r="CC248" s="126">
        <v>1</v>
      </c>
      <c r="CD248" s="127" t="s">
        <v>4205</v>
      </c>
      <c r="CE248" s="128"/>
      <c r="CF248" s="77" t="s">
        <v>4169</v>
      </c>
    </row>
    <row r="249" spans="1:84" ht="14.5" x14ac:dyDescent="0.35">
      <c r="A249" s="77">
        <v>248</v>
      </c>
      <c r="B249" s="106" t="s">
        <v>2838</v>
      </c>
      <c r="C249" s="107" t="s">
        <v>6541</v>
      </c>
      <c r="D249" s="108" t="s">
        <v>2839</v>
      </c>
      <c r="E249" s="109" t="s">
        <v>2840</v>
      </c>
      <c r="F249" s="110">
        <v>633050091</v>
      </c>
      <c r="G249" s="108" t="s">
        <v>1004</v>
      </c>
      <c r="H249" s="111" t="s">
        <v>209</v>
      </c>
      <c r="I249" s="111" t="s">
        <v>180</v>
      </c>
      <c r="J249" s="111" t="s">
        <v>4649</v>
      </c>
      <c r="K249" s="111" t="s">
        <v>199</v>
      </c>
      <c r="L249" s="112">
        <v>45065</v>
      </c>
      <c r="M249" s="111" t="s">
        <v>3172</v>
      </c>
      <c r="N249" s="113"/>
      <c r="O249" s="114" t="s">
        <v>225</v>
      </c>
      <c r="P249" s="114" t="s">
        <v>225</v>
      </c>
      <c r="Q249" s="114" t="s">
        <v>225</v>
      </c>
      <c r="R249" s="114" t="s">
        <v>7358</v>
      </c>
      <c r="S249" s="114" t="s">
        <v>225</v>
      </c>
      <c r="T249" s="114" t="s">
        <v>183</v>
      </c>
      <c r="U249" s="114" t="s">
        <v>183</v>
      </c>
      <c r="V249" s="115"/>
      <c r="W249" s="116" t="s">
        <v>2841</v>
      </c>
      <c r="X249" s="116" t="s">
        <v>2842</v>
      </c>
      <c r="Y249" s="117">
        <v>3485047</v>
      </c>
      <c r="Z249" s="117">
        <v>3481349</v>
      </c>
      <c r="AA249" s="118"/>
      <c r="AB249" s="119" t="s">
        <v>5511</v>
      </c>
      <c r="AC249" s="119" t="s">
        <v>2843</v>
      </c>
      <c r="AD249" s="119">
        <v>27492</v>
      </c>
      <c r="AE249" s="119" t="s">
        <v>2844</v>
      </c>
      <c r="AF249" s="119" t="s">
        <v>6241</v>
      </c>
      <c r="AG249" s="120"/>
      <c r="AH249" s="121">
        <v>45737</v>
      </c>
      <c r="AI249" s="121">
        <v>45351</v>
      </c>
      <c r="AJ249" s="121">
        <v>45737</v>
      </c>
      <c r="AK249" s="122">
        <v>45351</v>
      </c>
      <c r="AL249" s="122" t="s">
        <v>5702</v>
      </c>
      <c r="AM249" s="121" t="e">
        <v>#N/A</v>
      </c>
      <c r="AN249" s="121">
        <v>45245</v>
      </c>
      <c r="AO249" s="121">
        <v>46010</v>
      </c>
      <c r="AP249" s="122" t="e">
        <v>#N/A</v>
      </c>
      <c r="AQ249" s="122" t="e">
        <v>#N/A</v>
      </c>
      <c r="AR249" s="122">
        <v>45246</v>
      </c>
      <c r="AS249" s="122" t="e">
        <v>#N/A</v>
      </c>
      <c r="AT249" s="122">
        <v>45138</v>
      </c>
      <c r="AU249" s="121" t="e">
        <v>#N/A</v>
      </c>
      <c r="AV249" s="122" t="e">
        <v>#N/A</v>
      </c>
      <c r="AW249" s="122">
        <v>45583</v>
      </c>
      <c r="AX249" s="122" t="e">
        <v>#N/A</v>
      </c>
      <c r="AY249" s="122" t="e">
        <v>#N/A</v>
      </c>
      <c r="AZ249" s="122">
        <v>46010</v>
      </c>
      <c r="BA249" s="122" t="e">
        <v>#N/A</v>
      </c>
      <c r="BB249" s="122">
        <v>45690</v>
      </c>
      <c r="BC249" s="122" t="e">
        <v>#N/A</v>
      </c>
      <c r="BD249" s="122" t="e">
        <v>#N/A</v>
      </c>
      <c r="BE249" s="122" t="e">
        <v>#N/A</v>
      </c>
      <c r="BF249" s="122" t="e">
        <v>#N/A</v>
      </c>
      <c r="BG249" s="122" t="e">
        <v>#N/A</v>
      </c>
      <c r="BH249" s="122" t="e">
        <v>#N/A</v>
      </c>
      <c r="BI249" s="122" t="e">
        <v>#N/A</v>
      </c>
      <c r="BJ249" s="122" t="e">
        <v>#N/A</v>
      </c>
      <c r="BK249" s="122" t="s">
        <v>6040</v>
      </c>
      <c r="BL249" s="123"/>
      <c r="BM249" s="124" t="e">
        <v>#N/A</v>
      </c>
      <c r="BN249" s="124" t="e">
        <v>#N/A</v>
      </c>
      <c r="BO249" s="124" t="e">
        <v>#N/A</v>
      </c>
      <c r="BP249" s="124" t="e">
        <v>#N/A</v>
      </c>
      <c r="BQ249" s="124" t="e">
        <v>#N/A</v>
      </c>
      <c r="BR249" s="124" t="e">
        <v>#N/A</v>
      </c>
      <c r="BS249" s="124" t="e">
        <v>#N/A</v>
      </c>
      <c r="BT249" s="124" t="e">
        <v>#N/A</v>
      </c>
      <c r="BU249" s="124" t="e">
        <v>#N/A</v>
      </c>
      <c r="BV249" s="124" t="e">
        <v>#N/A</v>
      </c>
      <c r="BW249" s="124" t="e">
        <v>#N/A</v>
      </c>
      <c r="BX249" s="124" t="e">
        <v>#N/A</v>
      </c>
      <c r="BY249" s="124" t="e">
        <v>#N/A</v>
      </c>
      <c r="BZ249" s="124" t="e">
        <v>#N/A</v>
      </c>
      <c r="CA249" s="125"/>
      <c r="CB249" s="124" t="e">
        <v>#N/A</v>
      </c>
      <c r="CC249" s="126">
        <v>1</v>
      </c>
      <c r="CD249" s="127" t="s">
        <v>4175</v>
      </c>
      <c r="CE249" s="128"/>
      <c r="CF249" s="77" t="s">
        <v>4169</v>
      </c>
    </row>
    <row r="250" spans="1:84" ht="14.5" x14ac:dyDescent="0.35">
      <c r="A250" s="77">
        <v>249</v>
      </c>
      <c r="B250" s="106" t="s">
        <v>6265</v>
      </c>
      <c r="C250" s="107" t="s">
        <v>6266</v>
      </c>
      <c r="D250" s="108" t="s">
        <v>3937</v>
      </c>
      <c r="E250" s="109" t="s">
        <v>3938</v>
      </c>
      <c r="F250" s="110">
        <v>658195463</v>
      </c>
      <c r="G250" s="108" t="s">
        <v>1004</v>
      </c>
      <c r="H250" s="111" t="s">
        <v>209</v>
      </c>
      <c r="I250" s="111" t="s">
        <v>180</v>
      </c>
      <c r="J250" s="111" t="s">
        <v>4649</v>
      </c>
      <c r="K250" s="111" t="s">
        <v>199</v>
      </c>
      <c r="L250" s="112">
        <v>45572</v>
      </c>
      <c r="M250" s="111" t="s">
        <v>2651</v>
      </c>
      <c r="N250" s="113"/>
      <c r="O250" s="114" t="s">
        <v>7456</v>
      </c>
      <c r="P250" s="114" t="s">
        <v>183</v>
      </c>
      <c r="Q250" s="114" t="s">
        <v>7456</v>
      </c>
      <c r="R250" s="114" t="s">
        <v>7457</v>
      </c>
      <c r="S250" s="114" t="s">
        <v>183</v>
      </c>
      <c r="T250" s="114" t="s">
        <v>7456</v>
      </c>
      <c r="U250" s="114" t="s">
        <v>7456</v>
      </c>
      <c r="V250" s="115"/>
      <c r="W250" s="116" t="s">
        <v>3939</v>
      </c>
      <c r="X250" s="116" t="s">
        <v>3940</v>
      </c>
      <c r="Y250" s="117">
        <v>3485625</v>
      </c>
      <c r="Z250" s="117">
        <v>3486424</v>
      </c>
      <c r="AA250" s="118"/>
      <c r="AB250" s="119" t="s">
        <v>5261</v>
      </c>
      <c r="AC250" s="119" t="s">
        <v>3941</v>
      </c>
      <c r="AD250" s="119">
        <v>26377</v>
      </c>
      <c r="AE250" s="119" t="s">
        <v>4136</v>
      </c>
      <c r="AF250" s="119">
        <v>0</v>
      </c>
      <c r="AG250" s="120"/>
      <c r="AH250" s="121">
        <v>44197</v>
      </c>
      <c r="AI250" s="121">
        <v>45600</v>
      </c>
      <c r="AJ250" s="121">
        <v>45600</v>
      </c>
      <c r="AK250" s="122">
        <v>45600</v>
      </c>
      <c r="AL250" s="122">
        <v>46010</v>
      </c>
      <c r="AM250" s="121" t="e">
        <v>#N/A</v>
      </c>
      <c r="AN250" s="121">
        <v>46010</v>
      </c>
      <c r="AO250" s="121">
        <v>46010</v>
      </c>
      <c r="AP250" s="122" t="e">
        <v>#N/A</v>
      </c>
      <c r="AQ250" s="122" t="e">
        <v>#N/A</v>
      </c>
      <c r="AR250" s="122">
        <v>46010</v>
      </c>
      <c r="AS250" s="122" t="e">
        <v>#N/A</v>
      </c>
      <c r="AT250" s="122" t="e">
        <v>#N/A</v>
      </c>
      <c r="AU250" s="121" t="e">
        <v>#N/A</v>
      </c>
      <c r="AV250" s="122" t="e">
        <v>#N/A</v>
      </c>
      <c r="AW250" s="122">
        <v>45938</v>
      </c>
      <c r="AX250" s="122" t="e">
        <v>#N/A</v>
      </c>
      <c r="AY250" s="122" t="e">
        <v>#N/A</v>
      </c>
      <c r="AZ250" s="122" t="e">
        <v>#N/A</v>
      </c>
      <c r="BA250" s="122" t="e">
        <v>#N/A</v>
      </c>
      <c r="BB250" s="122" t="e">
        <v>#N/A</v>
      </c>
      <c r="BC250" s="122" t="e">
        <v>#N/A</v>
      </c>
      <c r="BD250" s="122" t="e">
        <v>#N/A</v>
      </c>
      <c r="BE250" s="122" t="e">
        <v>#N/A</v>
      </c>
      <c r="BF250" s="122" t="e">
        <v>#N/A</v>
      </c>
      <c r="BG250" s="122" t="e">
        <v>#N/A</v>
      </c>
      <c r="BH250" s="122" t="e">
        <v>#N/A</v>
      </c>
      <c r="BI250" s="122" t="e">
        <v>#N/A</v>
      </c>
      <c r="BJ250" s="122" t="e">
        <v>#N/A</v>
      </c>
      <c r="BK250" s="122" t="e">
        <v>#N/A</v>
      </c>
      <c r="BL250" s="123"/>
      <c r="BM250" s="124" t="e">
        <v>#N/A</v>
      </c>
      <c r="BN250" s="124" t="e">
        <v>#N/A</v>
      </c>
      <c r="BO250" s="124" t="e">
        <v>#N/A</v>
      </c>
      <c r="BP250" s="124" t="e">
        <v>#N/A</v>
      </c>
      <c r="BQ250" s="124" t="e">
        <v>#N/A</v>
      </c>
      <c r="BR250" s="124" t="e">
        <v>#N/A</v>
      </c>
      <c r="BS250" s="124" t="e">
        <v>#N/A</v>
      </c>
      <c r="BT250" s="124" t="e">
        <v>#N/A</v>
      </c>
      <c r="BU250" s="124" t="e">
        <v>#N/A</v>
      </c>
      <c r="BV250" s="124" t="e">
        <v>#N/A</v>
      </c>
      <c r="BW250" s="124" t="e">
        <v>#N/A</v>
      </c>
      <c r="BX250" s="124" t="e">
        <v>#N/A</v>
      </c>
      <c r="BY250" s="124" t="e">
        <v>#N/A</v>
      </c>
      <c r="BZ250" s="124" t="e">
        <v>#N/A</v>
      </c>
      <c r="CA250" s="125"/>
      <c r="CB250" s="124" t="e">
        <v>#N/A</v>
      </c>
      <c r="CC250" s="126">
        <v>1</v>
      </c>
      <c r="CD250" s="127" t="e">
        <v>#N/A</v>
      </c>
      <c r="CE250" s="128"/>
      <c r="CF250" s="77" t="s">
        <v>4152</v>
      </c>
    </row>
    <row r="251" spans="1:84" ht="14.5" x14ac:dyDescent="0.35">
      <c r="A251" s="77">
        <v>250</v>
      </c>
      <c r="B251" s="106" t="s">
        <v>4044</v>
      </c>
      <c r="C251" s="107" t="s">
        <v>6722</v>
      </c>
      <c r="D251" s="108" t="s">
        <v>4092</v>
      </c>
      <c r="E251" s="109" t="s">
        <v>4093</v>
      </c>
      <c r="F251" s="110">
        <v>602210179</v>
      </c>
      <c r="G251" s="108" t="s">
        <v>1004</v>
      </c>
      <c r="H251" s="111" t="s">
        <v>209</v>
      </c>
      <c r="I251" s="111" t="s">
        <v>180</v>
      </c>
      <c r="J251" s="111" t="s">
        <v>4649</v>
      </c>
      <c r="K251" s="111" t="s">
        <v>199</v>
      </c>
      <c r="L251" s="112">
        <v>45600</v>
      </c>
      <c r="M251" s="111" t="s">
        <v>1037</v>
      </c>
      <c r="N251" s="113"/>
      <c r="O251" s="114" t="s">
        <v>1009</v>
      </c>
      <c r="P251" s="114" t="s">
        <v>183</v>
      </c>
      <c r="Q251" s="114" t="s">
        <v>183</v>
      </c>
      <c r="R251" s="114" t="s">
        <v>7458</v>
      </c>
      <c r="S251" s="114" t="s">
        <v>7458</v>
      </c>
      <c r="T251" s="114" t="s">
        <v>7458</v>
      </c>
      <c r="U251" s="114" t="s">
        <v>7458</v>
      </c>
      <c r="V251" s="115"/>
      <c r="W251" s="116" t="s">
        <v>4094</v>
      </c>
      <c r="X251" s="116" t="s">
        <v>4095</v>
      </c>
      <c r="Y251" s="117">
        <v>3485990</v>
      </c>
      <c r="Z251" s="117">
        <v>3486690</v>
      </c>
      <c r="AA251" s="118"/>
      <c r="AB251" s="119" t="s">
        <v>4096</v>
      </c>
      <c r="AC251" s="119" t="s">
        <v>4097</v>
      </c>
      <c r="AD251" s="119">
        <v>5938</v>
      </c>
      <c r="AE251" s="119" t="s">
        <v>4098</v>
      </c>
      <c r="AF251" s="119" t="s">
        <v>7459</v>
      </c>
      <c r="AG251" s="120"/>
      <c r="AH251" s="121">
        <v>45600</v>
      </c>
      <c r="AI251" s="121">
        <v>45600</v>
      </c>
      <c r="AJ251" s="121">
        <v>45600</v>
      </c>
      <c r="AK251" s="122">
        <v>45600</v>
      </c>
      <c r="AL251" s="122" t="e">
        <v>#N/A</v>
      </c>
      <c r="AM251" s="121" t="e">
        <v>#N/A</v>
      </c>
      <c r="AN251" s="121" t="e">
        <v>#N/A</v>
      </c>
      <c r="AO251" s="121" t="e">
        <v>#N/A</v>
      </c>
      <c r="AP251" s="122" t="e">
        <v>#N/A</v>
      </c>
      <c r="AQ251" s="122" t="e">
        <v>#N/A</v>
      </c>
      <c r="AR251" s="122" t="e">
        <v>#N/A</v>
      </c>
      <c r="AS251" s="122" t="e">
        <v>#N/A</v>
      </c>
      <c r="AT251" s="122" t="e">
        <v>#N/A</v>
      </c>
      <c r="AU251" s="121" t="e">
        <v>#N/A</v>
      </c>
      <c r="AV251" s="122" t="e">
        <v>#N/A</v>
      </c>
      <c r="AW251" s="122">
        <v>45700</v>
      </c>
      <c r="AX251" s="122" t="e">
        <v>#N/A</v>
      </c>
      <c r="AY251" s="122" t="e">
        <v>#N/A</v>
      </c>
      <c r="AZ251" s="122" t="e">
        <v>#N/A</v>
      </c>
      <c r="BA251" s="122" t="e">
        <v>#N/A</v>
      </c>
      <c r="BB251" s="122" t="e">
        <v>#N/A</v>
      </c>
      <c r="BC251" s="122" t="e">
        <v>#N/A</v>
      </c>
      <c r="BD251" s="122" t="e">
        <v>#N/A</v>
      </c>
      <c r="BE251" s="122" t="e">
        <v>#N/A</v>
      </c>
      <c r="BF251" s="122" t="e">
        <v>#N/A</v>
      </c>
      <c r="BG251" s="122" t="e">
        <v>#N/A</v>
      </c>
      <c r="BH251" s="122" t="e">
        <v>#N/A</v>
      </c>
      <c r="BI251" s="122" t="e">
        <v>#N/A</v>
      </c>
      <c r="BJ251" s="122" t="e">
        <v>#N/A</v>
      </c>
      <c r="BK251" s="122">
        <v>45973</v>
      </c>
      <c r="BL251" s="123"/>
      <c r="BM251" s="124" t="e">
        <v>#N/A</v>
      </c>
      <c r="BN251" s="124" t="e">
        <v>#N/A</v>
      </c>
      <c r="BO251" s="124" t="e">
        <v>#N/A</v>
      </c>
      <c r="BP251" s="124" t="e">
        <v>#N/A</v>
      </c>
      <c r="BQ251" s="124" t="e">
        <v>#N/A</v>
      </c>
      <c r="BR251" s="124" t="e">
        <v>#N/A</v>
      </c>
      <c r="BS251" s="124" t="e">
        <v>#N/A</v>
      </c>
      <c r="BT251" s="124" t="e">
        <v>#N/A</v>
      </c>
      <c r="BU251" s="124" t="e">
        <v>#N/A</v>
      </c>
      <c r="BV251" s="124" t="e">
        <v>#N/A</v>
      </c>
      <c r="BW251" s="124" t="e">
        <v>#N/A</v>
      </c>
      <c r="BX251" s="124" t="e">
        <v>#N/A</v>
      </c>
      <c r="BY251" s="124" t="e">
        <v>#N/A</v>
      </c>
      <c r="BZ251" s="124" t="e">
        <v>#N/A</v>
      </c>
      <c r="CA251" s="125"/>
      <c r="CB251" s="124">
        <v>45734</v>
      </c>
      <c r="CC251" s="126">
        <v>1</v>
      </c>
      <c r="CD251" s="127" t="s">
        <v>4211</v>
      </c>
      <c r="CE251" s="128"/>
      <c r="CF251" s="77" t="s">
        <v>4161</v>
      </c>
    </row>
    <row r="252" spans="1:84" ht="14.5" x14ac:dyDescent="0.35">
      <c r="A252" s="77">
        <v>251</v>
      </c>
      <c r="B252" s="106" t="s">
        <v>3954</v>
      </c>
      <c r="C252" s="107" t="s">
        <v>6705</v>
      </c>
      <c r="D252" s="108" t="s">
        <v>3955</v>
      </c>
      <c r="E252" s="109" t="s">
        <v>3956</v>
      </c>
      <c r="F252" s="110">
        <v>615622014</v>
      </c>
      <c r="G252" s="108" t="s">
        <v>1004</v>
      </c>
      <c r="H252" s="111" t="s">
        <v>209</v>
      </c>
      <c r="I252" s="111" t="s">
        <v>180</v>
      </c>
      <c r="J252" s="111" t="s">
        <v>4649</v>
      </c>
      <c r="K252" s="111" t="s">
        <v>199</v>
      </c>
      <c r="L252" s="112">
        <v>45579</v>
      </c>
      <c r="M252" s="111" t="s">
        <v>1037</v>
      </c>
      <c r="N252" s="113"/>
      <c r="O252" s="114" t="s">
        <v>6910</v>
      </c>
      <c r="P252" s="114" t="s">
        <v>183</v>
      </c>
      <c r="Q252" s="114" t="s">
        <v>6910</v>
      </c>
      <c r="R252" s="114" t="s">
        <v>7460</v>
      </c>
      <c r="S252" s="114" t="s">
        <v>183</v>
      </c>
      <c r="T252" s="114" t="s">
        <v>6910</v>
      </c>
      <c r="U252" s="114" t="s">
        <v>6910</v>
      </c>
      <c r="V252" s="115"/>
      <c r="W252" s="116" t="s">
        <v>3957</v>
      </c>
      <c r="X252" s="116" t="s">
        <v>3958</v>
      </c>
      <c r="Y252" s="117">
        <v>3485981</v>
      </c>
      <c r="Z252" s="117">
        <v>3486428</v>
      </c>
      <c r="AA252" s="118"/>
      <c r="AB252" s="119" t="s">
        <v>5638</v>
      </c>
      <c r="AC252" s="119" t="s">
        <v>3959</v>
      </c>
      <c r="AD252" s="119">
        <v>5887</v>
      </c>
      <c r="AE252" s="119" t="s">
        <v>3960</v>
      </c>
      <c r="AF252" s="119" t="s">
        <v>7187</v>
      </c>
      <c r="AG252" s="120"/>
      <c r="AH252" s="121">
        <v>45579</v>
      </c>
      <c r="AI252" s="121">
        <v>45579</v>
      </c>
      <c r="AJ252" s="121">
        <v>45579</v>
      </c>
      <c r="AK252" s="122">
        <v>45579</v>
      </c>
      <c r="AL252" s="122" t="e">
        <v>#N/A</v>
      </c>
      <c r="AM252" s="121" t="e">
        <v>#N/A</v>
      </c>
      <c r="AN252" s="121" t="e">
        <v>#N/A</v>
      </c>
      <c r="AO252" s="121" t="e">
        <v>#N/A</v>
      </c>
      <c r="AP252" s="122" t="e">
        <v>#N/A</v>
      </c>
      <c r="AQ252" s="122" t="e">
        <v>#N/A</v>
      </c>
      <c r="AR252" s="122" t="e">
        <v>#N/A</v>
      </c>
      <c r="AS252" s="122" t="e">
        <v>#N/A</v>
      </c>
      <c r="AT252" s="122" t="e">
        <v>#N/A</v>
      </c>
      <c r="AU252" s="121">
        <v>45923</v>
      </c>
      <c r="AV252" s="122">
        <v>45734</v>
      </c>
      <c r="AW252" s="122">
        <v>45698</v>
      </c>
      <c r="AX252" s="122" t="e">
        <v>#N/A</v>
      </c>
      <c r="AY252" s="122" t="e">
        <v>#N/A</v>
      </c>
      <c r="AZ252" s="122" t="e">
        <v>#N/A</v>
      </c>
      <c r="BA252" s="122" t="e">
        <v>#N/A</v>
      </c>
      <c r="BB252" s="122" t="e">
        <v>#N/A</v>
      </c>
      <c r="BC252" s="122" t="e">
        <v>#N/A</v>
      </c>
      <c r="BD252" s="122" t="e">
        <v>#N/A</v>
      </c>
      <c r="BE252" s="122" t="e">
        <v>#N/A</v>
      </c>
      <c r="BF252" s="122" t="e">
        <v>#N/A</v>
      </c>
      <c r="BG252" s="122" t="e">
        <v>#N/A</v>
      </c>
      <c r="BH252" s="122" t="e">
        <v>#N/A</v>
      </c>
      <c r="BI252" s="122" t="e">
        <v>#N/A</v>
      </c>
      <c r="BJ252" s="122" t="e">
        <v>#N/A</v>
      </c>
      <c r="BK252" s="122">
        <v>45968</v>
      </c>
      <c r="BL252" s="123"/>
      <c r="BM252" s="124" t="e">
        <v>#N/A</v>
      </c>
      <c r="BN252" s="124" t="e">
        <v>#N/A</v>
      </c>
      <c r="BO252" s="124" t="e">
        <v>#N/A</v>
      </c>
      <c r="BP252" s="124" t="e">
        <v>#N/A</v>
      </c>
      <c r="BQ252" s="124" t="e">
        <v>#N/A</v>
      </c>
      <c r="BR252" s="124" t="e">
        <v>#N/A</v>
      </c>
      <c r="BS252" s="124" t="e">
        <v>#N/A</v>
      </c>
      <c r="BT252" s="124" t="e">
        <v>#N/A</v>
      </c>
      <c r="BU252" s="124" t="e">
        <v>#N/A</v>
      </c>
      <c r="BV252" s="124" t="e">
        <v>#N/A</v>
      </c>
      <c r="BW252" s="124" t="e">
        <v>#N/A</v>
      </c>
      <c r="BX252" s="124" t="e">
        <v>#N/A</v>
      </c>
      <c r="BY252" s="124" t="e">
        <v>#N/A</v>
      </c>
      <c r="BZ252" s="124" t="e">
        <v>#N/A</v>
      </c>
      <c r="CA252" s="125"/>
      <c r="CB252" s="124" t="e">
        <v>#N/A</v>
      </c>
      <c r="CC252" s="126">
        <v>1</v>
      </c>
      <c r="CD252" s="127" t="s">
        <v>4212</v>
      </c>
      <c r="CE252" s="128"/>
      <c r="CF252" s="77" t="s">
        <v>4169</v>
      </c>
    </row>
    <row r="253" spans="1:84" ht="14.5" x14ac:dyDescent="0.35">
      <c r="A253" s="77">
        <v>252</v>
      </c>
      <c r="B253" s="106" t="s">
        <v>3849</v>
      </c>
      <c r="C253" s="107" t="s">
        <v>6696</v>
      </c>
      <c r="D253" s="108" t="s">
        <v>3850</v>
      </c>
      <c r="E253" s="109" t="s">
        <v>3851</v>
      </c>
      <c r="F253" s="110">
        <v>637531593</v>
      </c>
      <c r="G253" s="108" t="s">
        <v>1004</v>
      </c>
      <c r="H253" s="111" t="s">
        <v>209</v>
      </c>
      <c r="I253" s="111" t="s">
        <v>180</v>
      </c>
      <c r="J253" s="111" t="s">
        <v>4649</v>
      </c>
      <c r="K253" s="111" t="s">
        <v>199</v>
      </c>
      <c r="L253" s="112">
        <v>45532</v>
      </c>
      <c r="M253" s="111" t="s">
        <v>2646</v>
      </c>
      <c r="N253" s="113"/>
      <c r="O253" s="114" t="s">
        <v>585</v>
      </c>
      <c r="P253" s="114" t="s">
        <v>585</v>
      </c>
      <c r="Q253" s="114" t="s">
        <v>585</v>
      </c>
      <c r="R253" s="114" t="s">
        <v>7296</v>
      </c>
      <c r="S253" s="114" t="s">
        <v>585</v>
      </c>
      <c r="T253" s="114" t="s">
        <v>183</v>
      </c>
      <c r="U253" s="114" t="s">
        <v>183</v>
      </c>
      <c r="V253" s="115"/>
      <c r="W253" s="116" t="s">
        <v>3852</v>
      </c>
      <c r="X253" s="116" t="s">
        <v>3853</v>
      </c>
      <c r="Y253" s="117">
        <v>3487025</v>
      </c>
      <c r="Z253" s="117">
        <v>3481529</v>
      </c>
      <c r="AA253" s="118"/>
      <c r="AB253" s="119" t="s">
        <v>5639</v>
      </c>
      <c r="AC253" s="119" t="s">
        <v>3893</v>
      </c>
      <c r="AD253" s="119">
        <v>26098</v>
      </c>
      <c r="AE253" s="119" t="s">
        <v>3894</v>
      </c>
      <c r="AF253" s="119" t="s">
        <v>7182</v>
      </c>
      <c r="AG253" s="120"/>
      <c r="AH253" s="121">
        <v>45547</v>
      </c>
      <c r="AI253" s="121">
        <v>45547</v>
      </c>
      <c r="AJ253" s="121">
        <v>45547</v>
      </c>
      <c r="AK253" s="122">
        <v>45547</v>
      </c>
      <c r="AL253" s="122" t="e">
        <v>#N/A</v>
      </c>
      <c r="AM253" s="121" t="e">
        <v>#N/A</v>
      </c>
      <c r="AN253" s="121" t="e">
        <v>#N/A</v>
      </c>
      <c r="AO253" s="121" t="e">
        <v>#N/A</v>
      </c>
      <c r="AP253" s="122" t="e">
        <v>#N/A</v>
      </c>
      <c r="AQ253" s="122" t="e">
        <v>#N/A</v>
      </c>
      <c r="AR253" s="122" t="e">
        <v>#N/A</v>
      </c>
      <c r="AS253" s="122" t="e">
        <v>#N/A</v>
      </c>
      <c r="AT253" s="122" t="e">
        <v>#N/A</v>
      </c>
      <c r="AU253" s="121" t="e">
        <v>#N/A</v>
      </c>
      <c r="AV253" s="122" t="e">
        <v>#N/A</v>
      </c>
      <c r="AW253" s="122">
        <v>45698</v>
      </c>
      <c r="AX253" s="122" t="e">
        <v>#N/A</v>
      </c>
      <c r="AY253" s="122" t="e">
        <v>#N/A</v>
      </c>
      <c r="AZ253" s="122" t="e">
        <v>#N/A</v>
      </c>
      <c r="BA253" s="122" t="e">
        <v>#N/A</v>
      </c>
      <c r="BB253" s="122" t="e">
        <v>#N/A</v>
      </c>
      <c r="BC253" s="122" t="e">
        <v>#N/A</v>
      </c>
      <c r="BD253" s="122" t="e">
        <v>#N/A</v>
      </c>
      <c r="BE253" s="122" t="e">
        <v>#N/A</v>
      </c>
      <c r="BF253" s="122" t="e">
        <v>#N/A</v>
      </c>
      <c r="BG253" s="122" t="e">
        <v>#N/A</v>
      </c>
      <c r="BH253" s="122" t="e">
        <v>#N/A</v>
      </c>
      <c r="BI253" s="122" t="e">
        <v>#N/A</v>
      </c>
      <c r="BJ253" s="122" t="e">
        <v>#N/A</v>
      </c>
      <c r="BK253" s="122">
        <v>45964</v>
      </c>
      <c r="BL253" s="123"/>
      <c r="BM253" s="124" t="e">
        <v>#N/A</v>
      </c>
      <c r="BN253" s="124" t="e">
        <v>#N/A</v>
      </c>
      <c r="BO253" s="124" t="e">
        <v>#N/A</v>
      </c>
      <c r="BP253" s="124" t="e">
        <v>#N/A</v>
      </c>
      <c r="BQ253" s="124" t="e">
        <v>#N/A</v>
      </c>
      <c r="BR253" s="124" t="e">
        <v>#N/A</v>
      </c>
      <c r="BS253" s="124" t="e">
        <v>#N/A</v>
      </c>
      <c r="BT253" s="124" t="e">
        <v>#N/A</v>
      </c>
      <c r="BU253" s="124" t="e">
        <v>#N/A</v>
      </c>
      <c r="BV253" s="124" t="e">
        <v>#N/A</v>
      </c>
      <c r="BW253" s="124" t="e">
        <v>#N/A</v>
      </c>
      <c r="BX253" s="124" t="e">
        <v>#N/A</v>
      </c>
      <c r="BY253" s="124" t="e">
        <v>#N/A</v>
      </c>
      <c r="BZ253" s="124" t="e">
        <v>#N/A</v>
      </c>
      <c r="CA253" s="125"/>
      <c r="CB253" s="124" t="e">
        <v>#N/A</v>
      </c>
      <c r="CC253" s="126">
        <v>1</v>
      </c>
      <c r="CD253" s="127" t="s">
        <v>4208</v>
      </c>
      <c r="CE253" s="128"/>
      <c r="CF253" s="77" t="s">
        <v>4169</v>
      </c>
    </row>
    <row r="254" spans="1:84" ht="14.5" x14ac:dyDescent="0.35">
      <c r="A254" s="77">
        <v>253</v>
      </c>
      <c r="B254" s="106" t="s">
        <v>2558</v>
      </c>
      <c r="C254" s="107" t="s">
        <v>6439</v>
      </c>
      <c r="D254" s="108" t="s">
        <v>2559</v>
      </c>
      <c r="E254" s="109" t="s">
        <v>2560</v>
      </c>
      <c r="F254" s="110">
        <v>610158405</v>
      </c>
      <c r="G254" s="108" t="s">
        <v>1004</v>
      </c>
      <c r="H254" s="111" t="s">
        <v>209</v>
      </c>
      <c r="I254" s="111" t="s">
        <v>180</v>
      </c>
      <c r="J254" s="111" t="s">
        <v>4649</v>
      </c>
      <c r="K254" s="111" t="s">
        <v>199</v>
      </c>
      <c r="L254" s="112">
        <v>43830</v>
      </c>
      <c r="M254" s="111" t="s">
        <v>1037</v>
      </c>
      <c r="N254" s="113"/>
      <c r="O254" s="114" t="s">
        <v>7461</v>
      </c>
      <c r="P254" s="114" t="s">
        <v>7461</v>
      </c>
      <c r="Q254" s="114" t="s">
        <v>7461</v>
      </c>
      <c r="R254" s="114" t="s">
        <v>7461</v>
      </c>
      <c r="S254" s="114" t="s">
        <v>7461</v>
      </c>
      <c r="T254" s="114" t="s">
        <v>4356</v>
      </c>
      <c r="U254" s="114" t="s">
        <v>4356</v>
      </c>
      <c r="V254" s="115"/>
      <c r="W254" s="116" t="s">
        <v>2561</v>
      </c>
      <c r="X254" s="116" t="s">
        <v>2562</v>
      </c>
      <c r="Y254" s="117">
        <v>3485402</v>
      </c>
      <c r="Z254" s="117">
        <v>3481267</v>
      </c>
      <c r="AA254" s="118"/>
      <c r="AB254" s="119" t="s">
        <v>5777</v>
      </c>
      <c r="AC254" s="119" t="s">
        <v>2563</v>
      </c>
      <c r="AD254" s="119">
        <v>5005</v>
      </c>
      <c r="AE254" s="119" t="s">
        <v>6088</v>
      </c>
      <c r="AF254" s="119" t="s">
        <v>7090</v>
      </c>
      <c r="AG254" s="120"/>
      <c r="AH254" s="121">
        <v>44994</v>
      </c>
      <c r="AI254" s="121">
        <v>45002</v>
      </c>
      <c r="AJ254" s="121">
        <v>45002</v>
      </c>
      <c r="AK254" s="122">
        <v>45057</v>
      </c>
      <c r="AL254" s="122" t="e">
        <v>#N/A</v>
      </c>
      <c r="AM254" s="121" t="e">
        <v>#N/A</v>
      </c>
      <c r="AN254" s="121" t="e">
        <v>#N/A</v>
      </c>
      <c r="AO254" s="121" t="e">
        <v>#N/A</v>
      </c>
      <c r="AP254" s="122" t="e">
        <v>#N/A</v>
      </c>
      <c r="AQ254" s="122" t="e">
        <v>#N/A</v>
      </c>
      <c r="AR254" s="122" t="e">
        <v>#N/A</v>
      </c>
      <c r="AS254" s="122" t="e">
        <v>#N/A</v>
      </c>
      <c r="AT254" s="122">
        <v>45097</v>
      </c>
      <c r="AU254" s="121" t="e">
        <v>#N/A</v>
      </c>
      <c r="AV254" s="122" t="s">
        <v>7091</v>
      </c>
      <c r="AW254" s="122">
        <v>45033</v>
      </c>
      <c r="AX254" s="122" t="e">
        <v>#N/A</v>
      </c>
      <c r="AY254" s="122" t="e">
        <v>#N/A</v>
      </c>
      <c r="AZ254" s="122" t="e">
        <v>#N/A</v>
      </c>
      <c r="BA254" s="122" t="e">
        <v>#N/A</v>
      </c>
      <c r="BB254" s="122" t="e">
        <v>#N/A</v>
      </c>
      <c r="BC254" s="122" t="e">
        <v>#N/A</v>
      </c>
      <c r="BD254" s="122" t="e">
        <v>#N/A</v>
      </c>
      <c r="BE254" s="122" t="e">
        <v>#N/A</v>
      </c>
      <c r="BF254" s="122" t="e">
        <v>#N/A</v>
      </c>
      <c r="BG254" s="122" t="e">
        <v>#N/A</v>
      </c>
      <c r="BH254" s="122" t="e">
        <v>#N/A</v>
      </c>
      <c r="BI254" s="122" t="e">
        <v>#N/A</v>
      </c>
      <c r="BJ254" s="122" t="e">
        <v>#N/A</v>
      </c>
      <c r="BK254" s="122">
        <v>45964</v>
      </c>
      <c r="BL254" s="123"/>
      <c r="BM254" s="124" t="e">
        <v>#N/A</v>
      </c>
      <c r="BN254" s="124" t="e">
        <v>#N/A</v>
      </c>
      <c r="BO254" s="124" t="e">
        <v>#N/A</v>
      </c>
      <c r="BP254" s="124" t="e">
        <v>#N/A</v>
      </c>
      <c r="BQ254" s="124" t="e">
        <v>#N/A</v>
      </c>
      <c r="BR254" s="124" t="e">
        <v>#N/A</v>
      </c>
      <c r="BS254" s="124" t="e">
        <v>#N/A</v>
      </c>
      <c r="BT254" s="124" t="e">
        <v>#N/A</v>
      </c>
      <c r="BU254" s="124" t="e">
        <v>#N/A</v>
      </c>
      <c r="BV254" s="124" t="e">
        <v>#N/A</v>
      </c>
      <c r="BW254" s="124" t="e">
        <v>#N/A</v>
      </c>
      <c r="BX254" s="124" t="e">
        <v>#N/A</v>
      </c>
      <c r="BY254" s="124" t="e">
        <v>#N/A</v>
      </c>
      <c r="BZ254" s="124" t="e">
        <v>#N/A</v>
      </c>
      <c r="CA254" s="125"/>
      <c r="CB254" s="124" t="e">
        <v>#N/A</v>
      </c>
      <c r="CC254" s="126">
        <v>1</v>
      </c>
      <c r="CD254" s="127" t="s">
        <v>4162</v>
      </c>
      <c r="CE254" s="128"/>
      <c r="CF254" s="77" t="s">
        <v>4169</v>
      </c>
    </row>
    <row r="255" spans="1:84" ht="14.5" x14ac:dyDescent="0.35">
      <c r="A255" s="77">
        <v>254</v>
      </c>
      <c r="B255" s="106" t="s">
        <v>4043</v>
      </c>
      <c r="C255" s="107" t="s">
        <v>6721</v>
      </c>
      <c r="D255" s="108" t="s">
        <v>4085</v>
      </c>
      <c r="E255" s="109" t="s">
        <v>4086</v>
      </c>
      <c r="F255" s="110">
        <v>673813042</v>
      </c>
      <c r="G255" s="108" t="s">
        <v>1004</v>
      </c>
      <c r="H255" s="111" t="s">
        <v>209</v>
      </c>
      <c r="I255" s="111" t="s">
        <v>180</v>
      </c>
      <c r="J255" s="111" t="s">
        <v>4649</v>
      </c>
      <c r="K255" s="111" t="s">
        <v>199</v>
      </c>
      <c r="L255" s="112">
        <v>45600</v>
      </c>
      <c r="M255" s="111" t="s">
        <v>1546</v>
      </c>
      <c r="N255" s="113"/>
      <c r="O255" s="114" t="s">
        <v>330</v>
      </c>
      <c r="P255" s="114" t="s">
        <v>4469</v>
      </c>
      <c r="Q255" s="114" t="s">
        <v>4356</v>
      </c>
      <c r="R255" s="114" t="s">
        <v>4356</v>
      </c>
      <c r="S255" s="114" t="s">
        <v>4469</v>
      </c>
      <c r="T255" s="114" t="s">
        <v>4469</v>
      </c>
      <c r="U255" s="114" t="s">
        <v>4469</v>
      </c>
      <c r="V255" s="115"/>
      <c r="W255" s="116" t="s">
        <v>4087</v>
      </c>
      <c r="X255" s="116" t="s">
        <v>4088</v>
      </c>
      <c r="Y255" s="117">
        <v>3485988</v>
      </c>
      <c r="Z255" s="117">
        <v>3486686</v>
      </c>
      <c r="AA255" s="118"/>
      <c r="AB255" s="119" t="s">
        <v>4089</v>
      </c>
      <c r="AC255" s="119" t="s">
        <v>4090</v>
      </c>
      <c r="AD255" s="119">
        <v>5685</v>
      </c>
      <c r="AE255" s="119" t="s">
        <v>4091</v>
      </c>
      <c r="AF255" s="119">
        <v>0</v>
      </c>
      <c r="AG255" s="120"/>
      <c r="AH255" s="121">
        <v>45600</v>
      </c>
      <c r="AI255" s="121">
        <v>45600</v>
      </c>
      <c r="AJ255" s="121">
        <v>45600</v>
      </c>
      <c r="AK255" s="122">
        <v>45600</v>
      </c>
      <c r="AL255" s="122" t="e">
        <v>#N/A</v>
      </c>
      <c r="AM255" s="121" t="e">
        <v>#N/A</v>
      </c>
      <c r="AN255" s="121" t="e">
        <v>#N/A</v>
      </c>
      <c r="AO255" s="121" t="e">
        <v>#N/A</v>
      </c>
      <c r="AP255" s="122" t="e">
        <v>#N/A</v>
      </c>
      <c r="AQ255" s="122" t="e">
        <v>#N/A</v>
      </c>
      <c r="AR255" s="122" t="e">
        <v>#N/A</v>
      </c>
      <c r="AS255" s="122" t="e">
        <v>#N/A</v>
      </c>
      <c r="AT255" s="122" t="e">
        <v>#N/A</v>
      </c>
      <c r="AU255" s="121">
        <v>45912</v>
      </c>
      <c r="AV255" s="122">
        <v>45785</v>
      </c>
      <c r="AW255" s="122">
        <v>45734</v>
      </c>
      <c r="AX255" s="122" t="e">
        <v>#N/A</v>
      </c>
      <c r="AY255" s="122" t="e">
        <v>#N/A</v>
      </c>
      <c r="AZ255" s="122" t="e">
        <v>#N/A</v>
      </c>
      <c r="BA255" s="122" t="e">
        <v>#N/A</v>
      </c>
      <c r="BB255" s="122" t="e">
        <v>#N/A</v>
      </c>
      <c r="BC255" s="122" t="e">
        <v>#N/A</v>
      </c>
      <c r="BD255" s="122" t="e">
        <v>#N/A</v>
      </c>
      <c r="BE255" s="122" t="e">
        <v>#N/A</v>
      </c>
      <c r="BF255" s="122" t="e">
        <v>#N/A</v>
      </c>
      <c r="BG255" s="122" t="e">
        <v>#N/A</v>
      </c>
      <c r="BH255" s="122" t="e">
        <v>#N/A</v>
      </c>
      <c r="BI255" s="122" t="e">
        <v>#N/A</v>
      </c>
      <c r="BJ255" s="122" t="e">
        <v>#N/A</v>
      </c>
      <c r="BK255" s="122" t="e">
        <v>#N/A</v>
      </c>
      <c r="BL255" s="123"/>
      <c r="BM255" s="124" t="e">
        <v>#N/A</v>
      </c>
      <c r="BN255" s="124" t="e">
        <v>#N/A</v>
      </c>
      <c r="BO255" s="124" t="e">
        <v>#N/A</v>
      </c>
      <c r="BP255" s="124" t="e">
        <v>#N/A</v>
      </c>
      <c r="BQ255" s="124" t="e">
        <v>#N/A</v>
      </c>
      <c r="BR255" s="124" t="e">
        <v>#N/A</v>
      </c>
      <c r="BS255" s="124" t="e">
        <v>#N/A</v>
      </c>
      <c r="BT255" s="124" t="e">
        <v>#N/A</v>
      </c>
      <c r="BU255" s="124" t="e">
        <v>#N/A</v>
      </c>
      <c r="BV255" s="124" t="e">
        <v>#N/A</v>
      </c>
      <c r="BW255" s="124" t="e">
        <v>#N/A</v>
      </c>
      <c r="BX255" s="124" t="e">
        <v>#N/A</v>
      </c>
      <c r="BY255" s="124" t="e">
        <v>#N/A</v>
      </c>
      <c r="BZ255" s="124" t="e">
        <v>#N/A</v>
      </c>
      <c r="CA255" s="125"/>
      <c r="CB255" s="124">
        <v>45727</v>
      </c>
      <c r="CC255" s="126">
        <v>1</v>
      </c>
      <c r="CD255" s="127" t="s">
        <v>4211</v>
      </c>
      <c r="CE255" s="128"/>
      <c r="CF255" s="77" t="s">
        <v>4169</v>
      </c>
    </row>
    <row r="256" spans="1:84" ht="14.5" x14ac:dyDescent="0.35">
      <c r="A256" s="77">
        <v>255</v>
      </c>
      <c r="B256" s="106" t="s">
        <v>3968</v>
      </c>
      <c r="C256" s="107" t="s">
        <v>6708</v>
      </c>
      <c r="D256" s="108" t="s">
        <v>3969</v>
      </c>
      <c r="E256" s="109" t="s">
        <v>3970</v>
      </c>
      <c r="F256" s="110">
        <v>644203360</v>
      </c>
      <c r="G256" s="108" t="s">
        <v>1004</v>
      </c>
      <c r="H256" s="111" t="s">
        <v>209</v>
      </c>
      <c r="I256" s="111" t="s">
        <v>180</v>
      </c>
      <c r="J256" s="111" t="s">
        <v>4649</v>
      </c>
      <c r="K256" s="111" t="s">
        <v>199</v>
      </c>
      <c r="L256" s="112">
        <v>45579</v>
      </c>
      <c r="M256" s="111" t="s">
        <v>2646</v>
      </c>
      <c r="N256" s="113"/>
      <c r="O256" s="114" t="s">
        <v>310</v>
      </c>
      <c r="P256" s="114" t="s">
        <v>694</v>
      </c>
      <c r="Q256" s="114" t="s">
        <v>183</v>
      </c>
      <c r="R256" s="114" t="s">
        <v>7462</v>
      </c>
      <c r="S256" s="114" t="s">
        <v>694</v>
      </c>
      <c r="T256" s="114" t="s">
        <v>310</v>
      </c>
      <c r="U256" s="114" t="s">
        <v>310</v>
      </c>
      <c r="V256" s="115"/>
      <c r="W256" s="116" t="s">
        <v>3971</v>
      </c>
      <c r="X256" s="116" t="s">
        <v>3972</v>
      </c>
      <c r="Y256" s="117">
        <v>3485957</v>
      </c>
      <c r="Z256" s="117">
        <v>3486337</v>
      </c>
      <c r="AA256" s="118"/>
      <c r="AB256" s="119" t="s">
        <v>5514</v>
      </c>
      <c r="AC256" s="119" t="s">
        <v>3973</v>
      </c>
      <c r="AD256" s="119">
        <v>5521</v>
      </c>
      <c r="AE256" s="119" t="s">
        <v>3974</v>
      </c>
      <c r="AF256" s="119" t="s">
        <v>7463</v>
      </c>
      <c r="AG256" s="120"/>
      <c r="AH256" s="121">
        <v>45579</v>
      </c>
      <c r="AI256" s="121">
        <v>45579</v>
      </c>
      <c r="AJ256" s="121">
        <v>45579</v>
      </c>
      <c r="AK256" s="122">
        <v>45579</v>
      </c>
      <c r="AL256" s="122">
        <v>46007</v>
      </c>
      <c r="AM256" s="121" t="e">
        <v>#N/A</v>
      </c>
      <c r="AN256" s="121">
        <v>46007</v>
      </c>
      <c r="AO256" s="121">
        <v>46008</v>
      </c>
      <c r="AP256" s="122" t="e">
        <v>#N/A</v>
      </c>
      <c r="AQ256" s="122" t="e">
        <v>#N/A</v>
      </c>
      <c r="AR256" s="122">
        <v>46007</v>
      </c>
      <c r="AS256" s="122" t="e">
        <v>#N/A</v>
      </c>
      <c r="AT256" s="122" t="e">
        <v>#N/A</v>
      </c>
      <c r="AU256" s="121" t="e">
        <v>#N/A</v>
      </c>
      <c r="AV256" s="122" t="e">
        <v>#N/A</v>
      </c>
      <c r="AW256" s="122">
        <v>45698</v>
      </c>
      <c r="AX256" s="122" t="e">
        <v>#N/A</v>
      </c>
      <c r="AY256" s="122" t="e">
        <v>#N/A</v>
      </c>
      <c r="AZ256" s="122">
        <v>46007</v>
      </c>
      <c r="BA256" s="122" t="e">
        <v>#N/A</v>
      </c>
      <c r="BB256" s="122" t="e">
        <v>#N/A</v>
      </c>
      <c r="BC256" s="122" t="e">
        <v>#N/A</v>
      </c>
      <c r="BD256" s="122" t="e">
        <v>#N/A</v>
      </c>
      <c r="BE256" s="122" t="e">
        <v>#N/A</v>
      </c>
      <c r="BF256" s="122" t="e">
        <v>#N/A</v>
      </c>
      <c r="BG256" s="122" t="e">
        <v>#N/A</v>
      </c>
      <c r="BH256" s="122" t="e">
        <v>#N/A</v>
      </c>
      <c r="BI256" s="122" t="e">
        <v>#N/A</v>
      </c>
      <c r="BJ256" s="122" t="e">
        <v>#N/A</v>
      </c>
      <c r="BK256" s="122">
        <v>45974</v>
      </c>
      <c r="BL256" s="123"/>
      <c r="BM256" s="124" t="e">
        <v>#N/A</v>
      </c>
      <c r="BN256" s="124" t="e">
        <v>#N/A</v>
      </c>
      <c r="BO256" s="124" t="e">
        <v>#N/A</v>
      </c>
      <c r="BP256" s="124" t="e">
        <v>#N/A</v>
      </c>
      <c r="BQ256" s="124" t="e">
        <v>#N/A</v>
      </c>
      <c r="BR256" s="124" t="e">
        <v>#N/A</v>
      </c>
      <c r="BS256" s="124" t="e">
        <v>#N/A</v>
      </c>
      <c r="BT256" s="124" t="e">
        <v>#N/A</v>
      </c>
      <c r="BU256" s="124" t="e">
        <v>#N/A</v>
      </c>
      <c r="BV256" s="124" t="e">
        <v>#N/A</v>
      </c>
      <c r="BW256" s="124" t="e">
        <v>#N/A</v>
      </c>
      <c r="BX256" s="124" t="e">
        <v>#N/A</v>
      </c>
      <c r="BY256" s="124" t="e">
        <v>#N/A</v>
      </c>
      <c r="BZ256" s="124" t="e">
        <v>#N/A</v>
      </c>
      <c r="CA256" s="125"/>
      <c r="CB256" s="124" t="e">
        <v>#N/A</v>
      </c>
      <c r="CC256" s="126">
        <v>1</v>
      </c>
      <c r="CD256" s="127" t="s">
        <v>4212</v>
      </c>
      <c r="CE256" s="128"/>
      <c r="CF256" s="77" t="s">
        <v>4160</v>
      </c>
    </row>
    <row r="257" spans="1:85" ht="14.5" x14ac:dyDescent="0.35">
      <c r="A257" s="77">
        <v>256</v>
      </c>
      <c r="B257" s="106" t="s">
        <v>3681</v>
      </c>
      <c r="C257" s="107" t="s">
        <v>6661</v>
      </c>
      <c r="D257" s="108" t="s">
        <v>3682</v>
      </c>
      <c r="E257" s="109" t="s">
        <v>3683</v>
      </c>
      <c r="F257" s="110">
        <v>601474124</v>
      </c>
      <c r="G257" s="108" t="s">
        <v>1004</v>
      </c>
      <c r="H257" s="111" t="s">
        <v>209</v>
      </c>
      <c r="I257" s="111" t="s">
        <v>180</v>
      </c>
      <c r="J257" s="111" t="s">
        <v>4649</v>
      </c>
      <c r="K257" s="111" t="s">
        <v>199</v>
      </c>
      <c r="L257" s="112">
        <v>45490</v>
      </c>
      <c r="M257" s="111" t="s">
        <v>747</v>
      </c>
      <c r="N257" s="113"/>
      <c r="O257" s="114" t="s">
        <v>3831</v>
      </c>
      <c r="P257" s="114" t="s">
        <v>3831</v>
      </c>
      <c r="Q257" s="114" t="s">
        <v>183</v>
      </c>
      <c r="R257" s="114" t="s">
        <v>7464</v>
      </c>
      <c r="S257" s="114" t="s">
        <v>3831</v>
      </c>
      <c r="T257" s="114" t="s">
        <v>3831</v>
      </c>
      <c r="U257" s="114" t="s">
        <v>3831</v>
      </c>
      <c r="V257" s="115"/>
      <c r="W257" s="116" t="s">
        <v>3684</v>
      </c>
      <c r="X257" s="116" t="s">
        <v>3685</v>
      </c>
      <c r="Y257" s="117">
        <v>3485835</v>
      </c>
      <c r="Z257" s="117">
        <v>3481315</v>
      </c>
      <c r="AA257" s="118"/>
      <c r="AB257" s="119" t="s">
        <v>5770</v>
      </c>
      <c r="AC257" s="119" t="s">
        <v>3686</v>
      </c>
      <c r="AD257" s="119">
        <v>5973</v>
      </c>
      <c r="AE257" s="119" t="s">
        <v>4259</v>
      </c>
      <c r="AF257" s="119" t="s">
        <v>7465</v>
      </c>
      <c r="AG257" s="120"/>
      <c r="AH257" s="121">
        <v>45506</v>
      </c>
      <c r="AI257" s="121">
        <v>45506</v>
      </c>
      <c r="AJ257" s="121">
        <v>45506</v>
      </c>
      <c r="AK257" s="122">
        <v>45506</v>
      </c>
      <c r="AL257" s="122" t="e">
        <v>#N/A</v>
      </c>
      <c r="AM257" s="121" t="e">
        <v>#N/A</v>
      </c>
      <c r="AN257" s="121" t="e">
        <v>#N/A</v>
      </c>
      <c r="AO257" s="121" t="e">
        <v>#N/A</v>
      </c>
      <c r="AP257" s="122" t="e">
        <v>#N/A</v>
      </c>
      <c r="AQ257" s="122" t="e">
        <v>#N/A</v>
      </c>
      <c r="AR257" s="122" t="e">
        <v>#N/A</v>
      </c>
      <c r="AS257" s="122" t="e">
        <v>#N/A</v>
      </c>
      <c r="AT257" s="122" t="e">
        <v>#N/A</v>
      </c>
      <c r="AU257" s="121" t="e">
        <v>#N/A</v>
      </c>
      <c r="AV257" s="122">
        <v>45611</v>
      </c>
      <c r="AW257" s="122">
        <v>45586</v>
      </c>
      <c r="AX257" s="122" t="e">
        <v>#N/A</v>
      </c>
      <c r="AY257" s="122" t="e">
        <v>#N/A</v>
      </c>
      <c r="AZ257" s="122" t="e">
        <v>#N/A</v>
      </c>
      <c r="BA257" s="122" t="e">
        <v>#N/A</v>
      </c>
      <c r="BB257" s="122" t="e">
        <v>#N/A</v>
      </c>
      <c r="BC257" s="122" t="e">
        <v>#N/A</v>
      </c>
      <c r="BD257" s="122" t="e">
        <v>#N/A</v>
      </c>
      <c r="BE257" s="122" t="e">
        <v>#N/A</v>
      </c>
      <c r="BF257" s="122" t="e">
        <v>#N/A</v>
      </c>
      <c r="BG257" s="122" t="e">
        <v>#N/A</v>
      </c>
      <c r="BH257" s="122" t="e">
        <v>#N/A</v>
      </c>
      <c r="BI257" s="122" t="e">
        <v>#N/A</v>
      </c>
      <c r="BJ257" s="122" t="e">
        <v>#N/A</v>
      </c>
      <c r="BK257" s="122">
        <v>45974</v>
      </c>
      <c r="BL257" s="123"/>
      <c r="BM257" s="124" t="e">
        <v>#N/A</v>
      </c>
      <c r="BN257" s="124" t="e">
        <v>#N/A</v>
      </c>
      <c r="BO257" s="124" t="e">
        <v>#N/A</v>
      </c>
      <c r="BP257" s="124" t="e">
        <v>#N/A</v>
      </c>
      <c r="BQ257" s="124" t="e">
        <v>#N/A</v>
      </c>
      <c r="BR257" s="124" t="e">
        <v>#N/A</v>
      </c>
      <c r="BS257" s="124" t="e">
        <v>#N/A</v>
      </c>
      <c r="BT257" s="124" t="e">
        <v>#N/A</v>
      </c>
      <c r="BU257" s="124" t="e">
        <v>#N/A</v>
      </c>
      <c r="BV257" s="124" t="e">
        <v>#N/A</v>
      </c>
      <c r="BW257" s="124" t="e">
        <v>#N/A</v>
      </c>
      <c r="BX257" s="124" t="e">
        <v>#N/A</v>
      </c>
      <c r="BY257" s="124" t="e">
        <v>#N/A</v>
      </c>
      <c r="BZ257" s="124" t="e">
        <v>#N/A</v>
      </c>
      <c r="CA257" s="125"/>
      <c r="CB257" s="124">
        <v>45729</v>
      </c>
      <c r="CC257" s="126">
        <v>1</v>
      </c>
      <c r="CD257" s="127" t="s">
        <v>4205</v>
      </c>
      <c r="CE257" s="128"/>
      <c r="CF257" s="77" t="s">
        <v>4153</v>
      </c>
    </row>
    <row r="258" spans="1:85" ht="14.5" x14ac:dyDescent="0.35">
      <c r="A258" s="77">
        <v>257</v>
      </c>
      <c r="B258" s="106" t="s">
        <v>2911</v>
      </c>
      <c r="C258" s="107" t="s">
        <v>6560</v>
      </c>
      <c r="D258" s="108" t="s">
        <v>2892</v>
      </c>
      <c r="E258" s="109" t="s">
        <v>2893</v>
      </c>
      <c r="F258" s="110">
        <v>626850160</v>
      </c>
      <c r="G258" s="108" t="s">
        <v>190</v>
      </c>
      <c r="H258" s="111" t="s">
        <v>4457</v>
      </c>
      <c r="I258" s="111" t="s">
        <v>352</v>
      </c>
      <c r="J258" s="111" t="s">
        <v>4649</v>
      </c>
      <c r="K258" s="111" t="s">
        <v>400</v>
      </c>
      <c r="L258" s="112">
        <v>45155</v>
      </c>
      <c r="M258" s="111" t="s">
        <v>371</v>
      </c>
      <c r="N258" s="113"/>
      <c r="O258" s="114" t="s">
        <v>7156</v>
      </c>
      <c r="P258" s="114" t="s">
        <v>3602</v>
      </c>
      <c r="Q258" s="114" t="s">
        <v>7466</v>
      </c>
      <c r="R258" s="114" t="s">
        <v>7467</v>
      </c>
      <c r="S258" s="114" t="s">
        <v>2653</v>
      </c>
      <c r="T258" s="114" t="s">
        <v>183</v>
      </c>
      <c r="U258" s="114" t="s">
        <v>183</v>
      </c>
      <c r="V258" s="115"/>
      <c r="W258" s="116" t="s">
        <v>2894</v>
      </c>
      <c r="X258" s="116" t="s">
        <v>4533</v>
      </c>
      <c r="Y258" s="117">
        <v>3485809</v>
      </c>
      <c r="Z258" s="117">
        <v>3481462</v>
      </c>
      <c r="AA258" s="118"/>
      <c r="AB258" s="119" t="s">
        <v>5711</v>
      </c>
      <c r="AC258" s="119" t="s">
        <v>2895</v>
      </c>
      <c r="AD258" s="119">
        <v>4307</v>
      </c>
      <c r="AE258" s="119" t="s">
        <v>2896</v>
      </c>
      <c r="AF258" s="119" t="s">
        <v>6246</v>
      </c>
      <c r="AG258" s="120"/>
      <c r="AH258" s="121">
        <v>45155</v>
      </c>
      <c r="AI258" s="121">
        <v>45237</v>
      </c>
      <c r="AJ258" s="121">
        <v>45155</v>
      </c>
      <c r="AK258" s="122">
        <v>45237</v>
      </c>
      <c r="AL258" s="122">
        <v>45238</v>
      </c>
      <c r="AM258" s="121">
        <v>45240</v>
      </c>
      <c r="AN258" s="121">
        <v>45737</v>
      </c>
      <c r="AO258" s="121" t="e">
        <v>#N/A</v>
      </c>
      <c r="AP258" s="122" t="e">
        <v>#N/A</v>
      </c>
      <c r="AQ258" s="122" t="e">
        <v>#N/A</v>
      </c>
      <c r="AR258" s="122">
        <v>45239</v>
      </c>
      <c r="AS258" s="122" t="e">
        <v>#N/A</v>
      </c>
      <c r="AT258" s="122" t="e">
        <v>#N/A</v>
      </c>
      <c r="AU258" s="121" t="e">
        <v>#N/A</v>
      </c>
      <c r="AV258" s="122" t="e">
        <v>#N/A</v>
      </c>
      <c r="AW258" s="122">
        <v>45748</v>
      </c>
      <c r="AX258" s="122" t="e">
        <v>#N/A</v>
      </c>
      <c r="AY258" s="122" t="e">
        <v>#N/A</v>
      </c>
      <c r="AZ258" s="122" t="e">
        <v>#N/A</v>
      </c>
      <c r="BA258" s="122" t="e">
        <v>#N/A</v>
      </c>
      <c r="BB258" s="122" t="e">
        <v>#N/A</v>
      </c>
      <c r="BC258" s="122" t="e">
        <v>#N/A</v>
      </c>
      <c r="BD258" s="122" t="e">
        <v>#N/A</v>
      </c>
      <c r="BE258" s="122" t="e">
        <v>#N/A</v>
      </c>
      <c r="BF258" s="122" t="e">
        <v>#N/A</v>
      </c>
      <c r="BG258" s="122" t="e">
        <v>#N/A</v>
      </c>
      <c r="BH258" s="122" t="e">
        <v>#N/A</v>
      </c>
      <c r="BI258" s="122" t="e">
        <v>#N/A</v>
      </c>
      <c r="BJ258" s="122" t="e">
        <v>#N/A</v>
      </c>
      <c r="BK258" s="122">
        <v>45924</v>
      </c>
      <c r="BL258" s="123"/>
      <c r="BM258" s="124">
        <v>45523</v>
      </c>
      <c r="BN258" s="124">
        <v>45523</v>
      </c>
      <c r="BO258" s="124" t="e">
        <v>#N/A</v>
      </c>
      <c r="BP258" s="124" t="e">
        <v>#N/A</v>
      </c>
      <c r="BQ258" s="124" t="e">
        <v>#N/A</v>
      </c>
      <c r="BR258" s="124" t="e">
        <v>#N/A</v>
      </c>
      <c r="BS258" s="124" t="e">
        <v>#N/A</v>
      </c>
      <c r="BT258" s="124" t="e">
        <v>#N/A</v>
      </c>
      <c r="BU258" s="124" t="e">
        <v>#N/A</v>
      </c>
      <c r="BV258" s="124" t="e">
        <v>#N/A</v>
      </c>
      <c r="BW258" s="124" t="e">
        <v>#N/A</v>
      </c>
      <c r="BX258" s="124" t="e">
        <v>#N/A</v>
      </c>
      <c r="BY258" s="124" t="e">
        <v>#N/A</v>
      </c>
      <c r="BZ258" s="124" t="e">
        <v>#N/A</v>
      </c>
      <c r="CA258" s="125"/>
      <c r="CB258" s="124">
        <v>45734</v>
      </c>
      <c r="CC258" s="126">
        <v>1</v>
      </c>
      <c r="CD258" s="127" t="s">
        <v>4177</v>
      </c>
      <c r="CE258" s="128"/>
      <c r="CF258" s="77" t="s">
        <v>4169</v>
      </c>
    </row>
    <row r="259" spans="1:85" ht="14.5" x14ac:dyDescent="0.35">
      <c r="A259" s="77">
        <v>258</v>
      </c>
      <c r="B259" s="106" t="s">
        <v>146</v>
      </c>
      <c r="C259" s="107" t="s">
        <v>1284</v>
      </c>
      <c r="D259" s="108" t="s">
        <v>837</v>
      </c>
      <c r="E259" s="109" t="s">
        <v>838</v>
      </c>
      <c r="F259" s="110">
        <v>665382709</v>
      </c>
      <c r="G259" s="108" t="s">
        <v>1004</v>
      </c>
      <c r="H259" s="111" t="s">
        <v>4457</v>
      </c>
      <c r="I259" s="111" t="s">
        <v>249</v>
      </c>
      <c r="J259" s="111" t="s">
        <v>4649</v>
      </c>
      <c r="K259" s="111" t="s">
        <v>305</v>
      </c>
      <c r="L259" s="112">
        <v>43587</v>
      </c>
      <c r="M259" s="111" t="s">
        <v>371</v>
      </c>
      <c r="N259" s="113"/>
      <c r="O259" s="114" t="s">
        <v>226</v>
      </c>
      <c r="P259" s="114" t="s">
        <v>226</v>
      </c>
      <c r="Q259" s="114" t="s">
        <v>225</v>
      </c>
      <c r="R259" s="114" t="s">
        <v>7331</v>
      </c>
      <c r="S259" s="114" t="s">
        <v>4467</v>
      </c>
      <c r="T259" s="114" t="s">
        <v>183</v>
      </c>
      <c r="U259" s="114" t="s">
        <v>183</v>
      </c>
      <c r="V259" s="115"/>
      <c r="W259" s="116" t="s">
        <v>839</v>
      </c>
      <c r="X259" s="116" t="s">
        <v>2727</v>
      </c>
      <c r="Y259" s="117">
        <v>3485014</v>
      </c>
      <c r="Z259" s="117">
        <v>3481081</v>
      </c>
      <c r="AA259" s="118"/>
      <c r="AB259" s="119" t="s">
        <v>5620</v>
      </c>
      <c r="AC259" s="119" t="s">
        <v>1285</v>
      </c>
      <c r="AD259" s="119">
        <v>4132</v>
      </c>
      <c r="AE259" s="119" t="s">
        <v>840</v>
      </c>
      <c r="AF259" s="119" t="s">
        <v>6104</v>
      </c>
      <c r="AG259" s="120"/>
      <c r="AH259" s="121">
        <v>44197</v>
      </c>
      <c r="AI259" s="121">
        <v>44197</v>
      </c>
      <c r="AJ259" s="121">
        <v>44197</v>
      </c>
      <c r="AK259" s="122">
        <v>44197</v>
      </c>
      <c r="AL259" s="122">
        <v>44197</v>
      </c>
      <c r="AM259" s="121">
        <v>44197</v>
      </c>
      <c r="AN259" s="121">
        <v>44197</v>
      </c>
      <c r="AO259" s="121" t="e">
        <v>#N/A</v>
      </c>
      <c r="AP259" s="122" t="e">
        <v>#N/A</v>
      </c>
      <c r="AQ259" s="122" t="e">
        <v>#N/A</v>
      </c>
      <c r="AR259" s="122">
        <v>44197</v>
      </c>
      <c r="AS259" s="122" t="e">
        <v>#N/A</v>
      </c>
      <c r="AT259" s="122" t="e">
        <v>#N/A</v>
      </c>
      <c r="AU259" s="121" t="e">
        <v>#N/A</v>
      </c>
      <c r="AV259" s="122" t="e">
        <v>#N/A</v>
      </c>
      <c r="AW259" s="122">
        <v>45669</v>
      </c>
      <c r="AX259" s="122">
        <v>45107</v>
      </c>
      <c r="AY259" s="122" t="e">
        <v>#N/A</v>
      </c>
      <c r="AZ259" s="122" t="e">
        <v>#N/A</v>
      </c>
      <c r="BA259" s="122" t="e">
        <v>#N/A</v>
      </c>
      <c r="BB259" s="122" t="e">
        <v>#N/A</v>
      </c>
      <c r="BC259" s="122" t="e">
        <v>#N/A</v>
      </c>
      <c r="BD259" s="122" t="e">
        <v>#N/A</v>
      </c>
      <c r="BE259" s="122" t="e">
        <v>#N/A</v>
      </c>
      <c r="BF259" s="122" t="e">
        <v>#N/A</v>
      </c>
      <c r="BG259" s="122" t="e">
        <v>#N/A</v>
      </c>
      <c r="BH259" s="122" t="e">
        <v>#N/A</v>
      </c>
      <c r="BI259" s="122" t="e">
        <v>#N/A</v>
      </c>
      <c r="BJ259" s="122" t="e">
        <v>#N/A</v>
      </c>
      <c r="BK259" s="122">
        <v>45924</v>
      </c>
      <c r="BL259" s="123"/>
      <c r="BM259" s="124" t="e">
        <v>#N/A</v>
      </c>
      <c r="BN259" s="124" t="e">
        <v>#N/A</v>
      </c>
      <c r="BO259" s="124" t="e">
        <v>#N/A</v>
      </c>
      <c r="BP259" s="124" t="e">
        <v>#N/A</v>
      </c>
      <c r="BQ259" s="124" t="e">
        <v>#N/A</v>
      </c>
      <c r="BR259" s="124" t="e">
        <v>#N/A</v>
      </c>
      <c r="BS259" s="124" t="e">
        <v>#N/A</v>
      </c>
      <c r="BT259" s="124" t="e">
        <v>#N/A</v>
      </c>
      <c r="BU259" s="124" t="e">
        <v>#N/A</v>
      </c>
      <c r="BV259" s="124" t="e">
        <v>#N/A</v>
      </c>
      <c r="BW259" s="124" t="e">
        <v>#N/A</v>
      </c>
      <c r="BX259" s="124" t="e">
        <v>#N/A</v>
      </c>
      <c r="BY259" s="124" t="e">
        <v>#N/A</v>
      </c>
      <c r="BZ259" s="124" t="e">
        <v>#N/A</v>
      </c>
      <c r="CA259" s="125"/>
      <c r="CB259" s="124">
        <v>45722</v>
      </c>
      <c r="CC259" s="126">
        <v>1</v>
      </c>
      <c r="CD259" s="127" t="s">
        <v>4169</v>
      </c>
      <c r="CE259" s="128" t="e">
        <v>#REF!</v>
      </c>
      <c r="CF259" s="77" t="s">
        <v>4169</v>
      </c>
      <c r="CG259" s="77" t="e">
        <v>#REF!</v>
      </c>
    </row>
    <row r="260" spans="1:85" ht="14.5" x14ac:dyDescent="0.35">
      <c r="A260" s="77">
        <v>259</v>
      </c>
      <c r="B260" s="106" t="s">
        <v>1804</v>
      </c>
      <c r="C260" s="107" t="s">
        <v>6411</v>
      </c>
      <c r="D260" s="108" t="s">
        <v>1821</v>
      </c>
      <c r="E260" s="109" t="s">
        <v>284</v>
      </c>
      <c r="F260" s="110">
        <v>651715266</v>
      </c>
      <c r="G260" s="108" t="s">
        <v>1004</v>
      </c>
      <c r="H260" s="111" t="s">
        <v>4457</v>
      </c>
      <c r="I260" s="111" t="s">
        <v>352</v>
      </c>
      <c r="J260" s="111" t="s">
        <v>4649</v>
      </c>
      <c r="K260" s="111" t="s">
        <v>199</v>
      </c>
      <c r="L260" s="112">
        <v>40282</v>
      </c>
      <c r="M260" s="111" t="s">
        <v>371</v>
      </c>
      <c r="N260" s="113"/>
      <c r="O260" s="114" t="s">
        <v>6105</v>
      </c>
      <c r="P260" s="114" t="s">
        <v>6105</v>
      </c>
      <c r="Q260" s="114" t="s">
        <v>7468</v>
      </c>
      <c r="R260" s="114" t="s">
        <v>7469</v>
      </c>
      <c r="S260" s="114" t="s">
        <v>7470</v>
      </c>
      <c r="T260" s="114" t="s">
        <v>183</v>
      </c>
      <c r="U260" s="114" t="s">
        <v>183</v>
      </c>
      <c r="V260" s="115"/>
      <c r="W260" s="116" t="s">
        <v>1822</v>
      </c>
      <c r="X260" s="116" t="s">
        <v>1823</v>
      </c>
      <c r="Y260" s="117">
        <v>3485474</v>
      </c>
      <c r="Z260" s="117">
        <v>3481036</v>
      </c>
      <c r="AA260" s="118"/>
      <c r="AB260" s="119" t="s">
        <v>5513</v>
      </c>
      <c r="AC260" s="119" t="s">
        <v>1824</v>
      </c>
      <c r="AD260" s="119">
        <v>5029</v>
      </c>
      <c r="AE260" s="119" t="s">
        <v>4952</v>
      </c>
      <c r="AF260" s="119" t="s">
        <v>7083</v>
      </c>
      <c r="AG260" s="120"/>
      <c r="AH260" s="121">
        <v>44197</v>
      </c>
      <c r="AI260" s="121">
        <v>44197</v>
      </c>
      <c r="AJ260" s="121">
        <v>44197</v>
      </c>
      <c r="AK260" s="122">
        <v>44197</v>
      </c>
      <c r="AL260" s="122" t="e">
        <v>#N/A</v>
      </c>
      <c r="AM260" s="121" t="e">
        <v>#N/A</v>
      </c>
      <c r="AN260" s="121" t="e">
        <v>#N/A</v>
      </c>
      <c r="AO260" s="121" t="e">
        <v>#N/A</v>
      </c>
      <c r="AP260" s="122" t="e">
        <v>#N/A</v>
      </c>
      <c r="AQ260" s="122" t="e">
        <v>#N/A</v>
      </c>
      <c r="AR260" s="122" t="e">
        <v>#N/A</v>
      </c>
      <c r="AS260" s="122" t="e">
        <v>#N/A</v>
      </c>
      <c r="AT260" s="122" t="e">
        <v>#N/A</v>
      </c>
      <c r="AU260" s="121" t="e">
        <v>#N/A</v>
      </c>
      <c r="AV260" s="122" t="e">
        <v>#N/A</v>
      </c>
      <c r="AW260" s="122">
        <v>45875</v>
      </c>
      <c r="AX260" s="122" t="e">
        <v>#N/A</v>
      </c>
      <c r="AY260" s="122">
        <v>44197</v>
      </c>
      <c r="AZ260" s="122" t="e">
        <v>#N/A</v>
      </c>
      <c r="BA260" s="122" t="e">
        <v>#N/A</v>
      </c>
      <c r="BB260" s="122" t="e">
        <v>#N/A</v>
      </c>
      <c r="BC260" s="122" t="e">
        <v>#N/A</v>
      </c>
      <c r="BD260" s="122" t="e">
        <v>#N/A</v>
      </c>
      <c r="BE260" s="122" t="e">
        <v>#N/A</v>
      </c>
      <c r="BF260" s="122" t="e">
        <v>#N/A</v>
      </c>
      <c r="BG260" s="122" t="e">
        <v>#N/A</v>
      </c>
      <c r="BH260" s="122" t="e">
        <v>#N/A</v>
      </c>
      <c r="BI260" s="122" t="e">
        <v>#N/A</v>
      </c>
      <c r="BJ260" s="122" t="e">
        <v>#N/A</v>
      </c>
      <c r="BK260" s="122">
        <v>45968</v>
      </c>
      <c r="BL260" s="123"/>
      <c r="BM260" s="124">
        <v>44197</v>
      </c>
      <c r="BN260" s="124">
        <v>44197</v>
      </c>
      <c r="BO260" s="124">
        <v>44197</v>
      </c>
      <c r="BP260" s="124">
        <v>44197</v>
      </c>
      <c r="BQ260" s="124">
        <v>44197</v>
      </c>
      <c r="BR260" s="124">
        <v>44197</v>
      </c>
      <c r="BS260" s="124" t="s">
        <v>199</v>
      </c>
      <c r="BT260" s="124" t="s">
        <v>199</v>
      </c>
      <c r="BU260" s="124" t="e">
        <v>#N/A</v>
      </c>
      <c r="BV260" s="124" t="e">
        <v>#N/A</v>
      </c>
      <c r="BW260" s="124" t="e">
        <v>#N/A</v>
      </c>
      <c r="BX260" s="124" t="s">
        <v>199</v>
      </c>
      <c r="BY260" s="124" t="e">
        <v>#N/A</v>
      </c>
      <c r="BZ260" s="124" t="e">
        <v>#N/A</v>
      </c>
      <c r="CA260" s="125"/>
      <c r="CB260" s="124" t="e">
        <v>#N/A</v>
      </c>
      <c r="CC260" s="126">
        <v>1</v>
      </c>
      <c r="CD260" s="127" t="s">
        <v>4169</v>
      </c>
      <c r="CE260" s="128"/>
      <c r="CF260" s="77" t="s">
        <v>4169</v>
      </c>
    </row>
    <row r="261" spans="1:85" ht="14.5" x14ac:dyDescent="0.35">
      <c r="A261" s="77">
        <v>260</v>
      </c>
      <c r="B261" s="106" t="s">
        <v>3769</v>
      </c>
      <c r="C261" s="107" t="s">
        <v>6686</v>
      </c>
      <c r="D261" s="108" t="s">
        <v>3770</v>
      </c>
      <c r="E261" s="109" t="s">
        <v>3771</v>
      </c>
      <c r="F261" s="110">
        <v>615725292</v>
      </c>
      <c r="G261" s="108" t="s">
        <v>1004</v>
      </c>
      <c r="H261" s="111" t="s">
        <v>4457</v>
      </c>
      <c r="I261" s="111" t="s">
        <v>352</v>
      </c>
      <c r="J261" s="111" t="s">
        <v>4649</v>
      </c>
      <c r="K261" s="111" t="s">
        <v>3159</v>
      </c>
      <c r="L261" s="112">
        <v>45505</v>
      </c>
      <c r="M261" s="111" t="s">
        <v>371</v>
      </c>
      <c r="N261" s="113"/>
      <c r="O261" s="114" t="s">
        <v>813</v>
      </c>
      <c r="P261" s="114" t="s">
        <v>813</v>
      </c>
      <c r="Q261" s="114" t="s">
        <v>7471</v>
      </c>
      <c r="R261" s="114" t="s">
        <v>4351</v>
      </c>
      <c r="S261" s="114" t="s">
        <v>585</v>
      </c>
      <c r="T261" s="114" t="s">
        <v>183</v>
      </c>
      <c r="U261" s="114" t="s">
        <v>183</v>
      </c>
      <c r="V261" s="115"/>
      <c r="W261" s="116" t="s">
        <v>3772</v>
      </c>
      <c r="X261" s="116" t="s">
        <v>4531</v>
      </c>
      <c r="Y261" s="117">
        <v>3485903</v>
      </c>
      <c r="Z261" s="117">
        <v>3486640</v>
      </c>
      <c r="AA261" s="118"/>
      <c r="AB261" s="119" t="s">
        <v>3773</v>
      </c>
      <c r="AC261" s="119" t="s">
        <v>3774</v>
      </c>
      <c r="AD261" s="119">
        <v>5316</v>
      </c>
      <c r="AE261" s="119" t="s">
        <v>3775</v>
      </c>
      <c r="AF261" s="119" t="s">
        <v>6687</v>
      </c>
      <c r="AG261" s="120"/>
      <c r="AH261" s="121">
        <v>45523</v>
      </c>
      <c r="AI261" s="121">
        <v>45523</v>
      </c>
      <c r="AJ261" s="121">
        <v>45523</v>
      </c>
      <c r="AK261" s="122">
        <v>45523</v>
      </c>
      <c r="AL261" s="122" t="e">
        <v>#N/A</v>
      </c>
      <c r="AM261" s="121" t="e">
        <v>#N/A</v>
      </c>
      <c r="AN261" s="121">
        <v>46006</v>
      </c>
      <c r="AO261" s="121">
        <v>46006</v>
      </c>
      <c r="AP261" s="122">
        <v>46006</v>
      </c>
      <c r="AQ261" s="122" t="e">
        <v>#N/A</v>
      </c>
      <c r="AR261" s="122" t="e">
        <v>#N/A</v>
      </c>
      <c r="AS261" s="122" t="e">
        <v>#N/A</v>
      </c>
      <c r="AT261" s="122" t="e">
        <v>#N/A</v>
      </c>
      <c r="AU261" s="121" t="e">
        <v>#N/A</v>
      </c>
      <c r="AV261" s="122">
        <v>45623</v>
      </c>
      <c r="AW261" s="122">
        <v>45586</v>
      </c>
      <c r="AX261" s="122" t="e">
        <v>#N/A</v>
      </c>
      <c r="AY261" s="122" t="e">
        <v>#N/A</v>
      </c>
      <c r="AZ261" s="122" t="e">
        <v>#N/A</v>
      </c>
      <c r="BA261" s="122" t="e">
        <v>#N/A</v>
      </c>
      <c r="BB261" s="122" t="e">
        <v>#N/A</v>
      </c>
      <c r="BC261" s="122" t="e">
        <v>#N/A</v>
      </c>
      <c r="BD261" s="122" t="e">
        <v>#N/A</v>
      </c>
      <c r="BE261" s="122" t="e">
        <v>#N/A</v>
      </c>
      <c r="BF261" s="122" t="e">
        <v>#N/A</v>
      </c>
      <c r="BG261" s="122" t="e">
        <v>#N/A</v>
      </c>
      <c r="BH261" s="122" t="e">
        <v>#N/A</v>
      </c>
      <c r="BI261" s="122" t="e">
        <v>#N/A</v>
      </c>
      <c r="BJ261" s="122" t="e">
        <v>#N/A</v>
      </c>
      <c r="BK261" s="122">
        <v>45924</v>
      </c>
      <c r="BL261" s="123"/>
      <c r="BM261" s="124" t="e">
        <v>#N/A</v>
      </c>
      <c r="BN261" s="124" t="e">
        <v>#N/A</v>
      </c>
      <c r="BO261" s="124" t="e">
        <v>#N/A</v>
      </c>
      <c r="BP261" s="124" t="e">
        <v>#N/A</v>
      </c>
      <c r="BQ261" s="124" t="e">
        <v>#N/A</v>
      </c>
      <c r="BR261" s="124" t="e">
        <v>#N/A</v>
      </c>
      <c r="BS261" s="124" t="e">
        <v>#N/A</v>
      </c>
      <c r="BT261" s="124" t="e">
        <v>#N/A</v>
      </c>
      <c r="BU261" s="124" t="e">
        <v>#N/A</v>
      </c>
      <c r="BV261" s="124" t="e">
        <v>#N/A</v>
      </c>
      <c r="BW261" s="124" t="e">
        <v>#N/A</v>
      </c>
      <c r="BX261" s="124" t="e">
        <v>#N/A</v>
      </c>
      <c r="BY261" s="124" t="e">
        <v>#N/A</v>
      </c>
      <c r="BZ261" s="124" t="e">
        <v>#N/A</v>
      </c>
      <c r="CA261" s="125"/>
      <c r="CB261" s="124" t="e">
        <v>#N/A</v>
      </c>
      <c r="CC261" s="126">
        <v>1</v>
      </c>
      <c r="CD261" s="127" t="s">
        <v>4206</v>
      </c>
      <c r="CE261" s="128"/>
      <c r="CF261" s="77" t="s">
        <v>4153</v>
      </c>
    </row>
    <row r="262" spans="1:85" ht="14.5" x14ac:dyDescent="0.35">
      <c r="A262" s="77">
        <v>261</v>
      </c>
      <c r="B262" s="106" t="s">
        <v>6388</v>
      </c>
      <c r="C262" s="107" t="s">
        <v>6389</v>
      </c>
      <c r="D262" s="108" t="s">
        <v>5306</v>
      </c>
      <c r="E262" s="109" t="s">
        <v>371</v>
      </c>
      <c r="F262" s="110">
        <v>600365645</v>
      </c>
      <c r="G262" s="108" t="s">
        <v>1004</v>
      </c>
      <c r="H262" s="111" t="s">
        <v>1146</v>
      </c>
      <c r="I262" s="111" t="s">
        <v>5200</v>
      </c>
      <c r="J262" s="111" t="s">
        <v>4649</v>
      </c>
      <c r="K262" s="111" t="s">
        <v>199</v>
      </c>
      <c r="L262" s="112">
        <v>41801</v>
      </c>
      <c r="M262" s="111" t="s">
        <v>5201</v>
      </c>
      <c r="N262" s="113"/>
      <c r="O262" s="114" t="s">
        <v>7472</v>
      </c>
      <c r="P262" s="114" t="s">
        <v>5615</v>
      </c>
      <c r="Q262" s="114" t="s">
        <v>4928</v>
      </c>
      <c r="R262" s="114" t="s">
        <v>7473</v>
      </c>
      <c r="S262" s="114" t="s">
        <v>330</v>
      </c>
      <c r="T262" s="114" t="s">
        <v>183</v>
      </c>
      <c r="U262" s="114" t="s">
        <v>183</v>
      </c>
      <c r="V262" s="115"/>
      <c r="W262" s="116" t="s">
        <v>5290</v>
      </c>
      <c r="X262" s="116" t="s">
        <v>5291</v>
      </c>
      <c r="Y262" s="117">
        <v>3485754</v>
      </c>
      <c r="Z262" s="117">
        <v>3486396</v>
      </c>
      <c r="AA262" s="118"/>
      <c r="AB262" s="119" t="s">
        <v>5292</v>
      </c>
      <c r="AC262" s="119" t="s">
        <v>5293</v>
      </c>
      <c r="AD262" s="119" t="s">
        <v>3923</v>
      </c>
      <c r="AE262" s="119" t="s">
        <v>3923</v>
      </c>
      <c r="AF262" s="119">
        <v>0</v>
      </c>
      <c r="AG262" s="120"/>
      <c r="AH262" s="121">
        <v>44803</v>
      </c>
      <c r="AI262" s="121">
        <v>44197</v>
      </c>
      <c r="AJ262" s="121">
        <v>44952</v>
      </c>
      <c r="AK262" s="122">
        <v>44197</v>
      </c>
      <c r="AL262" s="122" t="e">
        <v>#N/A</v>
      </c>
      <c r="AM262" s="121" t="e">
        <v>#N/A</v>
      </c>
      <c r="AN262" s="121" t="e">
        <v>#N/A</v>
      </c>
      <c r="AO262" s="121" t="e">
        <v>#N/A</v>
      </c>
      <c r="AP262" s="122" t="e">
        <v>#N/A</v>
      </c>
      <c r="AQ262" s="122" t="e">
        <v>#N/A</v>
      </c>
      <c r="AR262" s="122" t="e">
        <v>#N/A</v>
      </c>
      <c r="AS262" s="122" t="e">
        <v>#N/A</v>
      </c>
      <c r="AT262" s="122" t="e">
        <v>#N/A</v>
      </c>
      <c r="AU262" s="121" t="e">
        <v>#N/A</v>
      </c>
      <c r="AV262" s="122" t="e">
        <v>#N/A</v>
      </c>
      <c r="AW262" s="122" t="e">
        <v>#N/A</v>
      </c>
      <c r="AX262" s="122" t="e">
        <v>#N/A</v>
      </c>
      <c r="AY262" s="122" t="e">
        <v>#N/A</v>
      </c>
      <c r="AZ262" s="122" t="e">
        <v>#N/A</v>
      </c>
      <c r="BA262" s="122" t="e">
        <v>#N/A</v>
      </c>
      <c r="BB262" s="122" t="e">
        <v>#N/A</v>
      </c>
      <c r="BC262" s="122" t="e">
        <v>#N/A</v>
      </c>
      <c r="BD262" s="122" t="e">
        <v>#N/A</v>
      </c>
      <c r="BE262" s="122" t="e">
        <v>#N/A</v>
      </c>
      <c r="BF262" s="122" t="e">
        <v>#N/A</v>
      </c>
      <c r="BG262" s="122" t="e">
        <v>#N/A</v>
      </c>
      <c r="BH262" s="122" t="e">
        <v>#N/A</v>
      </c>
      <c r="BI262" s="122" t="e">
        <v>#N/A</v>
      </c>
      <c r="BJ262" s="122" t="e">
        <v>#N/A</v>
      </c>
      <c r="BK262" s="122" t="e">
        <v>#N/A</v>
      </c>
      <c r="BL262" s="123"/>
      <c r="BM262" s="124">
        <v>44197</v>
      </c>
      <c r="BN262" s="124">
        <v>44197</v>
      </c>
      <c r="BO262" s="124">
        <v>44531</v>
      </c>
      <c r="BP262" s="124">
        <v>44197</v>
      </c>
      <c r="BQ262" s="124">
        <v>44197</v>
      </c>
      <c r="BR262" s="124">
        <v>44197</v>
      </c>
      <c r="BS262" s="124" t="e">
        <v>#N/A</v>
      </c>
      <c r="BT262" s="124" t="e">
        <v>#N/A</v>
      </c>
      <c r="BU262" s="124" t="e">
        <v>#N/A</v>
      </c>
      <c r="BV262" s="124" t="e">
        <v>#N/A</v>
      </c>
      <c r="BW262" s="124" t="e">
        <v>#N/A</v>
      </c>
      <c r="BX262" s="124" t="e">
        <v>#N/A</v>
      </c>
      <c r="BY262" s="124" t="e">
        <v>#N/A</v>
      </c>
      <c r="BZ262" s="124" t="e">
        <v>#N/A</v>
      </c>
      <c r="CA262" s="125"/>
      <c r="CB262" s="124" t="e">
        <v>#N/A</v>
      </c>
      <c r="CC262" s="126">
        <v>1</v>
      </c>
      <c r="CD262" s="127" t="s">
        <v>4169</v>
      </c>
      <c r="CE262" s="128"/>
      <c r="CF262" s="77" t="s">
        <v>4189</v>
      </c>
    </row>
    <row r="263" spans="1:85" ht="14.5" x14ac:dyDescent="0.35">
      <c r="A263" s="77">
        <v>262</v>
      </c>
      <c r="B263" s="106" t="s">
        <v>5198</v>
      </c>
      <c r="C263" s="107" t="s">
        <v>6463</v>
      </c>
      <c r="D263" s="108" t="s">
        <v>5299</v>
      </c>
      <c r="E263" s="109" t="s">
        <v>250</v>
      </c>
      <c r="F263" s="110" t="s">
        <v>5199</v>
      </c>
      <c r="G263" s="108" t="s">
        <v>1004</v>
      </c>
      <c r="H263" s="111" t="s">
        <v>1146</v>
      </c>
      <c r="I263" s="111" t="s">
        <v>5200</v>
      </c>
      <c r="J263" s="111" t="s">
        <v>4649</v>
      </c>
      <c r="K263" s="111" t="s">
        <v>400</v>
      </c>
      <c r="L263" s="112">
        <v>43334</v>
      </c>
      <c r="M263" s="111" t="s">
        <v>5201</v>
      </c>
      <c r="N263" s="113"/>
      <c r="O263" s="114" t="s">
        <v>4928</v>
      </c>
      <c r="P263" s="114" t="s">
        <v>4928</v>
      </c>
      <c r="Q263" s="114" t="s">
        <v>4928</v>
      </c>
      <c r="R263" s="114" t="s">
        <v>7474</v>
      </c>
      <c r="S263" s="114" t="s">
        <v>330</v>
      </c>
      <c r="T263" s="114" t="s">
        <v>183</v>
      </c>
      <c r="U263" s="114" t="s">
        <v>183</v>
      </c>
      <c r="V263" s="115"/>
      <c r="W263" s="116" t="s">
        <v>5202</v>
      </c>
      <c r="X263" s="116" t="s">
        <v>5203</v>
      </c>
      <c r="Y263" s="117">
        <v>3485250</v>
      </c>
      <c r="Z263" s="117">
        <v>3486254</v>
      </c>
      <c r="AA263" s="118"/>
      <c r="AB263" s="119" t="s">
        <v>5204</v>
      </c>
      <c r="AC263" s="119" t="s">
        <v>5205</v>
      </c>
      <c r="AD263" s="119">
        <v>27739</v>
      </c>
      <c r="AE263" s="119" t="s">
        <v>5206</v>
      </c>
      <c r="AF263" s="119">
        <v>0</v>
      </c>
      <c r="AG263" s="120"/>
      <c r="AH263" s="121">
        <v>44197</v>
      </c>
      <c r="AI263" s="121">
        <v>44197</v>
      </c>
      <c r="AJ263" s="121">
        <v>44197</v>
      </c>
      <c r="AK263" s="122">
        <v>44197</v>
      </c>
      <c r="AL263" s="122" t="e">
        <v>#N/A</v>
      </c>
      <c r="AM263" s="121" t="e">
        <v>#N/A</v>
      </c>
      <c r="AN263" s="121" t="e">
        <v>#N/A</v>
      </c>
      <c r="AO263" s="121" t="e">
        <v>#N/A</v>
      </c>
      <c r="AP263" s="122" t="e">
        <v>#N/A</v>
      </c>
      <c r="AQ263" s="122" t="e">
        <v>#N/A</v>
      </c>
      <c r="AR263" s="122" t="e">
        <v>#N/A</v>
      </c>
      <c r="AS263" s="122" t="e">
        <v>#N/A</v>
      </c>
      <c r="AT263" s="122" t="e">
        <v>#N/A</v>
      </c>
      <c r="AU263" s="121" t="e">
        <v>#N/A</v>
      </c>
      <c r="AV263" s="122" t="e">
        <v>#N/A</v>
      </c>
      <c r="AW263" s="122" t="e">
        <v>#N/A</v>
      </c>
      <c r="AX263" s="122" t="e">
        <v>#N/A</v>
      </c>
      <c r="AY263" s="122" t="e">
        <v>#N/A</v>
      </c>
      <c r="AZ263" s="122" t="e">
        <v>#N/A</v>
      </c>
      <c r="BA263" s="122" t="e">
        <v>#N/A</v>
      </c>
      <c r="BB263" s="122" t="e">
        <v>#N/A</v>
      </c>
      <c r="BC263" s="122" t="e">
        <v>#N/A</v>
      </c>
      <c r="BD263" s="122" t="e">
        <v>#N/A</v>
      </c>
      <c r="BE263" s="122" t="e">
        <v>#N/A</v>
      </c>
      <c r="BF263" s="122" t="e">
        <v>#N/A</v>
      </c>
      <c r="BG263" s="122" t="e">
        <v>#N/A</v>
      </c>
      <c r="BH263" s="122" t="e">
        <v>#N/A</v>
      </c>
      <c r="BI263" s="122" t="e">
        <v>#N/A</v>
      </c>
      <c r="BJ263" s="122" t="e">
        <v>#N/A</v>
      </c>
      <c r="BK263" s="122" t="e">
        <v>#N/A</v>
      </c>
      <c r="BL263" s="123"/>
      <c r="BM263" s="124" t="e">
        <v>#N/A</v>
      </c>
      <c r="BN263" s="124" t="e">
        <v>#N/A</v>
      </c>
      <c r="BO263" s="124" t="e">
        <v>#N/A</v>
      </c>
      <c r="BP263" s="124" t="e">
        <v>#N/A</v>
      </c>
      <c r="BQ263" s="124" t="e">
        <v>#N/A</v>
      </c>
      <c r="BR263" s="124" t="e">
        <v>#N/A</v>
      </c>
      <c r="BS263" s="124" t="e">
        <v>#N/A</v>
      </c>
      <c r="BT263" s="124" t="e">
        <v>#N/A</v>
      </c>
      <c r="BU263" s="124" t="e">
        <v>#N/A</v>
      </c>
      <c r="BV263" s="124" t="e">
        <v>#N/A</v>
      </c>
      <c r="BW263" s="124" t="e">
        <v>#N/A</v>
      </c>
      <c r="BX263" s="124" t="e">
        <v>#N/A</v>
      </c>
      <c r="BY263" s="124" t="e">
        <v>#N/A</v>
      </c>
      <c r="BZ263" s="124" t="e">
        <v>#N/A</v>
      </c>
      <c r="CA263" s="125"/>
      <c r="CB263" s="124" t="e">
        <v>#N/A</v>
      </c>
      <c r="CC263" s="126">
        <v>1</v>
      </c>
      <c r="CD263" s="127" t="s">
        <v>4169</v>
      </c>
      <c r="CE263" s="128"/>
      <c r="CF263" s="77" t="s">
        <v>4151</v>
      </c>
    </row>
    <row r="264" spans="1:85" ht="14.5" x14ac:dyDescent="0.35">
      <c r="A264" s="77">
        <v>263</v>
      </c>
      <c r="B264" s="106" t="s">
        <v>1813</v>
      </c>
      <c r="C264" s="107" t="s">
        <v>6456</v>
      </c>
      <c r="D264" s="108" t="s">
        <v>2010</v>
      </c>
      <c r="E264" s="109" t="s">
        <v>1712</v>
      </c>
      <c r="F264" s="110">
        <v>689373513</v>
      </c>
      <c r="G264" s="108" t="s">
        <v>1004</v>
      </c>
      <c r="H264" s="111" t="s">
        <v>1146</v>
      </c>
      <c r="I264" s="111" t="s">
        <v>352</v>
      </c>
      <c r="J264" s="111" t="s">
        <v>4649</v>
      </c>
      <c r="K264" s="111" t="s">
        <v>199</v>
      </c>
      <c r="L264" s="112">
        <v>43007</v>
      </c>
      <c r="M264" s="111" t="s">
        <v>349</v>
      </c>
      <c r="N264" s="113"/>
      <c r="O264" s="114" t="s">
        <v>5315</v>
      </c>
      <c r="P264" s="114" t="s">
        <v>5315</v>
      </c>
      <c r="Q264" s="114" t="s">
        <v>5315</v>
      </c>
      <c r="R264" s="114" t="s">
        <v>5315</v>
      </c>
      <c r="S264" s="114" t="s">
        <v>568</v>
      </c>
      <c r="T264" s="114" t="s">
        <v>183</v>
      </c>
      <c r="U264" s="114" t="s">
        <v>183</v>
      </c>
      <c r="V264" s="115"/>
      <c r="W264" s="116" t="s">
        <v>2011</v>
      </c>
      <c r="X264" s="116" t="s">
        <v>2012</v>
      </c>
      <c r="Y264" s="117">
        <v>3485592</v>
      </c>
      <c r="Z264" s="117">
        <v>3486122</v>
      </c>
      <c r="AA264" s="118"/>
      <c r="AB264" s="119" t="s">
        <v>5794</v>
      </c>
      <c r="AC264" s="119" t="s">
        <v>2013</v>
      </c>
      <c r="AD264" s="119">
        <v>4576</v>
      </c>
      <c r="AE264" s="119" t="s">
        <v>2606</v>
      </c>
      <c r="AF264" s="119" t="s">
        <v>6213</v>
      </c>
      <c r="AG264" s="120"/>
      <c r="AH264" s="121">
        <v>44733</v>
      </c>
      <c r="AI264" s="121">
        <v>44733</v>
      </c>
      <c r="AJ264" s="121">
        <v>44733</v>
      </c>
      <c r="AK264" s="122">
        <v>45006</v>
      </c>
      <c r="AL264" s="122" t="e">
        <v>#N/A</v>
      </c>
      <c r="AM264" s="122" t="e">
        <v>#N/A</v>
      </c>
      <c r="AN264" s="122" t="e">
        <v>#N/A</v>
      </c>
      <c r="AO264" s="121" t="e">
        <v>#N/A</v>
      </c>
      <c r="AP264" s="122" t="e">
        <v>#N/A</v>
      </c>
      <c r="AQ264" s="122" t="e">
        <v>#N/A</v>
      </c>
      <c r="AR264" s="122" t="e">
        <v>#N/A</v>
      </c>
      <c r="AS264" s="122" t="e">
        <v>#N/A</v>
      </c>
      <c r="AT264" s="122" t="e">
        <v>#N/A</v>
      </c>
      <c r="AU264" s="121" t="e">
        <v>#N/A</v>
      </c>
      <c r="AV264" s="122" t="e">
        <v>#N/A</v>
      </c>
      <c r="AW264" s="122" t="e">
        <v>#N/A</v>
      </c>
      <c r="AX264" s="122" t="e">
        <v>#N/A</v>
      </c>
      <c r="AY264" s="122" t="e">
        <v>#N/A</v>
      </c>
      <c r="AZ264" s="122" t="e">
        <v>#N/A</v>
      </c>
      <c r="BA264" s="122" t="e">
        <v>#N/A</v>
      </c>
      <c r="BB264" s="122" t="e">
        <v>#N/A</v>
      </c>
      <c r="BC264" s="122" t="e">
        <v>#N/A</v>
      </c>
      <c r="BD264" s="122" t="e">
        <v>#N/A</v>
      </c>
      <c r="BE264" s="122" t="e">
        <v>#N/A</v>
      </c>
      <c r="BF264" s="122" t="e">
        <v>#N/A</v>
      </c>
      <c r="BG264" s="122" t="e">
        <v>#N/A</v>
      </c>
      <c r="BH264" s="122">
        <v>45446</v>
      </c>
      <c r="BI264" s="122" t="e">
        <v>#N/A</v>
      </c>
      <c r="BJ264" s="122" t="e">
        <v>#N/A</v>
      </c>
      <c r="BK264" s="122">
        <v>45953</v>
      </c>
      <c r="BL264" s="123"/>
      <c r="BM264" s="124" t="e">
        <v>#N/A</v>
      </c>
      <c r="BN264" s="124" t="e">
        <v>#N/A</v>
      </c>
      <c r="BO264" s="124" t="e">
        <v>#N/A</v>
      </c>
      <c r="BP264" s="124" t="e">
        <v>#N/A</v>
      </c>
      <c r="BQ264" s="124" t="e">
        <v>#N/A</v>
      </c>
      <c r="BR264" s="124" t="e">
        <v>#N/A</v>
      </c>
      <c r="BS264" s="124" t="e">
        <v>#N/A</v>
      </c>
      <c r="BT264" s="124" t="e">
        <v>#N/A</v>
      </c>
      <c r="BU264" s="124" t="e">
        <v>#N/A</v>
      </c>
      <c r="BV264" s="124" t="e">
        <v>#N/A</v>
      </c>
      <c r="BW264" s="124" t="e">
        <v>#N/A</v>
      </c>
      <c r="BX264" s="124" t="e">
        <v>#N/A</v>
      </c>
      <c r="BY264" s="124" t="e">
        <v>#N/A</v>
      </c>
      <c r="BZ264" s="124" t="e">
        <v>#N/A</v>
      </c>
      <c r="CA264" s="125"/>
      <c r="CB264" s="124">
        <v>45734</v>
      </c>
      <c r="CC264" s="126">
        <v>1</v>
      </c>
      <c r="CD264" s="127" t="s">
        <v>4169</v>
      </c>
      <c r="CE264" s="128"/>
      <c r="CF264" s="77" t="s">
        <v>4157</v>
      </c>
    </row>
    <row r="265" spans="1:85" ht="14.5" x14ac:dyDescent="0.35">
      <c r="A265" s="77">
        <v>264</v>
      </c>
      <c r="B265" s="106" t="s">
        <v>5220</v>
      </c>
      <c r="C265" s="107" t="s">
        <v>6447</v>
      </c>
      <c r="D265" s="108" t="s">
        <v>5301</v>
      </c>
      <c r="E265" s="109" t="s">
        <v>349</v>
      </c>
      <c r="F265" s="110">
        <v>637031994</v>
      </c>
      <c r="G265" s="108" t="s">
        <v>1004</v>
      </c>
      <c r="H265" s="111" t="s">
        <v>1146</v>
      </c>
      <c r="I265" s="111" t="s">
        <v>5200</v>
      </c>
      <c r="J265" s="111" t="s">
        <v>4649</v>
      </c>
      <c r="K265" s="111" t="s">
        <v>3159</v>
      </c>
      <c r="L265" s="112">
        <v>42506</v>
      </c>
      <c r="M265" s="111" t="s">
        <v>5201</v>
      </c>
      <c r="N265" s="113"/>
      <c r="O265" s="114" t="s">
        <v>4928</v>
      </c>
      <c r="P265" s="114" t="s">
        <v>4928</v>
      </c>
      <c r="Q265" s="114" t="s">
        <v>4928</v>
      </c>
      <c r="R265" s="114" t="s">
        <v>7474</v>
      </c>
      <c r="S265" s="114" t="s">
        <v>330</v>
      </c>
      <c r="T265" s="114" t="s">
        <v>183</v>
      </c>
      <c r="U265" s="114" t="s">
        <v>183</v>
      </c>
      <c r="V265" s="115"/>
      <c r="W265" s="116" t="s">
        <v>5221</v>
      </c>
      <c r="X265" s="116" t="s">
        <v>5222</v>
      </c>
      <c r="Y265" s="117">
        <v>3485101</v>
      </c>
      <c r="Z265" s="117">
        <v>3486257</v>
      </c>
      <c r="AA265" s="118"/>
      <c r="AB265" s="119" t="s">
        <v>5616</v>
      </c>
      <c r="AC265" s="119" t="s">
        <v>5223</v>
      </c>
      <c r="AD265" s="119" t="s">
        <v>3923</v>
      </c>
      <c r="AE265" s="119" t="s">
        <v>3923</v>
      </c>
      <c r="AF265" s="119">
        <v>0</v>
      </c>
      <c r="AG265" s="120"/>
      <c r="AH265" s="121">
        <v>44197</v>
      </c>
      <c r="AI265" s="121">
        <v>44197</v>
      </c>
      <c r="AJ265" s="121">
        <v>44197</v>
      </c>
      <c r="AK265" s="122">
        <v>44197</v>
      </c>
      <c r="AL265" s="122" t="e">
        <v>#N/A</v>
      </c>
      <c r="AM265" s="121" t="e">
        <v>#N/A</v>
      </c>
      <c r="AN265" s="121" t="e">
        <v>#N/A</v>
      </c>
      <c r="AO265" s="121" t="e">
        <v>#N/A</v>
      </c>
      <c r="AP265" s="122" t="e">
        <v>#N/A</v>
      </c>
      <c r="AQ265" s="122" t="e">
        <v>#N/A</v>
      </c>
      <c r="AR265" s="122" t="e">
        <v>#N/A</v>
      </c>
      <c r="AS265" s="122" t="e">
        <v>#N/A</v>
      </c>
      <c r="AT265" s="122" t="e">
        <v>#N/A</v>
      </c>
      <c r="AU265" s="121" t="e">
        <v>#N/A</v>
      </c>
      <c r="AV265" s="122">
        <v>44607</v>
      </c>
      <c r="AW265" s="122">
        <v>44607</v>
      </c>
      <c r="AX265" s="122" t="e">
        <v>#N/A</v>
      </c>
      <c r="AY265" s="122" t="e">
        <v>#N/A</v>
      </c>
      <c r="AZ265" s="122" t="e">
        <v>#N/A</v>
      </c>
      <c r="BA265" s="122" t="e">
        <v>#N/A</v>
      </c>
      <c r="BB265" s="122" t="e">
        <v>#N/A</v>
      </c>
      <c r="BC265" s="122" t="e">
        <v>#N/A</v>
      </c>
      <c r="BD265" s="122" t="e">
        <v>#N/A</v>
      </c>
      <c r="BE265" s="122" t="e">
        <v>#N/A</v>
      </c>
      <c r="BF265" s="122" t="e">
        <v>#N/A</v>
      </c>
      <c r="BG265" s="122" t="e">
        <v>#N/A</v>
      </c>
      <c r="BH265" s="122" t="e">
        <v>#N/A</v>
      </c>
      <c r="BI265" s="122" t="e">
        <v>#N/A</v>
      </c>
      <c r="BJ265" s="122" t="e">
        <v>#N/A</v>
      </c>
      <c r="BK265" s="122" t="e">
        <v>#N/A</v>
      </c>
      <c r="BL265" s="123"/>
      <c r="BM265" s="124">
        <v>44197</v>
      </c>
      <c r="BN265" s="124">
        <v>44197</v>
      </c>
      <c r="BO265" s="124">
        <v>44197</v>
      </c>
      <c r="BP265" s="124">
        <v>44197</v>
      </c>
      <c r="BQ265" s="124">
        <v>44197</v>
      </c>
      <c r="BR265" s="124">
        <v>44197</v>
      </c>
      <c r="BS265" s="124" t="e">
        <v>#N/A</v>
      </c>
      <c r="BT265" s="124" t="e">
        <v>#N/A</v>
      </c>
      <c r="BU265" s="124" t="e">
        <v>#N/A</v>
      </c>
      <c r="BV265" s="124" t="e">
        <v>#N/A</v>
      </c>
      <c r="BW265" s="124" t="e">
        <v>#N/A</v>
      </c>
      <c r="BX265" s="124" t="e">
        <v>#N/A</v>
      </c>
      <c r="BY265" s="124" t="e">
        <v>#N/A</v>
      </c>
      <c r="BZ265" s="124" t="e">
        <v>#N/A</v>
      </c>
      <c r="CA265" s="125"/>
      <c r="CB265" s="124" t="e">
        <v>#N/A</v>
      </c>
      <c r="CC265" s="126">
        <v>1</v>
      </c>
      <c r="CD265" s="127" t="s">
        <v>4169</v>
      </c>
      <c r="CE265" s="128"/>
      <c r="CF265" s="77" t="s">
        <v>4153</v>
      </c>
    </row>
    <row r="266" spans="1:85" ht="14.5" x14ac:dyDescent="0.35">
      <c r="A266" s="77">
        <v>265</v>
      </c>
      <c r="B266" s="106" t="s">
        <v>1808</v>
      </c>
      <c r="C266" s="107" t="s">
        <v>6446</v>
      </c>
      <c r="D266" s="108" t="s">
        <v>1906</v>
      </c>
      <c r="E266" s="109" t="s">
        <v>491</v>
      </c>
      <c r="F266" s="110">
        <v>637287290</v>
      </c>
      <c r="G266" s="108" t="s">
        <v>1004</v>
      </c>
      <c r="H266" s="111" t="s">
        <v>1146</v>
      </c>
      <c r="I266" s="111" t="s">
        <v>352</v>
      </c>
      <c r="J266" s="111" t="s">
        <v>4649</v>
      </c>
      <c r="K266" s="111" t="s">
        <v>3159</v>
      </c>
      <c r="L266" s="112">
        <v>42706</v>
      </c>
      <c r="M266" s="111" t="s">
        <v>349</v>
      </c>
      <c r="N266" s="113"/>
      <c r="O266" s="114" t="s">
        <v>1007</v>
      </c>
      <c r="P266" s="114" t="s">
        <v>3366</v>
      </c>
      <c r="Q266" s="114" t="s">
        <v>7475</v>
      </c>
      <c r="R266" s="114" t="s">
        <v>478</v>
      </c>
      <c r="S266" s="114" t="s">
        <v>694</v>
      </c>
      <c r="T266" s="114" t="s">
        <v>183</v>
      </c>
      <c r="U266" s="114" t="s">
        <v>183</v>
      </c>
      <c r="V266" s="115"/>
      <c r="W266" s="116" t="s">
        <v>1907</v>
      </c>
      <c r="X266" s="116" t="s">
        <v>1908</v>
      </c>
      <c r="Y266" s="117">
        <v>3485550</v>
      </c>
      <c r="Z266" s="117">
        <v>3486185</v>
      </c>
      <c r="AA266" s="118"/>
      <c r="AB266" s="119" t="s">
        <v>5713</v>
      </c>
      <c r="AC266" s="119" t="s">
        <v>1909</v>
      </c>
      <c r="AD266" s="119">
        <v>5496</v>
      </c>
      <c r="AE266" s="119" t="s">
        <v>1910</v>
      </c>
      <c r="AF266" s="119" t="s">
        <v>6106</v>
      </c>
      <c r="AG266" s="120"/>
      <c r="AH266" s="121">
        <v>44197</v>
      </c>
      <c r="AI266" s="121">
        <v>44197</v>
      </c>
      <c r="AJ266" s="121">
        <v>44197</v>
      </c>
      <c r="AK266" s="122">
        <v>44874</v>
      </c>
      <c r="AL266" s="122" t="e">
        <v>#N/A</v>
      </c>
      <c r="AM266" s="121" t="e">
        <v>#N/A</v>
      </c>
      <c r="AN266" s="121" t="e">
        <v>#N/A</v>
      </c>
      <c r="AO266" s="121" t="e">
        <v>#N/A</v>
      </c>
      <c r="AP266" s="122" t="e">
        <v>#N/A</v>
      </c>
      <c r="AQ266" s="122" t="e">
        <v>#N/A</v>
      </c>
      <c r="AR266" s="122" t="e">
        <v>#N/A</v>
      </c>
      <c r="AS266" s="122" t="e">
        <v>#N/A</v>
      </c>
      <c r="AT266" s="122" t="e">
        <v>#N/A</v>
      </c>
      <c r="AU266" s="121" t="e">
        <v>#N/A</v>
      </c>
      <c r="AV266" s="122" t="e">
        <v>#N/A</v>
      </c>
      <c r="AW266" s="122">
        <v>45944</v>
      </c>
      <c r="AX266" s="122" t="e">
        <v>#N/A</v>
      </c>
      <c r="AY266" s="122" t="e">
        <v>#N/A</v>
      </c>
      <c r="AZ266" s="122" t="e">
        <v>#N/A</v>
      </c>
      <c r="BA266" s="122" t="e">
        <v>#N/A</v>
      </c>
      <c r="BB266" s="122" t="e">
        <v>#N/A</v>
      </c>
      <c r="BC266" s="122" t="e">
        <v>#N/A</v>
      </c>
      <c r="BD266" s="122" t="e">
        <v>#N/A</v>
      </c>
      <c r="BE266" s="122" t="e">
        <v>#N/A</v>
      </c>
      <c r="BF266" s="122" t="e">
        <v>#N/A</v>
      </c>
      <c r="BG266" s="122" t="e">
        <v>#N/A</v>
      </c>
      <c r="BH266" s="122" t="e">
        <v>#N/A</v>
      </c>
      <c r="BI266" s="122" t="e">
        <v>#N/A</v>
      </c>
      <c r="BJ266" s="122" t="e">
        <v>#N/A</v>
      </c>
      <c r="BK266" s="122">
        <v>45924</v>
      </c>
      <c r="BL266" s="123"/>
      <c r="BM266" s="124" t="e">
        <v>#N/A</v>
      </c>
      <c r="BN266" s="124" t="e">
        <v>#N/A</v>
      </c>
      <c r="BO266" s="124" t="e">
        <v>#N/A</v>
      </c>
      <c r="BP266" s="124" t="e">
        <v>#N/A</v>
      </c>
      <c r="BQ266" s="124" t="e">
        <v>#N/A</v>
      </c>
      <c r="BR266" s="124" t="e">
        <v>#N/A</v>
      </c>
      <c r="BS266" s="124" t="e">
        <v>#N/A</v>
      </c>
      <c r="BT266" s="124" t="e">
        <v>#N/A</v>
      </c>
      <c r="BU266" s="124" t="e">
        <v>#N/A</v>
      </c>
      <c r="BV266" s="124" t="e">
        <v>#N/A</v>
      </c>
      <c r="BW266" s="124" t="e">
        <v>#N/A</v>
      </c>
      <c r="BX266" s="124" t="e">
        <v>#N/A</v>
      </c>
      <c r="BY266" s="124" t="e">
        <v>#N/A</v>
      </c>
      <c r="BZ266" s="124" t="e">
        <v>#N/A</v>
      </c>
      <c r="CA266" s="125"/>
      <c r="CB266" s="124" t="e">
        <v>#N/A</v>
      </c>
      <c r="CC266" s="126">
        <v>1</v>
      </c>
      <c r="CD266" s="127" t="s">
        <v>4169</v>
      </c>
      <c r="CE266" s="128"/>
      <c r="CF266" s="77" t="s">
        <v>4169</v>
      </c>
    </row>
    <row r="267" spans="1:85" ht="14.5" x14ac:dyDescent="0.35">
      <c r="A267" s="77">
        <v>266</v>
      </c>
      <c r="B267" s="106" t="s">
        <v>2063</v>
      </c>
      <c r="C267" s="107" t="s">
        <v>6468</v>
      </c>
      <c r="D267" s="108" t="s">
        <v>2064</v>
      </c>
      <c r="E267" s="109" t="s">
        <v>2065</v>
      </c>
      <c r="F267" s="110" t="s">
        <v>2066</v>
      </c>
      <c r="G267" s="108" t="s">
        <v>1004</v>
      </c>
      <c r="H267" s="111" t="s">
        <v>1146</v>
      </c>
      <c r="I267" s="111" t="s">
        <v>352</v>
      </c>
      <c r="J267" s="111" t="s">
        <v>4649</v>
      </c>
      <c r="K267" s="111" t="s">
        <v>400</v>
      </c>
      <c r="L267" s="112">
        <v>44954</v>
      </c>
      <c r="M267" s="111" t="s">
        <v>250</v>
      </c>
      <c r="N267" s="113"/>
      <c r="O267" s="114" t="s">
        <v>183</v>
      </c>
      <c r="P267" s="114" t="s">
        <v>183</v>
      </c>
      <c r="Q267" s="114" t="s">
        <v>6198</v>
      </c>
      <c r="R267" s="114" t="s">
        <v>7331</v>
      </c>
      <c r="S267" s="114" t="s">
        <v>4467</v>
      </c>
      <c r="T267" s="114" t="s">
        <v>183</v>
      </c>
      <c r="U267" s="114" t="s">
        <v>183</v>
      </c>
      <c r="V267" s="115"/>
      <c r="W267" s="116" t="s">
        <v>2067</v>
      </c>
      <c r="X267" s="116" t="s">
        <v>3056</v>
      </c>
      <c r="Y267" s="117">
        <v>3485706</v>
      </c>
      <c r="Z267" s="117">
        <v>3486302</v>
      </c>
      <c r="AA267" s="118"/>
      <c r="AB267" s="119" t="s">
        <v>2068</v>
      </c>
      <c r="AC267" s="119" t="s">
        <v>2179</v>
      </c>
      <c r="AD267" s="119">
        <v>26379</v>
      </c>
      <c r="AE267" s="119" t="s">
        <v>4129</v>
      </c>
      <c r="AF267" s="119" t="s">
        <v>6225</v>
      </c>
      <c r="AG267" s="120"/>
      <c r="AH267" s="121">
        <v>44769</v>
      </c>
      <c r="AI267" s="121">
        <v>44769</v>
      </c>
      <c r="AJ267" s="121">
        <v>44769</v>
      </c>
      <c r="AK267" s="122">
        <v>44994</v>
      </c>
      <c r="AL267" s="122" t="e">
        <v>#N/A</v>
      </c>
      <c r="AM267" s="121" t="e">
        <v>#N/A</v>
      </c>
      <c r="AN267" s="121" t="e">
        <v>#N/A</v>
      </c>
      <c r="AO267" s="121">
        <v>45929</v>
      </c>
      <c r="AP267" s="122" t="e">
        <v>#N/A</v>
      </c>
      <c r="AQ267" s="122" t="e">
        <v>#N/A</v>
      </c>
      <c r="AR267" s="122" t="e">
        <v>#N/A</v>
      </c>
      <c r="AS267" s="122" t="e">
        <v>#N/A</v>
      </c>
      <c r="AT267" s="122" t="e">
        <v>#N/A</v>
      </c>
      <c r="AU267" s="121" t="e">
        <v>#N/A</v>
      </c>
      <c r="AV267" s="122" t="e">
        <v>#N/A</v>
      </c>
      <c r="AW267" s="122" t="e">
        <v>#N/A</v>
      </c>
      <c r="AX267" s="122" t="e">
        <v>#N/A</v>
      </c>
      <c r="AY267" s="122" t="e">
        <v>#N/A</v>
      </c>
      <c r="AZ267" s="122" t="e">
        <v>#N/A</v>
      </c>
      <c r="BA267" s="122" t="e">
        <v>#N/A</v>
      </c>
      <c r="BB267" s="122" t="e">
        <v>#N/A</v>
      </c>
      <c r="BC267" s="122" t="e">
        <v>#N/A</v>
      </c>
      <c r="BD267" s="122" t="e">
        <v>#N/A</v>
      </c>
      <c r="BE267" s="122" t="e">
        <v>#N/A</v>
      </c>
      <c r="BF267" s="122" t="e">
        <v>#N/A</v>
      </c>
      <c r="BG267" s="122" t="e">
        <v>#N/A</v>
      </c>
      <c r="BH267" s="122">
        <v>45446</v>
      </c>
      <c r="BI267" s="122" t="e">
        <v>#N/A</v>
      </c>
      <c r="BJ267" s="122" t="e">
        <v>#N/A</v>
      </c>
      <c r="BK267" s="122">
        <v>45945</v>
      </c>
      <c r="BL267" s="123"/>
      <c r="BM267" s="124" t="e">
        <v>#N/A</v>
      </c>
      <c r="BN267" s="124" t="e">
        <v>#N/A</v>
      </c>
      <c r="BO267" s="124" t="e">
        <v>#N/A</v>
      </c>
      <c r="BP267" s="124" t="e">
        <v>#N/A</v>
      </c>
      <c r="BQ267" s="124" t="e">
        <v>#N/A</v>
      </c>
      <c r="BR267" s="124" t="e">
        <v>#N/A</v>
      </c>
      <c r="BS267" s="124" t="e">
        <v>#N/A</v>
      </c>
      <c r="BT267" s="124" t="e">
        <v>#N/A</v>
      </c>
      <c r="BU267" s="124" t="e">
        <v>#N/A</v>
      </c>
      <c r="BV267" s="124" t="e">
        <v>#N/A</v>
      </c>
      <c r="BW267" s="124" t="e">
        <v>#N/A</v>
      </c>
      <c r="BX267" s="124" t="e">
        <v>#N/A</v>
      </c>
      <c r="BY267" s="124" t="e">
        <v>#N/A</v>
      </c>
      <c r="BZ267" s="124" t="e">
        <v>#N/A</v>
      </c>
      <c r="CA267" s="125"/>
      <c r="CB267" s="124" t="e">
        <v>#N/A</v>
      </c>
      <c r="CC267" s="126">
        <v>1</v>
      </c>
      <c r="CD267" s="127" t="s">
        <v>4172</v>
      </c>
      <c r="CE267" s="128"/>
      <c r="CF267" s="77" t="s">
        <v>4154</v>
      </c>
    </row>
    <row r="268" spans="1:85" ht="14.5" x14ac:dyDescent="0.35">
      <c r="A268" s="77">
        <v>267</v>
      </c>
      <c r="B268" s="106" t="s">
        <v>177</v>
      </c>
      <c r="C268" s="107" t="s">
        <v>1255</v>
      </c>
      <c r="D268" s="108" t="s">
        <v>983</v>
      </c>
      <c r="E268" s="109" t="s">
        <v>984</v>
      </c>
      <c r="F268" s="110">
        <v>654050366</v>
      </c>
      <c r="G268" s="108" t="s">
        <v>1004</v>
      </c>
      <c r="H268" s="111" t="s">
        <v>1146</v>
      </c>
      <c r="I268" s="111" t="s">
        <v>352</v>
      </c>
      <c r="J268" s="111" t="s">
        <v>4649</v>
      </c>
      <c r="K268" s="111" t="s">
        <v>199</v>
      </c>
      <c r="L268" s="112">
        <v>41869</v>
      </c>
      <c r="M268" s="111" t="s">
        <v>250</v>
      </c>
      <c r="N268" s="113"/>
      <c r="O268" s="114" t="s">
        <v>225</v>
      </c>
      <c r="P268" s="114" t="s">
        <v>7077</v>
      </c>
      <c r="Q268" s="114" t="s">
        <v>226</v>
      </c>
      <c r="R268" s="114" t="s">
        <v>7331</v>
      </c>
      <c r="S268" s="114" t="s">
        <v>246</v>
      </c>
      <c r="T268" s="114" t="s">
        <v>183</v>
      </c>
      <c r="U268" s="114" t="s">
        <v>183</v>
      </c>
      <c r="V268" s="115"/>
      <c r="W268" s="116" t="s">
        <v>985</v>
      </c>
      <c r="X268" s="116" t="s">
        <v>2276</v>
      </c>
      <c r="Y268" s="117">
        <v>3485063</v>
      </c>
      <c r="Z268" s="117">
        <v>3481246</v>
      </c>
      <c r="AA268" s="118"/>
      <c r="AB268" s="119" t="s">
        <v>5714</v>
      </c>
      <c r="AC268" s="119" t="s">
        <v>1256</v>
      </c>
      <c r="AD268" s="119">
        <v>26109</v>
      </c>
      <c r="AE268" s="119" t="s">
        <v>3886</v>
      </c>
      <c r="AF268" s="119" t="s">
        <v>7476</v>
      </c>
      <c r="AG268" s="120"/>
      <c r="AH268" s="121">
        <v>44531</v>
      </c>
      <c r="AI268" s="121">
        <v>44544</v>
      </c>
      <c r="AJ268" s="121">
        <v>44544</v>
      </c>
      <c r="AK268" s="122">
        <v>44544</v>
      </c>
      <c r="AL268" s="122" t="e">
        <v>#N/A</v>
      </c>
      <c r="AM268" s="122" t="e">
        <v>#N/A</v>
      </c>
      <c r="AN268" s="122" t="e">
        <v>#N/A</v>
      </c>
      <c r="AO268" s="121" t="e">
        <v>#N/A</v>
      </c>
      <c r="AP268" s="122" t="e">
        <v>#N/A</v>
      </c>
      <c r="AQ268" s="122" t="e">
        <v>#N/A</v>
      </c>
      <c r="AR268" s="122" t="e">
        <v>#N/A</v>
      </c>
      <c r="AS268" s="122" t="e">
        <v>#N/A</v>
      </c>
      <c r="AT268" s="122">
        <v>44652</v>
      </c>
      <c r="AU268" s="121" t="e">
        <v>#N/A</v>
      </c>
      <c r="AV268" s="122" t="e">
        <v>#N/A</v>
      </c>
      <c r="AW268" s="122">
        <v>45733</v>
      </c>
      <c r="AX268" s="122" t="e">
        <v>#N/A</v>
      </c>
      <c r="AY268" s="122" t="e">
        <v>#N/A</v>
      </c>
      <c r="AZ268" s="122" t="e">
        <v>#N/A</v>
      </c>
      <c r="BA268" s="122" t="e">
        <v>#N/A</v>
      </c>
      <c r="BB268" s="122" t="e">
        <v>#N/A</v>
      </c>
      <c r="BC268" s="122" t="e">
        <v>#N/A</v>
      </c>
      <c r="BD268" s="122" t="e">
        <v>#N/A</v>
      </c>
      <c r="BE268" s="122" t="e">
        <v>#N/A</v>
      </c>
      <c r="BF268" s="122" t="e">
        <v>#N/A</v>
      </c>
      <c r="BG268" s="122" t="e">
        <v>#N/A</v>
      </c>
      <c r="BH268" s="122">
        <v>45446</v>
      </c>
      <c r="BI268" s="122" t="e">
        <v>#N/A</v>
      </c>
      <c r="BJ268" s="122" t="e">
        <v>#N/A</v>
      </c>
      <c r="BK268" s="122">
        <v>45981</v>
      </c>
      <c r="BL268" s="123"/>
      <c r="BM268" s="124" t="e">
        <v>#N/A</v>
      </c>
      <c r="BN268" s="124" t="e">
        <v>#N/A</v>
      </c>
      <c r="BO268" s="124" t="e">
        <v>#N/A</v>
      </c>
      <c r="BP268" s="124" t="e">
        <v>#N/A</v>
      </c>
      <c r="BQ268" s="124" t="e">
        <v>#N/A</v>
      </c>
      <c r="BR268" s="124" t="e">
        <v>#N/A</v>
      </c>
      <c r="BS268" s="124" t="e">
        <v>#N/A</v>
      </c>
      <c r="BT268" s="124" t="e">
        <v>#N/A</v>
      </c>
      <c r="BU268" s="124" t="e">
        <v>#N/A</v>
      </c>
      <c r="BV268" s="124" t="e">
        <v>#N/A</v>
      </c>
      <c r="BW268" s="124" t="e">
        <v>#N/A</v>
      </c>
      <c r="BX268" s="124" t="e">
        <v>#N/A</v>
      </c>
      <c r="BY268" s="124" t="e">
        <v>#N/A</v>
      </c>
      <c r="BZ268" s="124" t="e">
        <v>#N/A</v>
      </c>
      <c r="CA268" s="125"/>
      <c r="CB268" s="124">
        <v>45728</v>
      </c>
      <c r="CC268" s="126">
        <v>1</v>
      </c>
      <c r="CD268" s="127" t="s">
        <v>4169</v>
      </c>
      <c r="CE268" s="128"/>
      <c r="CF268" s="77" t="s">
        <v>4154</v>
      </c>
    </row>
    <row r="269" spans="1:85" ht="14.5" x14ac:dyDescent="0.35">
      <c r="A269" s="77">
        <v>268</v>
      </c>
      <c r="B269" s="106" t="s">
        <v>1807</v>
      </c>
      <c r="C269" s="107" t="s">
        <v>6451</v>
      </c>
      <c r="D269" s="108" t="s">
        <v>1834</v>
      </c>
      <c r="E269" s="109" t="s">
        <v>329</v>
      </c>
      <c r="F269" s="110">
        <v>693603985</v>
      </c>
      <c r="G269" s="108" t="s">
        <v>1004</v>
      </c>
      <c r="H269" s="111" t="s">
        <v>1146</v>
      </c>
      <c r="I269" s="111" t="s">
        <v>352</v>
      </c>
      <c r="J269" s="111" t="s">
        <v>4649</v>
      </c>
      <c r="K269" s="111" t="s">
        <v>305</v>
      </c>
      <c r="L269" s="112">
        <v>42767</v>
      </c>
      <c r="M269" s="111" t="s">
        <v>371</v>
      </c>
      <c r="N269" s="113"/>
      <c r="O269" s="114" t="s">
        <v>246</v>
      </c>
      <c r="P269" s="114" t="s">
        <v>246</v>
      </c>
      <c r="Q269" s="114" t="s">
        <v>246</v>
      </c>
      <c r="R269" s="114" t="s">
        <v>607</v>
      </c>
      <c r="S269" s="114" t="s">
        <v>257</v>
      </c>
      <c r="T269" s="114" t="s">
        <v>183</v>
      </c>
      <c r="U269" s="114" t="s">
        <v>183</v>
      </c>
      <c r="V269" s="115"/>
      <c r="W269" s="116" t="s">
        <v>1835</v>
      </c>
      <c r="X269" s="116" t="s">
        <v>1836</v>
      </c>
      <c r="Y269" s="117">
        <v>3485589</v>
      </c>
      <c r="Z269" s="117">
        <v>3486107</v>
      </c>
      <c r="AA269" s="118"/>
      <c r="AB269" s="119" t="s">
        <v>5798</v>
      </c>
      <c r="AC269" s="119" t="s">
        <v>1837</v>
      </c>
      <c r="AD269" s="119">
        <v>26233</v>
      </c>
      <c r="AE269" s="119" t="s">
        <v>4047</v>
      </c>
      <c r="AF269" s="119" t="s">
        <v>6210</v>
      </c>
      <c r="AG269" s="120"/>
      <c r="AH269" s="121">
        <v>44197</v>
      </c>
      <c r="AI269" s="121">
        <v>44197</v>
      </c>
      <c r="AJ269" s="121">
        <v>44197</v>
      </c>
      <c r="AK269" s="122">
        <v>44197</v>
      </c>
      <c r="AL269" s="122" t="e">
        <v>#N/A</v>
      </c>
      <c r="AM269" s="122" t="e">
        <v>#N/A</v>
      </c>
      <c r="AN269" s="122" t="e">
        <v>#N/A</v>
      </c>
      <c r="AO269" s="121" t="e">
        <v>#N/A</v>
      </c>
      <c r="AP269" s="122" t="e">
        <v>#N/A</v>
      </c>
      <c r="AQ269" s="122" t="e">
        <v>#N/A</v>
      </c>
      <c r="AR269" s="122" t="e">
        <v>#N/A</v>
      </c>
      <c r="AS269" s="122" t="e">
        <v>#N/A</v>
      </c>
      <c r="AT269" s="122" t="e">
        <v>#N/A</v>
      </c>
      <c r="AU269" s="121" t="e">
        <v>#N/A</v>
      </c>
      <c r="AV269" s="122" t="e">
        <v>#N/A</v>
      </c>
      <c r="AW269" s="122" t="e">
        <v>#N/A</v>
      </c>
      <c r="AX269" s="122">
        <v>44727</v>
      </c>
      <c r="AY269" s="122" t="e">
        <v>#N/A</v>
      </c>
      <c r="AZ269" s="122" t="e">
        <v>#N/A</v>
      </c>
      <c r="BA269" s="122" t="e">
        <v>#N/A</v>
      </c>
      <c r="BB269" s="122" t="e">
        <v>#N/A</v>
      </c>
      <c r="BC269" s="122" t="e">
        <v>#N/A</v>
      </c>
      <c r="BD269" s="122" t="e">
        <v>#N/A</v>
      </c>
      <c r="BE269" s="122" t="e">
        <v>#N/A</v>
      </c>
      <c r="BF269" s="122" t="e">
        <v>#N/A</v>
      </c>
      <c r="BG269" s="122" t="e">
        <v>#N/A</v>
      </c>
      <c r="BH269" s="122" t="e">
        <v>#N/A</v>
      </c>
      <c r="BI269" s="122" t="e">
        <v>#N/A</v>
      </c>
      <c r="BJ269" s="122" t="e">
        <v>#N/A</v>
      </c>
      <c r="BK269" s="122">
        <v>45953</v>
      </c>
      <c r="BL269" s="123"/>
      <c r="BM269" s="124">
        <v>44197</v>
      </c>
      <c r="BN269" s="124">
        <v>44197</v>
      </c>
      <c r="BO269" s="124">
        <v>44197</v>
      </c>
      <c r="BP269" s="124">
        <v>44197</v>
      </c>
      <c r="BQ269" s="124">
        <v>44197</v>
      </c>
      <c r="BR269" s="124">
        <v>44197</v>
      </c>
      <c r="BS269" s="124">
        <v>44197</v>
      </c>
      <c r="BT269" s="124">
        <v>44197</v>
      </c>
      <c r="BU269" s="124" t="e">
        <v>#N/A</v>
      </c>
      <c r="BV269" s="124" t="e">
        <v>#N/A</v>
      </c>
      <c r="BW269" s="124" t="e">
        <v>#N/A</v>
      </c>
      <c r="BX269" s="124" t="e">
        <v>#N/A</v>
      </c>
      <c r="BY269" s="124" t="e">
        <v>#N/A</v>
      </c>
      <c r="BZ269" s="124" t="e">
        <v>#N/A</v>
      </c>
      <c r="CA269" s="125"/>
      <c r="CB269" s="124" t="e">
        <v>#N/A</v>
      </c>
      <c r="CC269" s="126">
        <v>1</v>
      </c>
      <c r="CD269" s="127" t="s">
        <v>4169</v>
      </c>
      <c r="CE269" s="128"/>
      <c r="CF269" s="77" t="s">
        <v>4151</v>
      </c>
    </row>
    <row r="270" spans="1:85" ht="14.5" x14ac:dyDescent="0.35">
      <c r="A270" s="77">
        <v>269</v>
      </c>
      <c r="B270" s="106" t="s">
        <v>73</v>
      </c>
      <c r="C270" s="107" t="s">
        <v>1176</v>
      </c>
      <c r="D270" s="108" t="s">
        <v>596</v>
      </c>
      <c r="E270" s="109" t="s">
        <v>597</v>
      </c>
      <c r="F270" s="110">
        <v>661520490</v>
      </c>
      <c r="G270" s="108" t="s">
        <v>1004</v>
      </c>
      <c r="H270" s="111" t="s">
        <v>1146</v>
      </c>
      <c r="I270" s="111" t="s">
        <v>352</v>
      </c>
      <c r="J270" s="111" t="s">
        <v>4649</v>
      </c>
      <c r="K270" s="111" t="s">
        <v>3159</v>
      </c>
      <c r="L270" s="112">
        <v>42444</v>
      </c>
      <c r="M270" s="111" t="s">
        <v>371</v>
      </c>
      <c r="N270" s="113"/>
      <c r="O270" s="114" t="s">
        <v>183</v>
      </c>
      <c r="P270" s="114" t="s">
        <v>7477</v>
      </c>
      <c r="Q270" s="114" t="s">
        <v>4373</v>
      </c>
      <c r="R270" s="114" t="s">
        <v>7331</v>
      </c>
      <c r="S270" s="114" t="s">
        <v>4373</v>
      </c>
      <c r="T270" s="114" t="s">
        <v>183</v>
      </c>
      <c r="U270" s="114" t="s">
        <v>183</v>
      </c>
      <c r="V270" s="115"/>
      <c r="W270" s="116" t="s">
        <v>598</v>
      </c>
      <c r="X270" s="116" t="s">
        <v>2167</v>
      </c>
      <c r="Y270" s="117">
        <v>3485544</v>
      </c>
      <c r="Z270" s="117">
        <v>3481022</v>
      </c>
      <c r="AA270" s="118"/>
      <c r="AB270" s="119" t="s">
        <v>5715</v>
      </c>
      <c r="AC270" s="119" t="s">
        <v>1177</v>
      </c>
      <c r="AD270" s="119">
        <v>2172</v>
      </c>
      <c r="AE270" s="119" t="s">
        <v>599</v>
      </c>
      <c r="AF270" s="119" t="s">
        <v>6107</v>
      </c>
      <c r="AG270" s="120"/>
      <c r="AH270" s="121">
        <v>44197</v>
      </c>
      <c r="AI270" s="121">
        <v>44529</v>
      </c>
      <c r="AJ270" s="121">
        <v>44529</v>
      </c>
      <c r="AK270" s="122">
        <v>44529</v>
      </c>
      <c r="AL270" s="122">
        <v>44740</v>
      </c>
      <c r="AM270" s="121" t="e">
        <v>#N/A</v>
      </c>
      <c r="AN270" s="121" t="e">
        <v>#N/A</v>
      </c>
      <c r="AO270" s="121" t="e">
        <v>#N/A</v>
      </c>
      <c r="AP270" s="122" t="e">
        <v>#N/A</v>
      </c>
      <c r="AQ270" s="122" t="e">
        <v>#N/A</v>
      </c>
      <c r="AR270" s="122" t="e">
        <v>#N/A</v>
      </c>
      <c r="AS270" s="122" t="e">
        <v>#N/A</v>
      </c>
      <c r="AT270" s="122" t="e">
        <v>#N/A</v>
      </c>
      <c r="AU270" s="121" t="e">
        <v>#N/A</v>
      </c>
      <c r="AV270" s="122" t="e">
        <v>#N/A</v>
      </c>
      <c r="AW270" s="122">
        <v>45625</v>
      </c>
      <c r="AX270" s="122" t="e">
        <v>#N/A</v>
      </c>
      <c r="AY270" s="122" t="e">
        <v>#N/A</v>
      </c>
      <c r="AZ270" s="122" t="e">
        <v>#N/A</v>
      </c>
      <c r="BA270" s="122" t="e">
        <v>#N/A</v>
      </c>
      <c r="BB270" s="122" t="e">
        <v>#N/A</v>
      </c>
      <c r="BC270" s="122" t="e">
        <v>#N/A</v>
      </c>
      <c r="BD270" s="122" t="e">
        <v>#N/A</v>
      </c>
      <c r="BE270" s="122" t="e">
        <v>#N/A</v>
      </c>
      <c r="BF270" s="122">
        <v>45226</v>
      </c>
      <c r="BG270" s="122" t="e">
        <v>#N/A</v>
      </c>
      <c r="BH270" s="122" t="e">
        <v>#N/A</v>
      </c>
      <c r="BI270" s="122" t="e">
        <v>#N/A</v>
      </c>
      <c r="BJ270" s="122" t="e">
        <v>#N/A</v>
      </c>
      <c r="BK270" s="122">
        <v>45946</v>
      </c>
      <c r="BL270" s="123"/>
      <c r="BM270" s="124">
        <v>44197</v>
      </c>
      <c r="BN270" s="124">
        <v>44197</v>
      </c>
      <c r="BO270" s="124">
        <v>44197</v>
      </c>
      <c r="BP270" s="124">
        <v>44197</v>
      </c>
      <c r="BQ270" s="124">
        <v>44197</v>
      </c>
      <c r="BR270" s="124">
        <v>44197</v>
      </c>
      <c r="BS270" s="124">
        <v>44197</v>
      </c>
      <c r="BT270" s="124">
        <v>44197</v>
      </c>
      <c r="BU270" s="124" t="e">
        <v>#N/A</v>
      </c>
      <c r="BV270" s="124" t="e">
        <v>#N/A</v>
      </c>
      <c r="BW270" s="124" t="e">
        <v>#N/A</v>
      </c>
      <c r="BX270" s="124" t="e">
        <v>#N/A</v>
      </c>
      <c r="BY270" s="124" t="e">
        <v>#N/A</v>
      </c>
      <c r="BZ270" s="124" t="e">
        <v>#N/A</v>
      </c>
      <c r="CA270" s="125"/>
      <c r="CB270" s="124">
        <v>45726</v>
      </c>
      <c r="CC270" s="126">
        <v>1</v>
      </c>
      <c r="CD270" s="127" t="s">
        <v>4169</v>
      </c>
      <c r="CE270" s="128"/>
      <c r="CF270" s="77" t="s">
        <v>4169</v>
      </c>
    </row>
    <row r="271" spans="1:85" ht="14.5" x14ac:dyDescent="0.35">
      <c r="A271" s="77">
        <v>270</v>
      </c>
      <c r="B271" s="106" t="s">
        <v>1805</v>
      </c>
      <c r="C271" s="107" t="s">
        <v>6419</v>
      </c>
      <c r="D271" s="108" t="s">
        <v>1825</v>
      </c>
      <c r="E271" s="109" t="s">
        <v>270</v>
      </c>
      <c r="F271" s="110">
        <v>649679394</v>
      </c>
      <c r="G271" s="108" t="s">
        <v>1004</v>
      </c>
      <c r="H271" s="111" t="s">
        <v>1146</v>
      </c>
      <c r="I271" s="111" t="s">
        <v>352</v>
      </c>
      <c r="J271" s="111" t="s">
        <v>4649</v>
      </c>
      <c r="K271" s="111" t="s">
        <v>199</v>
      </c>
      <c r="L271" s="112">
        <v>40835</v>
      </c>
      <c r="M271" s="111" t="s">
        <v>371</v>
      </c>
      <c r="N271" s="113"/>
      <c r="O271" s="114" t="s">
        <v>246</v>
      </c>
      <c r="P271" s="114" t="s">
        <v>246</v>
      </c>
      <c r="Q271" s="114" t="s">
        <v>246</v>
      </c>
      <c r="R271" s="114" t="s">
        <v>7077</v>
      </c>
      <c r="S271" s="114" t="s">
        <v>257</v>
      </c>
      <c r="T271" s="114" t="s">
        <v>183</v>
      </c>
      <c r="U271" s="114" t="s">
        <v>183</v>
      </c>
      <c r="V271" s="115"/>
      <c r="W271" s="116" t="s">
        <v>1826</v>
      </c>
      <c r="X271" s="116" t="s">
        <v>1827</v>
      </c>
      <c r="Y271" s="117">
        <v>3485145</v>
      </c>
      <c r="Z271" s="117">
        <v>3481154</v>
      </c>
      <c r="AA271" s="118"/>
      <c r="AB271" s="119" t="s">
        <v>5797</v>
      </c>
      <c r="AC271" s="119" t="s">
        <v>1828</v>
      </c>
      <c r="AD271" s="119">
        <v>5956</v>
      </c>
      <c r="AE271" s="119" t="s">
        <v>6896</v>
      </c>
      <c r="AF271" s="119" t="s">
        <v>7478</v>
      </c>
      <c r="AG271" s="120"/>
      <c r="AH271" s="121">
        <v>44197</v>
      </c>
      <c r="AI271" s="121">
        <v>44197</v>
      </c>
      <c r="AJ271" s="121">
        <v>44197</v>
      </c>
      <c r="AK271" s="122">
        <v>44197</v>
      </c>
      <c r="AL271" s="122" t="e">
        <v>#N/A</v>
      </c>
      <c r="AM271" s="121" t="e">
        <v>#N/A</v>
      </c>
      <c r="AN271" s="121" t="e">
        <v>#N/A</v>
      </c>
      <c r="AO271" s="121" t="e">
        <v>#N/A</v>
      </c>
      <c r="AP271" s="122" t="e">
        <v>#N/A</v>
      </c>
      <c r="AQ271" s="122" t="e">
        <v>#N/A</v>
      </c>
      <c r="AR271" s="122" t="e">
        <v>#N/A</v>
      </c>
      <c r="AS271" s="122" t="e">
        <v>#N/A</v>
      </c>
      <c r="AT271" s="122" t="e">
        <v>#N/A</v>
      </c>
      <c r="AU271" s="121" t="e">
        <v>#N/A</v>
      </c>
      <c r="AV271" s="122" t="e">
        <v>#N/A</v>
      </c>
      <c r="AW271" s="122" t="e">
        <v>#N/A</v>
      </c>
      <c r="AX271" s="122" t="e">
        <v>#N/A</v>
      </c>
      <c r="AY271" s="122" t="e">
        <v>#N/A</v>
      </c>
      <c r="AZ271" s="122" t="e">
        <v>#N/A</v>
      </c>
      <c r="BA271" s="122" t="e">
        <v>#N/A</v>
      </c>
      <c r="BB271" s="122" t="e">
        <v>#N/A</v>
      </c>
      <c r="BC271" s="122" t="e">
        <v>#N/A</v>
      </c>
      <c r="BD271" s="122" t="e">
        <v>#N/A</v>
      </c>
      <c r="BE271" s="122" t="e">
        <v>#N/A</v>
      </c>
      <c r="BF271" s="122" t="e">
        <v>#N/A</v>
      </c>
      <c r="BG271" s="122" t="e">
        <v>#N/A</v>
      </c>
      <c r="BH271" s="122" t="e">
        <v>#N/A</v>
      </c>
      <c r="BI271" s="122" t="e">
        <v>#N/A</v>
      </c>
      <c r="BJ271" s="122" t="e">
        <v>#N/A</v>
      </c>
      <c r="BK271" s="122">
        <v>45974</v>
      </c>
      <c r="BL271" s="123"/>
      <c r="BM271" s="124">
        <v>44519</v>
      </c>
      <c r="BN271" s="124">
        <v>44519</v>
      </c>
      <c r="BO271" s="124">
        <v>44519</v>
      </c>
      <c r="BP271" s="124">
        <v>44519</v>
      </c>
      <c r="BQ271" s="124">
        <v>44519</v>
      </c>
      <c r="BR271" s="124">
        <v>44197</v>
      </c>
      <c r="BS271" s="124" t="s">
        <v>199</v>
      </c>
      <c r="BT271" s="124" t="s">
        <v>199</v>
      </c>
      <c r="BU271" s="124" t="e">
        <v>#N/A</v>
      </c>
      <c r="BV271" s="124" t="e">
        <v>#N/A</v>
      </c>
      <c r="BW271" s="124" t="e">
        <v>#N/A</v>
      </c>
      <c r="BX271" s="124" t="e">
        <v>#N/A</v>
      </c>
      <c r="BY271" s="124" t="e">
        <v>#N/A</v>
      </c>
      <c r="BZ271" s="124" t="e">
        <v>#N/A</v>
      </c>
      <c r="CA271" s="125"/>
      <c r="CB271" s="124" t="e">
        <v>#N/A</v>
      </c>
      <c r="CC271" s="126">
        <v>1</v>
      </c>
      <c r="CD271" s="127" t="s">
        <v>4169</v>
      </c>
      <c r="CE271" s="128"/>
      <c r="CF271" s="77" t="s">
        <v>4169</v>
      </c>
    </row>
    <row r="272" spans="1:85" ht="14.5" x14ac:dyDescent="0.35">
      <c r="A272" s="77">
        <v>271</v>
      </c>
      <c r="B272" s="106" t="s">
        <v>6392</v>
      </c>
      <c r="C272" s="107" t="s">
        <v>6393</v>
      </c>
      <c r="D272" s="108" t="s">
        <v>1902</v>
      </c>
      <c r="E272" s="109" t="s">
        <v>224</v>
      </c>
      <c r="F272" s="110">
        <v>680229714</v>
      </c>
      <c r="G272" s="108" t="s">
        <v>1004</v>
      </c>
      <c r="H272" s="111" t="s">
        <v>1146</v>
      </c>
      <c r="I272" s="111" t="s">
        <v>352</v>
      </c>
      <c r="J272" s="111" t="s">
        <v>4649</v>
      </c>
      <c r="K272" s="111" t="s">
        <v>3159</v>
      </c>
      <c r="L272" s="112">
        <v>41801</v>
      </c>
      <c r="M272" s="111" t="s">
        <v>250</v>
      </c>
      <c r="N272" s="113"/>
      <c r="O272" s="114" t="s">
        <v>5904</v>
      </c>
      <c r="P272" s="114" t="s">
        <v>6894</v>
      </c>
      <c r="Q272" s="114" t="s">
        <v>7252</v>
      </c>
      <c r="R272" s="114" t="s">
        <v>7479</v>
      </c>
      <c r="S272" s="114" t="s">
        <v>5904</v>
      </c>
      <c r="T272" s="114" t="s">
        <v>183</v>
      </c>
      <c r="U272" s="114" t="s">
        <v>183</v>
      </c>
      <c r="V272" s="115"/>
      <c r="W272" s="116" t="s">
        <v>1903</v>
      </c>
      <c r="X272" s="116" t="s">
        <v>1904</v>
      </c>
      <c r="Y272" s="117">
        <v>3485461</v>
      </c>
      <c r="Z272" s="117">
        <v>3486303</v>
      </c>
      <c r="AA272" s="118"/>
      <c r="AB272" s="119" t="s">
        <v>5167</v>
      </c>
      <c r="AC272" s="119" t="s">
        <v>1905</v>
      </c>
      <c r="AD272" s="119">
        <v>6107</v>
      </c>
      <c r="AE272" s="119" t="s">
        <v>3882</v>
      </c>
      <c r="AF272" s="119">
        <v>0</v>
      </c>
      <c r="AG272" s="120"/>
      <c r="AH272" s="121">
        <v>44197</v>
      </c>
      <c r="AI272" s="121">
        <v>44197</v>
      </c>
      <c r="AJ272" s="121">
        <v>44197</v>
      </c>
      <c r="AK272" s="122">
        <v>44197</v>
      </c>
      <c r="AL272" s="122" t="e">
        <v>#N/A</v>
      </c>
      <c r="AM272" s="121" t="e">
        <v>#N/A</v>
      </c>
      <c r="AN272" s="121" t="e">
        <v>#N/A</v>
      </c>
      <c r="AO272" s="121" t="e">
        <v>#N/A</v>
      </c>
      <c r="AP272" s="122" t="e">
        <v>#N/A</v>
      </c>
      <c r="AQ272" s="122" t="e">
        <v>#N/A</v>
      </c>
      <c r="AR272" s="122" t="e">
        <v>#N/A</v>
      </c>
      <c r="AS272" s="122" t="e">
        <v>#N/A</v>
      </c>
      <c r="AT272" s="122" t="e">
        <v>#N/A</v>
      </c>
      <c r="AU272" s="121" t="e">
        <v>#N/A</v>
      </c>
      <c r="AV272" s="122" t="e">
        <v>#N/A</v>
      </c>
      <c r="AW272" s="122" t="e">
        <v>#N/A</v>
      </c>
      <c r="AX272" s="122" t="e">
        <v>#N/A</v>
      </c>
      <c r="AY272" s="122" t="e">
        <v>#N/A</v>
      </c>
      <c r="AZ272" s="122" t="e">
        <v>#N/A</v>
      </c>
      <c r="BA272" s="122" t="e">
        <v>#N/A</v>
      </c>
      <c r="BB272" s="122" t="e">
        <v>#N/A</v>
      </c>
      <c r="BC272" s="122" t="e">
        <v>#N/A</v>
      </c>
      <c r="BD272" s="122" t="e">
        <v>#N/A</v>
      </c>
      <c r="BE272" s="122" t="e">
        <v>#N/A</v>
      </c>
      <c r="BF272" s="122">
        <v>45226</v>
      </c>
      <c r="BG272" s="122" t="e">
        <v>#N/A</v>
      </c>
      <c r="BH272" s="122">
        <v>45446</v>
      </c>
      <c r="BI272" s="122" t="e">
        <v>#N/A</v>
      </c>
      <c r="BJ272" s="122" t="e">
        <v>#N/A</v>
      </c>
      <c r="BK272" s="122" t="e">
        <v>#N/A</v>
      </c>
      <c r="BL272" s="123"/>
      <c r="BM272" s="124" t="e">
        <v>#N/A</v>
      </c>
      <c r="BN272" s="124" t="e">
        <v>#N/A</v>
      </c>
      <c r="BO272" s="124" t="e">
        <v>#N/A</v>
      </c>
      <c r="BP272" s="124" t="e">
        <v>#N/A</v>
      </c>
      <c r="BQ272" s="124" t="e">
        <v>#N/A</v>
      </c>
      <c r="BR272" s="124" t="e">
        <v>#N/A</v>
      </c>
      <c r="BS272" s="124" t="e">
        <v>#N/A</v>
      </c>
      <c r="BT272" s="124" t="e">
        <v>#N/A</v>
      </c>
      <c r="BU272" s="124" t="e">
        <v>#N/A</v>
      </c>
      <c r="BV272" s="124" t="e">
        <v>#N/A</v>
      </c>
      <c r="BW272" s="124" t="e">
        <v>#N/A</v>
      </c>
      <c r="BX272" s="124" t="e">
        <v>#N/A</v>
      </c>
      <c r="BY272" s="124" t="e">
        <v>#N/A</v>
      </c>
      <c r="BZ272" s="124" t="e">
        <v>#N/A</v>
      </c>
      <c r="CA272" s="125"/>
      <c r="CB272" s="124" t="e">
        <v>#N/A</v>
      </c>
      <c r="CC272" s="126">
        <v>1</v>
      </c>
      <c r="CD272" s="127" t="s">
        <v>4169</v>
      </c>
      <c r="CE272" s="128"/>
      <c r="CF272" s="77" t="s">
        <v>4169</v>
      </c>
    </row>
    <row r="273" spans="1:85" ht="14.5" x14ac:dyDescent="0.35">
      <c r="A273" s="77">
        <v>272</v>
      </c>
      <c r="B273" s="106" t="s">
        <v>1810</v>
      </c>
      <c r="C273" s="107" t="s">
        <v>6461</v>
      </c>
      <c r="D273" s="108" t="s">
        <v>1915</v>
      </c>
      <c r="E273" s="109" t="s">
        <v>253</v>
      </c>
      <c r="F273" s="110">
        <v>671711363</v>
      </c>
      <c r="G273" s="108" t="s">
        <v>1004</v>
      </c>
      <c r="H273" s="111" t="s">
        <v>1146</v>
      </c>
      <c r="I273" s="111" t="s">
        <v>352</v>
      </c>
      <c r="J273" s="111" t="s">
        <v>4649</v>
      </c>
      <c r="K273" s="111" t="s">
        <v>3159</v>
      </c>
      <c r="L273" s="112">
        <v>43586</v>
      </c>
      <c r="M273" s="111" t="s">
        <v>250</v>
      </c>
      <c r="N273" s="113"/>
      <c r="O273" s="114" t="s">
        <v>6198</v>
      </c>
      <c r="P273" s="114" t="s">
        <v>6198</v>
      </c>
      <c r="Q273" s="114" t="s">
        <v>4381</v>
      </c>
      <c r="R273" s="114" t="s">
        <v>7364</v>
      </c>
      <c r="S273" s="114" t="s">
        <v>6198</v>
      </c>
      <c r="T273" s="114" t="s">
        <v>183</v>
      </c>
      <c r="U273" s="114" t="s">
        <v>183</v>
      </c>
      <c r="V273" s="115"/>
      <c r="W273" s="116" t="s">
        <v>1916</v>
      </c>
      <c r="X273" s="116" t="s">
        <v>1917</v>
      </c>
      <c r="Y273" s="117">
        <v>3485527</v>
      </c>
      <c r="Z273" s="117">
        <v>3486221</v>
      </c>
      <c r="AA273" s="118"/>
      <c r="AB273" s="119" t="s">
        <v>5796</v>
      </c>
      <c r="AC273" s="119" t="s">
        <v>1918</v>
      </c>
      <c r="AD273" s="119">
        <v>26106</v>
      </c>
      <c r="AE273" s="119" t="s">
        <v>3883</v>
      </c>
      <c r="AF273" s="119">
        <v>0</v>
      </c>
      <c r="AG273" s="120"/>
      <c r="AH273" s="121">
        <v>44197</v>
      </c>
      <c r="AI273" s="121">
        <v>44197</v>
      </c>
      <c r="AJ273" s="121">
        <v>44197</v>
      </c>
      <c r="AK273" s="122">
        <v>44197</v>
      </c>
      <c r="AL273" s="122" t="e">
        <v>#N/A</v>
      </c>
      <c r="AM273" s="122" t="e">
        <v>#N/A</v>
      </c>
      <c r="AN273" s="122">
        <v>46009</v>
      </c>
      <c r="AO273" s="121" t="s">
        <v>7480</v>
      </c>
      <c r="AP273" s="122" t="e">
        <v>#N/A</v>
      </c>
      <c r="AQ273" s="122">
        <v>44682</v>
      </c>
      <c r="AR273" s="122" t="e">
        <v>#N/A</v>
      </c>
      <c r="AS273" s="122" t="e">
        <v>#N/A</v>
      </c>
      <c r="AT273" s="122" t="e">
        <v>#N/A</v>
      </c>
      <c r="AU273" s="121" t="e">
        <v>#N/A</v>
      </c>
      <c r="AV273" s="122" t="e">
        <v>#N/A</v>
      </c>
      <c r="AW273" s="122">
        <v>45940</v>
      </c>
      <c r="AX273" s="122" t="e">
        <v>#N/A</v>
      </c>
      <c r="AY273" s="122" t="e">
        <v>#N/A</v>
      </c>
      <c r="AZ273" s="122" t="e">
        <v>#N/A</v>
      </c>
      <c r="BA273" s="122" t="e">
        <v>#N/A</v>
      </c>
      <c r="BB273" s="122" t="e">
        <v>#N/A</v>
      </c>
      <c r="BC273" s="122" t="e">
        <v>#N/A</v>
      </c>
      <c r="BD273" s="122" t="e">
        <v>#N/A</v>
      </c>
      <c r="BE273" s="122" t="e">
        <v>#N/A</v>
      </c>
      <c r="BF273" s="122" t="e">
        <v>#N/A</v>
      </c>
      <c r="BG273" s="122" t="e">
        <v>#N/A</v>
      </c>
      <c r="BH273" s="122">
        <v>45446</v>
      </c>
      <c r="BI273" s="122" t="e">
        <v>#N/A</v>
      </c>
      <c r="BJ273" s="122" t="e">
        <v>#N/A</v>
      </c>
      <c r="BK273" s="122" t="e">
        <v>#N/A</v>
      </c>
      <c r="BL273" s="123"/>
      <c r="BM273" s="124" t="e">
        <v>#N/A</v>
      </c>
      <c r="BN273" s="124" t="e">
        <v>#N/A</v>
      </c>
      <c r="BO273" s="124" t="e">
        <v>#N/A</v>
      </c>
      <c r="BP273" s="124" t="e">
        <v>#N/A</v>
      </c>
      <c r="BQ273" s="124" t="e">
        <v>#N/A</v>
      </c>
      <c r="BR273" s="124" t="e">
        <v>#N/A</v>
      </c>
      <c r="BS273" s="124" t="e">
        <v>#N/A</v>
      </c>
      <c r="BT273" s="124" t="e">
        <v>#N/A</v>
      </c>
      <c r="BU273" s="124" t="e">
        <v>#N/A</v>
      </c>
      <c r="BV273" s="124" t="e">
        <v>#N/A</v>
      </c>
      <c r="BW273" s="124" t="e">
        <v>#N/A</v>
      </c>
      <c r="BX273" s="124" t="e">
        <v>#N/A</v>
      </c>
      <c r="BY273" s="124" t="e">
        <v>#N/A</v>
      </c>
      <c r="BZ273" s="124" t="e">
        <v>#N/A</v>
      </c>
      <c r="CA273" s="125"/>
      <c r="CB273" s="124" t="e">
        <v>#N/A</v>
      </c>
      <c r="CC273" s="126">
        <v>1</v>
      </c>
      <c r="CD273" s="127" t="s">
        <v>4169</v>
      </c>
      <c r="CE273" s="128"/>
      <c r="CF273" s="77" t="s">
        <v>4169</v>
      </c>
    </row>
    <row r="274" spans="1:85" ht="14.5" x14ac:dyDescent="0.35">
      <c r="A274" s="77">
        <v>273</v>
      </c>
      <c r="B274" s="106" t="s">
        <v>2368</v>
      </c>
      <c r="C274" s="107" t="s">
        <v>6449</v>
      </c>
      <c r="D274" s="108" t="s">
        <v>2369</v>
      </c>
      <c r="E274" s="109" t="s">
        <v>2352</v>
      </c>
      <c r="F274" s="110">
        <v>657699741</v>
      </c>
      <c r="G274" s="108" t="s">
        <v>1004</v>
      </c>
      <c r="H274" s="111" t="s">
        <v>1146</v>
      </c>
      <c r="I274" s="111" t="s">
        <v>352</v>
      </c>
      <c r="J274" s="111" t="s">
        <v>4649</v>
      </c>
      <c r="K274" s="111" t="s">
        <v>3159</v>
      </c>
      <c r="L274" s="112">
        <v>42506</v>
      </c>
      <c r="M274" s="111" t="s">
        <v>250</v>
      </c>
      <c r="N274" s="113"/>
      <c r="O274" s="114" t="s">
        <v>7101</v>
      </c>
      <c r="P274" s="114" t="s">
        <v>225</v>
      </c>
      <c r="Q274" s="114" t="s">
        <v>225</v>
      </c>
      <c r="R274" s="114" t="s">
        <v>7358</v>
      </c>
      <c r="S274" s="114" t="s">
        <v>225</v>
      </c>
      <c r="T274" s="114" t="s">
        <v>183</v>
      </c>
      <c r="U274" s="114" t="s">
        <v>183</v>
      </c>
      <c r="V274" s="115"/>
      <c r="W274" s="116" t="s">
        <v>2370</v>
      </c>
      <c r="X274" s="116" t="s">
        <v>2371</v>
      </c>
      <c r="Y274" s="117">
        <v>3485657</v>
      </c>
      <c r="Z274" s="117">
        <v>3486573</v>
      </c>
      <c r="AA274" s="118"/>
      <c r="AB274" s="119" t="s">
        <v>5617</v>
      </c>
      <c r="AC274" s="119" t="s">
        <v>2372</v>
      </c>
      <c r="AD274" s="119">
        <v>6108</v>
      </c>
      <c r="AE274" s="119" t="s">
        <v>3881</v>
      </c>
      <c r="AF274" s="119" t="s">
        <v>7481</v>
      </c>
      <c r="AG274" s="120"/>
      <c r="AH274" s="121">
        <v>44826</v>
      </c>
      <c r="AI274" s="121">
        <v>44834</v>
      </c>
      <c r="AJ274" s="121">
        <v>44834</v>
      </c>
      <c r="AK274" s="122">
        <v>44876</v>
      </c>
      <c r="AL274" s="122" t="e">
        <v>#N/A</v>
      </c>
      <c r="AM274" s="121" t="e">
        <v>#N/A</v>
      </c>
      <c r="AN274" s="121" t="e">
        <v>#N/A</v>
      </c>
      <c r="AO274" s="121" t="s">
        <v>7480</v>
      </c>
      <c r="AP274" s="122" t="e">
        <v>#N/A</v>
      </c>
      <c r="AQ274" s="122" t="e">
        <v>#N/A</v>
      </c>
      <c r="AR274" s="122" t="e">
        <v>#N/A</v>
      </c>
      <c r="AS274" s="122" t="e">
        <v>#N/A</v>
      </c>
      <c r="AT274" s="122" t="e">
        <v>#N/A</v>
      </c>
      <c r="AU274" s="121" t="e">
        <v>#N/A</v>
      </c>
      <c r="AV274" s="122" t="e">
        <v>#N/A</v>
      </c>
      <c r="AW274" s="122">
        <v>45989</v>
      </c>
      <c r="AX274" s="122" t="e">
        <v>#N/A</v>
      </c>
      <c r="AY274" s="122" t="e">
        <v>#N/A</v>
      </c>
      <c r="AZ274" s="122" t="e">
        <v>#N/A</v>
      </c>
      <c r="BA274" s="122" t="e">
        <v>#N/A</v>
      </c>
      <c r="BB274" s="122" t="e">
        <v>#N/A</v>
      </c>
      <c r="BC274" s="122" t="e">
        <v>#N/A</v>
      </c>
      <c r="BD274" s="122" t="e">
        <v>#N/A</v>
      </c>
      <c r="BE274" s="122" t="e">
        <v>#N/A</v>
      </c>
      <c r="BF274" s="122" t="e">
        <v>#N/A</v>
      </c>
      <c r="BG274" s="122" t="e">
        <v>#N/A</v>
      </c>
      <c r="BH274" s="122">
        <v>45587</v>
      </c>
      <c r="BI274" s="122" t="e">
        <v>#N/A</v>
      </c>
      <c r="BJ274" s="122" t="e">
        <v>#N/A</v>
      </c>
      <c r="BK274" s="122">
        <v>45974</v>
      </c>
      <c r="BL274" s="123"/>
      <c r="BM274" s="124" t="e">
        <v>#N/A</v>
      </c>
      <c r="BN274" s="124" t="e">
        <v>#N/A</v>
      </c>
      <c r="BO274" s="124" t="e">
        <v>#N/A</v>
      </c>
      <c r="BP274" s="124" t="e">
        <v>#N/A</v>
      </c>
      <c r="BQ274" s="124" t="e">
        <v>#N/A</v>
      </c>
      <c r="BR274" s="124" t="e">
        <v>#N/A</v>
      </c>
      <c r="BS274" s="124" t="e">
        <v>#N/A</v>
      </c>
      <c r="BT274" s="124" t="e">
        <v>#N/A</v>
      </c>
      <c r="BU274" s="124" t="e">
        <v>#N/A</v>
      </c>
      <c r="BV274" s="124" t="e">
        <v>#N/A</v>
      </c>
      <c r="BW274" s="124" t="e">
        <v>#N/A</v>
      </c>
      <c r="BX274" s="124" t="e">
        <v>#N/A</v>
      </c>
      <c r="BY274" s="124" t="e">
        <v>#N/A</v>
      </c>
      <c r="BZ274" s="124" t="e">
        <v>#N/A</v>
      </c>
      <c r="CA274" s="125"/>
      <c r="CB274" s="124" t="e">
        <v>#N/A</v>
      </c>
      <c r="CC274" s="126">
        <v>1</v>
      </c>
      <c r="CD274" s="127" t="s">
        <v>4169</v>
      </c>
      <c r="CE274" s="128"/>
      <c r="CF274" s="77" t="s">
        <v>4169</v>
      </c>
    </row>
    <row r="275" spans="1:85" ht="14.5" x14ac:dyDescent="0.35">
      <c r="A275" s="77">
        <v>274</v>
      </c>
      <c r="B275" s="106" t="s">
        <v>1104</v>
      </c>
      <c r="C275" s="107" t="s">
        <v>6472</v>
      </c>
      <c r="D275" s="108" t="s">
        <v>1388</v>
      </c>
      <c r="E275" s="109" t="s">
        <v>1060</v>
      </c>
      <c r="F275" s="110">
        <v>649713953</v>
      </c>
      <c r="G275" s="108" t="s">
        <v>1004</v>
      </c>
      <c r="H275" s="111" t="s">
        <v>1146</v>
      </c>
      <c r="I275" s="111" t="s">
        <v>352</v>
      </c>
      <c r="J275" s="111" t="s">
        <v>4649</v>
      </c>
      <c r="K275" s="111" t="s">
        <v>400</v>
      </c>
      <c r="L275" s="112">
        <v>43708</v>
      </c>
      <c r="M275" s="111" t="s">
        <v>371</v>
      </c>
      <c r="N275" s="113"/>
      <c r="O275" s="114" t="s">
        <v>4373</v>
      </c>
      <c r="P275" s="114" t="s">
        <v>4373</v>
      </c>
      <c r="Q275" s="114" t="s">
        <v>4373</v>
      </c>
      <c r="R275" s="114" t="s">
        <v>7331</v>
      </c>
      <c r="S275" s="114" t="s">
        <v>4467</v>
      </c>
      <c r="T275" s="114" t="s">
        <v>183</v>
      </c>
      <c r="U275" s="114" t="s">
        <v>183</v>
      </c>
      <c r="V275" s="115"/>
      <c r="W275" s="116" t="s">
        <v>1105</v>
      </c>
      <c r="X275" s="116" t="s">
        <v>1389</v>
      </c>
      <c r="Y275" s="117">
        <v>3485050</v>
      </c>
      <c r="Z275" s="117">
        <v>3486123</v>
      </c>
      <c r="AA275" s="118"/>
      <c r="AB275" s="119" t="s">
        <v>1390</v>
      </c>
      <c r="AC275" s="119" t="s">
        <v>1391</v>
      </c>
      <c r="AD275" s="119">
        <v>27762</v>
      </c>
      <c r="AE275" s="119" t="s">
        <v>1392</v>
      </c>
      <c r="AF275" s="119" t="s">
        <v>7122</v>
      </c>
      <c r="AG275" s="120"/>
      <c r="AH275" s="121">
        <v>44652</v>
      </c>
      <c r="AI275" s="121">
        <v>44641</v>
      </c>
      <c r="AJ275" s="121">
        <v>44641</v>
      </c>
      <c r="AK275" s="122">
        <v>44641</v>
      </c>
      <c r="AL275" s="122" t="e">
        <v>#N/A</v>
      </c>
      <c r="AM275" s="121" t="e">
        <v>#N/A</v>
      </c>
      <c r="AN275" s="121" t="e">
        <v>#N/A</v>
      </c>
      <c r="AO275" s="121" t="e">
        <v>#N/A</v>
      </c>
      <c r="AP275" s="122" t="e">
        <v>#N/A</v>
      </c>
      <c r="AQ275" s="122" t="e">
        <v>#N/A</v>
      </c>
      <c r="AR275" s="122" t="e">
        <v>#N/A</v>
      </c>
      <c r="AS275" s="122" t="e">
        <v>#N/A</v>
      </c>
      <c r="AT275" s="122" t="e">
        <v>#N/A</v>
      </c>
      <c r="AU275" s="121" t="e">
        <v>#N/A</v>
      </c>
      <c r="AV275" s="122" t="e">
        <v>#N/A</v>
      </c>
      <c r="AW275" s="122" t="e">
        <v>#N/A</v>
      </c>
      <c r="AX275" s="122" t="e">
        <v>#N/A</v>
      </c>
      <c r="AY275" s="122" t="e">
        <v>#N/A</v>
      </c>
      <c r="AZ275" s="122" t="e">
        <v>#N/A</v>
      </c>
      <c r="BA275" s="122" t="e">
        <v>#N/A</v>
      </c>
      <c r="BB275" s="122" t="e">
        <v>#N/A</v>
      </c>
      <c r="BC275" s="122" t="e">
        <v>#N/A</v>
      </c>
      <c r="BD275" s="122" t="e">
        <v>#N/A</v>
      </c>
      <c r="BE275" s="122" t="e">
        <v>#N/A</v>
      </c>
      <c r="BF275" s="122" t="e">
        <v>#N/A</v>
      </c>
      <c r="BG275" s="122" t="e">
        <v>#N/A</v>
      </c>
      <c r="BH275" s="122" t="e">
        <v>#N/A</v>
      </c>
      <c r="BI275" s="122" t="e">
        <v>#N/A</v>
      </c>
      <c r="BJ275" s="122" t="e">
        <v>#N/A</v>
      </c>
      <c r="BK275" s="122">
        <v>45995</v>
      </c>
      <c r="BL275" s="123"/>
      <c r="BM275" s="124">
        <v>44812</v>
      </c>
      <c r="BN275" s="124">
        <v>44816</v>
      </c>
      <c r="BO275" s="124">
        <v>44813</v>
      </c>
      <c r="BP275" s="124">
        <v>44818</v>
      </c>
      <c r="BQ275" s="124">
        <v>44817</v>
      </c>
      <c r="BR275" s="124">
        <v>44816</v>
      </c>
      <c r="BS275" s="124">
        <v>44816</v>
      </c>
      <c r="BT275" s="124">
        <v>44816</v>
      </c>
      <c r="BU275" s="124" t="e">
        <v>#N/A</v>
      </c>
      <c r="BV275" s="124" t="e">
        <v>#N/A</v>
      </c>
      <c r="BW275" s="124" t="e">
        <v>#N/A</v>
      </c>
      <c r="BX275" s="124" t="e">
        <v>#N/A</v>
      </c>
      <c r="BY275" s="124" t="e">
        <v>#N/A</v>
      </c>
      <c r="BZ275" s="124" t="e">
        <v>#N/A</v>
      </c>
      <c r="CA275" s="125"/>
      <c r="CB275" s="124">
        <v>45727</v>
      </c>
      <c r="CC275" s="126">
        <v>1</v>
      </c>
      <c r="CD275" s="127" t="s">
        <v>4151</v>
      </c>
      <c r="CE275" s="128"/>
      <c r="CF275" s="77" t="s">
        <v>4169</v>
      </c>
    </row>
    <row r="276" spans="1:85" ht="14.5" x14ac:dyDescent="0.35">
      <c r="A276" s="77">
        <v>275</v>
      </c>
      <c r="B276" s="106" t="s">
        <v>133</v>
      </c>
      <c r="C276" s="107" t="s">
        <v>1117</v>
      </c>
      <c r="D276" s="108" t="s">
        <v>795</v>
      </c>
      <c r="E276" s="109" t="s">
        <v>796</v>
      </c>
      <c r="F276" s="110">
        <v>638403308</v>
      </c>
      <c r="G276" s="108" t="s">
        <v>1004</v>
      </c>
      <c r="H276" s="111" t="s">
        <v>1146</v>
      </c>
      <c r="I276" s="111" t="s">
        <v>352</v>
      </c>
      <c r="J276" s="111" t="s">
        <v>4649</v>
      </c>
      <c r="K276" s="111" t="s">
        <v>305</v>
      </c>
      <c r="L276" s="112">
        <v>43831</v>
      </c>
      <c r="M276" s="111" t="s">
        <v>250</v>
      </c>
      <c r="N276" s="113"/>
      <c r="O276" s="114" t="s">
        <v>184</v>
      </c>
      <c r="P276" s="114" t="s">
        <v>182</v>
      </c>
      <c r="Q276" s="114" t="s">
        <v>182</v>
      </c>
      <c r="R276" s="114" t="s">
        <v>182</v>
      </c>
      <c r="S276" s="114" t="s">
        <v>182</v>
      </c>
      <c r="T276" s="114" t="s">
        <v>183</v>
      </c>
      <c r="U276" s="114" t="s">
        <v>183</v>
      </c>
      <c r="V276" s="115"/>
      <c r="W276" s="116" t="s">
        <v>797</v>
      </c>
      <c r="X276" s="116" t="s">
        <v>2725</v>
      </c>
      <c r="Y276" s="117">
        <v>3485563</v>
      </c>
      <c r="Z276" s="117">
        <v>3486240</v>
      </c>
      <c r="AA276" s="118"/>
      <c r="AB276" s="119" t="s">
        <v>5447</v>
      </c>
      <c r="AC276" s="119" t="s">
        <v>1118</v>
      </c>
      <c r="AD276" s="119" t="s">
        <v>4048</v>
      </c>
      <c r="AE276" s="119" t="s">
        <v>4049</v>
      </c>
      <c r="AF276" s="119" t="s">
        <v>6224</v>
      </c>
      <c r="AG276" s="120"/>
      <c r="AH276" s="121">
        <v>44197</v>
      </c>
      <c r="AI276" s="121">
        <v>44197</v>
      </c>
      <c r="AJ276" s="121">
        <v>44197</v>
      </c>
      <c r="AK276" s="122">
        <v>44197</v>
      </c>
      <c r="AL276" s="122" t="e">
        <v>#N/A</v>
      </c>
      <c r="AM276" s="121" t="e">
        <v>#N/A</v>
      </c>
      <c r="AN276" s="121" t="e">
        <v>#N/A</v>
      </c>
      <c r="AO276" s="121" t="e">
        <v>#N/A</v>
      </c>
      <c r="AP276" s="122" t="e">
        <v>#N/A</v>
      </c>
      <c r="AQ276" s="122" t="e">
        <v>#N/A</v>
      </c>
      <c r="AR276" s="122">
        <v>44676</v>
      </c>
      <c r="AS276" s="122" t="e">
        <v>#N/A</v>
      </c>
      <c r="AT276" s="122" t="e">
        <v>#N/A</v>
      </c>
      <c r="AU276" s="121" t="e">
        <v>#N/A</v>
      </c>
      <c r="AV276" s="122" t="e">
        <v>#N/A</v>
      </c>
      <c r="AW276" s="122">
        <v>45940</v>
      </c>
      <c r="AX276" s="122" t="e">
        <v>#N/A</v>
      </c>
      <c r="AY276" s="122" t="e">
        <v>#N/A</v>
      </c>
      <c r="AZ276" s="122" t="e">
        <v>#N/A</v>
      </c>
      <c r="BA276" s="122" t="e">
        <v>#N/A</v>
      </c>
      <c r="BB276" s="122" t="e">
        <v>#N/A</v>
      </c>
      <c r="BC276" s="122" t="e">
        <v>#N/A</v>
      </c>
      <c r="BD276" s="122" t="e">
        <v>#N/A</v>
      </c>
      <c r="BE276" s="122" t="e">
        <v>#N/A</v>
      </c>
      <c r="BF276" s="122" t="e">
        <v>#N/A</v>
      </c>
      <c r="BG276" s="122" t="e">
        <v>#N/A</v>
      </c>
      <c r="BH276" s="122" t="e">
        <v>#N/A</v>
      </c>
      <c r="BI276" s="122" t="e">
        <v>#N/A</v>
      </c>
      <c r="BJ276" s="122" t="e">
        <v>#N/A</v>
      </c>
      <c r="BK276" s="122">
        <v>45924</v>
      </c>
      <c r="BL276" s="123"/>
      <c r="BM276" s="124" t="e">
        <v>#N/A</v>
      </c>
      <c r="BN276" s="124" t="e">
        <v>#N/A</v>
      </c>
      <c r="BO276" s="124" t="e">
        <v>#N/A</v>
      </c>
      <c r="BP276" s="124" t="e">
        <v>#N/A</v>
      </c>
      <c r="BQ276" s="124" t="e">
        <v>#N/A</v>
      </c>
      <c r="BR276" s="124" t="e">
        <v>#N/A</v>
      </c>
      <c r="BS276" s="124" t="e">
        <v>#N/A</v>
      </c>
      <c r="BT276" s="124" t="e">
        <v>#N/A</v>
      </c>
      <c r="BU276" s="124" t="e">
        <v>#N/A</v>
      </c>
      <c r="BV276" s="124" t="e">
        <v>#N/A</v>
      </c>
      <c r="BW276" s="124" t="e">
        <v>#N/A</v>
      </c>
      <c r="BX276" s="124" t="e">
        <v>#N/A</v>
      </c>
      <c r="BY276" s="124" t="e">
        <v>#N/A</v>
      </c>
      <c r="BZ276" s="124" t="e">
        <v>#N/A</v>
      </c>
      <c r="CA276" s="125"/>
      <c r="CB276" s="124">
        <v>45727</v>
      </c>
      <c r="CC276" s="126">
        <v>1</v>
      </c>
      <c r="CD276" s="127" t="s">
        <v>4169</v>
      </c>
      <c r="CE276" s="128"/>
      <c r="CF276" s="77" t="s">
        <v>4169</v>
      </c>
    </row>
    <row r="277" spans="1:85" ht="14.5" x14ac:dyDescent="0.35">
      <c r="A277" s="77">
        <v>276</v>
      </c>
      <c r="B277" s="106" t="s">
        <v>2176</v>
      </c>
      <c r="C277" s="107" t="s">
        <v>6503</v>
      </c>
      <c r="D277" s="108" t="s">
        <v>2121</v>
      </c>
      <c r="E277" s="109" t="s">
        <v>2122</v>
      </c>
      <c r="F277" s="110" t="s">
        <v>2123</v>
      </c>
      <c r="G277" s="108" t="s">
        <v>1004</v>
      </c>
      <c r="H277" s="111" t="s">
        <v>1146</v>
      </c>
      <c r="I277" s="111" t="s">
        <v>352</v>
      </c>
      <c r="J277" s="111" t="s">
        <v>4649</v>
      </c>
      <c r="K277" s="111" t="s">
        <v>305</v>
      </c>
      <c r="L277" s="112">
        <v>44966</v>
      </c>
      <c r="M277" s="111" t="s">
        <v>250</v>
      </c>
      <c r="N277" s="113"/>
      <c r="O277" s="114" t="s">
        <v>182</v>
      </c>
      <c r="P277" s="114" t="s">
        <v>6904</v>
      </c>
      <c r="Q277" s="114" t="s">
        <v>4353</v>
      </c>
      <c r="R277" s="114" t="s">
        <v>7316</v>
      </c>
      <c r="S277" s="114" t="s">
        <v>4353</v>
      </c>
      <c r="T277" s="114" t="s">
        <v>183</v>
      </c>
      <c r="U277" s="114" t="s">
        <v>183</v>
      </c>
      <c r="V277" s="115"/>
      <c r="W277" s="116" t="s">
        <v>2124</v>
      </c>
      <c r="X277" s="116" t="s">
        <v>6108</v>
      </c>
      <c r="Y277" s="117">
        <v>3485741</v>
      </c>
      <c r="Z277" s="117">
        <v>3481413</v>
      </c>
      <c r="AA277" s="118"/>
      <c r="AB277" s="119" t="s">
        <v>5618</v>
      </c>
      <c r="AC277" s="119" t="s">
        <v>2177</v>
      </c>
      <c r="AD277" s="119">
        <v>26383</v>
      </c>
      <c r="AE277" s="119" t="s">
        <v>4131</v>
      </c>
      <c r="AF277" s="119" t="s">
        <v>6109</v>
      </c>
      <c r="AG277" s="120"/>
      <c r="AH277" s="121">
        <v>44782</v>
      </c>
      <c r="AI277" s="121">
        <v>44782</v>
      </c>
      <c r="AJ277" s="121">
        <v>44782</v>
      </c>
      <c r="AK277" s="122">
        <v>44894</v>
      </c>
      <c r="AL277" s="122">
        <v>44971</v>
      </c>
      <c r="AM277" s="121">
        <v>45089</v>
      </c>
      <c r="AN277" s="121">
        <v>45076</v>
      </c>
      <c r="AO277" s="121" t="e">
        <v>#N/A</v>
      </c>
      <c r="AP277" s="122" t="e">
        <v>#N/A</v>
      </c>
      <c r="AQ277" s="122" t="e">
        <v>#N/A</v>
      </c>
      <c r="AR277" s="122">
        <v>45089</v>
      </c>
      <c r="AS277" s="122" t="e">
        <v>#N/A</v>
      </c>
      <c r="AT277" s="122" t="e">
        <v>#N/A</v>
      </c>
      <c r="AU277" s="121" t="e">
        <v>#N/A</v>
      </c>
      <c r="AV277" s="122" t="e">
        <v>#N/A</v>
      </c>
      <c r="AW277" s="122" t="e">
        <v>#N/A</v>
      </c>
      <c r="AX277" s="122" t="e">
        <v>#N/A</v>
      </c>
      <c r="AY277" s="122" t="e">
        <v>#N/A</v>
      </c>
      <c r="AZ277" s="122" t="e">
        <v>#N/A</v>
      </c>
      <c r="BA277" s="122">
        <v>45089</v>
      </c>
      <c r="BB277" s="122" t="e">
        <v>#N/A</v>
      </c>
      <c r="BC277" s="122" t="e">
        <v>#N/A</v>
      </c>
      <c r="BD277" s="122" t="e">
        <v>#N/A</v>
      </c>
      <c r="BE277" s="122" t="e">
        <v>#N/A</v>
      </c>
      <c r="BF277" s="122" t="e">
        <v>#N/A</v>
      </c>
      <c r="BG277" s="122" t="e">
        <v>#N/A</v>
      </c>
      <c r="BH277" s="122">
        <v>45446</v>
      </c>
      <c r="BI277" s="122" t="e">
        <v>#N/A</v>
      </c>
      <c r="BJ277" s="122" t="e">
        <v>#N/A</v>
      </c>
      <c r="BK277" s="122">
        <v>45945</v>
      </c>
      <c r="BL277" s="123"/>
      <c r="BM277" s="124" t="e">
        <v>#N/A</v>
      </c>
      <c r="BN277" s="124" t="e">
        <v>#N/A</v>
      </c>
      <c r="BO277" s="124" t="e">
        <v>#N/A</v>
      </c>
      <c r="BP277" s="124" t="e">
        <v>#N/A</v>
      </c>
      <c r="BQ277" s="124" t="e">
        <v>#N/A</v>
      </c>
      <c r="BR277" s="124" t="e">
        <v>#N/A</v>
      </c>
      <c r="BS277" s="124" t="e">
        <v>#N/A</v>
      </c>
      <c r="BT277" s="124" t="e">
        <v>#N/A</v>
      </c>
      <c r="BU277" s="124" t="e">
        <v>#N/A</v>
      </c>
      <c r="BV277" s="124" t="e">
        <v>#N/A</v>
      </c>
      <c r="BW277" s="124" t="e">
        <v>#N/A</v>
      </c>
      <c r="BX277" s="124" t="e">
        <v>#N/A</v>
      </c>
      <c r="BY277" s="124" t="e">
        <v>#N/A</v>
      </c>
      <c r="BZ277" s="124" t="e">
        <v>#N/A</v>
      </c>
      <c r="CA277" s="125"/>
      <c r="CB277" s="124">
        <v>45729</v>
      </c>
      <c r="CC277" s="126">
        <v>1</v>
      </c>
      <c r="CD277" s="127" t="s">
        <v>4178</v>
      </c>
      <c r="CE277" s="128" t="e">
        <v>#REF!</v>
      </c>
      <c r="CF277" s="77" t="s">
        <v>4169</v>
      </c>
      <c r="CG277" s="77" t="e">
        <v>#REF!</v>
      </c>
    </row>
    <row r="278" spans="1:85" ht="14.5" x14ac:dyDescent="0.35">
      <c r="A278" s="77">
        <v>277</v>
      </c>
      <c r="B278" s="106" t="s">
        <v>1717</v>
      </c>
      <c r="C278" s="107" t="s">
        <v>6489</v>
      </c>
      <c r="D278" s="108" t="s">
        <v>1718</v>
      </c>
      <c r="E278" s="109" t="s">
        <v>1719</v>
      </c>
      <c r="F278" s="110" t="s">
        <v>1720</v>
      </c>
      <c r="G278" s="108" t="s">
        <v>1004</v>
      </c>
      <c r="H278" s="111" t="s">
        <v>1146</v>
      </c>
      <c r="I278" s="111" t="s">
        <v>352</v>
      </c>
      <c r="J278" s="111" t="s">
        <v>4649</v>
      </c>
      <c r="K278" s="111" t="s">
        <v>305</v>
      </c>
      <c r="L278" s="112">
        <v>44917</v>
      </c>
      <c r="M278" s="111" t="s">
        <v>349</v>
      </c>
      <c r="N278" s="113"/>
      <c r="O278" s="114" t="s">
        <v>4353</v>
      </c>
      <c r="P278" s="114" t="s">
        <v>4353</v>
      </c>
      <c r="Q278" s="114" t="s">
        <v>6095</v>
      </c>
      <c r="R278" s="114" t="s">
        <v>7316</v>
      </c>
      <c r="S278" s="114" t="s">
        <v>4353</v>
      </c>
      <c r="T278" s="114" t="s">
        <v>183</v>
      </c>
      <c r="U278" s="114" t="s">
        <v>183</v>
      </c>
      <c r="V278" s="115"/>
      <c r="W278" s="116" t="s">
        <v>1721</v>
      </c>
      <c r="X278" s="116" t="s">
        <v>3131</v>
      </c>
      <c r="Y278" s="117">
        <v>3485628</v>
      </c>
      <c r="Z278" s="117">
        <v>3486511</v>
      </c>
      <c r="AA278" s="118"/>
      <c r="AB278" s="119" t="s">
        <v>2053</v>
      </c>
      <c r="AC278" s="119" t="s">
        <v>1722</v>
      </c>
      <c r="AD278" s="119">
        <v>26384</v>
      </c>
      <c r="AE278" s="119" t="s">
        <v>4125</v>
      </c>
      <c r="AF278" s="119" t="s">
        <v>6234</v>
      </c>
      <c r="AG278" s="120"/>
      <c r="AH278" s="121">
        <v>44733</v>
      </c>
      <c r="AI278" s="121">
        <v>44737</v>
      </c>
      <c r="AJ278" s="121">
        <v>44733</v>
      </c>
      <c r="AK278" s="122">
        <v>45006</v>
      </c>
      <c r="AL278" s="122">
        <v>45072</v>
      </c>
      <c r="AM278" s="121">
        <v>45084</v>
      </c>
      <c r="AN278" s="121">
        <v>45072</v>
      </c>
      <c r="AO278" s="121">
        <v>46009</v>
      </c>
      <c r="AP278" s="122" t="e">
        <v>#N/A</v>
      </c>
      <c r="AQ278" s="122" t="e">
        <v>#N/A</v>
      </c>
      <c r="AR278" s="122">
        <v>45084</v>
      </c>
      <c r="AS278" s="122" t="e">
        <v>#N/A</v>
      </c>
      <c r="AT278" s="122" t="e">
        <v>#N/A</v>
      </c>
      <c r="AU278" s="121" t="e">
        <v>#N/A</v>
      </c>
      <c r="AV278" s="122" t="e">
        <v>#N/A</v>
      </c>
      <c r="AW278" s="122">
        <v>45936</v>
      </c>
      <c r="AX278" s="122" t="e">
        <v>#N/A</v>
      </c>
      <c r="AY278" s="122" t="e">
        <v>#N/A</v>
      </c>
      <c r="AZ278" s="122" t="e">
        <v>#N/A</v>
      </c>
      <c r="BA278" s="122">
        <v>45084</v>
      </c>
      <c r="BB278" s="122" t="e">
        <v>#N/A</v>
      </c>
      <c r="BC278" s="122" t="e">
        <v>#N/A</v>
      </c>
      <c r="BD278" s="122" t="e">
        <v>#N/A</v>
      </c>
      <c r="BE278" s="122" t="e">
        <v>#N/A</v>
      </c>
      <c r="BF278" s="122" t="e">
        <v>#N/A</v>
      </c>
      <c r="BG278" s="122" t="e">
        <v>#N/A</v>
      </c>
      <c r="BH278" s="122" t="e">
        <v>#N/A</v>
      </c>
      <c r="BI278" s="122" t="e">
        <v>#N/A</v>
      </c>
      <c r="BJ278" s="122" t="e">
        <v>#N/A</v>
      </c>
      <c r="BK278" s="122">
        <v>45946</v>
      </c>
      <c r="BL278" s="123"/>
      <c r="BM278" s="124" t="e">
        <v>#N/A</v>
      </c>
      <c r="BN278" s="124" t="e">
        <v>#N/A</v>
      </c>
      <c r="BO278" s="124" t="e">
        <v>#N/A</v>
      </c>
      <c r="BP278" s="124" t="e">
        <v>#N/A</v>
      </c>
      <c r="BQ278" s="124" t="e">
        <v>#N/A</v>
      </c>
      <c r="BR278" s="124" t="e">
        <v>#N/A</v>
      </c>
      <c r="BS278" s="124" t="e">
        <v>#N/A</v>
      </c>
      <c r="BT278" s="124" t="e">
        <v>#N/A</v>
      </c>
      <c r="BU278" s="124" t="e">
        <v>#N/A</v>
      </c>
      <c r="BV278" s="124" t="e">
        <v>#N/A</v>
      </c>
      <c r="BW278" s="124" t="e">
        <v>#N/A</v>
      </c>
      <c r="BX278" s="124" t="e">
        <v>#N/A</v>
      </c>
      <c r="BY278" s="124" t="e">
        <v>#N/A</v>
      </c>
      <c r="BZ278" s="124" t="e">
        <v>#N/A</v>
      </c>
      <c r="CA278" s="125"/>
      <c r="CB278" s="124" t="e">
        <v>#N/A</v>
      </c>
      <c r="CC278" s="126">
        <v>1</v>
      </c>
      <c r="CD278" s="127" t="s">
        <v>4382</v>
      </c>
      <c r="CE278" s="128"/>
      <c r="CF278" s="77" t="s">
        <v>4169</v>
      </c>
    </row>
    <row r="279" spans="1:85" ht="14.5" x14ac:dyDescent="0.35">
      <c r="A279" s="77">
        <v>278</v>
      </c>
      <c r="B279" s="106" t="s">
        <v>998</v>
      </c>
      <c r="C279" s="107" t="s">
        <v>1561</v>
      </c>
      <c r="D279" s="108" t="s">
        <v>951</v>
      </c>
      <c r="E279" s="109" t="s">
        <v>1064</v>
      </c>
      <c r="F279" s="110">
        <v>608958635</v>
      </c>
      <c r="G279" s="108" t="s">
        <v>1004</v>
      </c>
      <c r="H279" s="111" t="s">
        <v>1146</v>
      </c>
      <c r="I279" s="111" t="s">
        <v>352</v>
      </c>
      <c r="J279" s="111" t="s">
        <v>4649</v>
      </c>
      <c r="K279" s="111" t="s">
        <v>2861</v>
      </c>
      <c r="L279" s="112">
        <v>44743</v>
      </c>
      <c r="M279" s="111" t="s">
        <v>371</v>
      </c>
      <c r="N279" s="113"/>
      <c r="O279" s="114" t="s">
        <v>182</v>
      </c>
      <c r="P279" s="114" t="s">
        <v>182</v>
      </c>
      <c r="Q279" s="114" t="s">
        <v>184</v>
      </c>
      <c r="R279" s="114" t="s">
        <v>1169</v>
      </c>
      <c r="S279" s="114" t="s">
        <v>7075</v>
      </c>
      <c r="T279" s="114" t="s">
        <v>183</v>
      </c>
      <c r="U279" s="114" t="s">
        <v>183</v>
      </c>
      <c r="V279" s="115"/>
      <c r="W279" s="116" t="s">
        <v>952</v>
      </c>
      <c r="X279" s="116" t="s">
        <v>2394</v>
      </c>
      <c r="Y279" s="117">
        <v>3485027</v>
      </c>
      <c r="Z279" s="117">
        <v>3481599</v>
      </c>
      <c r="AA279" s="118"/>
      <c r="AB279" s="119" t="s">
        <v>2050</v>
      </c>
      <c r="AC279" s="119" t="s">
        <v>1562</v>
      </c>
      <c r="AD279" s="119">
        <v>26231</v>
      </c>
      <c r="AE279" s="119" t="s">
        <v>4113</v>
      </c>
      <c r="AF279" s="119" t="s">
        <v>6233</v>
      </c>
      <c r="AG279" s="120"/>
      <c r="AH279" s="121">
        <v>44552</v>
      </c>
      <c r="AI279" s="121">
        <v>44552</v>
      </c>
      <c r="AJ279" s="121">
        <v>44552</v>
      </c>
      <c r="AK279" s="122">
        <v>44552</v>
      </c>
      <c r="AL279" s="122" t="e">
        <v>#N/A</v>
      </c>
      <c r="AM279" s="122" t="e">
        <v>#N/A</v>
      </c>
      <c r="AN279" s="122" t="e">
        <v>#N/A</v>
      </c>
      <c r="AO279" s="121" t="e">
        <v>#N/A</v>
      </c>
      <c r="AP279" s="122" t="e">
        <v>#N/A</v>
      </c>
      <c r="AQ279" s="122" t="e">
        <v>#N/A</v>
      </c>
      <c r="AR279" s="122" t="e">
        <v>#N/A</v>
      </c>
      <c r="AS279" s="122" t="e">
        <v>#N/A</v>
      </c>
      <c r="AT279" s="122" t="e">
        <v>#N/A</v>
      </c>
      <c r="AU279" s="121" t="e">
        <v>#N/A</v>
      </c>
      <c r="AV279" s="122" t="e">
        <v>#N/A</v>
      </c>
      <c r="AW279" s="122" t="e">
        <v>#N/A</v>
      </c>
      <c r="AX279" s="122" t="e">
        <v>#N/A</v>
      </c>
      <c r="AY279" s="122" t="e">
        <v>#N/A</v>
      </c>
      <c r="AZ279" s="122" t="e">
        <v>#N/A</v>
      </c>
      <c r="BA279" s="122" t="e">
        <v>#N/A</v>
      </c>
      <c r="BB279" s="122" t="e">
        <v>#N/A</v>
      </c>
      <c r="BC279" s="122" t="e">
        <v>#N/A</v>
      </c>
      <c r="BD279" s="122" t="e">
        <v>#N/A</v>
      </c>
      <c r="BE279" s="122" t="e">
        <v>#N/A</v>
      </c>
      <c r="BF279" s="122">
        <v>45226</v>
      </c>
      <c r="BG279" s="122" t="e">
        <v>#N/A</v>
      </c>
      <c r="BH279" s="122" t="e">
        <v>#N/A</v>
      </c>
      <c r="BI279" s="122" t="e">
        <v>#N/A</v>
      </c>
      <c r="BJ279" s="122" t="e">
        <v>#N/A</v>
      </c>
      <c r="BK279" s="122">
        <v>45953</v>
      </c>
      <c r="BL279" s="123"/>
      <c r="BM279" s="124">
        <v>45371</v>
      </c>
      <c r="BN279" s="124">
        <v>45373</v>
      </c>
      <c r="BO279" s="124">
        <v>45583</v>
      </c>
      <c r="BP279" s="124" t="e">
        <v>#N/A</v>
      </c>
      <c r="BQ279" s="124" t="e">
        <v>#N/A</v>
      </c>
      <c r="BR279" s="124" t="e">
        <v>#N/A</v>
      </c>
      <c r="BS279" s="124" t="e">
        <v>#N/A</v>
      </c>
      <c r="BT279" s="124" t="e">
        <v>#N/A</v>
      </c>
      <c r="BU279" s="124" t="e">
        <v>#N/A</v>
      </c>
      <c r="BV279" s="124" t="e">
        <v>#N/A</v>
      </c>
      <c r="BW279" s="124" t="e">
        <v>#N/A</v>
      </c>
      <c r="BX279" s="124" t="e">
        <v>#N/A</v>
      </c>
      <c r="BY279" s="124" t="e">
        <v>#N/A</v>
      </c>
      <c r="BZ279" s="124" t="e">
        <v>#N/A</v>
      </c>
      <c r="CA279" s="125"/>
      <c r="CB279" s="124" t="e">
        <v>#N/A</v>
      </c>
      <c r="CC279" s="126">
        <v>1</v>
      </c>
      <c r="CD279" s="127" t="s">
        <v>4169</v>
      </c>
      <c r="CE279" s="128" t="e">
        <v>#REF!</v>
      </c>
      <c r="CF279" s="77" t="s">
        <v>4169</v>
      </c>
      <c r="CG279" s="77" t="e">
        <v>#REF!</v>
      </c>
    </row>
    <row r="280" spans="1:85" ht="14.5" x14ac:dyDescent="0.35">
      <c r="A280" s="77">
        <v>279</v>
      </c>
      <c r="B280" s="106" t="s">
        <v>6390</v>
      </c>
      <c r="C280" s="107" t="s">
        <v>6391</v>
      </c>
      <c r="D280" s="108" t="s">
        <v>510</v>
      </c>
      <c r="E280" s="109" t="s">
        <v>511</v>
      </c>
      <c r="F280" s="110">
        <v>606643868</v>
      </c>
      <c r="G280" s="108" t="s">
        <v>1004</v>
      </c>
      <c r="H280" s="111" t="s">
        <v>1146</v>
      </c>
      <c r="I280" s="111" t="s">
        <v>352</v>
      </c>
      <c r="J280" s="111" t="s">
        <v>4649</v>
      </c>
      <c r="K280" s="111" t="s">
        <v>199</v>
      </c>
      <c r="L280" s="112">
        <v>41801</v>
      </c>
      <c r="M280" s="111" t="s">
        <v>349</v>
      </c>
      <c r="N280" s="113"/>
      <c r="O280" s="114" t="s">
        <v>226</v>
      </c>
      <c r="P280" s="114" t="s">
        <v>226</v>
      </c>
      <c r="Q280" s="114" t="s">
        <v>6920</v>
      </c>
      <c r="R280" s="114" t="s">
        <v>7316</v>
      </c>
      <c r="S280" s="114" t="s">
        <v>226</v>
      </c>
      <c r="T280" s="114" t="s">
        <v>5312</v>
      </c>
      <c r="U280" s="114" t="s">
        <v>5312</v>
      </c>
      <c r="V280" s="115"/>
      <c r="W280" s="116" t="s">
        <v>512</v>
      </c>
      <c r="X280" s="116" t="s">
        <v>1743</v>
      </c>
      <c r="Y280" s="117">
        <v>3485340</v>
      </c>
      <c r="Z280" s="117">
        <v>3481124</v>
      </c>
      <c r="AA280" s="118"/>
      <c r="AB280" s="119" t="s">
        <v>5278</v>
      </c>
      <c r="AC280" s="119" t="s">
        <v>1157</v>
      </c>
      <c r="AD280" s="119">
        <v>26237</v>
      </c>
      <c r="AE280" s="119" t="s">
        <v>4117</v>
      </c>
      <c r="AF280" s="119" t="s">
        <v>6110</v>
      </c>
      <c r="AG280" s="120"/>
      <c r="AH280" s="121">
        <v>44197</v>
      </c>
      <c r="AI280" s="121">
        <v>44197</v>
      </c>
      <c r="AJ280" s="121">
        <v>44197</v>
      </c>
      <c r="AK280" s="122">
        <v>44197</v>
      </c>
      <c r="AL280" s="122" t="e">
        <v>#N/A</v>
      </c>
      <c r="AM280" s="121" t="e">
        <v>#N/A</v>
      </c>
      <c r="AN280" s="121">
        <v>46009</v>
      </c>
      <c r="AO280" s="121" t="s">
        <v>7480</v>
      </c>
      <c r="AP280" s="122" t="e">
        <v>#N/A</v>
      </c>
      <c r="AQ280" s="122" t="e">
        <v>#N/A</v>
      </c>
      <c r="AR280" s="122">
        <v>44676</v>
      </c>
      <c r="AS280" s="122" t="e">
        <v>#N/A</v>
      </c>
      <c r="AT280" s="122" t="e">
        <v>#N/A</v>
      </c>
      <c r="AU280" s="121" t="e">
        <v>#N/A</v>
      </c>
      <c r="AV280" s="122">
        <v>44607</v>
      </c>
      <c r="AW280" s="122">
        <v>44607</v>
      </c>
      <c r="AX280" s="122" t="e">
        <v>#N/A</v>
      </c>
      <c r="AY280" s="122" t="e">
        <v>#N/A</v>
      </c>
      <c r="AZ280" s="122" t="e">
        <v>#N/A</v>
      </c>
      <c r="BA280" s="122" t="e">
        <v>#N/A</v>
      </c>
      <c r="BB280" s="122" t="e">
        <v>#N/A</v>
      </c>
      <c r="BC280" s="122" t="e">
        <v>#N/A</v>
      </c>
      <c r="BD280" s="122" t="e">
        <v>#N/A</v>
      </c>
      <c r="BE280" s="122" t="e">
        <v>#N/A</v>
      </c>
      <c r="BF280" s="122" t="e">
        <v>#N/A</v>
      </c>
      <c r="BG280" s="122" t="e">
        <v>#N/A</v>
      </c>
      <c r="BH280" s="122">
        <v>45446</v>
      </c>
      <c r="BI280" s="122" t="e">
        <v>#N/A</v>
      </c>
      <c r="BJ280" s="122" t="e">
        <v>#N/A</v>
      </c>
      <c r="BK280" s="122">
        <v>45945</v>
      </c>
      <c r="BL280" s="123"/>
      <c r="BM280" s="124" t="e">
        <v>#N/A</v>
      </c>
      <c r="BN280" s="124" t="e">
        <v>#N/A</v>
      </c>
      <c r="BO280" s="124" t="e">
        <v>#N/A</v>
      </c>
      <c r="BP280" s="124" t="e">
        <v>#N/A</v>
      </c>
      <c r="BQ280" s="124" t="e">
        <v>#N/A</v>
      </c>
      <c r="BR280" s="124" t="e">
        <v>#N/A</v>
      </c>
      <c r="BS280" s="124" t="e">
        <v>#N/A</v>
      </c>
      <c r="BT280" s="124" t="e">
        <v>#N/A</v>
      </c>
      <c r="BU280" s="124" t="e">
        <v>#N/A</v>
      </c>
      <c r="BV280" s="124" t="e">
        <v>#N/A</v>
      </c>
      <c r="BW280" s="124" t="e">
        <v>#N/A</v>
      </c>
      <c r="BX280" s="124" t="e">
        <v>#N/A</v>
      </c>
      <c r="BY280" s="124" t="e">
        <v>#N/A</v>
      </c>
      <c r="BZ280" s="124" t="e">
        <v>#N/A</v>
      </c>
      <c r="CA280" s="125"/>
      <c r="CB280" s="124" t="e">
        <v>#N/A</v>
      </c>
      <c r="CC280" s="126">
        <v>1</v>
      </c>
      <c r="CD280" s="127" t="s">
        <v>4169</v>
      </c>
      <c r="CE280" s="128"/>
      <c r="CF280" s="77" t="s">
        <v>4169</v>
      </c>
    </row>
    <row r="281" spans="1:85" ht="14.5" x14ac:dyDescent="0.35">
      <c r="A281" s="77">
        <v>280</v>
      </c>
      <c r="B281" s="106" t="s">
        <v>112</v>
      </c>
      <c r="C281" s="107" t="s">
        <v>1366</v>
      </c>
      <c r="D281" s="108" t="s">
        <v>727</v>
      </c>
      <c r="E281" s="109" t="s">
        <v>728</v>
      </c>
      <c r="F281" s="110">
        <v>688930166</v>
      </c>
      <c r="G281" s="108" t="s">
        <v>1004</v>
      </c>
      <c r="H281" s="111" t="s">
        <v>1146</v>
      </c>
      <c r="I281" s="111" t="s">
        <v>352</v>
      </c>
      <c r="J281" s="111" t="s">
        <v>4649</v>
      </c>
      <c r="K281" s="111" t="s">
        <v>3159</v>
      </c>
      <c r="L281" s="112">
        <v>43048</v>
      </c>
      <c r="M281" s="111" t="s">
        <v>371</v>
      </c>
      <c r="N281" s="113"/>
      <c r="O281" s="114" t="s">
        <v>4353</v>
      </c>
      <c r="P281" s="114" t="s">
        <v>4353</v>
      </c>
      <c r="Q281" s="114" t="s">
        <v>4353</v>
      </c>
      <c r="R281" s="114" t="s">
        <v>7316</v>
      </c>
      <c r="S281" s="114" t="s">
        <v>6095</v>
      </c>
      <c r="T281" s="114" t="s">
        <v>183</v>
      </c>
      <c r="U281" s="114" t="s">
        <v>183</v>
      </c>
      <c r="V281" s="115"/>
      <c r="W281" s="116" t="s">
        <v>729</v>
      </c>
      <c r="X281" s="116" t="s">
        <v>3824</v>
      </c>
      <c r="Y281" s="117">
        <v>3485560</v>
      </c>
      <c r="Z281" s="117">
        <v>3481146</v>
      </c>
      <c r="AA281" s="118"/>
      <c r="AB281" s="119" t="s">
        <v>5799</v>
      </c>
      <c r="AC281" s="119" t="s">
        <v>1367</v>
      </c>
      <c r="AD281" s="119">
        <v>4097</v>
      </c>
      <c r="AE281" s="119" t="s">
        <v>730</v>
      </c>
      <c r="AF281" s="119" t="s">
        <v>7482</v>
      </c>
      <c r="AG281" s="120"/>
      <c r="AH281" s="121">
        <v>44197</v>
      </c>
      <c r="AI281" s="121">
        <v>44197</v>
      </c>
      <c r="AJ281" s="121">
        <v>44197</v>
      </c>
      <c r="AK281" s="122">
        <v>44197</v>
      </c>
      <c r="AL281" s="122" t="e">
        <v>#N/A</v>
      </c>
      <c r="AM281" s="121" t="e">
        <v>#N/A</v>
      </c>
      <c r="AN281" s="121" t="e">
        <v>#N/A</v>
      </c>
      <c r="AO281" s="121" t="e">
        <v>#N/A</v>
      </c>
      <c r="AP281" s="122" t="e">
        <v>#N/A</v>
      </c>
      <c r="AQ281" s="122" t="e">
        <v>#N/A</v>
      </c>
      <c r="AR281" s="122" t="e">
        <v>#N/A</v>
      </c>
      <c r="AS281" s="122" t="e">
        <v>#N/A</v>
      </c>
      <c r="AT281" s="122" t="e">
        <v>#N/A</v>
      </c>
      <c r="AU281" s="121" t="e">
        <v>#N/A</v>
      </c>
      <c r="AV281" s="122" t="e">
        <v>#N/A</v>
      </c>
      <c r="AW281" s="122" t="e">
        <v>#N/A</v>
      </c>
      <c r="AX281" s="122" t="e">
        <v>#N/A</v>
      </c>
      <c r="AY281" s="122" t="e">
        <v>#N/A</v>
      </c>
      <c r="AZ281" s="122" t="e">
        <v>#N/A</v>
      </c>
      <c r="BA281" s="122" t="e">
        <v>#N/A</v>
      </c>
      <c r="BB281" s="122" t="e">
        <v>#N/A</v>
      </c>
      <c r="BC281" s="122" t="e">
        <v>#N/A</v>
      </c>
      <c r="BD281" s="122" t="e">
        <v>#N/A</v>
      </c>
      <c r="BE281" s="122" t="e">
        <v>#N/A</v>
      </c>
      <c r="BF281" s="122" t="e">
        <v>#N/A</v>
      </c>
      <c r="BG281" s="122" t="e">
        <v>#N/A</v>
      </c>
      <c r="BH281" s="122" t="e">
        <v>#N/A</v>
      </c>
      <c r="BI281" s="122" t="e">
        <v>#N/A</v>
      </c>
      <c r="BJ281" s="122" t="e">
        <v>#N/A</v>
      </c>
      <c r="BK281" s="122">
        <v>46007</v>
      </c>
      <c r="BL281" s="123"/>
      <c r="BM281" s="124">
        <v>44197</v>
      </c>
      <c r="BN281" s="124">
        <v>44197</v>
      </c>
      <c r="BO281" s="124">
        <v>44197</v>
      </c>
      <c r="BP281" s="124">
        <v>44197</v>
      </c>
      <c r="BQ281" s="124">
        <v>44733</v>
      </c>
      <c r="BR281" s="124">
        <v>44742</v>
      </c>
      <c r="BS281" s="124">
        <v>44197</v>
      </c>
      <c r="BT281" s="124">
        <v>44636</v>
      </c>
      <c r="BU281" s="124" t="e">
        <v>#N/A</v>
      </c>
      <c r="BV281" s="124" t="e">
        <v>#N/A</v>
      </c>
      <c r="BW281" s="124" t="e">
        <v>#N/A</v>
      </c>
      <c r="BX281" s="124">
        <v>44197</v>
      </c>
      <c r="BY281" s="124" t="e">
        <v>#N/A</v>
      </c>
      <c r="BZ281" s="124" t="e">
        <v>#N/A</v>
      </c>
      <c r="CA281" s="125"/>
      <c r="CB281" s="124" t="e">
        <v>#N/A</v>
      </c>
      <c r="CC281" s="126">
        <v>1</v>
      </c>
      <c r="CD281" s="127" t="s">
        <v>4169</v>
      </c>
      <c r="CE281" s="128" t="e">
        <v>#REF!</v>
      </c>
      <c r="CF281" s="77" t="s">
        <v>4169</v>
      </c>
      <c r="CG281" s="77" t="e">
        <v>#REF!</v>
      </c>
    </row>
    <row r="282" spans="1:85" ht="14.5" x14ac:dyDescent="0.35">
      <c r="A282" s="77">
        <v>281</v>
      </c>
      <c r="B282" s="106" t="s">
        <v>2462</v>
      </c>
      <c r="C282" s="107" t="s">
        <v>6462</v>
      </c>
      <c r="D282" s="108" t="s">
        <v>2468</v>
      </c>
      <c r="E282" s="109" t="s">
        <v>2463</v>
      </c>
      <c r="F282" s="110" t="s">
        <v>2464</v>
      </c>
      <c r="G282" s="108" t="s">
        <v>1004</v>
      </c>
      <c r="H282" s="111" t="s">
        <v>1146</v>
      </c>
      <c r="I282" s="111" t="s">
        <v>352</v>
      </c>
      <c r="J282" s="111" t="s">
        <v>4649</v>
      </c>
      <c r="K282" s="111" t="s">
        <v>3159</v>
      </c>
      <c r="L282" s="112">
        <v>43192</v>
      </c>
      <c r="M282" s="111" t="s">
        <v>349</v>
      </c>
      <c r="N282" s="113"/>
      <c r="O282" s="114" t="s">
        <v>7100</v>
      </c>
      <c r="P282" s="114" t="s">
        <v>7099</v>
      </c>
      <c r="Q282" s="114" t="s">
        <v>285</v>
      </c>
      <c r="R282" s="114" t="s">
        <v>183</v>
      </c>
      <c r="S282" s="114" t="s">
        <v>183</v>
      </c>
      <c r="T282" s="114" t="s">
        <v>5315</v>
      </c>
      <c r="U282" s="114" t="s">
        <v>5315</v>
      </c>
      <c r="V282" s="115"/>
      <c r="W282" s="116" t="s">
        <v>2465</v>
      </c>
      <c r="X282" s="116" t="s">
        <v>3598</v>
      </c>
      <c r="Y282" s="117">
        <v>3485438</v>
      </c>
      <c r="Z282" s="117">
        <v>3481381</v>
      </c>
      <c r="AA282" s="118"/>
      <c r="AB282" s="119" t="s">
        <v>5518</v>
      </c>
      <c r="AC282" s="119" t="s">
        <v>2466</v>
      </c>
      <c r="AD282" s="119">
        <v>27550</v>
      </c>
      <c r="AE282" s="119" t="s">
        <v>2467</v>
      </c>
      <c r="AF282" s="119" t="s">
        <v>6220</v>
      </c>
      <c r="AG282" s="120"/>
      <c r="AH282" s="121">
        <v>44956</v>
      </c>
      <c r="AI282" s="121">
        <v>44601</v>
      </c>
      <c r="AJ282" s="121">
        <v>44601</v>
      </c>
      <c r="AK282" s="122">
        <v>44974</v>
      </c>
      <c r="AL282" s="122" t="e">
        <v>#N/A</v>
      </c>
      <c r="AM282" s="121" t="e">
        <v>#N/A</v>
      </c>
      <c r="AN282" s="121">
        <v>46009</v>
      </c>
      <c r="AO282" s="121">
        <v>46009</v>
      </c>
      <c r="AP282" s="122" t="e">
        <v>#N/A</v>
      </c>
      <c r="AQ282" s="122" t="e">
        <v>#N/A</v>
      </c>
      <c r="AR282" s="122" t="e">
        <v>#N/A</v>
      </c>
      <c r="AS282" s="122" t="e">
        <v>#N/A</v>
      </c>
      <c r="AT282" s="122">
        <v>43881</v>
      </c>
      <c r="AU282" s="121" t="e">
        <v>#N/A</v>
      </c>
      <c r="AV282" s="122" t="e">
        <v>#N/A</v>
      </c>
      <c r="AW282" s="122">
        <v>45936</v>
      </c>
      <c r="AX282" s="122" t="e">
        <v>#N/A</v>
      </c>
      <c r="AY282" s="122" t="e">
        <v>#N/A</v>
      </c>
      <c r="AZ282" s="122" t="e">
        <v>#N/A</v>
      </c>
      <c r="BA282" s="122" t="e">
        <v>#N/A</v>
      </c>
      <c r="BB282" s="122" t="e">
        <v>#N/A</v>
      </c>
      <c r="BC282" s="122" t="e">
        <v>#N/A</v>
      </c>
      <c r="BD282" s="122" t="e">
        <v>#N/A</v>
      </c>
      <c r="BE282" s="122" t="e">
        <v>#N/A</v>
      </c>
      <c r="BF282" s="122" t="e">
        <v>#N/A</v>
      </c>
      <c r="BG282" s="122" t="e">
        <v>#N/A</v>
      </c>
      <c r="BH282" s="122" t="e">
        <v>#N/A</v>
      </c>
      <c r="BI282" s="122" t="e">
        <v>#N/A</v>
      </c>
      <c r="BJ282" s="122" t="e">
        <v>#N/A</v>
      </c>
      <c r="BK282" s="122">
        <v>45953</v>
      </c>
      <c r="BL282" s="123"/>
      <c r="BM282" s="124" t="e">
        <v>#N/A</v>
      </c>
      <c r="BN282" s="124" t="e">
        <v>#N/A</v>
      </c>
      <c r="BO282" s="124" t="e">
        <v>#N/A</v>
      </c>
      <c r="BP282" s="124" t="e">
        <v>#N/A</v>
      </c>
      <c r="BQ282" s="124" t="e">
        <v>#N/A</v>
      </c>
      <c r="BR282" s="124" t="e">
        <v>#N/A</v>
      </c>
      <c r="BS282" s="124" t="e">
        <v>#N/A</v>
      </c>
      <c r="BT282" s="124" t="e">
        <v>#N/A</v>
      </c>
      <c r="BU282" s="124" t="e">
        <v>#N/A</v>
      </c>
      <c r="BV282" s="124" t="e">
        <v>#N/A</v>
      </c>
      <c r="BW282" s="124" t="e">
        <v>#N/A</v>
      </c>
      <c r="BX282" s="124" t="e">
        <v>#N/A</v>
      </c>
      <c r="BY282" s="124" t="e">
        <v>#N/A</v>
      </c>
      <c r="BZ282" s="124" t="e">
        <v>#N/A</v>
      </c>
      <c r="CA282" s="125"/>
      <c r="CB282" s="124" t="e">
        <v>#N/A</v>
      </c>
      <c r="CC282" s="126">
        <v>1</v>
      </c>
      <c r="CD282" s="127" t="s">
        <v>4160</v>
      </c>
      <c r="CE282" s="128"/>
      <c r="CF282" s="77" t="s">
        <v>4165</v>
      </c>
    </row>
    <row r="283" spans="1:85" ht="14.5" x14ac:dyDescent="0.35">
      <c r="A283" s="77">
        <v>282</v>
      </c>
      <c r="B283" s="106" t="s">
        <v>2590</v>
      </c>
      <c r="C283" s="107" t="s">
        <v>6406</v>
      </c>
      <c r="D283" s="108" t="s">
        <v>2591</v>
      </c>
      <c r="E283" s="109" t="s">
        <v>2502</v>
      </c>
      <c r="F283" s="110">
        <v>696663888</v>
      </c>
      <c r="G283" s="108" t="s">
        <v>1004</v>
      </c>
      <c r="H283" s="111" t="s">
        <v>1146</v>
      </c>
      <c r="I283" s="111" t="s">
        <v>352</v>
      </c>
      <c r="J283" s="111" t="s">
        <v>4649</v>
      </c>
      <c r="K283" s="111" t="s">
        <v>199</v>
      </c>
      <c r="L283" s="112">
        <v>42632</v>
      </c>
      <c r="M283" s="111" t="s">
        <v>371</v>
      </c>
      <c r="N283" s="113"/>
      <c r="O283" s="114" t="s">
        <v>7483</v>
      </c>
      <c r="P283" s="114" t="s">
        <v>7483</v>
      </c>
      <c r="Q283" s="114" t="s">
        <v>7483</v>
      </c>
      <c r="R283" s="114" t="s">
        <v>7484</v>
      </c>
      <c r="S283" s="114" t="s">
        <v>7411</v>
      </c>
      <c r="T283" s="114" t="s">
        <v>183</v>
      </c>
      <c r="U283" s="114" t="s">
        <v>183</v>
      </c>
      <c r="V283" s="115"/>
      <c r="W283" s="116" t="s">
        <v>2592</v>
      </c>
      <c r="X283" s="116" t="s">
        <v>2593</v>
      </c>
      <c r="Y283" s="117">
        <v>3485287</v>
      </c>
      <c r="Z283" s="117">
        <v>3486970</v>
      </c>
      <c r="AA283" s="118"/>
      <c r="AB283" s="119" t="s">
        <v>5803</v>
      </c>
      <c r="AC283" s="119" t="s">
        <v>2594</v>
      </c>
      <c r="AD283" s="119">
        <v>27701</v>
      </c>
      <c r="AE283" s="119" t="s">
        <v>2595</v>
      </c>
      <c r="AF283" s="119" t="s">
        <v>7078</v>
      </c>
      <c r="AG283" s="120"/>
      <c r="AH283" s="121">
        <v>44994</v>
      </c>
      <c r="AI283" s="121">
        <v>45056</v>
      </c>
      <c r="AJ283" s="121">
        <v>45002</v>
      </c>
      <c r="AK283" s="122">
        <v>45056</v>
      </c>
      <c r="AL283" s="122" t="e">
        <v>#N/A</v>
      </c>
      <c r="AM283" s="121" t="e">
        <v>#N/A</v>
      </c>
      <c r="AN283" s="121" t="e">
        <v>#N/A</v>
      </c>
      <c r="AO283" s="121" t="e">
        <v>#N/A</v>
      </c>
      <c r="AP283" s="122" t="e">
        <v>#N/A</v>
      </c>
      <c r="AQ283" s="122" t="e">
        <v>#N/A</v>
      </c>
      <c r="AR283" s="122" t="e">
        <v>#N/A</v>
      </c>
      <c r="AS283" s="122" t="e">
        <v>#N/A</v>
      </c>
      <c r="AT283" s="122">
        <v>45008</v>
      </c>
      <c r="AU283" s="121" t="e">
        <v>#N/A</v>
      </c>
      <c r="AV283" s="122" t="e">
        <v>#N/A</v>
      </c>
      <c r="AW283" s="122" t="e">
        <v>#N/A</v>
      </c>
      <c r="AX283" s="122" t="e">
        <v>#N/A</v>
      </c>
      <c r="AY283" s="122" t="e">
        <v>#N/A</v>
      </c>
      <c r="AZ283" s="122" t="e">
        <v>#N/A</v>
      </c>
      <c r="BA283" s="122" t="e">
        <v>#N/A</v>
      </c>
      <c r="BB283" s="122" t="e">
        <v>#N/A</v>
      </c>
      <c r="BC283" s="122" t="e">
        <v>#N/A</v>
      </c>
      <c r="BD283" s="122" t="e">
        <v>#N/A</v>
      </c>
      <c r="BE283" s="122" t="e">
        <v>#N/A</v>
      </c>
      <c r="BF283" s="122" t="e">
        <v>#N/A</v>
      </c>
      <c r="BG283" s="122" t="e">
        <v>#N/A</v>
      </c>
      <c r="BH283" s="122" t="e">
        <v>#N/A</v>
      </c>
      <c r="BI283" s="122" t="e">
        <v>#N/A</v>
      </c>
      <c r="BJ283" s="122" t="e">
        <v>#N/A</v>
      </c>
      <c r="BK283" s="122">
        <v>45995</v>
      </c>
      <c r="BL283" s="123"/>
      <c r="BM283" s="124" t="e">
        <v>#N/A</v>
      </c>
      <c r="BN283" s="124" t="e">
        <v>#N/A</v>
      </c>
      <c r="BO283" s="124" t="e">
        <v>#N/A</v>
      </c>
      <c r="BP283" s="124" t="e">
        <v>#N/A</v>
      </c>
      <c r="BQ283" s="124" t="e">
        <v>#N/A</v>
      </c>
      <c r="BR283" s="124" t="e">
        <v>#N/A</v>
      </c>
      <c r="BS283" s="124" t="e">
        <v>#N/A</v>
      </c>
      <c r="BT283" s="124" t="e">
        <v>#N/A</v>
      </c>
      <c r="BU283" s="124" t="e">
        <v>#N/A</v>
      </c>
      <c r="BV283" s="124" t="e">
        <v>#N/A</v>
      </c>
      <c r="BW283" s="124" t="e">
        <v>#N/A</v>
      </c>
      <c r="BX283" s="124" t="e">
        <v>#N/A</v>
      </c>
      <c r="BY283" s="124" t="e">
        <v>#N/A</v>
      </c>
      <c r="BZ283" s="124" t="e">
        <v>#N/A</v>
      </c>
      <c r="CA283" s="125"/>
      <c r="CB283" s="124" t="e">
        <v>#N/A</v>
      </c>
      <c r="CC283" s="126">
        <v>1</v>
      </c>
      <c r="CD283" s="127" t="s">
        <v>4161</v>
      </c>
      <c r="CE283" s="128"/>
      <c r="CF283" s="77" t="s">
        <v>4169</v>
      </c>
    </row>
    <row r="284" spans="1:85" ht="14.5" x14ac:dyDescent="0.35">
      <c r="A284" s="77">
        <v>283</v>
      </c>
      <c r="B284" s="106" t="s">
        <v>1809</v>
      </c>
      <c r="C284" s="107" t="s">
        <v>6454</v>
      </c>
      <c r="D284" s="108" t="s">
        <v>1911</v>
      </c>
      <c r="E284" s="109" t="s">
        <v>181</v>
      </c>
      <c r="F284" s="110">
        <v>685229474</v>
      </c>
      <c r="G284" s="108" t="s">
        <v>1004</v>
      </c>
      <c r="H284" s="111" t="s">
        <v>1146</v>
      </c>
      <c r="I284" s="111" t="s">
        <v>352</v>
      </c>
      <c r="J284" s="111" t="s">
        <v>4649</v>
      </c>
      <c r="K284" s="111" t="s">
        <v>305</v>
      </c>
      <c r="L284" s="112">
        <v>42999</v>
      </c>
      <c r="M284" s="111" t="s">
        <v>250</v>
      </c>
      <c r="N284" s="113"/>
      <c r="O284" s="114" t="s">
        <v>183</v>
      </c>
      <c r="P284" s="114" t="s">
        <v>183</v>
      </c>
      <c r="Q284" s="114" t="s">
        <v>225</v>
      </c>
      <c r="R284" s="114" t="s">
        <v>7331</v>
      </c>
      <c r="S284" s="114" t="s">
        <v>4373</v>
      </c>
      <c r="T284" s="114" t="s">
        <v>183</v>
      </c>
      <c r="U284" s="114" t="s">
        <v>183</v>
      </c>
      <c r="V284" s="115"/>
      <c r="W284" s="116" t="s">
        <v>1912</v>
      </c>
      <c r="X284" s="116" t="s">
        <v>1913</v>
      </c>
      <c r="Y284" s="117">
        <v>3485696</v>
      </c>
      <c r="Z284" s="117">
        <v>3481055</v>
      </c>
      <c r="AA284" s="118"/>
      <c r="AB284" s="119" t="s">
        <v>2042</v>
      </c>
      <c r="AC284" s="119" t="s">
        <v>1914</v>
      </c>
      <c r="AD284" s="119">
        <v>26235</v>
      </c>
      <c r="AE284" s="119" t="s">
        <v>4115</v>
      </c>
      <c r="AF284" s="119" t="s">
        <v>6212</v>
      </c>
      <c r="AG284" s="120"/>
      <c r="AH284" s="121">
        <v>44197</v>
      </c>
      <c r="AI284" s="121">
        <v>44197</v>
      </c>
      <c r="AJ284" s="121">
        <v>44197</v>
      </c>
      <c r="AK284" s="122">
        <v>44701</v>
      </c>
      <c r="AL284" s="122" t="e">
        <v>#N/A</v>
      </c>
      <c r="AM284" s="121" t="e">
        <v>#N/A</v>
      </c>
      <c r="AN284" s="121" t="e">
        <v>#N/A</v>
      </c>
      <c r="AO284" s="121" t="e">
        <v>#N/A</v>
      </c>
      <c r="AP284" s="122" t="e">
        <v>#N/A</v>
      </c>
      <c r="AQ284" s="122" t="e">
        <v>#N/A</v>
      </c>
      <c r="AR284" s="122" t="e">
        <v>#N/A</v>
      </c>
      <c r="AS284" s="122" t="e">
        <v>#N/A</v>
      </c>
      <c r="AT284" s="122" t="e">
        <v>#N/A</v>
      </c>
      <c r="AU284" s="121" t="e">
        <v>#N/A</v>
      </c>
      <c r="AV284" s="122" t="e">
        <v>#N/A</v>
      </c>
      <c r="AW284" s="122">
        <v>45936</v>
      </c>
      <c r="AX284" s="122">
        <v>44727</v>
      </c>
      <c r="AY284" s="122" t="e">
        <v>#N/A</v>
      </c>
      <c r="AZ284" s="122" t="e">
        <v>#N/A</v>
      </c>
      <c r="BA284" s="122" t="e">
        <v>#N/A</v>
      </c>
      <c r="BB284" s="122" t="e">
        <v>#N/A</v>
      </c>
      <c r="BC284" s="122" t="e">
        <v>#N/A</v>
      </c>
      <c r="BD284" s="122" t="e">
        <v>#N/A</v>
      </c>
      <c r="BE284" s="122" t="e">
        <v>#N/A</v>
      </c>
      <c r="BF284" s="122" t="e">
        <v>#N/A</v>
      </c>
      <c r="BG284" s="122" t="e">
        <v>#N/A</v>
      </c>
      <c r="BH284" s="122">
        <v>45512</v>
      </c>
      <c r="BI284" s="122" t="e">
        <v>#N/A</v>
      </c>
      <c r="BJ284" s="122" t="e">
        <v>#N/A</v>
      </c>
      <c r="BK284" s="122">
        <v>45924</v>
      </c>
      <c r="BL284" s="123"/>
      <c r="BM284" s="124">
        <v>45075</v>
      </c>
      <c r="BN284" s="124">
        <v>45078</v>
      </c>
      <c r="BO284" s="124" t="e">
        <v>#N/A</v>
      </c>
      <c r="BP284" s="124" t="e">
        <v>#N/A</v>
      </c>
      <c r="BQ284" s="124" t="e">
        <v>#N/A</v>
      </c>
      <c r="BR284" s="124" t="e">
        <v>#N/A</v>
      </c>
      <c r="BS284" s="124" t="e">
        <v>#N/A</v>
      </c>
      <c r="BT284" s="124" t="e">
        <v>#N/A</v>
      </c>
      <c r="BU284" s="124" t="e">
        <v>#N/A</v>
      </c>
      <c r="BV284" s="124" t="e">
        <v>#N/A</v>
      </c>
      <c r="BW284" s="124" t="e">
        <v>#N/A</v>
      </c>
      <c r="BX284" s="124" t="e">
        <v>#N/A</v>
      </c>
      <c r="BY284" s="124" t="e">
        <v>#N/A</v>
      </c>
      <c r="BZ284" s="124" t="e">
        <v>#N/A</v>
      </c>
      <c r="CA284" s="125"/>
      <c r="CB284" s="124" t="s">
        <v>5311</v>
      </c>
      <c r="CC284" s="126">
        <v>1</v>
      </c>
      <c r="CD284" s="127" t="s">
        <v>4169</v>
      </c>
      <c r="CE284" s="128"/>
      <c r="CF284" s="77" t="s">
        <v>4169</v>
      </c>
    </row>
    <row r="285" spans="1:85" ht="14.5" x14ac:dyDescent="0.35">
      <c r="A285" s="77">
        <v>284</v>
      </c>
      <c r="B285" s="106" t="s">
        <v>1543</v>
      </c>
      <c r="C285" s="107" t="s">
        <v>1544</v>
      </c>
      <c r="D285" s="108" t="s">
        <v>1545</v>
      </c>
      <c r="E285" s="109" t="s">
        <v>1546</v>
      </c>
      <c r="F285" s="110">
        <v>690119731</v>
      </c>
      <c r="G285" s="108" t="s">
        <v>1004</v>
      </c>
      <c r="H285" s="111" t="s">
        <v>1146</v>
      </c>
      <c r="I285" s="111" t="s">
        <v>352</v>
      </c>
      <c r="J285" s="111" t="s">
        <v>4649</v>
      </c>
      <c r="K285" s="111" t="s">
        <v>199</v>
      </c>
      <c r="L285" s="112">
        <v>41291</v>
      </c>
      <c r="M285" s="111" t="s">
        <v>250</v>
      </c>
      <c r="N285" s="113"/>
      <c r="O285" s="114" t="s">
        <v>184</v>
      </c>
      <c r="P285" s="114" t="s">
        <v>182</v>
      </c>
      <c r="Q285" s="114" t="s">
        <v>182</v>
      </c>
      <c r="R285" s="114" t="s">
        <v>7316</v>
      </c>
      <c r="S285" s="114" t="s">
        <v>5312</v>
      </c>
      <c r="T285" s="114" t="s">
        <v>183</v>
      </c>
      <c r="U285" s="114" t="s">
        <v>183</v>
      </c>
      <c r="V285" s="115"/>
      <c r="W285" s="116" t="s">
        <v>1547</v>
      </c>
      <c r="X285" s="116" t="s">
        <v>3388</v>
      </c>
      <c r="Y285" s="117">
        <v>3485632</v>
      </c>
      <c r="Z285" s="117">
        <v>3481319</v>
      </c>
      <c r="AA285" s="118"/>
      <c r="AB285" s="119" t="s">
        <v>5534</v>
      </c>
      <c r="AC285" s="119" t="s">
        <v>1597</v>
      </c>
      <c r="AD285" s="119">
        <v>5903</v>
      </c>
      <c r="AE285" s="119" t="s">
        <v>3399</v>
      </c>
      <c r="AF285" s="119" t="s">
        <v>6111</v>
      </c>
      <c r="AG285" s="120"/>
      <c r="AH285" s="121">
        <v>44641</v>
      </c>
      <c r="AI285" s="121">
        <v>44641</v>
      </c>
      <c r="AJ285" s="121">
        <v>44641</v>
      </c>
      <c r="AK285" s="122">
        <v>44641</v>
      </c>
      <c r="AL285" s="122">
        <v>44852</v>
      </c>
      <c r="AM285" s="122" t="e">
        <v>#N/A</v>
      </c>
      <c r="AN285" s="122">
        <v>46009</v>
      </c>
      <c r="AO285" s="121" t="s">
        <v>7480</v>
      </c>
      <c r="AP285" s="122" t="e">
        <v>#N/A</v>
      </c>
      <c r="AQ285" s="122" t="e">
        <v>#N/A</v>
      </c>
      <c r="AR285" s="122" t="e">
        <v>#N/A</v>
      </c>
      <c r="AS285" s="122" t="e">
        <v>#N/A</v>
      </c>
      <c r="AT285" s="122" t="e">
        <v>#N/A</v>
      </c>
      <c r="AU285" s="121" t="e">
        <v>#N/A</v>
      </c>
      <c r="AV285" s="122">
        <v>45078</v>
      </c>
      <c r="AW285" s="122">
        <v>45034</v>
      </c>
      <c r="AX285" s="122" t="e">
        <v>#N/A</v>
      </c>
      <c r="AY285" s="122" t="e">
        <v>#N/A</v>
      </c>
      <c r="AZ285" s="122" t="e">
        <v>#N/A</v>
      </c>
      <c r="BA285" s="122" t="e">
        <v>#N/A</v>
      </c>
      <c r="BB285" s="122" t="e">
        <v>#N/A</v>
      </c>
      <c r="BC285" s="122" t="e">
        <v>#N/A</v>
      </c>
      <c r="BD285" s="122" t="e">
        <v>#N/A</v>
      </c>
      <c r="BE285" s="122" t="e">
        <v>#N/A</v>
      </c>
      <c r="BF285" s="122" t="e">
        <v>#N/A</v>
      </c>
      <c r="BG285" s="122" t="e">
        <v>#N/A</v>
      </c>
      <c r="BH285" s="122">
        <v>45512</v>
      </c>
      <c r="BI285" s="122" t="e">
        <v>#N/A</v>
      </c>
      <c r="BJ285" s="122" t="e">
        <v>#N/A</v>
      </c>
      <c r="BK285" s="122">
        <v>45924</v>
      </c>
      <c r="BL285" s="123"/>
      <c r="BM285" s="124" t="e">
        <v>#N/A</v>
      </c>
      <c r="BN285" s="124" t="e">
        <v>#N/A</v>
      </c>
      <c r="BO285" s="124" t="e">
        <v>#N/A</v>
      </c>
      <c r="BP285" s="124" t="e">
        <v>#N/A</v>
      </c>
      <c r="BQ285" s="124" t="e">
        <v>#N/A</v>
      </c>
      <c r="BR285" s="124" t="e">
        <v>#N/A</v>
      </c>
      <c r="BS285" s="124" t="e">
        <v>#N/A</v>
      </c>
      <c r="BT285" s="124" t="e">
        <v>#N/A</v>
      </c>
      <c r="BU285" s="124" t="e">
        <v>#N/A</v>
      </c>
      <c r="BV285" s="124" t="e">
        <v>#N/A</v>
      </c>
      <c r="BW285" s="124" t="e">
        <v>#N/A</v>
      </c>
      <c r="BX285" s="124" t="e">
        <v>#N/A</v>
      </c>
      <c r="BY285" s="124" t="e">
        <v>#N/A</v>
      </c>
      <c r="BZ285" s="124" t="e">
        <v>#N/A</v>
      </c>
      <c r="CA285" s="125"/>
      <c r="CB285" s="124">
        <v>45840</v>
      </c>
      <c r="CC285" s="126">
        <v>1</v>
      </c>
      <c r="CD285" s="127" t="s">
        <v>4151</v>
      </c>
      <c r="CE285" s="128"/>
      <c r="CF285" s="77" t="s">
        <v>4169</v>
      </c>
    </row>
    <row r="286" spans="1:85" ht="14.5" x14ac:dyDescent="0.35">
      <c r="A286" s="77">
        <v>285</v>
      </c>
      <c r="B286" s="106" t="s">
        <v>43</v>
      </c>
      <c r="C286" s="107" t="s">
        <v>6436</v>
      </c>
      <c r="D286" s="108" t="s">
        <v>483</v>
      </c>
      <c r="E286" s="109" t="s">
        <v>256</v>
      </c>
      <c r="F286" s="110">
        <v>655786814</v>
      </c>
      <c r="G286" s="108" t="s">
        <v>1004</v>
      </c>
      <c r="H286" s="111" t="s">
        <v>1146</v>
      </c>
      <c r="I286" s="111" t="s">
        <v>352</v>
      </c>
      <c r="J286" s="111" t="s">
        <v>4649</v>
      </c>
      <c r="K286" s="111" t="s">
        <v>199</v>
      </c>
      <c r="L286" s="112">
        <v>41253</v>
      </c>
      <c r="M286" s="111" t="s">
        <v>349</v>
      </c>
      <c r="N286" s="113"/>
      <c r="O286" s="114" t="s">
        <v>246</v>
      </c>
      <c r="P286" s="114" t="s">
        <v>257</v>
      </c>
      <c r="Q286" s="114" t="s">
        <v>246</v>
      </c>
      <c r="R286" s="114" t="s">
        <v>5904</v>
      </c>
      <c r="S286" s="114" t="s">
        <v>7077</v>
      </c>
      <c r="T286" s="114" t="s">
        <v>7075</v>
      </c>
      <c r="U286" s="114" t="s">
        <v>7075</v>
      </c>
      <c r="V286" s="115"/>
      <c r="W286" s="116" t="s">
        <v>484</v>
      </c>
      <c r="X286" s="116" t="s">
        <v>1057</v>
      </c>
      <c r="Y286" s="117">
        <v>3485478</v>
      </c>
      <c r="Z286" s="117">
        <v>3481046</v>
      </c>
      <c r="AA286" s="118"/>
      <c r="AB286" s="119" t="s">
        <v>5800</v>
      </c>
      <c r="AC286" s="119" t="s">
        <v>1168</v>
      </c>
      <c r="AD286" s="119">
        <v>26236</v>
      </c>
      <c r="AE286" s="119" t="s">
        <v>4116</v>
      </c>
      <c r="AF286" s="119" t="s">
        <v>7089</v>
      </c>
      <c r="AG286" s="120"/>
      <c r="AH286" s="121">
        <v>44197</v>
      </c>
      <c r="AI286" s="121">
        <v>44197</v>
      </c>
      <c r="AJ286" s="121">
        <v>44197</v>
      </c>
      <c r="AK286" s="122">
        <v>44197</v>
      </c>
      <c r="AL286" s="122" t="e">
        <v>#N/A</v>
      </c>
      <c r="AM286" s="122" t="e">
        <v>#N/A</v>
      </c>
      <c r="AN286" s="122" t="e">
        <v>#N/A</v>
      </c>
      <c r="AO286" s="121" t="e">
        <v>#N/A</v>
      </c>
      <c r="AP286" s="122" t="e">
        <v>#N/A</v>
      </c>
      <c r="AQ286" s="122" t="e">
        <v>#N/A</v>
      </c>
      <c r="AR286" s="122" t="e">
        <v>#N/A</v>
      </c>
      <c r="AS286" s="122" t="e">
        <v>#N/A</v>
      </c>
      <c r="AT286" s="122" t="e">
        <v>#N/A</v>
      </c>
      <c r="AU286" s="121" t="e">
        <v>#N/A</v>
      </c>
      <c r="AV286" s="122" t="e">
        <v>#N/A</v>
      </c>
      <c r="AW286" s="122">
        <v>45989</v>
      </c>
      <c r="AX286" s="122" t="e">
        <v>#N/A</v>
      </c>
      <c r="AY286" s="122" t="e">
        <v>#N/A</v>
      </c>
      <c r="AZ286" s="122" t="e">
        <v>#N/A</v>
      </c>
      <c r="BA286" s="122" t="e">
        <v>#N/A</v>
      </c>
      <c r="BB286" s="122" t="e">
        <v>#N/A</v>
      </c>
      <c r="BC286" s="122" t="e">
        <v>#N/A</v>
      </c>
      <c r="BD286" s="122" t="e">
        <v>#N/A</v>
      </c>
      <c r="BE286" s="122" t="e">
        <v>#N/A</v>
      </c>
      <c r="BF286" s="122" t="e">
        <v>#N/A</v>
      </c>
      <c r="BG286" s="122" t="e">
        <v>#N/A</v>
      </c>
      <c r="BH286" s="122">
        <v>45446</v>
      </c>
      <c r="BI286" s="122" t="e">
        <v>#N/A</v>
      </c>
      <c r="BJ286" s="122" t="e">
        <v>#N/A</v>
      </c>
      <c r="BK286" s="122">
        <v>45995</v>
      </c>
      <c r="BL286" s="123"/>
      <c r="BM286" s="124">
        <v>44197</v>
      </c>
      <c r="BN286" s="124">
        <v>44197</v>
      </c>
      <c r="BO286" s="124">
        <v>44197</v>
      </c>
      <c r="BP286" s="124">
        <v>44197</v>
      </c>
      <c r="BQ286" s="124">
        <v>44197</v>
      </c>
      <c r="BR286" s="124">
        <v>44197</v>
      </c>
      <c r="BS286" s="124" t="s">
        <v>199</v>
      </c>
      <c r="BT286" s="124" t="s">
        <v>199</v>
      </c>
      <c r="BU286" s="124" t="e">
        <v>#N/A</v>
      </c>
      <c r="BV286" s="124" t="e">
        <v>#N/A</v>
      </c>
      <c r="BW286" s="124" t="e">
        <v>#N/A</v>
      </c>
      <c r="BX286" s="124" t="e">
        <v>#N/A</v>
      </c>
      <c r="BY286" s="124" t="e">
        <v>#N/A</v>
      </c>
      <c r="BZ286" s="124" t="e">
        <v>#N/A</v>
      </c>
      <c r="CA286" s="125"/>
      <c r="CB286" s="124">
        <v>45727</v>
      </c>
      <c r="CC286" s="126">
        <v>1</v>
      </c>
      <c r="CD286" s="127" t="s">
        <v>4169</v>
      </c>
      <c r="CE286" s="128" t="e">
        <v>#REF!</v>
      </c>
      <c r="CF286" s="77" t="s">
        <v>4172</v>
      </c>
      <c r="CG286" s="77" t="e">
        <v>#REF!</v>
      </c>
    </row>
    <row r="287" spans="1:85" ht="14.5" x14ac:dyDescent="0.35">
      <c r="A287" s="77">
        <v>286</v>
      </c>
      <c r="B287" s="106" t="s">
        <v>1032</v>
      </c>
      <c r="C287" s="107" t="s">
        <v>1415</v>
      </c>
      <c r="D287" s="108" t="s">
        <v>1033</v>
      </c>
      <c r="E287" s="109" t="s">
        <v>1034</v>
      </c>
      <c r="F287" s="110">
        <v>627098947</v>
      </c>
      <c r="G287" s="108" t="s">
        <v>1004</v>
      </c>
      <c r="H287" s="111" t="s">
        <v>1146</v>
      </c>
      <c r="I287" s="111" t="s">
        <v>352</v>
      </c>
      <c r="J287" s="111" t="s">
        <v>4649</v>
      </c>
      <c r="K287" s="111" t="s">
        <v>305</v>
      </c>
      <c r="L287" s="112">
        <v>44743</v>
      </c>
      <c r="M287" s="111" t="s">
        <v>349</v>
      </c>
      <c r="N287" s="113"/>
      <c r="O287" s="114" t="s">
        <v>7179</v>
      </c>
      <c r="P287" s="114" t="s">
        <v>7179</v>
      </c>
      <c r="Q287" s="114" t="s">
        <v>7179</v>
      </c>
      <c r="R287" s="114" t="s">
        <v>7179</v>
      </c>
      <c r="S287" s="114" t="s">
        <v>7179</v>
      </c>
      <c r="T287" s="114" t="s">
        <v>183</v>
      </c>
      <c r="U287" s="114" t="s">
        <v>183</v>
      </c>
      <c r="V287" s="115"/>
      <c r="W287" s="116" t="s">
        <v>1977</v>
      </c>
      <c r="X287" s="116" t="s">
        <v>2168</v>
      </c>
      <c r="Y287" s="117">
        <v>3485445</v>
      </c>
      <c r="Z287" s="117">
        <v>3486168</v>
      </c>
      <c r="AA287" s="118"/>
      <c r="AB287" s="119" t="s">
        <v>5717</v>
      </c>
      <c r="AC287" s="119" t="s">
        <v>1978</v>
      </c>
      <c r="AD287" s="119">
        <v>26230</v>
      </c>
      <c r="AE287" s="119" t="s">
        <v>4110</v>
      </c>
      <c r="AF287" s="119">
        <v>0</v>
      </c>
      <c r="AG287" s="120"/>
      <c r="AH287" s="121">
        <v>44197</v>
      </c>
      <c r="AI287" s="121">
        <v>44593</v>
      </c>
      <c r="AJ287" s="121">
        <v>44593</v>
      </c>
      <c r="AK287" s="122">
        <v>44593</v>
      </c>
      <c r="AL287" s="122" t="e">
        <v>#N/A</v>
      </c>
      <c r="AM287" s="121" t="e">
        <v>#N/A</v>
      </c>
      <c r="AN287" s="121" t="e">
        <v>#N/A</v>
      </c>
      <c r="AO287" s="121" t="e">
        <v>#N/A</v>
      </c>
      <c r="AP287" s="122" t="e">
        <v>#N/A</v>
      </c>
      <c r="AQ287" s="122" t="e">
        <v>#N/A</v>
      </c>
      <c r="AR287" s="122" t="e">
        <v>#N/A</v>
      </c>
      <c r="AS287" s="122" t="e">
        <v>#N/A</v>
      </c>
      <c r="AT287" s="122" t="e">
        <v>#N/A</v>
      </c>
      <c r="AU287" s="121" t="e">
        <v>#N/A</v>
      </c>
      <c r="AV287" s="122" t="e">
        <v>#N/A</v>
      </c>
      <c r="AW287" s="122" t="e">
        <v>#N/A</v>
      </c>
      <c r="AX287" s="122" t="e">
        <v>#N/A</v>
      </c>
      <c r="AY287" s="122" t="e">
        <v>#N/A</v>
      </c>
      <c r="AZ287" s="122" t="e">
        <v>#N/A</v>
      </c>
      <c r="BA287" s="122" t="e">
        <v>#N/A</v>
      </c>
      <c r="BB287" s="122" t="e">
        <v>#N/A</v>
      </c>
      <c r="BC287" s="122" t="e">
        <v>#N/A</v>
      </c>
      <c r="BD287" s="122" t="e">
        <v>#N/A</v>
      </c>
      <c r="BE287" s="122" t="e">
        <v>#N/A</v>
      </c>
      <c r="BF287" s="122" t="e">
        <v>#N/A</v>
      </c>
      <c r="BG287" s="122" t="e">
        <v>#N/A</v>
      </c>
      <c r="BH287" s="122">
        <v>45446</v>
      </c>
      <c r="BI287" s="122" t="e">
        <v>#N/A</v>
      </c>
      <c r="BJ287" s="122" t="e">
        <v>#N/A</v>
      </c>
      <c r="BK287" s="122" t="e">
        <v>#N/A</v>
      </c>
      <c r="BL287" s="123"/>
      <c r="BM287" s="124" t="e">
        <v>#N/A</v>
      </c>
      <c r="BN287" s="124" t="e">
        <v>#N/A</v>
      </c>
      <c r="BO287" s="124" t="e">
        <v>#N/A</v>
      </c>
      <c r="BP287" s="124" t="e">
        <v>#N/A</v>
      </c>
      <c r="BQ287" s="124" t="e">
        <v>#N/A</v>
      </c>
      <c r="BR287" s="124" t="e">
        <v>#N/A</v>
      </c>
      <c r="BS287" s="124" t="e">
        <v>#N/A</v>
      </c>
      <c r="BT287" s="124" t="e">
        <v>#N/A</v>
      </c>
      <c r="BU287" s="124" t="e">
        <v>#N/A</v>
      </c>
      <c r="BV287" s="124" t="e">
        <v>#N/A</v>
      </c>
      <c r="BW287" s="124" t="e">
        <v>#N/A</v>
      </c>
      <c r="BX287" s="124" t="e">
        <v>#N/A</v>
      </c>
      <c r="BY287" s="124" t="e">
        <v>#N/A</v>
      </c>
      <c r="BZ287" s="124" t="e">
        <v>#N/A</v>
      </c>
      <c r="CA287" s="125"/>
      <c r="CB287" s="124" t="e">
        <v>#N/A</v>
      </c>
      <c r="CC287" s="126">
        <v>1</v>
      </c>
      <c r="CD287" s="127" t="s">
        <v>4148</v>
      </c>
      <c r="CE287" s="128"/>
      <c r="CF287" s="77" t="s">
        <v>4169</v>
      </c>
    </row>
    <row r="288" spans="1:85" ht="14.5" x14ac:dyDescent="0.35">
      <c r="A288" s="77">
        <v>287</v>
      </c>
      <c r="B288" s="106" t="s">
        <v>171</v>
      </c>
      <c r="C288" s="107" t="s">
        <v>1333</v>
      </c>
      <c r="D288" s="108" t="s">
        <v>928</v>
      </c>
      <c r="E288" s="109" t="s">
        <v>929</v>
      </c>
      <c r="F288" s="110">
        <v>677891661</v>
      </c>
      <c r="G288" s="108" t="s">
        <v>1004</v>
      </c>
      <c r="H288" s="111" t="s">
        <v>1146</v>
      </c>
      <c r="I288" s="111" t="s">
        <v>352</v>
      </c>
      <c r="J288" s="111" t="s">
        <v>4649</v>
      </c>
      <c r="K288" s="111" t="s">
        <v>3159</v>
      </c>
      <c r="L288" s="112">
        <v>44179</v>
      </c>
      <c r="M288" s="111" t="s">
        <v>250</v>
      </c>
      <c r="N288" s="113"/>
      <c r="O288" s="114" t="s">
        <v>182</v>
      </c>
      <c r="P288" s="114" t="s">
        <v>246</v>
      </c>
      <c r="Q288" s="114" t="s">
        <v>7485</v>
      </c>
      <c r="R288" s="114" t="s">
        <v>7364</v>
      </c>
      <c r="S288" s="114" t="s">
        <v>6095</v>
      </c>
      <c r="T288" s="114" t="s">
        <v>183</v>
      </c>
      <c r="U288" s="114" t="s">
        <v>183</v>
      </c>
      <c r="V288" s="115"/>
      <c r="W288" s="116" t="s">
        <v>930</v>
      </c>
      <c r="X288" s="116" t="s">
        <v>2392</v>
      </c>
      <c r="Y288" s="117">
        <v>3485451</v>
      </c>
      <c r="Z288" s="117">
        <v>3481172</v>
      </c>
      <c r="AA288" s="118"/>
      <c r="AB288" s="119" t="s">
        <v>5801</v>
      </c>
      <c r="AC288" s="119" t="s">
        <v>1334</v>
      </c>
      <c r="AD288" s="119">
        <v>4357</v>
      </c>
      <c r="AE288" s="119" t="s">
        <v>931</v>
      </c>
      <c r="AF288" s="119" t="s">
        <v>6112</v>
      </c>
      <c r="AG288" s="120"/>
      <c r="AH288" s="121">
        <v>44197</v>
      </c>
      <c r="AI288" s="121">
        <v>44197</v>
      </c>
      <c r="AJ288" s="121">
        <v>44197</v>
      </c>
      <c r="AK288" s="122">
        <v>44197</v>
      </c>
      <c r="AL288" s="122">
        <v>44197</v>
      </c>
      <c r="AM288" s="121" t="e">
        <v>#N/A</v>
      </c>
      <c r="AN288" s="121">
        <v>44197</v>
      </c>
      <c r="AO288" s="121" t="e">
        <v>#N/A</v>
      </c>
      <c r="AP288" s="122" t="e">
        <v>#N/A</v>
      </c>
      <c r="AQ288" s="122" t="e">
        <v>#N/A</v>
      </c>
      <c r="AR288" s="122">
        <v>44197</v>
      </c>
      <c r="AS288" s="122" t="e">
        <v>#N/A</v>
      </c>
      <c r="AT288" s="122" t="e">
        <v>#N/A</v>
      </c>
      <c r="AU288" s="121" t="e">
        <v>#N/A</v>
      </c>
      <c r="AV288" s="122" t="e">
        <v>#N/A</v>
      </c>
      <c r="AW288" s="122" t="e">
        <v>#N/A</v>
      </c>
      <c r="AX288" s="122" t="e">
        <v>#N/A</v>
      </c>
      <c r="AY288" s="122" t="e">
        <v>#N/A</v>
      </c>
      <c r="AZ288" s="122" t="e">
        <v>#N/A</v>
      </c>
      <c r="BA288" s="122" t="e">
        <v>#N/A</v>
      </c>
      <c r="BB288" s="122" t="e">
        <v>#N/A</v>
      </c>
      <c r="BC288" s="122" t="e">
        <v>#N/A</v>
      </c>
      <c r="BD288" s="122" t="e">
        <v>#N/A</v>
      </c>
      <c r="BE288" s="122" t="e">
        <v>#N/A</v>
      </c>
      <c r="BF288" s="122" t="e">
        <v>#N/A</v>
      </c>
      <c r="BG288" s="122" t="e">
        <v>#N/A</v>
      </c>
      <c r="BH288" s="122">
        <v>45446</v>
      </c>
      <c r="BI288" s="122" t="e">
        <v>#N/A</v>
      </c>
      <c r="BJ288" s="122" t="e">
        <v>#N/A</v>
      </c>
      <c r="BK288" s="122">
        <v>45924</v>
      </c>
      <c r="BL288" s="123"/>
      <c r="BM288" s="124" t="e">
        <v>#N/A</v>
      </c>
      <c r="BN288" s="124" t="e">
        <v>#N/A</v>
      </c>
      <c r="BO288" s="124" t="e">
        <v>#N/A</v>
      </c>
      <c r="BP288" s="124" t="e">
        <v>#N/A</v>
      </c>
      <c r="BQ288" s="124" t="e">
        <v>#N/A</v>
      </c>
      <c r="BR288" s="124" t="e">
        <v>#N/A</v>
      </c>
      <c r="BS288" s="124" t="e">
        <v>#N/A</v>
      </c>
      <c r="BT288" s="124" t="e">
        <v>#N/A</v>
      </c>
      <c r="BU288" s="124" t="e">
        <v>#N/A</v>
      </c>
      <c r="BV288" s="124" t="e">
        <v>#N/A</v>
      </c>
      <c r="BW288" s="124" t="e">
        <v>#N/A</v>
      </c>
      <c r="BX288" s="124" t="e">
        <v>#N/A</v>
      </c>
      <c r="BY288" s="124" t="e">
        <v>#N/A</v>
      </c>
      <c r="BZ288" s="124" t="e">
        <v>#N/A</v>
      </c>
      <c r="CA288" s="125"/>
      <c r="CB288" s="124">
        <v>45729</v>
      </c>
      <c r="CC288" s="126">
        <v>1</v>
      </c>
      <c r="CD288" s="127" t="s">
        <v>4169</v>
      </c>
      <c r="CE288" s="128"/>
      <c r="CF288" s="77" t="s">
        <v>4169</v>
      </c>
    </row>
    <row r="289" spans="1:84" ht="14.5" x14ac:dyDescent="0.35">
      <c r="A289" s="77">
        <v>288</v>
      </c>
      <c r="B289" s="106" t="s">
        <v>2927</v>
      </c>
      <c r="C289" s="107" t="s">
        <v>6403</v>
      </c>
      <c r="D289" s="108" t="s">
        <v>2915</v>
      </c>
      <c r="E289" s="109" t="s">
        <v>4035</v>
      </c>
      <c r="F289" s="110">
        <v>642374665</v>
      </c>
      <c r="G289" s="108" t="s">
        <v>1004</v>
      </c>
      <c r="H289" s="111" t="s">
        <v>1146</v>
      </c>
      <c r="I289" s="111" t="s">
        <v>352</v>
      </c>
      <c r="J289" s="111" t="s">
        <v>4649</v>
      </c>
      <c r="K289" s="111" t="s">
        <v>3159</v>
      </c>
      <c r="L289" s="112">
        <v>45161</v>
      </c>
      <c r="M289" s="111" t="s">
        <v>250</v>
      </c>
      <c r="N289" s="113"/>
      <c r="O289" s="114" t="s">
        <v>607</v>
      </c>
      <c r="P289" s="114" t="s">
        <v>3211</v>
      </c>
      <c r="Q289" s="114" t="s">
        <v>607</v>
      </c>
      <c r="R289" s="114" t="s">
        <v>607</v>
      </c>
      <c r="S289" s="114" t="s">
        <v>607</v>
      </c>
      <c r="T289" s="114" t="s">
        <v>183</v>
      </c>
      <c r="U289" s="114" t="s">
        <v>183</v>
      </c>
      <c r="V289" s="115"/>
      <c r="W289" s="116" t="s">
        <v>2916</v>
      </c>
      <c r="X289" s="116" t="s">
        <v>4141</v>
      </c>
      <c r="Y289" s="117">
        <v>3485818</v>
      </c>
      <c r="Z289" s="117">
        <v>3486250</v>
      </c>
      <c r="AA289" s="118"/>
      <c r="AB289" s="119" t="s">
        <v>5191</v>
      </c>
      <c r="AC289" s="119" t="s">
        <v>2917</v>
      </c>
      <c r="AD289" s="119">
        <v>4341</v>
      </c>
      <c r="AE289" s="119" t="s">
        <v>2918</v>
      </c>
      <c r="AF289" s="119">
        <v>0</v>
      </c>
      <c r="AG289" s="120"/>
      <c r="AH289" s="121">
        <v>45161</v>
      </c>
      <c r="AI289" s="121">
        <v>45376</v>
      </c>
      <c r="AJ289" s="121">
        <v>45161</v>
      </c>
      <c r="AK289" s="122">
        <v>45376</v>
      </c>
      <c r="AL289" s="122" t="e">
        <v>#N/A</v>
      </c>
      <c r="AM289" s="121" t="e">
        <v>#N/A</v>
      </c>
      <c r="AN289" s="121">
        <v>46006</v>
      </c>
      <c r="AO289" s="121">
        <v>46006</v>
      </c>
      <c r="AP289" s="122">
        <v>46006</v>
      </c>
      <c r="AQ289" s="122" t="e">
        <v>#N/A</v>
      </c>
      <c r="AR289" s="122" t="e">
        <v>#N/A</v>
      </c>
      <c r="AS289" s="122" t="e">
        <v>#N/A</v>
      </c>
      <c r="AT289" s="122" t="e">
        <v>#N/A</v>
      </c>
      <c r="AU289" s="121" t="e">
        <v>#N/A</v>
      </c>
      <c r="AV289" s="122" t="e">
        <v>#N/A</v>
      </c>
      <c r="AW289" s="122">
        <v>45595</v>
      </c>
      <c r="AX289" s="122" t="e">
        <v>#N/A</v>
      </c>
      <c r="AY289" s="122" t="e">
        <v>#N/A</v>
      </c>
      <c r="AZ289" s="122" t="e">
        <v>#N/A</v>
      </c>
      <c r="BA289" s="122" t="e">
        <v>#N/A</v>
      </c>
      <c r="BB289" s="122" t="e">
        <v>#N/A</v>
      </c>
      <c r="BC289" s="122" t="e">
        <v>#N/A</v>
      </c>
      <c r="BD289" s="122" t="e">
        <v>#N/A</v>
      </c>
      <c r="BE289" s="122" t="e">
        <v>#N/A</v>
      </c>
      <c r="BF289" s="122" t="e">
        <v>#N/A</v>
      </c>
      <c r="BG289" s="122" t="e">
        <v>#N/A</v>
      </c>
      <c r="BH289" s="122">
        <v>45587</v>
      </c>
      <c r="BI289" s="122" t="e">
        <v>#N/A</v>
      </c>
      <c r="BJ289" s="122" t="e">
        <v>#N/A</v>
      </c>
      <c r="BK289" s="122" t="e">
        <v>#N/A</v>
      </c>
      <c r="BL289" s="123"/>
      <c r="BM289" s="124" t="e">
        <v>#N/A</v>
      </c>
      <c r="BN289" s="124" t="e">
        <v>#N/A</v>
      </c>
      <c r="BO289" s="124" t="e">
        <v>#N/A</v>
      </c>
      <c r="BP289" s="124" t="e">
        <v>#N/A</v>
      </c>
      <c r="BQ289" s="124" t="e">
        <v>#N/A</v>
      </c>
      <c r="BR289" s="124" t="e">
        <v>#N/A</v>
      </c>
      <c r="BS289" s="124" t="e">
        <v>#N/A</v>
      </c>
      <c r="BT289" s="124" t="e">
        <v>#N/A</v>
      </c>
      <c r="BU289" s="124" t="e">
        <v>#N/A</v>
      </c>
      <c r="BV289" s="124" t="e">
        <v>#N/A</v>
      </c>
      <c r="BW289" s="124" t="e">
        <v>#N/A</v>
      </c>
      <c r="BX289" s="124" t="e">
        <v>#N/A</v>
      </c>
      <c r="BY289" s="124" t="e">
        <v>#N/A</v>
      </c>
      <c r="BZ289" s="124" t="e">
        <v>#N/A</v>
      </c>
      <c r="CA289" s="125"/>
      <c r="CB289" s="124" t="e">
        <v>#N/A</v>
      </c>
      <c r="CC289" s="126">
        <v>1</v>
      </c>
      <c r="CD289" s="127" t="s">
        <v>4179</v>
      </c>
      <c r="CE289" s="128"/>
      <c r="CF289" s="77" t="s">
        <v>4169</v>
      </c>
    </row>
    <row r="290" spans="1:84" ht="14.5" x14ac:dyDescent="0.35">
      <c r="A290" s="77">
        <v>289</v>
      </c>
      <c r="B290" s="106" t="s">
        <v>117</v>
      </c>
      <c r="C290" s="107" t="s">
        <v>1345</v>
      </c>
      <c r="D290" s="108" t="s">
        <v>739</v>
      </c>
      <c r="E290" s="109" t="s">
        <v>740</v>
      </c>
      <c r="F290" s="110">
        <v>630704316</v>
      </c>
      <c r="G290" s="108" t="s">
        <v>1004</v>
      </c>
      <c r="H290" s="111" t="s">
        <v>1146</v>
      </c>
      <c r="I290" s="111" t="s">
        <v>352</v>
      </c>
      <c r="J290" s="111" t="s">
        <v>4649</v>
      </c>
      <c r="K290" s="111" t="s">
        <v>3159</v>
      </c>
      <c r="L290" s="112">
        <v>43519</v>
      </c>
      <c r="M290" s="111" t="s">
        <v>371</v>
      </c>
      <c r="N290" s="113"/>
      <c r="O290" s="114" t="s">
        <v>1169</v>
      </c>
      <c r="P290" s="114" t="s">
        <v>7077</v>
      </c>
      <c r="Q290" s="114" t="s">
        <v>7101</v>
      </c>
      <c r="R290" s="114" t="s">
        <v>7484</v>
      </c>
      <c r="S290" s="114" t="s">
        <v>7483</v>
      </c>
      <c r="T290" s="114" t="s">
        <v>183</v>
      </c>
      <c r="U290" s="114" t="s">
        <v>183</v>
      </c>
      <c r="V290" s="115"/>
      <c r="W290" s="116" t="s">
        <v>1937</v>
      </c>
      <c r="X290" s="116" t="s">
        <v>4140</v>
      </c>
      <c r="Y290" s="117">
        <v>3485502</v>
      </c>
      <c r="Z290" s="117">
        <v>3481017</v>
      </c>
      <c r="AA290" s="118"/>
      <c r="AB290" s="119" t="s">
        <v>5619</v>
      </c>
      <c r="AC290" s="119" t="s">
        <v>1938</v>
      </c>
      <c r="AD290" s="119">
        <v>4185</v>
      </c>
      <c r="AE290" s="119" t="s">
        <v>1939</v>
      </c>
      <c r="AF290" s="119" t="s">
        <v>6219</v>
      </c>
      <c r="AG290" s="120"/>
      <c r="AH290" s="121">
        <v>44197</v>
      </c>
      <c r="AI290" s="121">
        <v>44197</v>
      </c>
      <c r="AJ290" s="121">
        <v>44197</v>
      </c>
      <c r="AK290" s="122">
        <v>44197</v>
      </c>
      <c r="AL290" s="122" t="e">
        <v>#N/A</v>
      </c>
      <c r="AM290" s="121" t="e">
        <v>#N/A</v>
      </c>
      <c r="AN290" s="121" t="e">
        <v>#N/A</v>
      </c>
      <c r="AO290" s="121" t="e">
        <v>#N/A</v>
      </c>
      <c r="AP290" s="122" t="e">
        <v>#N/A</v>
      </c>
      <c r="AQ290" s="122" t="e">
        <v>#N/A</v>
      </c>
      <c r="AR290" s="122" t="e">
        <v>#N/A</v>
      </c>
      <c r="AS290" s="122" t="e">
        <v>#N/A</v>
      </c>
      <c r="AT290" s="122" t="e">
        <v>#N/A</v>
      </c>
      <c r="AU290" s="121" t="e">
        <v>#N/A</v>
      </c>
      <c r="AV290" s="122">
        <v>44607</v>
      </c>
      <c r="AW290" s="122">
        <v>44607</v>
      </c>
      <c r="AX290" s="122" t="e">
        <v>#N/A</v>
      </c>
      <c r="AY290" s="122" t="e">
        <v>#N/A</v>
      </c>
      <c r="AZ290" s="122" t="e">
        <v>#N/A</v>
      </c>
      <c r="BA290" s="122" t="e">
        <v>#N/A</v>
      </c>
      <c r="BB290" s="122" t="e">
        <v>#N/A</v>
      </c>
      <c r="BC290" s="122" t="e">
        <v>#N/A</v>
      </c>
      <c r="BD290" s="122" t="e">
        <v>#N/A</v>
      </c>
      <c r="BE290" s="122" t="e">
        <v>#N/A</v>
      </c>
      <c r="BF290" s="122" t="e">
        <v>#N/A</v>
      </c>
      <c r="BG290" s="122" t="e">
        <v>#N/A</v>
      </c>
      <c r="BH290" s="122" t="e">
        <v>#N/A</v>
      </c>
      <c r="BI290" s="122" t="e">
        <v>#N/A</v>
      </c>
      <c r="BJ290" s="122" t="e">
        <v>#N/A</v>
      </c>
      <c r="BK290" s="122">
        <v>45945</v>
      </c>
      <c r="BL290" s="123"/>
      <c r="BM290" s="124">
        <v>44197</v>
      </c>
      <c r="BN290" s="124">
        <v>44197</v>
      </c>
      <c r="BO290" s="124">
        <v>44197</v>
      </c>
      <c r="BP290" s="124">
        <v>44197</v>
      </c>
      <c r="BQ290" s="124">
        <v>44197</v>
      </c>
      <c r="BR290" s="124">
        <v>44197</v>
      </c>
      <c r="BS290" s="124">
        <v>44979</v>
      </c>
      <c r="BT290" s="124">
        <v>44979</v>
      </c>
      <c r="BU290" s="124">
        <v>44197</v>
      </c>
      <c r="BV290" s="124">
        <v>44197</v>
      </c>
      <c r="BW290" s="124">
        <v>44197</v>
      </c>
      <c r="BX290" s="124">
        <v>44197</v>
      </c>
      <c r="BY290" s="124" t="e">
        <v>#N/A</v>
      </c>
      <c r="BZ290" s="124" t="e">
        <v>#N/A</v>
      </c>
      <c r="CA290" s="125"/>
      <c r="CB290" s="124" t="e">
        <v>#N/A</v>
      </c>
      <c r="CC290" s="126">
        <v>1</v>
      </c>
      <c r="CD290" s="127" t="s">
        <v>4169</v>
      </c>
      <c r="CE290" s="128"/>
      <c r="CF290" s="77" t="s">
        <v>4169</v>
      </c>
    </row>
    <row r="291" spans="1:84" ht="14.5" x14ac:dyDescent="0.35">
      <c r="A291" s="77">
        <v>290</v>
      </c>
      <c r="B291" s="106" t="s">
        <v>5448</v>
      </c>
      <c r="C291" s="107" t="s">
        <v>6470</v>
      </c>
      <c r="D291" s="108" t="s">
        <v>5449</v>
      </c>
      <c r="E291" s="109" t="s">
        <v>5450</v>
      </c>
      <c r="F291" s="110">
        <v>663712965</v>
      </c>
      <c r="G291" s="108" t="s">
        <v>190</v>
      </c>
      <c r="H291" s="111" t="s">
        <v>1146</v>
      </c>
      <c r="I291" s="111" t="s">
        <v>5451</v>
      </c>
      <c r="J291" s="111" t="s">
        <v>4649</v>
      </c>
      <c r="K291" s="111" t="s">
        <v>3159</v>
      </c>
      <c r="L291" s="112">
        <v>43645</v>
      </c>
      <c r="M291" s="111" t="s">
        <v>250</v>
      </c>
      <c r="N291" s="113"/>
      <c r="O291" s="114" t="s">
        <v>1710</v>
      </c>
      <c r="P291" s="114" t="s">
        <v>1710</v>
      </c>
      <c r="Q291" s="114" t="s">
        <v>1710</v>
      </c>
      <c r="R291" s="114" t="s">
        <v>1013</v>
      </c>
      <c r="S291" s="114" t="s">
        <v>4473</v>
      </c>
      <c r="T291" s="114" t="s">
        <v>183</v>
      </c>
      <c r="U291" s="114" t="s">
        <v>183</v>
      </c>
      <c r="V291" s="115"/>
      <c r="W291" s="116" t="s">
        <v>5452</v>
      </c>
      <c r="X291" s="116" t="s">
        <v>5453</v>
      </c>
      <c r="Y291" s="117">
        <v>3485025</v>
      </c>
      <c r="Z291" s="117">
        <v>3481150</v>
      </c>
      <c r="AA291" s="118"/>
      <c r="AB291" s="119" t="s">
        <v>5719</v>
      </c>
      <c r="AC291" s="119" t="s">
        <v>5454</v>
      </c>
      <c r="AD291" s="119">
        <v>26111</v>
      </c>
      <c r="AE291" s="119" t="s">
        <v>5455</v>
      </c>
      <c r="AF291" s="119">
        <v>0</v>
      </c>
      <c r="AG291" s="120"/>
      <c r="AH291" s="121">
        <v>44197</v>
      </c>
      <c r="AI291" s="121">
        <v>44197</v>
      </c>
      <c r="AJ291" s="121">
        <v>44197</v>
      </c>
      <c r="AK291" s="122">
        <v>44197</v>
      </c>
      <c r="AL291" s="122" t="e">
        <v>#N/A</v>
      </c>
      <c r="AM291" s="121" t="e">
        <v>#N/A</v>
      </c>
      <c r="AN291" s="121" t="e">
        <v>#N/A</v>
      </c>
      <c r="AO291" s="121" t="e">
        <v>#N/A</v>
      </c>
      <c r="AP291" s="122" t="e">
        <v>#N/A</v>
      </c>
      <c r="AQ291" s="122" t="e">
        <v>#N/A</v>
      </c>
      <c r="AR291" s="122" t="e">
        <v>#N/A</v>
      </c>
      <c r="AS291" s="122" t="e">
        <v>#N/A</v>
      </c>
      <c r="AT291" s="122" t="e">
        <v>#N/A</v>
      </c>
      <c r="AU291" s="121" t="e">
        <v>#N/A</v>
      </c>
      <c r="AV291" s="122" t="e">
        <v>#N/A</v>
      </c>
      <c r="AW291" s="122" t="e">
        <v>#N/A</v>
      </c>
      <c r="AX291" s="122" t="e">
        <v>#N/A</v>
      </c>
      <c r="AY291" s="122" t="e">
        <v>#N/A</v>
      </c>
      <c r="AZ291" s="122" t="e">
        <v>#N/A</v>
      </c>
      <c r="BA291" s="122" t="e">
        <v>#N/A</v>
      </c>
      <c r="BB291" s="122" t="e">
        <v>#N/A</v>
      </c>
      <c r="BC291" s="122" t="e">
        <v>#N/A</v>
      </c>
      <c r="BD291" s="122" t="e">
        <v>#N/A</v>
      </c>
      <c r="BE291" s="122" t="e">
        <v>#N/A</v>
      </c>
      <c r="BF291" s="122" t="e">
        <v>#N/A</v>
      </c>
      <c r="BG291" s="122" t="e">
        <v>#N/A</v>
      </c>
      <c r="BH291" s="122" t="e">
        <v>#N/A</v>
      </c>
      <c r="BI291" s="122" t="e">
        <v>#N/A</v>
      </c>
      <c r="BJ291" s="122" t="e">
        <v>#N/A</v>
      </c>
      <c r="BK291" s="122" t="e">
        <v>#N/A</v>
      </c>
      <c r="BL291" s="123"/>
      <c r="BM291" s="124">
        <v>45000</v>
      </c>
      <c r="BN291" s="124">
        <v>45000</v>
      </c>
      <c r="BO291" s="124">
        <v>45000</v>
      </c>
      <c r="BP291" s="124">
        <v>45000</v>
      </c>
      <c r="BQ291" s="124">
        <v>45000</v>
      </c>
      <c r="BR291" s="124">
        <v>45000</v>
      </c>
      <c r="BS291" s="124" t="e">
        <v>#N/A</v>
      </c>
      <c r="BT291" s="124" t="e">
        <v>#N/A</v>
      </c>
      <c r="BU291" s="124" t="e">
        <v>#N/A</v>
      </c>
      <c r="BV291" s="124" t="e">
        <v>#N/A</v>
      </c>
      <c r="BW291" s="124" t="e">
        <v>#N/A</v>
      </c>
      <c r="BX291" s="124" t="e">
        <v>#N/A</v>
      </c>
      <c r="BY291" s="124" t="e">
        <v>#N/A</v>
      </c>
      <c r="BZ291" s="124" t="e">
        <v>#N/A</v>
      </c>
      <c r="CA291" s="125"/>
      <c r="CB291" s="124" t="e">
        <v>#N/A</v>
      </c>
      <c r="CC291" s="126">
        <v>1</v>
      </c>
      <c r="CD291" s="127" t="s">
        <v>4169</v>
      </c>
      <c r="CE291" s="128"/>
      <c r="CF291" s="77" t="s">
        <v>4170</v>
      </c>
    </row>
    <row r="292" spans="1:84" ht="14.5" x14ac:dyDescent="0.35">
      <c r="A292" s="77">
        <v>291</v>
      </c>
      <c r="B292" s="106" t="s">
        <v>1078</v>
      </c>
      <c r="C292" s="107" t="s">
        <v>1457</v>
      </c>
      <c r="D292" s="108" t="s">
        <v>1079</v>
      </c>
      <c r="E292" s="109" t="s">
        <v>1080</v>
      </c>
      <c r="F292" s="110">
        <v>655169308</v>
      </c>
      <c r="G292" s="108" t="s">
        <v>1004</v>
      </c>
      <c r="H292" s="111" t="s">
        <v>1146</v>
      </c>
      <c r="I292" s="111" t="s">
        <v>249</v>
      </c>
      <c r="J292" s="111" t="s">
        <v>4649</v>
      </c>
      <c r="K292" s="111" t="s">
        <v>400</v>
      </c>
      <c r="L292" s="112">
        <v>44743</v>
      </c>
      <c r="M292" s="111" t="s">
        <v>371</v>
      </c>
      <c r="N292" s="113"/>
      <c r="O292" s="114" t="s">
        <v>226</v>
      </c>
      <c r="P292" s="114" t="s">
        <v>226</v>
      </c>
      <c r="Q292" s="114" t="s">
        <v>225</v>
      </c>
      <c r="R292" s="114" t="s">
        <v>7331</v>
      </c>
      <c r="S292" s="114" t="s">
        <v>226</v>
      </c>
      <c r="T292" s="114" t="s">
        <v>183</v>
      </c>
      <c r="U292" s="114" t="s">
        <v>183</v>
      </c>
      <c r="V292" s="115"/>
      <c r="W292" s="116" t="s">
        <v>1081</v>
      </c>
      <c r="X292" s="116" t="s">
        <v>2728</v>
      </c>
      <c r="Y292" s="117">
        <v>3485526</v>
      </c>
      <c r="Z292" s="117">
        <v>3486319</v>
      </c>
      <c r="AA292" s="118"/>
      <c r="AB292" s="119" t="s">
        <v>2047</v>
      </c>
      <c r="AC292" s="119" t="s">
        <v>1458</v>
      </c>
      <c r="AD292" s="119">
        <v>4277</v>
      </c>
      <c r="AE292" s="119" t="s">
        <v>1082</v>
      </c>
      <c r="AF292" s="119" t="s">
        <v>6115</v>
      </c>
      <c r="AG292" s="120"/>
      <c r="AH292" s="121">
        <v>44606</v>
      </c>
      <c r="AI292" s="121">
        <v>44606</v>
      </c>
      <c r="AJ292" s="121">
        <v>44606</v>
      </c>
      <c r="AK292" s="122">
        <v>44606</v>
      </c>
      <c r="AL292" s="122" t="e">
        <v>#N/A</v>
      </c>
      <c r="AM292" s="121" t="e">
        <v>#N/A</v>
      </c>
      <c r="AN292" s="121" t="e">
        <v>#N/A</v>
      </c>
      <c r="AO292" s="121" t="e">
        <v>#N/A</v>
      </c>
      <c r="AP292" s="122" t="e">
        <v>#N/A</v>
      </c>
      <c r="AQ292" s="122" t="e">
        <v>#N/A</v>
      </c>
      <c r="AR292" s="122" t="e">
        <v>#N/A</v>
      </c>
      <c r="AS292" s="122" t="e">
        <v>#N/A</v>
      </c>
      <c r="AT292" s="122" t="e">
        <v>#N/A</v>
      </c>
      <c r="AU292" s="121" t="e">
        <v>#N/A</v>
      </c>
      <c r="AV292" s="122">
        <v>45601</v>
      </c>
      <c r="AW292" s="122">
        <v>45586</v>
      </c>
      <c r="AX292" s="122" t="e">
        <v>#N/A</v>
      </c>
      <c r="AY292" s="122" t="e">
        <v>#N/A</v>
      </c>
      <c r="AZ292" s="122" t="e">
        <v>#N/A</v>
      </c>
      <c r="BA292" s="122" t="e">
        <v>#N/A</v>
      </c>
      <c r="BB292" s="122" t="e">
        <v>#N/A</v>
      </c>
      <c r="BC292" s="122" t="e">
        <v>#N/A</v>
      </c>
      <c r="BD292" s="122" t="e">
        <v>#N/A</v>
      </c>
      <c r="BE292" s="122" t="e">
        <v>#N/A</v>
      </c>
      <c r="BF292" s="122" t="e">
        <v>#N/A</v>
      </c>
      <c r="BG292" s="122" t="e">
        <v>#N/A</v>
      </c>
      <c r="BH292" s="122" t="e">
        <v>#N/A</v>
      </c>
      <c r="BI292" s="122" t="e">
        <v>#N/A</v>
      </c>
      <c r="BJ292" s="122" t="e">
        <v>#N/A</v>
      </c>
      <c r="BK292" s="122">
        <v>45924</v>
      </c>
      <c r="BL292" s="123"/>
      <c r="BM292" s="124">
        <v>44781</v>
      </c>
      <c r="BN292" s="124">
        <v>44816</v>
      </c>
      <c r="BO292" s="124">
        <v>44883</v>
      </c>
      <c r="BP292" s="124">
        <v>44886</v>
      </c>
      <c r="BQ292" s="124">
        <v>44888</v>
      </c>
      <c r="BR292" s="124">
        <v>44889</v>
      </c>
      <c r="BS292" s="124">
        <v>44781</v>
      </c>
      <c r="BT292" s="124">
        <v>44781</v>
      </c>
      <c r="BU292" s="124" t="e">
        <v>#N/A</v>
      </c>
      <c r="BV292" s="124" t="e">
        <v>#N/A</v>
      </c>
      <c r="BW292" s="124" t="e">
        <v>#N/A</v>
      </c>
      <c r="BX292" s="124" t="e">
        <v>#N/A</v>
      </c>
      <c r="BY292" s="124" t="e">
        <v>#N/A</v>
      </c>
      <c r="BZ292" s="124" t="e">
        <v>#N/A</v>
      </c>
      <c r="CA292" s="125"/>
      <c r="CB292" s="124">
        <v>45840</v>
      </c>
      <c r="CC292" s="126">
        <v>1</v>
      </c>
      <c r="CD292" s="127" t="s">
        <v>4149</v>
      </c>
      <c r="CE292" s="128"/>
      <c r="CF292" s="77" t="s">
        <v>4169</v>
      </c>
    </row>
    <row r="293" spans="1:84" ht="14.5" x14ac:dyDescent="0.35">
      <c r="A293" s="77">
        <v>292</v>
      </c>
      <c r="B293" s="106" t="s">
        <v>1000</v>
      </c>
      <c r="C293" s="107" t="s">
        <v>1565</v>
      </c>
      <c r="D293" s="108" t="s">
        <v>957</v>
      </c>
      <c r="E293" s="109" t="s">
        <v>958</v>
      </c>
      <c r="F293" s="110">
        <v>662251842</v>
      </c>
      <c r="G293" s="108" t="s">
        <v>1004</v>
      </c>
      <c r="H293" s="111" t="s">
        <v>1146</v>
      </c>
      <c r="I293" s="111" t="s">
        <v>5451</v>
      </c>
      <c r="J293" s="111" t="s">
        <v>4649</v>
      </c>
      <c r="K293" s="111" t="s">
        <v>2861</v>
      </c>
      <c r="L293" s="112">
        <v>44743</v>
      </c>
      <c r="M293" s="111" t="s">
        <v>250</v>
      </c>
      <c r="N293" s="113"/>
      <c r="O293" s="114" t="s">
        <v>4353</v>
      </c>
      <c r="P293" s="114" t="s">
        <v>4353</v>
      </c>
      <c r="Q293" s="114" t="s">
        <v>4353</v>
      </c>
      <c r="R293" s="114" t="s">
        <v>7316</v>
      </c>
      <c r="S293" s="114" t="s">
        <v>6095</v>
      </c>
      <c r="T293" s="114" t="s">
        <v>183</v>
      </c>
      <c r="U293" s="114" t="s">
        <v>183</v>
      </c>
      <c r="V293" s="115"/>
      <c r="W293" s="116" t="s">
        <v>5527</v>
      </c>
      <c r="X293" s="116" t="s">
        <v>5528</v>
      </c>
      <c r="Y293" s="117">
        <v>3485325</v>
      </c>
      <c r="Z293" s="117">
        <v>3486318</v>
      </c>
      <c r="AA293" s="118"/>
      <c r="AB293" s="119" t="s">
        <v>5529</v>
      </c>
      <c r="AC293" s="119" t="s">
        <v>5530</v>
      </c>
      <c r="AD293" s="119">
        <v>5960</v>
      </c>
      <c r="AE293" s="119" t="s">
        <v>6901</v>
      </c>
      <c r="AF293" s="119">
        <v>0</v>
      </c>
      <c r="AG293" s="120"/>
      <c r="AH293" s="121">
        <v>44552</v>
      </c>
      <c r="AI293" s="121">
        <v>44552</v>
      </c>
      <c r="AJ293" s="121">
        <v>44552</v>
      </c>
      <c r="AK293" s="122">
        <v>44552</v>
      </c>
      <c r="AL293" s="122" t="e">
        <v>#N/A</v>
      </c>
      <c r="AM293" s="121" t="e">
        <v>#N/A</v>
      </c>
      <c r="AN293" s="121" t="e">
        <v>#N/A</v>
      </c>
      <c r="AO293" s="121" t="e">
        <v>#N/A</v>
      </c>
      <c r="AP293" s="122" t="e">
        <v>#N/A</v>
      </c>
      <c r="AQ293" s="122">
        <v>45106</v>
      </c>
      <c r="AR293" s="122">
        <v>44676</v>
      </c>
      <c r="AS293" s="122" t="e">
        <v>#N/A</v>
      </c>
      <c r="AT293" s="122" t="e">
        <v>#N/A</v>
      </c>
      <c r="AU293" s="121" t="e">
        <v>#N/A</v>
      </c>
      <c r="AV293" s="122" t="e">
        <v>#N/A</v>
      </c>
      <c r="AW293" s="122" t="e">
        <v>#N/A</v>
      </c>
      <c r="AX293" s="122" t="e">
        <v>#N/A</v>
      </c>
      <c r="AY293" s="122" t="e">
        <v>#N/A</v>
      </c>
      <c r="AZ293" s="122" t="e">
        <v>#N/A</v>
      </c>
      <c r="BA293" s="122" t="e">
        <v>#N/A</v>
      </c>
      <c r="BB293" s="122" t="e">
        <v>#N/A</v>
      </c>
      <c r="BC293" s="122">
        <v>44865</v>
      </c>
      <c r="BD293" s="122" t="e">
        <v>#N/A</v>
      </c>
      <c r="BE293" s="122" t="e">
        <v>#N/A</v>
      </c>
      <c r="BF293" s="122" t="e">
        <v>#N/A</v>
      </c>
      <c r="BG293" s="122" t="e">
        <v>#N/A</v>
      </c>
      <c r="BH293" s="122" t="e">
        <v>#N/A</v>
      </c>
      <c r="BI293" s="122" t="e">
        <v>#N/A</v>
      </c>
      <c r="BJ293" s="122" t="e">
        <v>#N/A</v>
      </c>
      <c r="BK293" s="122" t="e">
        <v>#N/A</v>
      </c>
      <c r="BL293" s="123"/>
      <c r="BM293" s="124" t="e">
        <v>#N/A</v>
      </c>
      <c r="BN293" s="124" t="e">
        <v>#N/A</v>
      </c>
      <c r="BO293" s="124" t="e">
        <v>#N/A</v>
      </c>
      <c r="BP293" s="124" t="e">
        <v>#N/A</v>
      </c>
      <c r="BQ293" s="124" t="e">
        <v>#N/A</v>
      </c>
      <c r="BR293" s="124" t="e">
        <v>#N/A</v>
      </c>
      <c r="BS293" s="124" t="e">
        <v>#N/A</v>
      </c>
      <c r="BT293" s="124" t="e">
        <v>#N/A</v>
      </c>
      <c r="BU293" s="124" t="e">
        <v>#N/A</v>
      </c>
      <c r="BV293" s="124" t="e">
        <v>#N/A</v>
      </c>
      <c r="BW293" s="124" t="e">
        <v>#N/A</v>
      </c>
      <c r="BX293" s="124" t="e">
        <v>#N/A</v>
      </c>
      <c r="BY293" s="124" t="e">
        <v>#N/A</v>
      </c>
      <c r="BZ293" s="124" t="e">
        <v>#N/A</v>
      </c>
      <c r="CA293" s="125"/>
      <c r="CB293" s="124" t="e">
        <v>#N/A</v>
      </c>
      <c r="CC293" s="126">
        <v>1</v>
      </c>
      <c r="CD293" s="127" t="s">
        <v>4169</v>
      </c>
      <c r="CE293" s="128"/>
      <c r="CF293" s="77" t="s">
        <v>4151</v>
      </c>
    </row>
    <row r="294" spans="1:84" ht="14.5" x14ac:dyDescent="0.35">
      <c r="A294" s="77">
        <v>293</v>
      </c>
      <c r="B294" s="106" t="s">
        <v>55</v>
      </c>
      <c r="C294" s="107" t="s">
        <v>1399</v>
      </c>
      <c r="D294" s="108" t="s">
        <v>533</v>
      </c>
      <c r="E294" s="109" t="s">
        <v>534</v>
      </c>
      <c r="F294" s="110">
        <v>677351741</v>
      </c>
      <c r="G294" s="108" t="s">
        <v>1004</v>
      </c>
      <c r="H294" s="111" t="s">
        <v>1146</v>
      </c>
      <c r="I294" s="111" t="s">
        <v>249</v>
      </c>
      <c r="J294" s="111" t="s">
        <v>4649</v>
      </c>
      <c r="K294" s="111" t="s">
        <v>305</v>
      </c>
      <c r="L294" s="112">
        <v>41920</v>
      </c>
      <c r="M294" s="111" t="s">
        <v>371</v>
      </c>
      <c r="N294" s="113"/>
      <c r="O294" s="114" t="s">
        <v>607</v>
      </c>
      <c r="P294" s="114" t="s">
        <v>607</v>
      </c>
      <c r="Q294" s="114" t="s">
        <v>607</v>
      </c>
      <c r="R294" s="114" t="s">
        <v>7486</v>
      </c>
      <c r="S294" s="114" t="s">
        <v>3211</v>
      </c>
      <c r="T294" s="114" t="s">
        <v>183</v>
      </c>
      <c r="U294" s="114" t="s">
        <v>183</v>
      </c>
      <c r="V294" s="115"/>
      <c r="W294" s="116" t="s">
        <v>1959</v>
      </c>
      <c r="X294" s="116" t="s">
        <v>2470</v>
      </c>
      <c r="Y294" s="117">
        <v>3485396</v>
      </c>
      <c r="Z294" s="117">
        <v>3481040</v>
      </c>
      <c r="AA294" s="118"/>
      <c r="AB294" s="119" t="s">
        <v>5805</v>
      </c>
      <c r="AC294" s="119" t="s">
        <v>1960</v>
      </c>
      <c r="AD294" s="119">
        <v>5594</v>
      </c>
      <c r="AE294" s="119" t="s">
        <v>4121</v>
      </c>
      <c r="AF294" s="119" t="s">
        <v>6113</v>
      </c>
      <c r="AG294" s="120"/>
      <c r="AH294" s="121">
        <v>44197</v>
      </c>
      <c r="AI294" s="121">
        <v>44197</v>
      </c>
      <c r="AJ294" s="121">
        <v>44197</v>
      </c>
      <c r="AK294" s="122">
        <v>44197</v>
      </c>
      <c r="AL294" s="122" t="e">
        <v>#N/A</v>
      </c>
      <c r="AM294" s="121" t="e">
        <v>#N/A</v>
      </c>
      <c r="AN294" s="121" t="e">
        <v>#N/A</v>
      </c>
      <c r="AO294" s="121" t="e">
        <v>#N/A</v>
      </c>
      <c r="AP294" s="122" t="e">
        <v>#N/A</v>
      </c>
      <c r="AQ294" s="122" t="e">
        <v>#N/A</v>
      </c>
      <c r="AR294" s="122" t="e">
        <v>#N/A</v>
      </c>
      <c r="AS294" s="122" t="e">
        <v>#N/A</v>
      </c>
      <c r="AT294" s="122" t="e">
        <v>#N/A</v>
      </c>
      <c r="AU294" s="121" t="e">
        <v>#N/A</v>
      </c>
      <c r="AV294" s="122">
        <v>44607</v>
      </c>
      <c r="AW294" s="122">
        <v>44607</v>
      </c>
      <c r="AX294" s="122" t="e">
        <v>#N/A</v>
      </c>
      <c r="AY294" s="122" t="e">
        <v>#N/A</v>
      </c>
      <c r="AZ294" s="122" t="e">
        <v>#N/A</v>
      </c>
      <c r="BA294" s="122" t="e">
        <v>#N/A</v>
      </c>
      <c r="BB294" s="122" t="e">
        <v>#N/A</v>
      </c>
      <c r="BC294" s="122" t="e">
        <v>#N/A</v>
      </c>
      <c r="BD294" s="122" t="e">
        <v>#N/A</v>
      </c>
      <c r="BE294" s="122" t="e">
        <v>#N/A</v>
      </c>
      <c r="BF294" s="122" t="e">
        <v>#N/A</v>
      </c>
      <c r="BG294" s="122" t="e">
        <v>#N/A</v>
      </c>
      <c r="BH294" s="122" t="e">
        <v>#N/A</v>
      </c>
      <c r="BI294" s="122" t="e">
        <v>#N/A</v>
      </c>
      <c r="BJ294" s="122" t="e">
        <v>#N/A</v>
      </c>
      <c r="BK294" s="122">
        <v>45924</v>
      </c>
      <c r="BL294" s="123"/>
      <c r="BM294" s="124">
        <v>44197</v>
      </c>
      <c r="BN294" s="124">
        <v>44197</v>
      </c>
      <c r="BO294" s="124">
        <v>44197</v>
      </c>
      <c r="BP294" s="124">
        <v>44197</v>
      </c>
      <c r="BQ294" s="124">
        <v>44197</v>
      </c>
      <c r="BR294" s="124">
        <v>44197</v>
      </c>
      <c r="BS294" s="124">
        <v>44197</v>
      </c>
      <c r="BT294" s="124">
        <v>44197</v>
      </c>
      <c r="BU294" s="124">
        <v>44197</v>
      </c>
      <c r="BV294" s="124">
        <v>44197</v>
      </c>
      <c r="BW294" s="124">
        <v>44197</v>
      </c>
      <c r="BX294" s="124" t="e">
        <v>#N/A</v>
      </c>
      <c r="BY294" s="124" t="e">
        <v>#N/A</v>
      </c>
      <c r="BZ294" s="124" t="e">
        <v>#N/A</v>
      </c>
      <c r="CA294" s="125"/>
      <c r="CB294" s="124" t="e">
        <v>#N/A</v>
      </c>
      <c r="CC294" s="126">
        <v>1</v>
      </c>
      <c r="CD294" s="127" t="s">
        <v>4169</v>
      </c>
      <c r="CE294" s="128"/>
      <c r="CF294" s="77" t="s">
        <v>4169</v>
      </c>
    </row>
    <row r="295" spans="1:84" ht="14.5" x14ac:dyDescent="0.35">
      <c r="A295" s="77">
        <v>294</v>
      </c>
      <c r="B295" s="106" t="s">
        <v>2108</v>
      </c>
      <c r="C295" s="107" t="s">
        <v>6498</v>
      </c>
      <c r="D295" s="108" t="s">
        <v>2075</v>
      </c>
      <c r="E295" s="109" t="s">
        <v>2076</v>
      </c>
      <c r="F295" s="110" t="s">
        <v>2077</v>
      </c>
      <c r="G295" s="108" t="s">
        <v>1004</v>
      </c>
      <c r="H295" s="111" t="s">
        <v>1146</v>
      </c>
      <c r="I295" s="111" t="s">
        <v>249</v>
      </c>
      <c r="J295" s="111" t="s">
        <v>4649</v>
      </c>
      <c r="K295" s="111" t="s">
        <v>305</v>
      </c>
      <c r="L295" s="112">
        <v>44959</v>
      </c>
      <c r="M295" s="111" t="s">
        <v>371</v>
      </c>
      <c r="N295" s="113"/>
      <c r="O295" s="114" t="s">
        <v>182</v>
      </c>
      <c r="P295" s="114" t="s">
        <v>182</v>
      </c>
      <c r="Q295" s="114" t="s">
        <v>184</v>
      </c>
      <c r="R295" s="114" t="s">
        <v>7316</v>
      </c>
      <c r="S295" s="114" t="s">
        <v>4353</v>
      </c>
      <c r="T295" s="114" t="s">
        <v>183</v>
      </c>
      <c r="U295" s="114" t="s">
        <v>183</v>
      </c>
      <c r="V295" s="115"/>
      <c r="W295" s="116" t="s">
        <v>2078</v>
      </c>
      <c r="X295" s="116" t="s">
        <v>4050</v>
      </c>
      <c r="Y295" s="117">
        <v>3485715</v>
      </c>
      <c r="Z295" s="117">
        <v>3481406</v>
      </c>
      <c r="AA295" s="118"/>
      <c r="AB295" s="119" t="s">
        <v>5718</v>
      </c>
      <c r="AC295" s="119" t="s">
        <v>2182</v>
      </c>
      <c r="AD295" s="119">
        <v>26380</v>
      </c>
      <c r="AE295" s="119" t="s">
        <v>4130</v>
      </c>
      <c r="AF295" s="119" t="s">
        <v>6114</v>
      </c>
      <c r="AG295" s="120"/>
      <c r="AH295" s="121">
        <v>44775</v>
      </c>
      <c r="AI295" s="121">
        <v>44775</v>
      </c>
      <c r="AJ295" s="121">
        <v>44775</v>
      </c>
      <c r="AK295" s="122">
        <v>44894</v>
      </c>
      <c r="AL295" s="122">
        <v>45072</v>
      </c>
      <c r="AM295" s="121">
        <v>45084</v>
      </c>
      <c r="AN295" s="121">
        <v>45072</v>
      </c>
      <c r="AO295" s="121" t="e">
        <v>#N/A</v>
      </c>
      <c r="AP295" s="122" t="e">
        <v>#N/A</v>
      </c>
      <c r="AQ295" s="122">
        <v>45084</v>
      </c>
      <c r="AR295" s="122">
        <v>45084</v>
      </c>
      <c r="AS295" s="122" t="e">
        <v>#N/A</v>
      </c>
      <c r="AT295" s="122" t="e">
        <v>#N/A</v>
      </c>
      <c r="AU295" s="121" t="e">
        <v>#N/A</v>
      </c>
      <c r="AV295" s="122">
        <v>45602</v>
      </c>
      <c r="AW295" s="122">
        <v>45609</v>
      </c>
      <c r="AX295" s="122" t="e">
        <v>#N/A</v>
      </c>
      <c r="AY295" s="122" t="e">
        <v>#N/A</v>
      </c>
      <c r="AZ295" s="122" t="e">
        <v>#N/A</v>
      </c>
      <c r="BA295" s="122">
        <v>45084</v>
      </c>
      <c r="BB295" s="122" t="e">
        <v>#N/A</v>
      </c>
      <c r="BC295" s="122" t="e">
        <v>#N/A</v>
      </c>
      <c r="BD295" s="122" t="e">
        <v>#N/A</v>
      </c>
      <c r="BE295" s="122" t="e">
        <v>#N/A</v>
      </c>
      <c r="BF295" s="122" t="e">
        <v>#N/A</v>
      </c>
      <c r="BG295" s="122" t="e">
        <v>#N/A</v>
      </c>
      <c r="BH295" s="122" t="e">
        <v>#N/A</v>
      </c>
      <c r="BI295" s="122" t="e">
        <v>#N/A</v>
      </c>
      <c r="BJ295" s="122" t="e">
        <v>#N/A</v>
      </c>
      <c r="BK295" s="122">
        <v>45924</v>
      </c>
      <c r="BL295" s="123"/>
      <c r="BM295" s="124" t="e">
        <v>#N/A</v>
      </c>
      <c r="BN295" s="124" t="e">
        <v>#N/A</v>
      </c>
      <c r="BO295" s="124" t="e">
        <v>#N/A</v>
      </c>
      <c r="BP295" s="124" t="e">
        <v>#N/A</v>
      </c>
      <c r="BQ295" s="124" t="e">
        <v>#N/A</v>
      </c>
      <c r="BR295" s="124" t="e">
        <v>#N/A</v>
      </c>
      <c r="BS295" s="124" t="e">
        <v>#N/A</v>
      </c>
      <c r="BT295" s="124" t="e">
        <v>#N/A</v>
      </c>
      <c r="BU295" s="124" t="e">
        <v>#N/A</v>
      </c>
      <c r="BV295" s="124" t="e">
        <v>#N/A</v>
      </c>
      <c r="BW295" s="124" t="e">
        <v>#N/A</v>
      </c>
      <c r="BX295" s="124" t="e">
        <v>#N/A</v>
      </c>
      <c r="BY295" s="124" t="e">
        <v>#N/A</v>
      </c>
      <c r="BZ295" s="124" t="e">
        <v>#N/A</v>
      </c>
      <c r="CA295" s="125"/>
      <c r="CB295" s="124">
        <v>45726</v>
      </c>
      <c r="CC295" s="126">
        <v>1</v>
      </c>
      <c r="CD295" s="127" t="s">
        <v>4174</v>
      </c>
      <c r="CE295" s="128"/>
      <c r="CF295" s="77" t="s">
        <v>4169</v>
      </c>
    </row>
    <row r="296" spans="1:84" ht="14.5" x14ac:dyDescent="0.35">
      <c r="A296" s="77">
        <v>295</v>
      </c>
      <c r="B296" s="106" t="s">
        <v>5456</v>
      </c>
      <c r="C296" s="107" t="s">
        <v>6459</v>
      </c>
      <c r="D296" s="108" t="s">
        <v>5457</v>
      </c>
      <c r="E296" s="109" t="s">
        <v>5458</v>
      </c>
      <c r="F296" s="110">
        <v>655593728</v>
      </c>
      <c r="G296" s="108" t="s">
        <v>1004</v>
      </c>
      <c r="H296" s="111" t="s">
        <v>1146</v>
      </c>
      <c r="I296" s="111" t="s">
        <v>5451</v>
      </c>
      <c r="J296" s="111" t="s">
        <v>4649</v>
      </c>
      <c r="K296" s="111" t="s">
        <v>2861</v>
      </c>
      <c r="L296" s="112">
        <v>44922</v>
      </c>
      <c r="M296" s="111" t="s">
        <v>250</v>
      </c>
      <c r="N296" s="113"/>
      <c r="O296" s="114" t="s">
        <v>4353</v>
      </c>
      <c r="P296" s="114" t="s">
        <v>4353</v>
      </c>
      <c r="Q296" s="114" t="s">
        <v>4353</v>
      </c>
      <c r="R296" s="114" t="s">
        <v>7316</v>
      </c>
      <c r="S296" s="114" t="s">
        <v>6095</v>
      </c>
      <c r="T296" s="114" t="s">
        <v>183</v>
      </c>
      <c r="U296" s="114" t="s">
        <v>183</v>
      </c>
      <c r="V296" s="115"/>
      <c r="W296" s="116" t="s">
        <v>5459</v>
      </c>
      <c r="X296" s="116" t="s">
        <v>5460</v>
      </c>
      <c r="Y296" s="117">
        <v>3485494</v>
      </c>
      <c r="Z296" s="117">
        <v>3486519</v>
      </c>
      <c r="AA296" s="118"/>
      <c r="AB296" s="119" t="s">
        <v>5804</v>
      </c>
      <c r="AC296" s="119" t="s">
        <v>5461</v>
      </c>
      <c r="AD296" s="119">
        <v>5376</v>
      </c>
      <c r="AE296" s="119" t="s">
        <v>5462</v>
      </c>
      <c r="AF296" s="119" t="s">
        <v>6217</v>
      </c>
      <c r="AG296" s="120"/>
      <c r="AH296" s="121">
        <v>44197</v>
      </c>
      <c r="AI296" s="121">
        <v>44197</v>
      </c>
      <c r="AJ296" s="121">
        <v>44197</v>
      </c>
      <c r="AK296" s="122">
        <v>44197</v>
      </c>
      <c r="AL296" s="122" t="e">
        <v>#N/A</v>
      </c>
      <c r="AM296" s="121" t="e">
        <v>#N/A</v>
      </c>
      <c r="AN296" s="121" t="e">
        <v>#N/A</v>
      </c>
      <c r="AO296" s="121" t="e">
        <v>#N/A</v>
      </c>
      <c r="AP296" s="122" t="e">
        <v>#N/A</v>
      </c>
      <c r="AQ296" s="122" t="e">
        <v>#N/A</v>
      </c>
      <c r="AR296" s="122" t="e">
        <v>#N/A</v>
      </c>
      <c r="AS296" s="122" t="e">
        <v>#N/A</v>
      </c>
      <c r="AT296" s="122" t="e">
        <v>#N/A</v>
      </c>
      <c r="AU296" s="121" t="e">
        <v>#N/A</v>
      </c>
      <c r="AV296" s="122" t="e">
        <v>#N/A</v>
      </c>
      <c r="AW296" s="122" t="e">
        <v>#N/A</v>
      </c>
      <c r="AX296" s="122" t="e">
        <v>#N/A</v>
      </c>
      <c r="AY296" s="122" t="e">
        <v>#N/A</v>
      </c>
      <c r="AZ296" s="122" t="e">
        <v>#N/A</v>
      </c>
      <c r="BA296" s="122" t="e">
        <v>#N/A</v>
      </c>
      <c r="BB296" s="122" t="e">
        <v>#N/A</v>
      </c>
      <c r="BC296" s="122" t="e">
        <v>#N/A</v>
      </c>
      <c r="BD296" s="122" t="e">
        <v>#N/A</v>
      </c>
      <c r="BE296" s="122" t="e">
        <v>#N/A</v>
      </c>
      <c r="BF296" s="122" t="e">
        <v>#N/A</v>
      </c>
      <c r="BG296" s="122" t="e">
        <v>#N/A</v>
      </c>
      <c r="BH296" s="122" t="e">
        <v>#N/A</v>
      </c>
      <c r="BI296" s="122" t="e">
        <v>#N/A</v>
      </c>
      <c r="BJ296" s="122" t="e">
        <v>#N/A</v>
      </c>
      <c r="BK296" s="122">
        <v>45924</v>
      </c>
      <c r="BL296" s="123"/>
      <c r="BM296" s="124">
        <v>44922</v>
      </c>
      <c r="BN296" s="124">
        <v>44922</v>
      </c>
      <c r="BO296" s="124">
        <v>44923</v>
      </c>
      <c r="BP296" s="124">
        <v>44923</v>
      </c>
      <c r="BQ296" s="124">
        <v>44923</v>
      </c>
      <c r="BR296" s="124">
        <v>44923</v>
      </c>
      <c r="BS296" s="124">
        <v>44922</v>
      </c>
      <c r="BT296" s="124">
        <v>44922</v>
      </c>
      <c r="BU296" s="124" t="e">
        <v>#N/A</v>
      </c>
      <c r="BV296" s="124" t="e">
        <v>#N/A</v>
      </c>
      <c r="BW296" s="124" t="e">
        <v>#N/A</v>
      </c>
      <c r="BX296" s="124" t="e">
        <v>#N/A</v>
      </c>
      <c r="BY296" s="124" t="e">
        <v>#N/A</v>
      </c>
      <c r="BZ296" s="124" t="e">
        <v>#N/A</v>
      </c>
      <c r="CA296" s="125"/>
      <c r="CB296" s="124" t="e">
        <v>#N/A</v>
      </c>
      <c r="CC296" s="126">
        <v>1</v>
      </c>
      <c r="CD296" s="127" t="s">
        <v>4169</v>
      </c>
      <c r="CE296" s="128"/>
      <c r="CF296" s="77" t="s">
        <v>4169</v>
      </c>
    </row>
    <row r="297" spans="1:84" ht="14.5" x14ac:dyDescent="0.35">
      <c r="A297" s="77">
        <v>296</v>
      </c>
      <c r="B297" s="106" t="s">
        <v>6286</v>
      </c>
      <c r="C297" s="107" t="s">
        <v>6287</v>
      </c>
      <c r="D297" s="108" t="s">
        <v>5300</v>
      </c>
      <c r="E297" s="109" t="s">
        <v>5207</v>
      </c>
      <c r="F297" s="110">
        <v>653211224</v>
      </c>
      <c r="G297" s="108" t="s">
        <v>1004</v>
      </c>
      <c r="H297" s="111" t="s">
        <v>1146</v>
      </c>
      <c r="I297" s="111" t="s">
        <v>249</v>
      </c>
      <c r="J297" s="111" t="s">
        <v>4649</v>
      </c>
      <c r="K297" s="111" t="s">
        <v>199</v>
      </c>
      <c r="L297" s="112">
        <v>38443</v>
      </c>
      <c r="M297" s="111" t="s">
        <v>5208</v>
      </c>
      <c r="N297" s="113"/>
      <c r="O297" s="114" t="s">
        <v>4353</v>
      </c>
      <c r="P297" s="114" t="s">
        <v>4353</v>
      </c>
      <c r="Q297" s="114" t="s">
        <v>4353</v>
      </c>
      <c r="R297" s="114" t="s">
        <v>7316</v>
      </c>
      <c r="S297" s="114" t="s">
        <v>4469</v>
      </c>
      <c r="T297" s="114" t="s">
        <v>183</v>
      </c>
      <c r="U297" s="114" t="s">
        <v>183</v>
      </c>
      <c r="V297" s="115"/>
      <c r="W297" s="116" t="s">
        <v>5209</v>
      </c>
      <c r="X297" s="116" t="s">
        <v>5210</v>
      </c>
      <c r="Y297" s="117">
        <v>3485697</v>
      </c>
      <c r="Z297" s="117">
        <v>3481068</v>
      </c>
      <c r="AA297" s="118"/>
      <c r="AB297" s="119" t="s">
        <v>5211</v>
      </c>
      <c r="AC297" s="119" t="s">
        <v>5212</v>
      </c>
      <c r="AD297" s="119">
        <v>5498</v>
      </c>
      <c r="AE297" s="119" t="s">
        <v>5213</v>
      </c>
      <c r="AF297" s="119">
        <v>0</v>
      </c>
      <c r="AG297" s="120"/>
      <c r="AH297" s="121">
        <v>44197</v>
      </c>
      <c r="AI297" s="121">
        <v>44197</v>
      </c>
      <c r="AJ297" s="121">
        <v>44197</v>
      </c>
      <c r="AK297" s="122">
        <v>44197</v>
      </c>
      <c r="AL297" s="122" t="e">
        <v>#N/A</v>
      </c>
      <c r="AM297" s="121" t="e">
        <v>#N/A</v>
      </c>
      <c r="AN297" s="121" t="e">
        <v>#N/A</v>
      </c>
      <c r="AO297" s="121" t="e">
        <v>#N/A</v>
      </c>
      <c r="AP297" s="122" t="e">
        <v>#N/A</v>
      </c>
      <c r="AQ297" s="122" t="e">
        <v>#N/A</v>
      </c>
      <c r="AR297" s="122" t="e">
        <v>#N/A</v>
      </c>
      <c r="AS297" s="122" t="e">
        <v>#N/A</v>
      </c>
      <c r="AT297" s="122" t="e">
        <v>#N/A</v>
      </c>
      <c r="AU297" s="121" t="e">
        <v>#N/A</v>
      </c>
      <c r="AV297" s="122" t="e">
        <v>#N/A</v>
      </c>
      <c r="AW297" s="122" t="e">
        <v>#N/A</v>
      </c>
      <c r="AX297" s="122" t="e">
        <v>#N/A</v>
      </c>
      <c r="AY297" s="122" t="e">
        <v>#N/A</v>
      </c>
      <c r="AZ297" s="122" t="e">
        <v>#N/A</v>
      </c>
      <c r="BA297" s="122" t="e">
        <v>#N/A</v>
      </c>
      <c r="BB297" s="122" t="e">
        <v>#N/A</v>
      </c>
      <c r="BC297" s="122" t="e">
        <v>#N/A</v>
      </c>
      <c r="BD297" s="122" t="e">
        <v>#N/A</v>
      </c>
      <c r="BE297" s="122" t="e">
        <v>#N/A</v>
      </c>
      <c r="BF297" s="122" t="e">
        <v>#N/A</v>
      </c>
      <c r="BG297" s="122" t="e">
        <v>#N/A</v>
      </c>
      <c r="BH297" s="122" t="e">
        <v>#N/A</v>
      </c>
      <c r="BI297" s="122" t="e">
        <v>#N/A</v>
      </c>
      <c r="BJ297" s="122" t="e">
        <v>#N/A</v>
      </c>
      <c r="BK297" s="122" t="e">
        <v>#N/A</v>
      </c>
      <c r="BL297" s="123"/>
      <c r="BM297" s="124" t="e">
        <v>#N/A</v>
      </c>
      <c r="BN297" s="124" t="e">
        <v>#N/A</v>
      </c>
      <c r="BO297" s="124" t="e">
        <v>#N/A</v>
      </c>
      <c r="BP297" s="124" t="e">
        <v>#N/A</v>
      </c>
      <c r="BQ297" s="124" t="e">
        <v>#N/A</v>
      </c>
      <c r="BR297" s="124" t="e">
        <v>#N/A</v>
      </c>
      <c r="BS297" s="124" t="e">
        <v>#N/A</v>
      </c>
      <c r="BT297" s="124" t="e">
        <v>#N/A</v>
      </c>
      <c r="BU297" s="124" t="e">
        <v>#N/A</v>
      </c>
      <c r="BV297" s="124" t="e">
        <v>#N/A</v>
      </c>
      <c r="BW297" s="124" t="e">
        <v>#N/A</v>
      </c>
      <c r="BX297" s="124" t="e">
        <v>#N/A</v>
      </c>
      <c r="BY297" s="124" t="e">
        <v>#N/A</v>
      </c>
      <c r="BZ297" s="124" t="e">
        <v>#N/A</v>
      </c>
      <c r="CA297" s="125"/>
      <c r="CB297" s="124" t="e">
        <v>#N/A</v>
      </c>
      <c r="CC297" s="126">
        <v>1</v>
      </c>
      <c r="CD297" s="127" t="e">
        <v>#N/A</v>
      </c>
      <c r="CE297" s="128"/>
      <c r="CF297" s="77" t="s">
        <v>4169</v>
      </c>
    </row>
    <row r="298" spans="1:84" ht="14.5" x14ac:dyDescent="0.35">
      <c r="A298" s="77">
        <v>297</v>
      </c>
      <c r="B298" s="106" t="s">
        <v>1654</v>
      </c>
      <c r="C298" s="107" t="s">
        <v>1655</v>
      </c>
      <c r="D298" s="108" t="s">
        <v>1685</v>
      </c>
      <c r="E298" s="109" t="s">
        <v>1656</v>
      </c>
      <c r="F298" s="110">
        <v>662070503</v>
      </c>
      <c r="G298" s="108" t="s">
        <v>1004</v>
      </c>
      <c r="H298" s="111" t="s">
        <v>1146</v>
      </c>
      <c r="I298" s="111" t="s">
        <v>352</v>
      </c>
      <c r="J298" s="111" t="s">
        <v>4649</v>
      </c>
      <c r="K298" s="111" t="s">
        <v>305</v>
      </c>
      <c r="L298" s="112">
        <v>43227</v>
      </c>
      <c r="M298" s="111" t="s">
        <v>371</v>
      </c>
      <c r="N298" s="113"/>
      <c r="O298" s="114" t="s">
        <v>2055</v>
      </c>
      <c r="P298" s="114" t="s">
        <v>7487</v>
      </c>
      <c r="Q298" s="114" t="s">
        <v>6564</v>
      </c>
      <c r="R298" s="114" t="s">
        <v>7488</v>
      </c>
      <c r="S298" s="114" t="s">
        <v>557</v>
      </c>
      <c r="T298" s="114" t="s">
        <v>183</v>
      </c>
      <c r="U298" s="114" t="s">
        <v>183</v>
      </c>
      <c r="V298" s="115"/>
      <c r="W298" s="116" t="s">
        <v>1657</v>
      </c>
      <c r="X298" s="116" t="s">
        <v>4215</v>
      </c>
      <c r="Y298" s="117">
        <v>3485055</v>
      </c>
      <c r="Z298" s="117">
        <v>3481186</v>
      </c>
      <c r="AA298" s="118"/>
      <c r="AB298" s="119" t="s">
        <v>5621</v>
      </c>
      <c r="AC298" s="119" t="s">
        <v>1658</v>
      </c>
      <c r="AD298" s="119">
        <v>27264</v>
      </c>
      <c r="AE298" s="119" t="s">
        <v>1659</v>
      </c>
      <c r="AF298" s="119">
        <v>0</v>
      </c>
      <c r="AG298" s="120"/>
      <c r="AH298" s="121">
        <v>44690</v>
      </c>
      <c r="AI298" s="121">
        <v>44690</v>
      </c>
      <c r="AJ298" s="121">
        <v>44690</v>
      </c>
      <c r="AK298" s="122">
        <v>44690</v>
      </c>
      <c r="AL298" s="122" t="e">
        <v>#N/A</v>
      </c>
      <c r="AM298" s="121" t="e">
        <v>#N/A</v>
      </c>
      <c r="AN298" s="121" t="e">
        <v>#N/A</v>
      </c>
      <c r="AO298" s="121" t="e">
        <v>#N/A</v>
      </c>
      <c r="AP298" s="122" t="e">
        <v>#N/A</v>
      </c>
      <c r="AQ298" s="122" t="e">
        <v>#N/A</v>
      </c>
      <c r="AR298" s="122" t="e">
        <v>#N/A</v>
      </c>
      <c r="AS298" s="122" t="e">
        <v>#N/A</v>
      </c>
      <c r="AT298" s="122">
        <v>44690</v>
      </c>
      <c r="AU298" s="121" t="e">
        <v>#N/A</v>
      </c>
      <c r="AV298" s="122" t="e">
        <v>#N/A</v>
      </c>
      <c r="AW298" s="122" t="e">
        <v>#N/A</v>
      </c>
      <c r="AX298" s="122" t="e">
        <v>#N/A</v>
      </c>
      <c r="AY298" s="122" t="e">
        <v>#N/A</v>
      </c>
      <c r="AZ298" s="122" t="e">
        <v>#N/A</v>
      </c>
      <c r="BA298" s="122" t="e">
        <v>#N/A</v>
      </c>
      <c r="BB298" s="122" t="e">
        <v>#N/A</v>
      </c>
      <c r="BC298" s="122" t="e">
        <v>#N/A</v>
      </c>
      <c r="BD298" s="122" t="e">
        <v>#N/A</v>
      </c>
      <c r="BE298" s="122" t="e">
        <v>#N/A</v>
      </c>
      <c r="BF298" s="122" t="e">
        <v>#N/A</v>
      </c>
      <c r="BG298" s="122" t="e">
        <v>#N/A</v>
      </c>
      <c r="BH298" s="122" t="e">
        <v>#N/A</v>
      </c>
      <c r="BI298" s="122" t="e">
        <v>#N/A</v>
      </c>
      <c r="BJ298" s="122" t="e">
        <v>#N/A</v>
      </c>
      <c r="BK298" s="122" t="e">
        <v>#N/A</v>
      </c>
      <c r="BL298" s="123"/>
      <c r="BM298" s="124">
        <v>44781</v>
      </c>
      <c r="BN298" s="124">
        <v>44816</v>
      </c>
      <c r="BO298" s="124">
        <v>44907</v>
      </c>
      <c r="BP298" s="124">
        <v>44909</v>
      </c>
      <c r="BQ298" s="124">
        <v>44911</v>
      </c>
      <c r="BR298" s="124">
        <v>44911</v>
      </c>
      <c r="BS298" s="124">
        <v>44944</v>
      </c>
      <c r="BT298" s="124" t="e">
        <v>#N/A</v>
      </c>
      <c r="BU298" s="124" t="e">
        <v>#N/A</v>
      </c>
      <c r="BV298" s="124" t="e">
        <v>#N/A</v>
      </c>
      <c r="BW298" s="124" t="e">
        <v>#N/A</v>
      </c>
      <c r="BX298" s="124" t="e">
        <v>#N/A</v>
      </c>
      <c r="BY298" s="124" t="e">
        <v>#N/A</v>
      </c>
      <c r="BZ298" s="124" t="e">
        <v>#N/A</v>
      </c>
      <c r="CA298" s="125"/>
      <c r="CB298" s="124" t="e">
        <v>#N/A</v>
      </c>
      <c r="CC298" s="126">
        <v>1</v>
      </c>
      <c r="CD298" s="127" t="s">
        <v>4153</v>
      </c>
      <c r="CE298" s="128"/>
      <c r="CF298" s="77" t="s">
        <v>4169</v>
      </c>
    </row>
    <row r="299" spans="1:84" ht="14.5" x14ac:dyDescent="0.35">
      <c r="A299" s="77">
        <v>298</v>
      </c>
      <c r="B299" s="106" t="s">
        <v>5549</v>
      </c>
      <c r="C299" s="107" t="s">
        <v>6475</v>
      </c>
      <c r="D299" s="108" t="s">
        <v>5550</v>
      </c>
      <c r="E299" s="109" t="s">
        <v>210</v>
      </c>
      <c r="F299" s="110">
        <v>675589950</v>
      </c>
      <c r="G299" s="108" t="s">
        <v>1004</v>
      </c>
      <c r="H299" s="111" t="s">
        <v>1146</v>
      </c>
      <c r="I299" s="111" t="s">
        <v>5451</v>
      </c>
      <c r="J299" s="111" t="s">
        <v>4649</v>
      </c>
      <c r="K299" s="111" t="s">
        <v>3159</v>
      </c>
      <c r="L299" s="112">
        <v>44179</v>
      </c>
      <c r="M299" s="111" t="s">
        <v>250</v>
      </c>
      <c r="N299" s="113"/>
      <c r="O299" s="114" t="s">
        <v>182</v>
      </c>
      <c r="P299" s="114" t="s">
        <v>182</v>
      </c>
      <c r="Q299" s="114" t="s">
        <v>182</v>
      </c>
      <c r="R299" s="114" t="s">
        <v>7316</v>
      </c>
      <c r="S299" s="114" t="s">
        <v>184</v>
      </c>
      <c r="T299" s="114" t="s">
        <v>183</v>
      </c>
      <c r="U299" s="114" t="s">
        <v>183</v>
      </c>
      <c r="V299" s="115"/>
      <c r="W299" s="116" t="s">
        <v>5551</v>
      </c>
      <c r="X299" s="116" t="s">
        <v>5552</v>
      </c>
      <c r="Y299" s="117">
        <v>3485694</v>
      </c>
      <c r="Z299" s="117">
        <v>3481166</v>
      </c>
      <c r="AA299" s="118"/>
      <c r="AB299" s="119" t="s">
        <v>5553</v>
      </c>
      <c r="AC299" s="119" t="s">
        <v>5554</v>
      </c>
      <c r="AD299" s="119">
        <v>5522</v>
      </c>
      <c r="AE299" s="119" t="s">
        <v>5555</v>
      </c>
      <c r="AF299" s="119" t="s">
        <v>6228</v>
      </c>
      <c r="AG299" s="120"/>
      <c r="AH299" s="121">
        <v>44197</v>
      </c>
      <c r="AI299" s="121">
        <v>44197</v>
      </c>
      <c r="AJ299" s="121">
        <v>44197</v>
      </c>
      <c r="AK299" s="122">
        <v>44197</v>
      </c>
      <c r="AL299" s="122" t="e">
        <v>#N/A</v>
      </c>
      <c r="AM299" s="121" t="e">
        <v>#N/A</v>
      </c>
      <c r="AN299" s="121" t="e">
        <v>#N/A</v>
      </c>
      <c r="AO299" s="121" t="e">
        <v>#N/A</v>
      </c>
      <c r="AP299" s="122" t="e">
        <v>#N/A</v>
      </c>
      <c r="AQ299" s="122" t="e">
        <v>#N/A</v>
      </c>
      <c r="AR299" s="122" t="e">
        <v>#N/A</v>
      </c>
      <c r="AS299" s="122" t="e">
        <v>#N/A</v>
      </c>
      <c r="AT299" s="122" t="e">
        <v>#N/A</v>
      </c>
      <c r="AU299" s="121" t="e">
        <v>#N/A</v>
      </c>
      <c r="AV299" s="122" t="e">
        <v>#N/A</v>
      </c>
      <c r="AW299" s="122" t="e">
        <v>#N/A</v>
      </c>
      <c r="AX299" s="122" t="e">
        <v>#N/A</v>
      </c>
      <c r="AY299" s="122" t="e">
        <v>#N/A</v>
      </c>
      <c r="AZ299" s="122" t="e">
        <v>#N/A</v>
      </c>
      <c r="BA299" s="122" t="e">
        <v>#N/A</v>
      </c>
      <c r="BB299" s="122" t="e">
        <v>#N/A</v>
      </c>
      <c r="BC299" s="122" t="e">
        <v>#N/A</v>
      </c>
      <c r="BD299" s="122" t="e">
        <v>#N/A</v>
      </c>
      <c r="BE299" s="122" t="e">
        <v>#N/A</v>
      </c>
      <c r="BF299" s="122" t="e">
        <v>#N/A</v>
      </c>
      <c r="BG299" s="122" t="e">
        <v>#N/A</v>
      </c>
      <c r="BH299" s="122" t="e">
        <v>#N/A</v>
      </c>
      <c r="BI299" s="122" t="e">
        <v>#N/A</v>
      </c>
      <c r="BJ299" s="122" t="e">
        <v>#N/A</v>
      </c>
      <c r="BK299" s="122">
        <v>45946</v>
      </c>
      <c r="BL299" s="123"/>
      <c r="BM299" s="124">
        <v>44197</v>
      </c>
      <c r="BN299" s="124">
        <v>44197</v>
      </c>
      <c r="BO299" s="124">
        <v>44197</v>
      </c>
      <c r="BP299" s="124">
        <v>44197</v>
      </c>
      <c r="BQ299" s="124">
        <v>44197</v>
      </c>
      <c r="BR299" s="124">
        <v>44197</v>
      </c>
      <c r="BS299" s="124">
        <v>44197</v>
      </c>
      <c r="BT299" s="124">
        <v>44197</v>
      </c>
      <c r="BU299" s="124" t="e">
        <v>#N/A</v>
      </c>
      <c r="BV299" s="124" t="e">
        <v>#N/A</v>
      </c>
      <c r="BW299" s="124" t="e">
        <v>#N/A</v>
      </c>
      <c r="BX299" s="124" t="e">
        <v>#N/A</v>
      </c>
      <c r="BY299" s="124" t="e">
        <v>#N/A</v>
      </c>
      <c r="BZ299" s="124" t="e">
        <v>#N/A</v>
      </c>
      <c r="CA299" s="125"/>
      <c r="CB299" s="124">
        <v>45840</v>
      </c>
      <c r="CC299" s="126">
        <v>1</v>
      </c>
      <c r="CD299" s="127" t="s">
        <v>4169</v>
      </c>
      <c r="CE299" s="128"/>
      <c r="CF299" s="77" t="s">
        <v>4152</v>
      </c>
    </row>
    <row r="300" spans="1:84" ht="14.5" x14ac:dyDescent="0.35">
      <c r="A300" s="77">
        <v>299</v>
      </c>
      <c r="B300" s="106" t="s">
        <v>2977</v>
      </c>
      <c r="C300" s="107" t="s">
        <v>6563</v>
      </c>
      <c r="D300" s="108" t="s">
        <v>2932</v>
      </c>
      <c r="E300" s="109" t="s">
        <v>2933</v>
      </c>
      <c r="F300" s="110">
        <v>722254537</v>
      </c>
      <c r="G300" s="108" t="s">
        <v>1004</v>
      </c>
      <c r="H300" s="111" t="s">
        <v>1146</v>
      </c>
      <c r="I300" s="111" t="s">
        <v>352</v>
      </c>
      <c r="J300" s="111" t="s">
        <v>4649</v>
      </c>
      <c r="K300" s="111" t="s">
        <v>3159</v>
      </c>
      <c r="L300" s="112">
        <v>45195</v>
      </c>
      <c r="M300" s="111" t="s">
        <v>349</v>
      </c>
      <c r="N300" s="113"/>
      <c r="O300" s="114" t="s">
        <v>4353</v>
      </c>
      <c r="P300" s="114" t="s">
        <v>4353</v>
      </c>
      <c r="Q300" s="114" t="s">
        <v>7263</v>
      </c>
      <c r="R300" s="114" t="s">
        <v>5312</v>
      </c>
      <c r="S300" s="114" t="s">
        <v>557</v>
      </c>
      <c r="T300" s="114" t="s">
        <v>5314</v>
      </c>
      <c r="U300" s="114" t="s">
        <v>5314</v>
      </c>
      <c r="V300" s="115"/>
      <c r="W300" s="116" t="s">
        <v>2934</v>
      </c>
      <c r="X300" s="116" t="s">
        <v>3826</v>
      </c>
      <c r="Y300" s="117">
        <v>3485807</v>
      </c>
      <c r="Z300" s="117">
        <v>3486343</v>
      </c>
      <c r="AA300" s="118"/>
      <c r="AB300" s="119" t="s">
        <v>2935</v>
      </c>
      <c r="AC300" s="119" t="s">
        <v>2978</v>
      </c>
      <c r="AD300" s="119">
        <v>4008</v>
      </c>
      <c r="AE300" s="119" t="s">
        <v>2936</v>
      </c>
      <c r="AF300" s="119">
        <v>0</v>
      </c>
      <c r="AG300" s="120"/>
      <c r="AH300" s="121">
        <v>45195</v>
      </c>
      <c r="AI300" s="121">
        <v>45237</v>
      </c>
      <c r="AJ300" s="121">
        <v>45195</v>
      </c>
      <c r="AK300" s="122">
        <v>45237</v>
      </c>
      <c r="AL300" s="122">
        <v>45238</v>
      </c>
      <c r="AM300" s="122">
        <v>45240</v>
      </c>
      <c r="AN300" s="122" t="e">
        <v>#N/A</v>
      </c>
      <c r="AO300" s="121" t="e">
        <v>#N/A</v>
      </c>
      <c r="AP300" s="122" t="e">
        <v>#N/A</v>
      </c>
      <c r="AQ300" s="122" t="e">
        <v>#N/A</v>
      </c>
      <c r="AR300" s="122">
        <v>45239</v>
      </c>
      <c r="AS300" s="122" t="e">
        <v>#N/A</v>
      </c>
      <c r="AT300" s="122" t="e">
        <v>#N/A</v>
      </c>
      <c r="AU300" s="121" t="e">
        <v>#N/A</v>
      </c>
      <c r="AV300" s="122" t="e">
        <v>#N/A</v>
      </c>
      <c r="AW300" s="122" t="e">
        <v>#N/A</v>
      </c>
      <c r="AX300" s="122" t="e">
        <v>#N/A</v>
      </c>
      <c r="AY300" s="122" t="e">
        <v>#N/A</v>
      </c>
      <c r="AZ300" s="122" t="e">
        <v>#N/A</v>
      </c>
      <c r="BA300" s="122" t="e">
        <v>#N/A</v>
      </c>
      <c r="BB300" s="122" t="e">
        <v>#N/A</v>
      </c>
      <c r="BC300" s="122" t="e">
        <v>#N/A</v>
      </c>
      <c r="BD300" s="122" t="e">
        <v>#N/A</v>
      </c>
      <c r="BE300" s="122" t="e">
        <v>#N/A</v>
      </c>
      <c r="BF300" s="122" t="e">
        <v>#N/A</v>
      </c>
      <c r="BG300" s="122" t="e">
        <v>#N/A</v>
      </c>
      <c r="BH300" s="122">
        <v>45586</v>
      </c>
      <c r="BI300" s="122" t="e">
        <v>#N/A</v>
      </c>
      <c r="BJ300" s="122" t="e">
        <v>#N/A</v>
      </c>
      <c r="BK300" s="122" t="e">
        <v>#N/A</v>
      </c>
      <c r="BL300" s="123"/>
      <c r="BM300" s="124" t="e">
        <v>#N/A</v>
      </c>
      <c r="BN300" s="124" t="e">
        <v>#N/A</v>
      </c>
      <c r="BO300" s="124" t="e">
        <v>#N/A</v>
      </c>
      <c r="BP300" s="124" t="e">
        <v>#N/A</v>
      </c>
      <c r="BQ300" s="124" t="e">
        <v>#N/A</v>
      </c>
      <c r="BR300" s="124" t="e">
        <v>#N/A</v>
      </c>
      <c r="BS300" s="124" t="e">
        <v>#N/A</v>
      </c>
      <c r="BT300" s="124" t="e">
        <v>#N/A</v>
      </c>
      <c r="BU300" s="124" t="e">
        <v>#N/A</v>
      </c>
      <c r="BV300" s="124" t="e">
        <v>#N/A</v>
      </c>
      <c r="BW300" s="124" t="e">
        <v>#N/A</v>
      </c>
      <c r="BX300" s="124" t="e">
        <v>#N/A</v>
      </c>
      <c r="BY300" s="124" t="e">
        <v>#N/A</v>
      </c>
      <c r="BZ300" s="124" t="e">
        <v>#N/A</v>
      </c>
      <c r="CA300" s="125"/>
      <c r="CB300" s="124" t="e">
        <v>#N/A</v>
      </c>
      <c r="CC300" s="126">
        <v>1</v>
      </c>
      <c r="CD300" s="127" t="s">
        <v>4181</v>
      </c>
      <c r="CE300" s="128"/>
      <c r="CF300" s="77" t="s">
        <v>4169</v>
      </c>
    </row>
    <row r="301" spans="1:84" ht="14.5" x14ac:dyDescent="0.35">
      <c r="A301" s="77">
        <v>300</v>
      </c>
      <c r="B301" s="106" t="s">
        <v>2710</v>
      </c>
      <c r="C301" s="107" t="s">
        <v>6531</v>
      </c>
      <c r="D301" s="108" t="s">
        <v>2650</v>
      </c>
      <c r="E301" s="109" t="s">
        <v>2651</v>
      </c>
      <c r="F301" s="110">
        <v>664081855</v>
      </c>
      <c r="G301" s="108" t="s">
        <v>1004</v>
      </c>
      <c r="H301" s="111" t="s">
        <v>1146</v>
      </c>
      <c r="I301" s="111" t="s">
        <v>352</v>
      </c>
      <c r="J301" s="111" t="s">
        <v>4649</v>
      </c>
      <c r="K301" s="111" t="s">
        <v>305</v>
      </c>
      <c r="L301" s="112">
        <v>45061</v>
      </c>
      <c r="M301" s="111" t="s">
        <v>349</v>
      </c>
      <c r="N301" s="113"/>
      <c r="O301" s="114" t="s">
        <v>7099</v>
      </c>
      <c r="P301" s="114" t="s">
        <v>694</v>
      </c>
      <c r="Q301" s="114" t="s">
        <v>7099</v>
      </c>
      <c r="R301" s="114" t="s">
        <v>813</v>
      </c>
      <c r="S301" s="114" t="s">
        <v>6898</v>
      </c>
      <c r="T301" s="114" t="s">
        <v>183</v>
      </c>
      <c r="U301" s="114" t="s">
        <v>183</v>
      </c>
      <c r="V301" s="115"/>
      <c r="W301" s="116" t="s">
        <v>2652</v>
      </c>
      <c r="X301" s="116" t="s">
        <v>3599</v>
      </c>
      <c r="Y301" s="117">
        <v>3485773</v>
      </c>
      <c r="Z301" s="117">
        <v>3481152</v>
      </c>
      <c r="AA301" s="118"/>
      <c r="AB301" s="119" t="s">
        <v>5623</v>
      </c>
      <c r="AC301" s="119" t="s">
        <v>2711</v>
      </c>
      <c r="AD301" s="119">
        <v>5528</v>
      </c>
      <c r="AE301" s="119" t="s">
        <v>3821</v>
      </c>
      <c r="AF301" s="119" t="s">
        <v>7139</v>
      </c>
      <c r="AG301" s="120"/>
      <c r="AH301" s="121">
        <v>45058</v>
      </c>
      <c r="AI301" s="121">
        <v>45058</v>
      </c>
      <c r="AJ301" s="121">
        <v>45058</v>
      </c>
      <c r="AK301" s="122">
        <v>45058</v>
      </c>
      <c r="AL301" s="122" t="e">
        <v>#N/A</v>
      </c>
      <c r="AM301" s="121" t="e">
        <v>#N/A</v>
      </c>
      <c r="AN301" s="121" t="e">
        <v>#N/A</v>
      </c>
      <c r="AO301" s="121" t="e">
        <v>#N/A</v>
      </c>
      <c r="AP301" s="122" t="e">
        <v>#N/A</v>
      </c>
      <c r="AQ301" s="122" t="e">
        <v>#N/A</v>
      </c>
      <c r="AR301" s="122" t="e">
        <v>#N/A</v>
      </c>
      <c r="AS301" s="122" t="e">
        <v>#N/A</v>
      </c>
      <c r="AT301" s="122" t="e">
        <v>#N/A</v>
      </c>
      <c r="AU301" s="121" t="e">
        <v>#N/A</v>
      </c>
      <c r="AV301" s="122" t="e">
        <v>#N/A</v>
      </c>
      <c r="AW301" s="122" t="e">
        <v>#N/A</v>
      </c>
      <c r="AX301" s="122" t="e">
        <v>#N/A</v>
      </c>
      <c r="AY301" s="122" t="e">
        <v>#N/A</v>
      </c>
      <c r="AZ301" s="122" t="e">
        <v>#N/A</v>
      </c>
      <c r="BA301" s="122" t="e">
        <v>#N/A</v>
      </c>
      <c r="BB301" s="122" t="e">
        <v>#N/A</v>
      </c>
      <c r="BC301" s="122" t="e">
        <v>#N/A</v>
      </c>
      <c r="BD301" s="122" t="e">
        <v>#N/A</v>
      </c>
      <c r="BE301" s="122" t="e">
        <v>#N/A</v>
      </c>
      <c r="BF301" s="122">
        <v>45275</v>
      </c>
      <c r="BG301" s="122" t="e">
        <v>#N/A</v>
      </c>
      <c r="BH301" s="122" t="e">
        <v>#N/A</v>
      </c>
      <c r="BI301" s="122" t="e">
        <v>#N/A</v>
      </c>
      <c r="BJ301" s="122" t="e">
        <v>#N/A</v>
      </c>
      <c r="BK301" s="122">
        <v>45968</v>
      </c>
      <c r="BL301" s="123"/>
      <c r="BM301" s="124" t="e">
        <v>#N/A</v>
      </c>
      <c r="BN301" s="124" t="e">
        <v>#N/A</v>
      </c>
      <c r="BO301" s="124" t="e">
        <v>#N/A</v>
      </c>
      <c r="BP301" s="124" t="e">
        <v>#N/A</v>
      </c>
      <c r="BQ301" s="124" t="e">
        <v>#N/A</v>
      </c>
      <c r="BR301" s="124" t="e">
        <v>#N/A</v>
      </c>
      <c r="BS301" s="124" t="e">
        <v>#N/A</v>
      </c>
      <c r="BT301" s="124" t="e">
        <v>#N/A</v>
      </c>
      <c r="BU301" s="124" t="e">
        <v>#N/A</v>
      </c>
      <c r="BV301" s="124" t="e">
        <v>#N/A</v>
      </c>
      <c r="BW301" s="124" t="e">
        <v>#N/A</v>
      </c>
      <c r="BX301" s="124" t="e">
        <v>#N/A</v>
      </c>
      <c r="BY301" s="124" t="e">
        <v>#N/A</v>
      </c>
      <c r="BZ301" s="124" t="e">
        <v>#N/A</v>
      </c>
      <c r="CA301" s="125"/>
      <c r="CB301" s="124" t="e">
        <v>#N/A</v>
      </c>
      <c r="CC301" s="126">
        <v>1</v>
      </c>
      <c r="CD301" s="127" t="s">
        <v>4163</v>
      </c>
      <c r="CE301" s="128"/>
      <c r="CF301" s="77" t="s">
        <v>4169</v>
      </c>
    </row>
    <row r="302" spans="1:84" ht="14.5" x14ac:dyDescent="0.35">
      <c r="A302" s="77">
        <v>301</v>
      </c>
      <c r="B302" s="106" t="s">
        <v>2988</v>
      </c>
      <c r="C302" s="107" t="s">
        <v>6571</v>
      </c>
      <c r="D302" s="108" t="s">
        <v>2966</v>
      </c>
      <c r="E302" s="109" t="s">
        <v>2967</v>
      </c>
      <c r="F302" s="110">
        <v>620550099</v>
      </c>
      <c r="G302" s="108" t="s">
        <v>1004</v>
      </c>
      <c r="H302" s="111" t="s">
        <v>1146</v>
      </c>
      <c r="I302" s="111" t="s">
        <v>352</v>
      </c>
      <c r="J302" s="111" t="s">
        <v>4649</v>
      </c>
      <c r="K302" s="111" t="s">
        <v>3159</v>
      </c>
      <c r="L302" s="112">
        <v>45195</v>
      </c>
      <c r="M302" s="111" t="s">
        <v>349</v>
      </c>
      <c r="N302" s="113"/>
      <c r="O302" s="114" t="s">
        <v>2055</v>
      </c>
      <c r="P302" s="114" t="s">
        <v>2055</v>
      </c>
      <c r="Q302" s="114" t="s">
        <v>557</v>
      </c>
      <c r="R302" s="114" t="s">
        <v>7488</v>
      </c>
      <c r="S302" s="114" t="s">
        <v>2055</v>
      </c>
      <c r="T302" s="114" t="s">
        <v>183</v>
      </c>
      <c r="U302" s="114" t="s">
        <v>183</v>
      </c>
      <c r="V302" s="115"/>
      <c r="W302" s="116" t="s">
        <v>2968</v>
      </c>
      <c r="X302" s="116" t="s">
        <v>3600</v>
      </c>
      <c r="Y302" s="117">
        <v>3485784</v>
      </c>
      <c r="Z302" s="117">
        <v>3486289</v>
      </c>
      <c r="AA302" s="118"/>
      <c r="AB302" s="119" t="s">
        <v>5720</v>
      </c>
      <c r="AC302" s="119" t="s">
        <v>2995</v>
      </c>
      <c r="AD302" s="119">
        <v>4394</v>
      </c>
      <c r="AE302" s="119" t="s">
        <v>2989</v>
      </c>
      <c r="AF302" s="119" t="s">
        <v>7160</v>
      </c>
      <c r="AG302" s="120"/>
      <c r="AH302" s="121">
        <v>45195</v>
      </c>
      <c r="AI302" s="121">
        <v>45237</v>
      </c>
      <c r="AJ302" s="121">
        <v>45195</v>
      </c>
      <c r="AK302" s="122">
        <v>45237</v>
      </c>
      <c r="AL302" s="122">
        <v>45238</v>
      </c>
      <c r="AM302" s="121">
        <v>45240</v>
      </c>
      <c r="AN302" s="121">
        <v>46009</v>
      </c>
      <c r="AO302" s="121" t="s">
        <v>7480</v>
      </c>
      <c r="AP302" s="122" t="e">
        <v>#N/A</v>
      </c>
      <c r="AQ302" s="122" t="e">
        <v>#N/A</v>
      </c>
      <c r="AR302" s="122">
        <v>45239</v>
      </c>
      <c r="AS302" s="122" t="e">
        <v>#N/A</v>
      </c>
      <c r="AT302" s="122" t="e">
        <v>#N/A</v>
      </c>
      <c r="AU302" s="121" t="e">
        <v>#N/A</v>
      </c>
      <c r="AV302" s="122" t="e">
        <v>#N/A</v>
      </c>
      <c r="AW302" s="122">
        <v>45595</v>
      </c>
      <c r="AX302" s="122" t="e">
        <v>#N/A</v>
      </c>
      <c r="AY302" s="122" t="e">
        <v>#N/A</v>
      </c>
      <c r="AZ302" s="122" t="e">
        <v>#N/A</v>
      </c>
      <c r="BA302" s="122" t="e">
        <v>#N/A</v>
      </c>
      <c r="BB302" s="122" t="e">
        <v>#N/A</v>
      </c>
      <c r="BC302" s="122" t="e">
        <v>#N/A</v>
      </c>
      <c r="BD302" s="122" t="e">
        <v>#N/A</v>
      </c>
      <c r="BE302" s="122" t="e">
        <v>#N/A</v>
      </c>
      <c r="BF302" s="122" t="e">
        <v>#N/A</v>
      </c>
      <c r="BG302" s="122" t="e">
        <v>#N/A</v>
      </c>
      <c r="BH302" s="122">
        <v>45586</v>
      </c>
      <c r="BI302" s="122" t="e">
        <v>#N/A</v>
      </c>
      <c r="BJ302" s="122" t="e">
        <v>#N/A</v>
      </c>
      <c r="BK302" s="122">
        <v>45946</v>
      </c>
      <c r="BL302" s="123"/>
      <c r="BM302" s="124" t="e">
        <v>#N/A</v>
      </c>
      <c r="BN302" s="124" t="e">
        <v>#N/A</v>
      </c>
      <c r="BO302" s="124" t="e">
        <v>#N/A</v>
      </c>
      <c r="BP302" s="124" t="e">
        <v>#N/A</v>
      </c>
      <c r="BQ302" s="124" t="e">
        <v>#N/A</v>
      </c>
      <c r="BR302" s="124" t="e">
        <v>#N/A</v>
      </c>
      <c r="BS302" s="124" t="e">
        <v>#N/A</v>
      </c>
      <c r="BT302" s="124" t="e">
        <v>#N/A</v>
      </c>
      <c r="BU302" s="124" t="e">
        <v>#N/A</v>
      </c>
      <c r="BV302" s="124" t="e">
        <v>#N/A</v>
      </c>
      <c r="BW302" s="124" t="e">
        <v>#N/A</v>
      </c>
      <c r="BX302" s="124" t="e">
        <v>#N/A</v>
      </c>
      <c r="BY302" s="124" t="e">
        <v>#N/A</v>
      </c>
      <c r="BZ302" s="124" t="e">
        <v>#N/A</v>
      </c>
      <c r="CA302" s="125"/>
      <c r="CB302" s="124" t="e">
        <v>#N/A</v>
      </c>
      <c r="CC302" s="126">
        <v>1</v>
      </c>
      <c r="CD302" s="127" t="s">
        <v>4183</v>
      </c>
      <c r="CE302" s="128"/>
      <c r="CF302" s="77" t="s">
        <v>4169</v>
      </c>
    </row>
    <row r="303" spans="1:84" ht="14.5" x14ac:dyDescent="0.35">
      <c r="A303" s="77">
        <v>302</v>
      </c>
      <c r="B303" s="106" t="s">
        <v>1052</v>
      </c>
      <c r="C303" s="107" t="s">
        <v>1560</v>
      </c>
      <c r="D303" s="108" t="s">
        <v>1053</v>
      </c>
      <c r="E303" s="109" t="s">
        <v>1054</v>
      </c>
      <c r="F303" s="110">
        <v>634559458</v>
      </c>
      <c r="G303" s="108" t="s">
        <v>1004</v>
      </c>
      <c r="H303" s="111" t="s">
        <v>1146</v>
      </c>
      <c r="I303" s="111" t="s">
        <v>249</v>
      </c>
      <c r="J303" s="111" t="s">
        <v>4649</v>
      </c>
      <c r="K303" s="111" t="s">
        <v>199</v>
      </c>
      <c r="L303" s="112">
        <v>43227</v>
      </c>
      <c r="M303" s="111" t="s">
        <v>371</v>
      </c>
      <c r="N303" s="113"/>
      <c r="O303" s="114" t="s">
        <v>182</v>
      </c>
      <c r="P303" s="114" t="s">
        <v>182</v>
      </c>
      <c r="Q303" s="114" t="s">
        <v>182</v>
      </c>
      <c r="R303" s="114" t="s">
        <v>7316</v>
      </c>
      <c r="S303" s="114" t="s">
        <v>6902</v>
      </c>
      <c r="T303" s="114" t="s">
        <v>183</v>
      </c>
      <c r="U303" s="114" t="s">
        <v>183</v>
      </c>
      <c r="V303" s="115"/>
      <c r="W303" s="116" t="s">
        <v>1055</v>
      </c>
      <c r="X303" s="116" t="s">
        <v>2393</v>
      </c>
      <c r="Y303" s="117">
        <v>3485525</v>
      </c>
      <c r="Z303" s="117">
        <v>3486861</v>
      </c>
      <c r="AA303" s="118"/>
      <c r="AB303" s="119" t="s">
        <v>2048</v>
      </c>
      <c r="AC303" s="119" t="s">
        <v>1596</v>
      </c>
      <c r="AD303" s="119">
        <v>26110</v>
      </c>
      <c r="AE303" s="119" t="s">
        <v>3879</v>
      </c>
      <c r="AF303" s="119" t="s">
        <v>6118</v>
      </c>
      <c r="AG303" s="120"/>
      <c r="AH303" s="121">
        <v>44593</v>
      </c>
      <c r="AI303" s="121">
        <v>44641</v>
      </c>
      <c r="AJ303" s="121">
        <v>44641</v>
      </c>
      <c r="AK303" s="122">
        <v>44641</v>
      </c>
      <c r="AL303" s="122" t="e">
        <v>#N/A</v>
      </c>
      <c r="AM303" s="121" t="e">
        <v>#N/A</v>
      </c>
      <c r="AN303" s="121" t="e">
        <v>#N/A</v>
      </c>
      <c r="AO303" s="121" t="e">
        <v>#N/A</v>
      </c>
      <c r="AP303" s="122" t="e">
        <v>#N/A</v>
      </c>
      <c r="AQ303" s="122" t="e">
        <v>#N/A</v>
      </c>
      <c r="AR303" s="122" t="e">
        <v>#N/A</v>
      </c>
      <c r="AS303" s="122" t="e">
        <v>#N/A</v>
      </c>
      <c r="AT303" s="122" t="e">
        <v>#N/A</v>
      </c>
      <c r="AU303" s="121" t="e">
        <v>#N/A</v>
      </c>
      <c r="AV303" s="122" t="e">
        <v>#N/A</v>
      </c>
      <c r="AW303" s="122">
        <v>45730</v>
      </c>
      <c r="AX303" s="122" t="e">
        <v>#N/A</v>
      </c>
      <c r="AY303" s="122" t="e">
        <v>#N/A</v>
      </c>
      <c r="AZ303" s="122" t="e">
        <v>#N/A</v>
      </c>
      <c r="BA303" s="122" t="e">
        <v>#N/A</v>
      </c>
      <c r="BB303" s="122" t="e">
        <v>#N/A</v>
      </c>
      <c r="BC303" s="122" t="e">
        <v>#N/A</v>
      </c>
      <c r="BD303" s="122" t="e">
        <v>#N/A</v>
      </c>
      <c r="BE303" s="122" t="e">
        <v>#N/A</v>
      </c>
      <c r="BF303" s="122" t="e">
        <v>#N/A</v>
      </c>
      <c r="BG303" s="122" t="e">
        <v>#N/A</v>
      </c>
      <c r="BH303" s="122">
        <v>45446</v>
      </c>
      <c r="BI303" s="122" t="e">
        <v>#N/A</v>
      </c>
      <c r="BJ303" s="122" t="e">
        <v>#N/A</v>
      </c>
      <c r="BK303" s="122">
        <v>45924</v>
      </c>
      <c r="BL303" s="123"/>
      <c r="BM303" s="124" t="e">
        <v>#N/A</v>
      </c>
      <c r="BN303" s="124" t="e">
        <v>#N/A</v>
      </c>
      <c r="BO303" s="124" t="e">
        <v>#N/A</v>
      </c>
      <c r="BP303" s="124" t="e">
        <v>#N/A</v>
      </c>
      <c r="BQ303" s="124" t="e">
        <v>#N/A</v>
      </c>
      <c r="BR303" s="124" t="e">
        <v>#N/A</v>
      </c>
      <c r="BS303" s="124" t="e">
        <v>#N/A</v>
      </c>
      <c r="BT303" s="124" t="e">
        <v>#N/A</v>
      </c>
      <c r="BU303" s="124" t="e">
        <v>#N/A</v>
      </c>
      <c r="BV303" s="124" t="e">
        <v>#N/A</v>
      </c>
      <c r="BW303" s="124" t="e">
        <v>#N/A</v>
      </c>
      <c r="BX303" s="124" t="e">
        <v>#N/A</v>
      </c>
      <c r="BY303" s="124" t="e">
        <v>#N/A</v>
      </c>
      <c r="BZ303" s="124" t="e">
        <v>#N/A</v>
      </c>
      <c r="CA303" s="125"/>
      <c r="CB303" s="124" t="e">
        <v>#N/A</v>
      </c>
      <c r="CC303" s="126">
        <v>1</v>
      </c>
      <c r="CD303" s="127" t="s">
        <v>4151</v>
      </c>
      <c r="CE303" s="128"/>
      <c r="CF303" s="77" t="s">
        <v>4169</v>
      </c>
    </row>
    <row r="304" spans="1:84" ht="14.5" x14ac:dyDescent="0.35">
      <c r="A304" s="77">
        <v>303</v>
      </c>
      <c r="B304" s="106" t="s">
        <v>1035</v>
      </c>
      <c r="C304" s="107" t="s">
        <v>1416</v>
      </c>
      <c r="D304" s="108" t="s">
        <v>1036</v>
      </c>
      <c r="E304" s="109" t="s">
        <v>1037</v>
      </c>
      <c r="F304" s="110">
        <v>621344533</v>
      </c>
      <c r="G304" s="108" t="s">
        <v>1004</v>
      </c>
      <c r="H304" s="111" t="s">
        <v>1146</v>
      </c>
      <c r="I304" s="111" t="s">
        <v>352</v>
      </c>
      <c r="J304" s="111" t="s">
        <v>4649</v>
      </c>
      <c r="K304" s="111" t="s">
        <v>305</v>
      </c>
      <c r="L304" s="112">
        <v>44743</v>
      </c>
      <c r="M304" s="111" t="s">
        <v>371</v>
      </c>
      <c r="N304" s="113"/>
      <c r="O304" s="114" t="s">
        <v>183</v>
      </c>
      <c r="P304" s="114" t="s">
        <v>183</v>
      </c>
      <c r="Q304" s="114" t="s">
        <v>5313</v>
      </c>
      <c r="R304" s="114" t="s">
        <v>7489</v>
      </c>
      <c r="S304" s="114" t="s">
        <v>5716</v>
      </c>
      <c r="T304" s="114" t="s">
        <v>183</v>
      </c>
      <c r="U304" s="114" t="s">
        <v>183</v>
      </c>
      <c r="V304" s="115"/>
      <c r="W304" s="116" t="s">
        <v>1038</v>
      </c>
      <c r="X304" s="116" t="s">
        <v>2604</v>
      </c>
      <c r="Y304" s="117">
        <v>3485380</v>
      </c>
      <c r="Z304" s="117">
        <v>3486157</v>
      </c>
      <c r="AA304" s="118"/>
      <c r="AB304" s="119" t="s">
        <v>5808</v>
      </c>
      <c r="AC304" s="119" t="s">
        <v>1417</v>
      </c>
      <c r="AD304" s="119">
        <v>5099</v>
      </c>
      <c r="AE304" s="119" t="s">
        <v>4392</v>
      </c>
      <c r="AF304" s="119" t="s">
        <v>6229</v>
      </c>
      <c r="AG304" s="120"/>
      <c r="AH304" s="121">
        <v>44197</v>
      </c>
      <c r="AI304" s="121">
        <v>44593</v>
      </c>
      <c r="AJ304" s="121">
        <v>44593</v>
      </c>
      <c r="AK304" s="122">
        <v>44593</v>
      </c>
      <c r="AL304" s="122" t="e">
        <v>#N/A</v>
      </c>
      <c r="AM304" s="121" t="e">
        <v>#N/A</v>
      </c>
      <c r="AN304" s="121" t="e">
        <v>#N/A</v>
      </c>
      <c r="AO304" s="121" t="e">
        <v>#N/A</v>
      </c>
      <c r="AP304" s="122" t="e">
        <v>#N/A</v>
      </c>
      <c r="AQ304" s="122" t="e">
        <v>#N/A</v>
      </c>
      <c r="AR304" s="122" t="e">
        <v>#N/A</v>
      </c>
      <c r="AS304" s="122" t="e">
        <v>#N/A</v>
      </c>
      <c r="AT304" s="122" t="e">
        <v>#N/A</v>
      </c>
      <c r="AU304" s="121" t="e">
        <v>#N/A</v>
      </c>
      <c r="AV304" s="122" t="e">
        <v>#N/A</v>
      </c>
      <c r="AW304" s="122">
        <v>45947</v>
      </c>
      <c r="AX304" s="122" t="e">
        <v>#N/A</v>
      </c>
      <c r="AY304" s="122" t="e">
        <v>#N/A</v>
      </c>
      <c r="AZ304" s="122" t="e">
        <v>#N/A</v>
      </c>
      <c r="BA304" s="122" t="e">
        <v>#N/A</v>
      </c>
      <c r="BB304" s="122" t="e">
        <v>#N/A</v>
      </c>
      <c r="BC304" s="122" t="e">
        <v>#N/A</v>
      </c>
      <c r="BD304" s="122" t="e">
        <v>#N/A</v>
      </c>
      <c r="BE304" s="122" t="e">
        <v>#N/A</v>
      </c>
      <c r="BF304" s="122" t="e">
        <v>#N/A</v>
      </c>
      <c r="BG304" s="122" t="e">
        <v>#N/A</v>
      </c>
      <c r="BH304" s="122" t="e">
        <v>#N/A</v>
      </c>
      <c r="BI304" s="122" t="e">
        <v>#N/A</v>
      </c>
      <c r="BJ304" s="122" t="e">
        <v>#N/A</v>
      </c>
      <c r="BK304" s="122">
        <v>45953</v>
      </c>
      <c r="BL304" s="123"/>
      <c r="BM304" s="124" t="e">
        <v>#N/A</v>
      </c>
      <c r="BN304" s="124" t="e">
        <v>#N/A</v>
      </c>
      <c r="BO304" s="124" t="e">
        <v>#N/A</v>
      </c>
      <c r="BP304" s="124" t="e">
        <v>#N/A</v>
      </c>
      <c r="BQ304" s="124" t="e">
        <v>#N/A</v>
      </c>
      <c r="BR304" s="124" t="e">
        <v>#N/A</v>
      </c>
      <c r="BS304" s="124" t="e">
        <v>#N/A</v>
      </c>
      <c r="BT304" s="124" t="e">
        <v>#N/A</v>
      </c>
      <c r="BU304" s="124" t="e">
        <v>#N/A</v>
      </c>
      <c r="BV304" s="124" t="e">
        <v>#N/A</v>
      </c>
      <c r="BW304" s="124" t="e">
        <v>#N/A</v>
      </c>
      <c r="BX304" s="124" t="e">
        <v>#N/A</v>
      </c>
      <c r="BY304" s="124" t="e">
        <v>#N/A</v>
      </c>
      <c r="BZ304" s="124" t="e">
        <v>#N/A</v>
      </c>
      <c r="CA304" s="125"/>
      <c r="CB304" s="124" t="e">
        <v>#N/A</v>
      </c>
      <c r="CC304" s="126">
        <v>1</v>
      </c>
      <c r="CD304" s="127" t="s">
        <v>4148</v>
      </c>
      <c r="CE304" s="128"/>
      <c r="CF304" s="77" t="s">
        <v>4151</v>
      </c>
    </row>
    <row r="305" spans="1:84" ht="14.5" x14ac:dyDescent="0.35">
      <c r="A305" s="77">
        <v>304</v>
      </c>
      <c r="B305" s="106" t="s">
        <v>2870</v>
      </c>
      <c r="C305" s="107" t="s">
        <v>6550</v>
      </c>
      <c r="D305" s="108" t="s">
        <v>2791</v>
      </c>
      <c r="E305" s="109" t="s">
        <v>2792</v>
      </c>
      <c r="F305" s="110">
        <v>633544612</v>
      </c>
      <c r="G305" s="108" t="s">
        <v>1004</v>
      </c>
      <c r="H305" s="111" t="s">
        <v>1146</v>
      </c>
      <c r="I305" s="111" t="s">
        <v>352</v>
      </c>
      <c r="J305" s="111" t="s">
        <v>4649</v>
      </c>
      <c r="K305" s="111" t="s">
        <v>305</v>
      </c>
      <c r="L305" s="112">
        <v>45125</v>
      </c>
      <c r="M305" s="111" t="s">
        <v>250</v>
      </c>
      <c r="N305" s="113"/>
      <c r="O305" s="114" t="s">
        <v>3211</v>
      </c>
      <c r="P305" s="114" t="s">
        <v>5314</v>
      </c>
      <c r="Q305" s="114" t="s">
        <v>607</v>
      </c>
      <c r="R305" s="114" t="s">
        <v>7297</v>
      </c>
      <c r="S305" s="114" t="s">
        <v>607</v>
      </c>
      <c r="T305" s="114" t="s">
        <v>183</v>
      </c>
      <c r="U305" s="114" t="s">
        <v>183</v>
      </c>
      <c r="V305" s="115"/>
      <c r="W305" s="116" t="s">
        <v>2793</v>
      </c>
      <c r="X305" s="116" t="s">
        <v>4396</v>
      </c>
      <c r="Y305" s="117">
        <v>3485796</v>
      </c>
      <c r="Z305" s="117">
        <v>3481131</v>
      </c>
      <c r="AA305" s="118"/>
      <c r="AB305" s="119" t="s">
        <v>5625</v>
      </c>
      <c r="AC305" s="119" t="s">
        <v>2794</v>
      </c>
      <c r="AD305" s="119">
        <v>5428</v>
      </c>
      <c r="AE305" s="119" t="s">
        <v>3264</v>
      </c>
      <c r="AF305" s="119" t="s">
        <v>6244</v>
      </c>
      <c r="AG305" s="120"/>
      <c r="AH305" s="121">
        <v>45124</v>
      </c>
      <c r="AI305" s="121">
        <v>45166</v>
      </c>
      <c r="AJ305" s="121">
        <v>45124</v>
      </c>
      <c r="AK305" s="122">
        <v>45166</v>
      </c>
      <c r="AL305" s="122" t="e">
        <v>#N/A</v>
      </c>
      <c r="AM305" s="121">
        <v>45245</v>
      </c>
      <c r="AN305" s="121">
        <v>46009</v>
      </c>
      <c r="AO305" s="121" t="s">
        <v>7480</v>
      </c>
      <c r="AP305" s="122" t="e">
        <v>#N/A</v>
      </c>
      <c r="AQ305" s="122" t="e">
        <v>#N/A</v>
      </c>
      <c r="AR305" s="122">
        <v>45246</v>
      </c>
      <c r="AS305" s="122" t="e">
        <v>#N/A</v>
      </c>
      <c r="AT305" s="122" t="e">
        <v>#N/A</v>
      </c>
      <c r="AU305" s="121" t="e">
        <v>#N/A</v>
      </c>
      <c r="AV305" s="122">
        <v>36526</v>
      </c>
      <c r="AW305" s="122">
        <v>45744</v>
      </c>
      <c r="AX305" s="122" t="e">
        <v>#N/A</v>
      </c>
      <c r="AY305" s="122" t="e">
        <v>#N/A</v>
      </c>
      <c r="AZ305" s="122" t="e">
        <v>#N/A</v>
      </c>
      <c r="BA305" s="122" t="e">
        <v>#N/A</v>
      </c>
      <c r="BB305" s="122" t="e">
        <v>#N/A</v>
      </c>
      <c r="BC305" s="122" t="e">
        <v>#N/A</v>
      </c>
      <c r="BD305" s="122" t="e">
        <v>#N/A</v>
      </c>
      <c r="BE305" s="122" t="e">
        <v>#N/A</v>
      </c>
      <c r="BF305" s="122" t="e">
        <v>#N/A</v>
      </c>
      <c r="BG305" s="122" t="e">
        <v>#N/A</v>
      </c>
      <c r="BH305" s="122" t="e">
        <v>#N/A</v>
      </c>
      <c r="BI305" s="122" t="e">
        <v>#N/A</v>
      </c>
      <c r="BJ305" s="122" t="e">
        <v>#N/A</v>
      </c>
      <c r="BK305" s="122">
        <v>45924</v>
      </c>
      <c r="BL305" s="123"/>
      <c r="BM305" s="124" t="e">
        <v>#N/A</v>
      </c>
      <c r="BN305" s="124" t="e">
        <v>#N/A</v>
      </c>
      <c r="BO305" s="124" t="e">
        <v>#N/A</v>
      </c>
      <c r="BP305" s="124" t="e">
        <v>#N/A</v>
      </c>
      <c r="BQ305" s="124" t="e">
        <v>#N/A</v>
      </c>
      <c r="BR305" s="124" t="e">
        <v>#N/A</v>
      </c>
      <c r="BS305" s="124" t="e">
        <v>#N/A</v>
      </c>
      <c r="BT305" s="124" t="e">
        <v>#N/A</v>
      </c>
      <c r="BU305" s="124" t="e">
        <v>#N/A</v>
      </c>
      <c r="BV305" s="124" t="e">
        <v>#N/A</v>
      </c>
      <c r="BW305" s="124" t="e">
        <v>#N/A</v>
      </c>
      <c r="BX305" s="124" t="e">
        <v>#N/A</v>
      </c>
      <c r="BY305" s="124" t="e">
        <v>#N/A</v>
      </c>
      <c r="BZ305" s="124" t="e">
        <v>#N/A</v>
      </c>
      <c r="CA305" s="125"/>
      <c r="CB305" s="124" t="e">
        <v>#N/A</v>
      </c>
      <c r="CC305" s="126">
        <v>1</v>
      </c>
      <c r="CD305" s="127" t="s">
        <v>4168</v>
      </c>
      <c r="CE305" s="128"/>
      <c r="CF305" s="77" t="s">
        <v>4156</v>
      </c>
    </row>
    <row r="306" spans="1:84" ht="14.5" x14ac:dyDescent="0.35">
      <c r="A306" s="77">
        <v>305</v>
      </c>
      <c r="B306" s="106" t="s">
        <v>5480</v>
      </c>
      <c r="C306" s="107" t="s">
        <v>6553</v>
      </c>
      <c r="D306" s="108" t="s">
        <v>5481</v>
      </c>
      <c r="E306" s="109" t="s">
        <v>5482</v>
      </c>
      <c r="F306" s="110">
        <v>647972141</v>
      </c>
      <c r="G306" s="108" t="s">
        <v>1004</v>
      </c>
      <c r="H306" s="111" t="s">
        <v>1146</v>
      </c>
      <c r="I306" s="111" t="s">
        <v>5451</v>
      </c>
      <c r="J306" s="111" t="s">
        <v>4649</v>
      </c>
      <c r="K306" s="111" t="s">
        <v>400</v>
      </c>
      <c r="L306" s="112">
        <v>45125</v>
      </c>
      <c r="M306" s="111" t="s">
        <v>250</v>
      </c>
      <c r="N306" s="113"/>
      <c r="O306" s="114" t="s">
        <v>182</v>
      </c>
      <c r="P306" s="114" t="s">
        <v>182</v>
      </c>
      <c r="Q306" s="114" t="s">
        <v>182</v>
      </c>
      <c r="R306" s="114" t="s">
        <v>7489</v>
      </c>
      <c r="S306" s="114" t="s">
        <v>184</v>
      </c>
      <c r="T306" s="114" t="s">
        <v>183</v>
      </c>
      <c r="U306" s="114" t="s">
        <v>183</v>
      </c>
      <c r="V306" s="115"/>
      <c r="W306" s="116" t="s">
        <v>5483</v>
      </c>
      <c r="X306" s="116" t="s">
        <v>5484</v>
      </c>
      <c r="Y306" s="117">
        <v>3485787</v>
      </c>
      <c r="Z306" s="117">
        <v>3486328</v>
      </c>
      <c r="AA306" s="118"/>
      <c r="AB306" s="119" t="s">
        <v>5721</v>
      </c>
      <c r="AC306" s="119" t="s">
        <v>5485</v>
      </c>
      <c r="AD306" s="119">
        <v>5081</v>
      </c>
      <c r="AE306" s="119" t="s">
        <v>5486</v>
      </c>
      <c r="AF306" s="119" t="s">
        <v>7490</v>
      </c>
      <c r="AG306" s="120"/>
      <c r="AH306" s="121">
        <v>45124</v>
      </c>
      <c r="AI306" s="121">
        <v>45166</v>
      </c>
      <c r="AJ306" s="121">
        <v>45124</v>
      </c>
      <c r="AK306" s="122">
        <v>45166</v>
      </c>
      <c r="AL306" s="122" t="e">
        <v>#N/A</v>
      </c>
      <c r="AM306" s="121" t="e">
        <v>#N/A</v>
      </c>
      <c r="AN306" s="121" t="e">
        <v>#N/A</v>
      </c>
      <c r="AO306" s="121" t="e">
        <v>#N/A</v>
      </c>
      <c r="AP306" s="122" t="e">
        <v>#N/A</v>
      </c>
      <c r="AQ306" s="122" t="e">
        <v>#N/A</v>
      </c>
      <c r="AR306" s="122" t="e">
        <v>#N/A</v>
      </c>
      <c r="AS306" s="122" t="e">
        <v>#N/A</v>
      </c>
      <c r="AT306" s="122" t="e">
        <v>#N/A</v>
      </c>
      <c r="AU306" s="121" t="e">
        <v>#N/A</v>
      </c>
      <c r="AV306" s="122" t="e">
        <v>#N/A</v>
      </c>
      <c r="AW306" s="122">
        <v>45733</v>
      </c>
      <c r="AX306" s="122" t="e">
        <v>#N/A</v>
      </c>
      <c r="AY306" s="122" t="e">
        <v>#N/A</v>
      </c>
      <c r="AZ306" s="122" t="e">
        <v>#N/A</v>
      </c>
      <c r="BA306" s="122" t="e">
        <v>#N/A</v>
      </c>
      <c r="BB306" s="122" t="e">
        <v>#N/A</v>
      </c>
      <c r="BC306" s="122" t="e">
        <v>#N/A</v>
      </c>
      <c r="BD306" s="122" t="e">
        <v>#N/A</v>
      </c>
      <c r="BE306" s="122" t="e">
        <v>#N/A</v>
      </c>
      <c r="BF306" s="122">
        <v>45275</v>
      </c>
      <c r="BG306" s="122" t="e">
        <v>#N/A</v>
      </c>
      <c r="BH306" s="122" t="e">
        <v>#N/A</v>
      </c>
      <c r="BI306" s="122" t="e">
        <v>#N/A</v>
      </c>
      <c r="BJ306" s="122" t="e">
        <v>#N/A</v>
      </c>
      <c r="BK306" s="122">
        <v>45974</v>
      </c>
      <c r="BL306" s="123"/>
      <c r="BM306" s="124" t="e">
        <v>#N/A</v>
      </c>
      <c r="BN306" s="124" t="e">
        <v>#N/A</v>
      </c>
      <c r="BO306" s="124" t="e">
        <v>#N/A</v>
      </c>
      <c r="BP306" s="124" t="e">
        <v>#N/A</v>
      </c>
      <c r="BQ306" s="124" t="e">
        <v>#N/A</v>
      </c>
      <c r="BR306" s="124" t="e">
        <v>#N/A</v>
      </c>
      <c r="BS306" s="124" t="e">
        <v>#N/A</v>
      </c>
      <c r="BT306" s="124" t="e">
        <v>#N/A</v>
      </c>
      <c r="BU306" s="124" t="e">
        <v>#N/A</v>
      </c>
      <c r="BV306" s="124" t="e">
        <v>#N/A</v>
      </c>
      <c r="BW306" s="124" t="e">
        <v>#N/A</v>
      </c>
      <c r="BX306" s="124" t="e">
        <v>#N/A</v>
      </c>
      <c r="BY306" s="124" t="e">
        <v>#N/A</v>
      </c>
      <c r="BZ306" s="124" t="e">
        <v>#N/A</v>
      </c>
      <c r="CA306" s="125"/>
      <c r="CB306" s="124">
        <v>45726</v>
      </c>
      <c r="CC306" s="126">
        <v>1</v>
      </c>
      <c r="CD306" s="127" t="s">
        <v>4168</v>
      </c>
      <c r="CE306" s="128"/>
      <c r="CF306" s="77" t="s">
        <v>4148</v>
      </c>
    </row>
    <row r="307" spans="1:84" ht="14.5" x14ac:dyDescent="0.35">
      <c r="A307" s="77">
        <v>306</v>
      </c>
      <c r="B307" s="106" t="s">
        <v>4040</v>
      </c>
      <c r="C307" s="107" t="s">
        <v>6724</v>
      </c>
      <c r="D307" s="108" t="s">
        <v>4066</v>
      </c>
      <c r="E307" s="109" t="s">
        <v>4067</v>
      </c>
      <c r="F307" s="110">
        <v>657815421</v>
      </c>
      <c r="G307" s="108" t="s">
        <v>1004</v>
      </c>
      <c r="H307" s="111" t="s">
        <v>1146</v>
      </c>
      <c r="I307" s="111" t="s">
        <v>249</v>
      </c>
      <c r="J307" s="111" t="s">
        <v>4649</v>
      </c>
      <c r="K307" s="111" t="s">
        <v>199</v>
      </c>
      <c r="L307" s="112">
        <v>45600</v>
      </c>
      <c r="M307" s="111" t="s">
        <v>371</v>
      </c>
      <c r="N307" s="113"/>
      <c r="O307" s="114" t="s">
        <v>813</v>
      </c>
      <c r="P307" s="114" t="s">
        <v>813</v>
      </c>
      <c r="Q307" s="114" t="s">
        <v>182</v>
      </c>
      <c r="R307" s="114" t="s">
        <v>7320</v>
      </c>
      <c r="S307" s="114" t="s">
        <v>286</v>
      </c>
      <c r="T307" s="114" t="s">
        <v>183</v>
      </c>
      <c r="U307" s="114" t="s">
        <v>183</v>
      </c>
      <c r="V307" s="115"/>
      <c r="W307" s="116" t="s">
        <v>4068</v>
      </c>
      <c r="X307" s="116" t="s">
        <v>6119</v>
      </c>
      <c r="Y307" s="117">
        <v>3485898</v>
      </c>
      <c r="Z307" s="117">
        <v>3486479</v>
      </c>
      <c r="AA307" s="118"/>
      <c r="AB307" s="119" t="s">
        <v>4069</v>
      </c>
      <c r="AC307" s="119" t="s">
        <v>4070</v>
      </c>
      <c r="AD307" s="119">
        <v>5563</v>
      </c>
      <c r="AE307" s="119" t="s">
        <v>4071</v>
      </c>
      <c r="AF307" s="119" t="s">
        <v>6120</v>
      </c>
      <c r="AG307" s="120"/>
      <c r="AH307" s="121">
        <v>45600</v>
      </c>
      <c r="AI307" s="121">
        <v>45600</v>
      </c>
      <c r="AJ307" s="121">
        <v>45600</v>
      </c>
      <c r="AK307" s="122">
        <v>45600</v>
      </c>
      <c r="AL307" s="122" t="e">
        <v>#N/A</v>
      </c>
      <c r="AM307" s="121" t="e">
        <v>#N/A</v>
      </c>
      <c r="AN307" s="121" t="e">
        <v>#N/A</v>
      </c>
      <c r="AO307" s="121" t="e">
        <v>#N/A</v>
      </c>
      <c r="AP307" s="122" t="e">
        <v>#N/A</v>
      </c>
      <c r="AQ307" s="122" t="e">
        <v>#N/A</v>
      </c>
      <c r="AR307" s="122" t="e">
        <v>#N/A</v>
      </c>
      <c r="AS307" s="122" t="e">
        <v>#N/A</v>
      </c>
      <c r="AT307" s="122" t="e">
        <v>#N/A</v>
      </c>
      <c r="AU307" s="121" t="e">
        <v>#N/A</v>
      </c>
      <c r="AV307" s="122" t="e">
        <v>#N/A</v>
      </c>
      <c r="AW307" s="122">
        <v>45677</v>
      </c>
      <c r="AX307" s="122" t="e">
        <v>#N/A</v>
      </c>
      <c r="AY307" s="122" t="e">
        <v>#N/A</v>
      </c>
      <c r="AZ307" s="122" t="e">
        <v>#N/A</v>
      </c>
      <c r="BA307" s="122" t="e">
        <v>#N/A</v>
      </c>
      <c r="BB307" s="122" t="e">
        <v>#N/A</v>
      </c>
      <c r="BC307" s="122" t="e">
        <v>#N/A</v>
      </c>
      <c r="BD307" s="122" t="e">
        <v>#N/A</v>
      </c>
      <c r="BE307" s="122" t="e">
        <v>#N/A</v>
      </c>
      <c r="BF307" s="122" t="e">
        <v>#N/A</v>
      </c>
      <c r="BG307" s="122" t="e">
        <v>#N/A</v>
      </c>
      <c r="BH307" s="122" t="e">
        <v>#N/A</v>
      </c>
      <c r="BI307" s="122" t="e">
        <v>#N/A</v>
      </c>
      <c r="BJ307" s="122" t="e">
        <v>#N/A</v>
      </c>
      <c r="BK307" s="122">
        <v>45924</v>
      </c>
      <c r="BL307" s="123"/>
      <c r="BM307" s="124" t="e">
        <v>#N/A</v>
      </c>
      <c r="BN307" s="124" t="e">
        <v>#N/A</v>
      </c>
      <c r="BO307" s="124" t="e">
        <v>#N/A</v>
      </c>
      <c r="BP307" s="124" t="e">
        <v>#N/A</v>
      </c>
      <c r="BQ307" s="124" t="e">
        <v>#N/A</v>
      </c>
      <c r="BR307" s="124" t="e">
        <v>#N/A</v>
      </c>
      <c r="BS307" s="124" t="e">
        <v>#N/A</v>
      </c>
      <c r="BT307" s="124" t="e">
        <v>#N/A</v>
      </c>
      <c r="BU307" s="124" t="e">
        <v>#N/A</v>
      </c>
      <c r="BV307" s="124" t="e">
        <v>#N/A</v>
      </c>
      <c r="BW307" s="124" t="e">
        <v>#N/A</v>
      </c>
      <c r="BX307" s="124" t="e">
        <v>#N/A</v>
      </c>
      <c r="BY307" s="124" t="e">
        <v>#N/A</v>
      </c>
      <c r="BZ307" s="124" t="e">
        <v>#N/A</v>
      </c>
      <c r="CA307" s="125"/>
      <c r="CB307" s="124">
        <v>45734</v>
      </c>
      <c r="CC307" s="126">
        <v>1</v>
      </c>
      <c r="CD307" s="127" t="s">
        <v>4211</v>
      </c>
      <c r="CE307" s="128"/>
      <c r="CF307" s="77" t="s">
        <v>4169</v>
      </c>
    </row>
    <row r="308" spans="1:84" ht="14.5" x14ac:dyDescent="0.35">
      <c r="A308" s="77">
        <v>307</v>
      </c>
      <c r="B308" s="106" t="s">
        <v>5487</v>
      </c>
      <c r="C308" s="107" t="s">
        <v>6496</v>
      </c>
      <c r="D308" s="108" t="s">
        <v>5488</v>
      </c>
      <c r="E308" s="109" t="s">
        <v>5489</v>
      </c>
      <c r="F308" s="110" t="s">
        <v>5490</v>
      </c>
      <c r="G308" s="108" t="s">
        <v>1004</v>
      </c>
      <c r="H308" s="111" t="s">
        <v>1146</v>
      </c>
      <c r="I308" s="111" t="s">
        <v>5451</v>
      </c>
      <c r="J308" s="111" t="s">
        <v>4649</v>
      </c>
      <c r="K308" s="111" t="s">
        <v>305</v>
      </c>
      <c r="L308" s="112">
        <v>44959</v>
      </c>
      <c r="M308" s="111" t="s">
        <v>250</v>
      </c>
      <c r="N308" s="113"/>
      <c r="O308" s="114" t="s">
        <v>5312</v>
      </c>
      <c r="P308" s="114" t="s">
        <v>5312</v>
      </c>
      <c r="Q308" s="114" t="s">
        <v>5312</v>
      </c>
      <c r="R308" s="114" t="s">
        <v>7491</v>
      </c>
      <c r="S308" s="114" t="s">
        <v>6904</v>
      </c>
      <c r="T308" s="114" t="s">
        <v>183</v>
      </c>
      <c r="U308" s="114" t="s">
        <v>183</v>
      </c>
      <c r="V308" s="115"/>
      <c r="W308" s="116" t="s">
        <v>5491</v>
      </c>
      <c r="X308" s="116" t="s">
        <v>5492</v>
      </c>
      <c r="Y308" s="117">
        <v>3485714</v>
      </c>
      <c r="Z308" s="117">
        <v>3481405</v>
      </c>
      <c r="AA308" s="118"/>
      <c r="AB308" s="119" t="s">
        <v>5809</v>
      </c>
      <c r="AC308" s="119" t="s">
        <v>5493</v>
      </c>
      <c r="AD308" s="119">
        <v>4121</v>
      </c>
      <c r="AE308" s="119" t="s">
        <v>5494</v>
      </c>
      <c r="AF308" s="119" t="s">
        <v>7130</v>
      </c>
      <c r="AG308" s="120"/>
      <c r="AH308" s="121">
        <v>44775</v>
      </c>
      <c r="AI308" s="121">
        <v>44775</v>
      </c>
      <c r="AJ308" s="121">
        <v>44775</v>
      </c>
      <c r="AK308" s="122">
        <v>44879</v>
      </c>
      <c r="AL308" s="122" t="e">
        <v>#N/A</v>
      </c>
      <c r="AM308" s="121" t="e">
        <v>#N/A</v>
      </c>
      <c r="AN308" s="121" t="e">
        <v>#N/A</v>
      </c>
      <c r="AO308" s="121" t="e">
        <v>#N/A</v>
      </c>
      <c r="AP308" s="122" t="e">
        <v>#N/A</v>
      </c>
      <c r="AQ308" s="122" t="e">
        <v>#N/A</v>
      </c>
      <c r="AR308" s="122" t="e">
        <v>#N/A</v>
      </c>
      <c r="AS308" s="122" t="e">
        <v>#N/A</v>
      </c>
      <c r="AT308" s="122" t="e">
        <v>#N/A</v>
      </c>
      <c r="AU308" s="121" t="e">
        <v>#N/A</v>
      </c>
      <c r="AV308" s="122">
        <v>45078</v>
      </c>
      <c r="AW308" s="122">
        <v>45034</v>
      </c>
      <c r="AX308" s="122" t="e">
        <v>#N/A</v>
      </c>
      <c r="AY308" s="122" t="e">
        <v>#N/A</v>
      </c>
      <c r="AZ308" s="122" t="e">
        <v>#N/A</v>
      </c>
      <c r="BA308" s="122">
        <v>45244</v>
      </c>
      <c r="BB308" s="122" t="e">
        <v>#N/A</v>
      </c>
      <c r="BC308" s="122" t="e">
        <v>#N/A</v>
      </c>
      <c r="BD308" s="122" t="e">
        <v>#N/A</v>
      </c>
      <c r="BE308" s="122" t="e">
        <v>#N/A</v>
      </c>
      <c r="BF308" s="122" t="e">
        <v>#N/A</v>
      </c>
      <c r="BG308" s="122" t="e">
        <v>#N/A</v>
      </c>
      <c r="BH308" s="122">
        <v>45446</v>
      </c>
      <c r="BI308" s="122" t="e">
        <v>#N/A</v>
      </c>
      <c r="BJ308" s="122" t="e">
        <v>#N/A</v>
      </c>
      <c r="BK308" s="122">
        <v>45945</v>
      </c>
      <c r="BL308" s="123"/>
      <c r="BM308" s="124" t="e">
        <v>#N/A</v>
      </c>
      <c r="BN308" s="124" t="e">
        <v>#N/A</v>
      </c>
      <c r="BO308" s="124" t="e">
        <v>#N/A</v>
      </c>
      <c r="BP308" s="124" t="e">
        <v>#N/A</v>
      </c>
      <c r="BQ308" s="124" t="e">
        <v>#N/A</v>
      </c>
      <c r="BR308" s="124" t="e">
        <v>#N/A</v>
      </c>
      <c r="BS308" s="124" t="e">
        <v>#N/A</v>
      </c>
      <c r="BT308" s="124" t="e">
        <v>#N/A</v>
      </c>
      <c r="BU308" s="124" t="e">
        <v>#N/A</v>
      </c>
      <c r="BV308" s="124" t="e">
        <v>#N/A</v>
      </c>
      <c r="BW308" s="124" t="e">
        <v>#N/A</v>
      </c>
      <c r="BX308" s="124" t="e">
        <v>#N/A</v>
      </c>
      <c r="BY308" s="124" t="e">
        <v>#N/A</v>
      </c>
      <c r="BZ308" s="124" t="e">
        <v>#N/A</v>
      </c>
      <c r="CA308" s="125"/>
      <c r="CB308" s="124">
        <v>45728</v>
      </c>
      <c r="CC308" s="126">
        <v>1</v>
      </c>
      <c r="CD308" s="127" t="s">
        <v>4174</v>
      </c>
      <c r="CE308" s="128"/>
      <c r="CF308" s="77" t="s">
        <v>4163</v>
      </c>
    </row>
    <row r="309" spans="1:84" ht="14.5" x14ac:dyDescent="0.35">
      <c r="A309" s="77">
        <v>308</v>
      </c>
      <c r="B309" s="106" t="s">
        <v>2626</v>
      </c>
      <c r="C309" s="107" t="s">
        <v>6450</v>
      </c>
      <c r="D309" s="108" t="s">
        <v>2627</v>
      </c>
      <c r="E309" s="109" t="s">
        <v>2628</v>
      </c>
      <c r="F309" s="110" t="s">
        <v>2629</v>
      </c>
      <c r="G309" s="108" t="s">
        <v>1004</v>
      </c>
      <c r="H309" s="111" t="s">
        <v>1146</v>
      </c>
      <c r="I309" s="111" t="s">
        <v>352</v>
      </c>
      <c r="J309" s="111" t="s">
        <v>4649</v>
      </c>
      <c r="K309" s="111" t="s">
        <v>3159</v>
      </c>
      <c r="L309" s="112">
        <v>42515</v>
      </c>
      <c r="M309" s="111" t="s">
        <v>371</v>
      </c>
      <c r="N309" s="113"/>
      <c r="O309" s="114" t="s">
        <v>607</v>
      </c>
      <c r="P309" s="114" t="s">
        <v>182</v>
      </c>
      <c r="Q309" s="114" t="s">
        <v>182</v>
      </c>
      <c r="R309" s="114" t="s">
        <v>7316</v>
      </c>
      <c r="S309" s="114" t="s">
        <v>184</v>
      </c>
      <c r="T309" s="114" t="s">
        <v>183</v>
      </c>
      <c r="U309" s="114" t="s">
        <v>183</v>
      </c>
      <c r="V309" s="115"/>
      <c r="W309" s="116" t="s">
        <v>2630</v>
      </c>
      <c r="X309" s="116" t="s">
        <v>2931</v>
      </c>
      <c r="Y309" s="117">
        <v>3485780</v>
      </c>
      <c r="Z309" s="117">
        <v>3481469</v>
      </c>
      <c r="AA309" s="118"/>
      <c r="AB309" s="119" t="s">
        <v>2631</v>
      </c>
      <c r="AC309" s="119" t="s">
        <v>2632</v>
      </c>
      <c r="AD309" s="119">
        <v>5672</v>
      </c>
      <c r="AE309" s="119" t="s">
        <v>2633</v>
      </c>
      <c r="AF309" s="119" t="s">
        <v>6121</v>
      </c>
      <c r="AG309" s="120"/>
      <c r="AH309" s="121">
        <v>44601</v>
      </c>
      <c r="AI309" s="121">
        <v>45089</v>
      </c>
      <c r="AJ309" s="121">
        <v>45089</v>
      </c>
      <c r="AK309" s="122">
        <v>45089</v>
      </c>
      <c r="AL309" s="122">
        <v>44720</v>
      </c>
      <c r="AM309" s="121">
        <v>44720</v>
      </c>
      <c r="AN309" s="121">
        <v>44720</v>
      </c>
      <c r="AO309" s="121" t="e">
        <v>#N/A</v>
      </c>
      <c r="AP309" s="122" t="e">
        <v>#N/A</v>
      </c>
      <c r="AQ309" s="122">
        <v>44720</v>
      </c>
      <c r="AR309" s="122">
        <v>44720</v>
      </c>
      <c r="AS309" s="122" t="e">
        <v>#N/A</v>
      </c>
      <c r="AT309" s="122">
        <v>44720</v>
      </c>
      <c r="AU309" s="121" t="e">
        <v>#N/A</v>
      </c>
      <c r="AV309" s="122" t="e">
        <v>#N/A</v>
      </c>
      <c r="AW309" s="122" t="e">
        <v>#N/A</v>
      </c>
      <c r="AX309" s="122" t="e">
        <v>#N/A</v>
      </c>
      <c r="AY309" s="122">
        <v>44720</v>
      </c>
      <c r="AZ309" s="122" t="e">
        <v>#N/A</v>
      </c>
      <c r="BA309" s="122">
        <v>44720</v>
      </c>
      <c r="BB309" s="122">
        <v>44720</v>
      </c>
      <c r="BC309" s="122" t="e">
        <v>#N/A</v>
      </c>
      <c r="BD309" s="122" t="e">
        <v>#N/A</v>
      </c>
      <c r="BE309" s="122" t="e">
        <v>#N/A</v>
      </c>
      <c r="BF309" s="122">
        <v>45226</v>
      </c>
      <c r="BG309" s="122">
        <v>44720</v>
      </c>
      <c r="BH309" s="122">
        <v>45446</v>
      </c>
      <c r="BI309" s="122">
        <v>44720</v>
      </c>
      <c r="BJ309" s="122" t="e">
        <v>#N/A</v>
      </c>
      <c r="BK309" s="122">
        <v>45945</v>
      </c>
      <c r="BL309" s="123"/>
      <c r="BM309" s="124" t="e">
        <v>#N/A</v>
      </c>
      <c r="BN309" s="124" t="e">
        <v>#N/A</v>
      </c>
      <c r="BO309" s="124" t="e">
        <v>#N/A</v>
      </c>
      <c r="BP309" s="124" t="e">
        <v>#N/A</v>
      </c>
      <c r="BQ309" s="124" t="e">
        <v>#N/A</v>
      </c>
      <c r="BR309" s="124" t="e">
        <v>#N/A</v>
      </c>
      <c r="BS309" s="124" t="e">
        <v>#N/A</v>
      </c>
      <c r="BT309" s="124" t="e">
        <v>#N/A</v>
      </c>
      <c r="BU309" s="124" t="e">
        <v>#N/A</v>
      </c>
      <c r="BV309" s="124" t="e">
        <v>#N/A</v>
      </c>
      <c r="BW309" s="124" t="e">
        <v>#N/A</v>
      </c>
      <c r="BX309" s="124" t="e">
        <v>#N/A</v>
      </c>
      <c r="BY309" s="124" t="e">
        <v>#N/A</v>
      </c>
      <c r="BZ309" s="124" t="e">
        <v>#N/A</v>
      </c>
      <c r="CA309" s="125"/>
      <c r="CB309" s="124" t="e">
        <v>#N/A</v>
      </c>
      <c r="CC309" s="126">
        <v>1</v>
      </c>
      <c r="CD309" s="127" t="s">
        <v>4167</v>
      </c>
      <c r="CE309" s="128"/>
      <c r="CF309" s="77" t="s">
        <v>4148</v>
      </c>
    </row>
    <row r="310" spans="1:84" ht="14.5" x14ac:dyDescent="0.35">
      <c r="A310" s="77">
        <v>309</v>
      </c>
      <c r="B310" s="106" t="s">
        <v>1811</v>
      </c>
      <c r="C310" s="107" t="s">
        <v>6464</v>
      </c>
      <c r="D310" s="108" t="s">
        <v>1919</v>
      </c>
      <c r="E310" s="109" t="s">
        <v>1920</v>
      </c>
      <c r="F310" s="110">
        <v>643336267</v>
      </c>
      <c r="G310" s="108" t="s">
        <v>1004</v>
      </c>
      <c r="H310" s="111" t="s">
        <v>1146</v>
      </c>
      <c r="I310" s="111" t="s">
        <v>352</v>
      </c>
      <c r="J310" s="111" t="s">
        <v>4649</v>
      </c>
      <c r="K310" s="111" t="s">
        <v>2860</v>
      </c>
      <c r="L310" s="112">
        <v>43334</v>
      </c>
      <c r="M310" s="111" t="s">
        <v>349</v>
      </c>
      <c r="N310" s="113"/>
      <c r="O310" s="114" t="s">
        <v>7077</v>
      </c>
      <c r="P310" s="114" t="s">
        <v>7492</v>
      </c>
      <c r="Q310" s="114" t="s">
        <v>7077</v>
      </c>
      <c r="R310" s="114" t="s">
        <v>7493</v>
      </c>
      <c r="S310" s="114" t="s">
        <v>7494</v>
      </c>
      <c r="T310" s="114" t="s">
        <v>183</v>
      </c>
      <c r="U310" s="114" t="s">
        <v>183</v>
      </c>
      <c r="V310" s="115"/>
      <c r="W310" s="116" t="s">
        <v>1921</v>
      </c>
      <c r="X310" s="116" t="s">
        <v>1922</v>
      </c>
      <c r="Y310" s="117">
        <v>3485211</v>
      </c>
      <c r="Z310" s="117">
        <v>3481006</v>
      </c>
      <c r="AA310" s="118"/>
      <c r="AB310" s="119" t="s">
        <v>5795</v>
      </c>
      <c r="AC310" s="119" t="s">
        <v>1923</v>
      </c>
      <c r="AD310" s="119">
        <v>26227</v>
      </c>
      <c r="AE310" s="119" t="s">
        <v>4112</v>
      </c>
      <c r="AF310" s="119" t="s">
        <v>6122</v>
      </c>
      <c r="AG310" s="120"/>
      <c r="AH310" s="121">
        <v>44197</v>
      </c>
      <c r="AI310" s="121">
        <v>44197</v>
      </c>
      <c r="AJ310" s="121">
        <v>44197</v>
      </c>
      <c r="AK310" s="122">
        <v>44197</v>
      </c>
      <c r="AL310" s="122">
        <v>44646</v>
      </c>
      <c r="AM310" s="121">
        <v>44646</v>
      </c>
      <c r="AN310" s="121">
        <v>44646</v>
      </c>
      <c r="AO310" s="121" t="e">
        <v>#N/A</v>
      </c>
      <c r="AP310" s="122" t="e">
        <v>#N/A</v>
      </c>
      <c r="AQ310" s="122">
        <v>44646</v>
      </c>
      <c r="AR310" s="122">
        <v>44646</v>
      </c>
      <c r="AS310" s="122">
        <v>44646</v>
      </c>
      <c r="AT310" s="122" t="e">
        <v>#N/A</v>
      </c>
      <c r="AU310" s="121" t="e">
        <v>#N/A</v>
      </c>
      <c r="AV310" s="122">
        <v>44607</v>
      </c>
      <c r="AW310" s="122">
        <v>44607</v>
      </c>
      <c r="AX310" s="122">
        <v>44646</v>
      </c>
      <c r="AY310" s="122" t="e">
        <v>#N/A</v>
      </c>
      <c r="AZ310" s="122" t="e">
        <v>#N/A</v>
      </c>
      <c r="BA310" s="122">
        <v>44646</v>
      </c>
      <c r="BB310" s="122">
        <v>44646</v>
      </c>
      <c r="BC310" s="122">
        <v>44646</v>
      </c>
      <c r="BD310" s="122" t="e">
        <v>#N/A</v>
      </c>
      <c r="BE310" s="122" t="e">
        <v>#N/A</v>
      </c>
      <c r="BF310" s="122">
        <v>44646</v>
      </c>
      <c r="BG310" s="122">
        <v>44646</v>
      </c>
      <c r="BH310" s="122">
        <v>44646</v>
      </c>
      <c r="BI310" s="122">
        <v>44646</v>
      </c>
      <c r="BJ310" s="122" t="e">
        <v>#N/A</v>
      </c>
      <c r="BK310" s="122">
        <v>45924</v>
      </c>
      <c r="BL310" s="123"/>
      <c r="BM310" s="124" t="e">
        <v>#N/A</v>
      </c>
      <c r="BN310" s="124" t="e">
        <v>#N/A</v>
      </c>
      <c r="BO310" s="124" t="e">
        <v>#N/A</v>
      </c>
      <c r="BP310" s="124" t="e">
        <v>#N/A</v>
      </c>
      <c r="BQ310" s="124" t="e">
        <v>#N/A</v>
      </c>
      <c r="BR310" s="124" t="e">
        <v>#N/A</v>
      </c>
      <c r="BS310" s="124" t="e">
        <v>#N/A</v>
      </c>
      <c r="BT310" s="124" t="e">
        <v>#N/A</v>
      </c>
      <c r="BU310" s="124" t="e">
        <v>#N/A</v>
      </c>
      <c r="BV310" s="124" t="e">
        <v>#N/A</v>
      </c>
      <c r="BW310" s="124" t="e">
        <v>#N/A</v>
      </c>
      <c r="BX310" s="124" t="e">
        <v>#N/A</v>
      </c>
      <c r="BY310" s="124" t="e">
        <v>#N/A</v>
      </c>
      <c r="BZ310" s="124" t="e">
        <v>#N/A</v>
      </c>
      <c r="CA310" s="125"/>
      <c r="CB310" s="124" t="e">
        <v>#N/A</v>
      </c>
      <c r="CC310" s="126">
        <v>1</v>
      </c>
      <c r="CD310" s="127" t="s">
        <v>4169</v>
      </c>
      <c r="CE310" s="128"/>
      <c r="CF310" s="77" t="s">
        <v>4169</v>
      </c>
    </row>
    <row r="311" spans="1:84" ht="14.5" x14ac:dyDescent="0.35">
      <c r="A311" s="77">
        <v>310</v>
      </c>
      <c r="B311" s="106" t="s">
        <v>119</v>
      </c>
      <c r="C311" s="107" t="s">
        <v>1448</v>
      </c>
      <c r="D311" s="108" t="s">
        <v>746</v>
      </c>
      <c r="E311" s="109" t="s">
        <v>747</v>
      </c>
      <c r="F311" s="110">
        <v>617734694</v>
      </c>
      <c r="G311" s="108" t="s">
        <v>1004</v>
      </c>
      <c r="H311" s="111" t="s">
        <v>1146</v>
      </c>
      <c r="I311" s="111" t="s">
        <v>352</v>
      </c>
      <c r="J311" s="111" t="s">
        <v>4649</v>
      </c>
      <c r="K311" s="111" t="s">
        <v>400</v>
      </c>
      <c r="L311" s="112">
        <v>43242</v>
      </c>
      <c r="M311" s="111" t="s">
        <v>349</v>
      </c>
      <c r="N311" s="113"/>
      <c r="O311" s="114" t="s">
        <v>607</v>
      </c>
      <c r="P311" s="114" t="s">
        <v>5313</v>
      </c>
      <c r="Q311" s="114" t="s">
        <v>3211</v>
      </c>
      <c r="R311" s="114" t="s">
        <v>7297</v>
      </c>
      <c r="S311" s="114" t="s">
        <v>607</v>
      </c>
      <c r="T311" s="114" t="s">
        <v>183</v>
      </c>
      <c r="U311" s="114" t="s">
        <v>183</v>
      </c>
      <c r="V311" s="115"/>
      <c r="W311" s="116" t="s">
        <v>748</v>
      </c>
      <c r="X311" s="116" t="s">
        <v>3830</v>
      </c>
      <c r="Y311" s="117">
        <v>3485576</v>
      </c>
      <c r="Z311" s="117">
        <v>3481216</v>
      </c>
      <c r="AA311" s="118"/>
      <c r="AB311" s="119" t="s">
        <v>749</v>
      </c>
      <c r="AC311" s="119" t="s">
        <v>1449</v>
      </c>
      <c r="AD311" s="119">
        <v>26155</v>
      </c>
      <c r="AE311" s="119" t="s">
        <v>4111</v>
      </c>
      <c r="AF311" s="119" t="s">
        <v>7495</v>
      </c>
      <c r="AG311" s="120"/>
      <c r="AH311" s="121">
        <v>44197</v>
      </c>
      <c r="AI311" s="121">
        <v>44197</v>
      </c>
      <c r="AJ311" s="121">
        <v>44197</v>
      </c>
      <c r="AK311" s="122">
        <v>44197</v>
      </c>
      <c r="AL311" s="122" t="e">
        <v>#N/A</v>
      </c>
      <c r="AM311" s="122" t="e">
        <v>#N/A</v>
      </c>
      <c r="AN311" s="122">
        <v>46006</v>
      </c>
      <c r="AO311" s="121">
        <v>46006</v>
      </c>
      <c r="AP311" s="122">
        <v>46006</v>
      </c>
      <c r="AQ311" s="122" t="e">
        <v>#N/A</v>
      </c>
      <c r="AR311" s="122" t="e">
        <v>#N/A</v>
      </c>
      <c r="AS311" s="122" t="e">
        <v>#N/A</v>
      </c>
      <c r="AT311" s="122" t="e">
        <v>#N/A</v>
      </c>
      <c r="AU311" s="121" t="e">
        <v>#N/A</v>
      </c>
      <c r="AV311" s="122">
        <v>45495</v>
      </c>
      <c r="AW311" s="122">
        <v>45495</v>
      </c>
      <c r="AX311" s="122" t="e">
        <v>#N/A</v>
      </c>
      <c r="AY311" s="122" t="e">
        <v>#N/A</v>
      </c>
      <c r="AZ311" s="122" t="e">
        <v>#N/A</v>
      </c>
      <c r="BA311" s="122" t="e">
        <v>#N/A</v>
      </c>
      <c r="BB311" s="122" t="e">
        <v>#N/A</v>
      </c>
      <c r="BC311" s="122" t="e">
        <v>#N/A</v>
      </c>
      <c r="BD311" s="122" t="e">
        <v>#N/A</v>
      </c>
      <c r="BE311" s="122" t="e">
        <v>#N/A</v>
      </c>
      <c r="BF311" s="122" t="e">
        <v>#N/A</v>
      </c>
      <c r="BG311" s="122" t="e">
        <v>#N/A</v>
      </c>
      <c r="BH311" s="122" t="e">
        <v>#N/A</v>
      </c>
      <c r="BI311" s="122" t="e">
        <v>#N/A</v>
      </c>
      <c r="BJ311" s="122" t="e">
        <v>#N/A</v>
      </c>
      <c r="BK311" s="122">
        <v>45981</v>
      </c>
      <c r="BL311" s="123"/>
      <c r="BM311" s="124" t="e">
        <v>#N/A</v>
      </c>
      <c r="BN311" s="124" t="e">
        <v>#N/A</v>
      </c>
      <c r="BO311" s="124" t="e">
        <v>#N/A</v>
      </c>
      <c r="BP311" s="124" t="e">
        <v>#N/A</v>
      </c>
      <c r="BQ311" s="124" t="e">
        <v>#N/A</v>
      </c>
      <c r="BR311" s="124" t="e">
        <v>#N/A</v>
      </c>
      <c r="BS311" s="124" t="e">
        <v>#N/A</v>
      </c>
      <c r="BT311" s="124" t="e">
        <v>#N/A</v>
      </c>
      <c r="BU311" s="124" t="e">
        <v>#N/A</v>
      </c>
      <c r="BV311" s="124" t="e">
        <v>#N/A</v>
      </c>
      <c r="BW311" s="124" t="e">
        <v>#N/A</v>
      </c>
      <c r="BX311" s="124" t="e">
        <v>#N/A</v>
      </c>
      <c r="BY311" s="124" t="e">
        <v>#N/A</v>
      </c>
      <c r="BZ311" s="124" t="e">
        <v>#N/A</v>
      </c>
      <c r="CA311" s="125"/>
      <c r="CB311" s="124" t="e">
        <v>#N/A</v>
      </c>
      <c r="CC311" s="126">
        <v>1</v>
      </c>
      <c r="CD311" s="127" t="s">
        <v>4169</v>
      </c>
      <c r="CE311" s="128"/>
      <c r="CF311" s="77" t="s">
        <v>4169</v>
      </c>
    </row>
    <row r="312" spans="1:84" ht="14.5" x14ac:dyDescent="0.35">
      <c r="A312" s="77">
        <v>311</v>
      </c>
      <c r="B312" s="106" t="s">
        <v>1812</v>
      </c>
      <c r="C312" s="107" t="s">
        <v>6404</v>
      </c>
      <c r="D312" s="108" t="s">
        <v>2006</v>
      </c>
      <c r="E312" s="109" t="s">
        <v>1477</v>
      </c>
      <c r="F312" s="110">
        <v>665161373</v>
      </c>
      <c r="G312" s="108" t="s">
        <v>1004</v>
      </c>
      <c r="H312" s="111" t="s">
        <v>1146</v>
      </c>
      <c r="I312" s="111" t="s">
        <v>352</v>
      </c>
      <c r="J312" s="111" t="s">
        <v>4649</v>
      </c>
      <c r="K312" s="111" t="s">
        <v>199</v>
      </c>
      <c r="L312" s="112">
        <v>42898</v>
      </c>
      <c r="M312" s="111" t="s">
        <v>250</v>
      </c>
      <c r="N312" s="113"/>
      <c r="O312" s="114" t="s">
        <v>201</v>
      </c>
      <c r="P312" s="114" t="s">
        <v>7496</v>
      </c>
      <c r="Q312" s="114" t="s">
        <v>7496</v>
      </c>
      <c r="R312" s="114" t="s">
        <v>7497</v>
      </c>
      <c r="S312" s="114" t="s">
        <v>201</v>
      </c>
      <c r="T312" s="114" t="s">
        <v>201</v>
      </c>
      <c r="U312" s="114" t="s">
        <v>201</v>
      </c>
      <c r="V312" s="115"/>
      <c r="W312" s="116" t="s">
        <v>2007</v>
      </c>
      <c r="X312" s="116" t="s">
        <v>2008</v>
      </c>
      <c r="Y312" s="117">
        <v>3485329</v>
      </c>
      <c r="Z312" s="117">
        <v>3481248</v>
      </c>
      <c r="AA312" s="118"/>
      <c r="AB312" s="119" t="s">
        <v>5802</v>
      </c>
      <c r="AC312" s="119" t="s">
        <v>2009</v>
      </c>
      <c r="AD312" s="119">
        <v>26192</v>
      </c>
      <c r="AE312" s="119" t="s">
        <v>3928</v>
      </c>
      <c r="AF312" s="119" t="s">
        <v>7498</v>
      </c>
      <c r="AG312" s="120"/>
      <c r="AH312" s="121">
        <v>44641</v>
      </c>
      <c r="AI312" s="121">
        <v>44641</v>
      </c>
      <c r="AJ312" s="121">
        <v>44641</v>
      </c>
      <c r="AK312" s="122">
        <v>44641</v>
      </c>
      <c r="AL312" s="122" t="e">
        <v>#N/A</v>
      </c>
      <c r="AM312" s="121" t="e">
        <v>#N/A</v>
      </c>
      <c r="AN312" s="121" t="e">
        <v>#N/A</v>
      </c>
      <c r="AO312" s="121" t="e">
        <v>#N/A</v>
      </c>
      <c r="AP312" s="122" t="e">
        <v>#N/A</v>
      </c>
      <c r="AQ312" s="122" t="e">
        <v>#N/A</v>
      </c>
      <c r="AR312" s="122" t="e">
        <v>#N/A</v>
      </c>
      <c r="AS312" s="122" t="e">
        <v>#N/A</v>
      </c>
      <c r="AT312" s="122" t="e">
        <v>#N/A</v>
      </c>
      <c r="AU312" s="121" t="e">
        <v>#N/A</v>
      </c>
      <c r="AV312" s="122" t="e">
        <v>#N/A</v>
      </c>
      <c r="AW312" s="122">
        <v>45938</v>
      </c>
      <c r="AX312" s="122" t="e">
        <v>#N/A</v>
      </c>
      <c r="AY312" s="122" t="e">
        <v>#N/A</v>
      </c>
      <c r="AZ312" s="122" t="e">
        <v>#N/A</v>
      </c>
      <c r="BA312" s="122" t="e">
        <v>#N/A</v>
      </c>
      <c r="BB312" s="122" t="e">
        <v>#N/A</v>
      </c>
      <c r="BC312" s="122" t="e">
        <v>#N/A</v>
      </c>
      <c r="BD312" s="122" t="e">
        <v>#N/A</v>
      </c>
      <c r="BE312" s="122" t="e">
        <v>#N/A</v>
      </c>
      <c r="BF312" s="122" t="e">
        <v>#N/A</v>
      </c>
      <c r="BG312" s="122" t="e">
        <v>#N/A</v>
      </c>
      <c r="BH312" s="122" t="e">
        <v>#N/A</v>
      </c>
      <c r="BI312" s="122" t="e">
        <v>#N/A</v>
      </c>
      <c r="BJ312" s="122" t="e">
        <v>#N/A</v>
      </c>
      <c r="BK312" s="122">
        <v>46007</v>
      </c>
      <c r="BL312" s="123"/>
      <c r="BM312" s="124" t="e">
        <v>#N/A</v>
      </c>
      <c r="BN312" s="124" t="e">
        <v>#N/A</v>
      </c>
      <c r="BO312" s="124" t="e">
        <v>#N/A</v>
      </c>
      <c r="BP312" s="124" t="e">
        <v>#N/A</v>
      </c>
      <c r="BQ312" s="124" t="e">
        <v>#N/A</v>
      </c>
      <c r="BR312" s="124" t="e">
        <v>#N/A</v>
      </c>
      <c r="BS312" s="124" t="e">
        <v>#N/A</v>
      </c>
      <c r="BT312" s="124" t="e">
        <v>#N/A</v>
      </c>
      <c r="BU312" s="124" t="e">
        <v>#N/A</v>
      </c>
      <c r="BV312" s="124" t="e">
        <v>#N/A</v>
      </c>
      <c r="BW312" s="124" t="e">
        <v>#N/A</v>
      </c>
      <c r="BX312" s="124" t="e">
        <v>#N/A</v>
      </c>
      <c r="BY312" s="124" t="e">
        <v>#N/A</v>
      </c>
      <c r="BZ312" s="124" t="e">
        <v>#N/A</v>
      </c>
      <c r="CA312" s="125"/>
      <c r="CB312" s="124" t="e">
        <v>#N/A</v>
      </c>
      <c r="CC312" s="126">
        <v>1</v>
      </c>
      <c r="CD312" s="127" t="s">
        <v>4151</v>
      </c>
      <c r="CE312" s="128"/>
      <c r="CF312" s="77" t="s">
        <v>4169</v>
      </c>
    </row>
    <row r="313" spans="1:84" ht="14.5" x14ac:dyDescent="0.35">
      <c r="A313" s="77">
        <v>312</v>
      </c>
      <c r="B313" s="106" t="s">
        <v>3204</v>
      </c>
      <c r="C313" s="107" t="s">
        <v>6609</v>
      </c>
      <c r="D313" s="108" t="s">
        <v>3171</v>
      </c>
      <c r="E313" s="109" t="s">
        <v>3172</v>
      </c>
      <c r="F313" s="110">
        <v>635237602</v>
      </c>
      <c r="G313" s="108" t="s">
        <v>1004</v>
      </c>
      <c r="H313" s="111" t="s">
        <v>1146</v>
      </c>
      <c r="I313" s="111" t="s">
        <v>352</v>
      </c>
      <c r="J313" s="111" t="s">
        <v>4649</v>
      </c>
      <c r="K313" s="111" t="s">
        <v>3159</v>
      </c>
      <c r="L313" s="112">
        <v>45348</v>
      </c>
      <c r="M313" s="111" t="s">
        <v>250</v>
      </c>
      <c r="N313" s="113"/>
      <c r="O313" s="114" t="s">
        <v>5622</v>
      </c>
      <c r="P313" s="114" t="s">
        <v>607</v>
      </c>
      <c r="Q313" s="114" t="s">
        <v>607</v>
      </c>
      <c r="R313" s="114" t="s">
        <v>7077</v>
      </c>
      <c r="S313" s="114" t="s">
        <v>3211</v>
      </c>
      <c r="T313" s="114" t="s">
        <v>183</v>
      </c>
      <c r="U313" s="114" t="s">
        <v>183</v>
      </c>
      <c r="V313" s="115"/>
      <c r="W313" s="116" t="s">
        <v>3173</v>
      </c>
      <c r="X313" s="116" t="s">
        <v>4142</v>
      </c>
      <c r="Y313" s="117">
        <v>3485884</v>
      </c>
      <c r="Z313" s="117">
        <v>3486455</v>
      </c>
      <c r="AA313" s="118"/>
      <c r="AB313" s="119" t="s">
        <v>3174</v>
      </c>
      <c r="AC313" s="119" t="s">
        <v>3175</v>
      </c>
      <c r="AD313" s="119">
        <v>5424</v>
      </c>
      <c r="AE313" s="119" t="s">
        <v>3176</v>
      </c>
      <c r="AF313" s="119" t="s">
        <v>6610</v>
      </c>
      <c r="AG313" s="120"/>
      <c r="AH313" s="121">
        <v>45345</v>
      </c>
      <c r="AI313" s="121">
        <v>45376</v>
      </c>
      <c r="AJ313" s="121">
        <v>45345</v>
      </c>
      <c r="AK313" s="122">
        <v>45376</v>
      </c>
      <c r="AL313" s="122" t="e">
        <v>#N/A</v>
      </c>
      <c r="AM313" s="121">
        <v>45583</v>
      </c>
      <c r="AN313" s="121" t="e">
        <v>#N/A</v>
      </c>
      <c r="AO313" s="121" t="s">
        <v>7480</v>
      </c>
      <c r="AP313" s="122" t="e">
        <v>#N/A</v>
      </c>
      <c r="AQ313" s="122" t="e">
        <v>#N/A</v>
      </c>
      <c r="AR313" s="122" t="e">
        <v>#N/A</v>
      </c>
      <c r="AS313" s="122" t="e">
        <v>#N/A</v>
      </c>
      <c r="AT313" s="122" t="e">
        <v>#N/A</v>
      </c>
      <c r="AU313" s="121" t="e">
        <v>#N/A</v>
      </c>
      <c r="AV313" s="122" t="e">
        <v>#N/A</v>
      </c>
      <c r="AW313" s="122" t="e">
        <v>#N/A</v>
      </c>
      <c r="AX313" s="122" t="e">
        <v>#N/A</v>
      </c>
      <c r="AY313" s="122" t="e">
        <v>#N/A</v>
      </c>
      <c r="AZ313" s="122" t="e">
        <v>#N/A</v>
      </c>
      <c r="BA313" s="122" t="e">
        <v>#N/A</v>
      </c>
      <c r="BB313" s="122" t="e">
        <v>#N/A</v>
      </c>
      <c r="BC313" s="122" t="e">
        <v>#N/A</v>
      </c>
      <c r="BD313" s="122" t="e">
        <v>#N/A</v>
      </c>
      <c r="BE313" s="122" t="e">
        <v>#N/A</v>
      </c>
      <c r="BF313" s="122" t="e">
        <v>#N/A</v>
      </c>
      <c r="BG313" s="122" t="e">
        <v>#N/A</v>
      </c>
      <c r="BH313" s="122">
        <v>45583</v>
      </c>
      <c r="BI313" s="122" t="e">
        <v>#N/A</v>
      </c>
      <c r="BJ313" s="122" t="e">
        <v>#N/A</v>
      </c>
      <c r="BK313" s="122">
        <v>45953</v>
      </c>
      <c r="BL313" s="123"/>
      <c r="BM313" s="124" t="e">
        <v>#N/A</v>
      </c>
      <c r="BN313" s="124" t="e">
        <v>#N/A</v>
      </c>
      <c r="BO313" s="124" t="e">
        <v>#N/A</v>
      </c>
      <c r="BP313" s="124" t="e">
        <v>#N/A</v>
      </c>
      <c r="BQ313" s="124" t="e">
        <v>#N/A</v>
      </c>
      <c r="BR313" s="124" t="e">
        <v>#N/A</v>
      </c>
      <c r="BS313" s="124" t="e">
        <v>#N/A</v>
      </c>
      <c r="BT313" s="124" t="e">
        <v>#N/A</v>
      </c>
      <c r="BU313" s="124" t="e">
        <v>#N/A</v>
      </c>
      <c r="BV313" s="124" t="e">
        <v>#N/A</v>
      </c>
      <c r="BW313" s="124" t="e">
        <v>#N/A</v>
      </c>
      <c r="BX313" s="124" t="e">
        <v>#N/A</v>
      </c>
      <c r="BY313" s="124" t="e">
        <v>#N/A</v>
      </c>
      <c r="BZ313" s="124" t="e">
        <v>#N/A</v>
      </c>
      <c r="CA313" s="125"/>
      <c r="CB313" s="124" t="e">
        <v>#N/A</v>
      </c>
      <c r="CC313" s="126">
        <v>1</v>
      </c>
      <c r="CD313" s="127" t="s">
        <v>4198</v>
      </c>
      <c r="CE313" s="128"/>
      <c r="CF313" s="77" t="s">
        <v>4169</v>
      </c>
    </row>
    <row r="314" spans="1:84" ht="14.5" x14ac:dyDescent="0.35">
      <c r="A314" s="77">
        <v>313</v>
      </c>
      <c r="B314" s="106" t="s">
        <v>3205</v>
      </c>
      <c r="C314" s="107" t="s">
        <v>6603</v>
      </c>
      <c r="D314" s="108" t="s">
        <v>3177</v>
      </c>
      <c r="E314" s="109" t="s">
        <v>3178</v>
      </c>
      <c r="F314" s="110">
        <v>600839194</v>
      </c>
      <c r="G314" s="108" t="s">
        <v>1004</v>
      </c>
      <c r="H314" s="111" t="s">
        <v>1146</v>
      </c>
      <c r="I314" s="111" t="s">
        <v>249</v>
      </c>
      <c r="J314" s="111" t="s">
        <v>4649</v>
      </c>
      <c r="K314" s="111" t="s">
        <v>3159</v>
      </c>
      <c r="L314" s="112">
        <v>45348</v>
      </c>
      <c r="M314" s="111" t="s">
        <v>371</v>
      </c>
      <c r="N314" s="113"/>
      <c r="O314" s="114" t="s">
        <v>4353</v>
      </c>
      <c r="P314" s="114" t="s">
        <v>4353</v>
      </c>
      <c r="Q314" s="114" t="s">
        <v>4353</v>
      </c>
      <c r="R314" s="114" t="s">
        <v>4353</v>
      </c>
      <c r="S314" s="114" t="s">
        <v>6095</v>
      </c>
      <c r="T314" s="114" t="s">
        <v>4353</v>
      </c>
      <c r="U314" s="114" t="s">
        <v>4353</v>
      </c>
      <c r="V314" s="115"/>
      <c r="W314" s="116" t="s">
        <v>3179</v>
      </c>
      <c r="X314" s="116" t="s">
        <v>4416</v>
      </c>
      <c r="Y314" s="117">
        <v>3485841</v>
      </c>
      <c r="Z314" s="117">
        <v>3481198</v>
      </c>
      <c r="AA314" s="118"/>
      <c r="AB314" s="119" t="s">
        <v>5810</v>
      </c>
      <c r="AC314" s="119" t="s">
        <v>3180</v>
      </c>
      <c r="AD314" s="119">
        <v>5449</v>
      </c>
      <c r="AE314" s="119" t="s">
        <v>3181</v>
      </c>
      <c r="AF314" s="119" t="s">
        <v>6123</v>
      </c>
      <c r="AG314" s="120"/>
      <c r="AH314" s="121">
        <v>45345</v>
      </c>
      <c r="AI314" s="121">
        <v>45376</v>
      </c>
      <c r="AJ314" s="121">
        <v>45345</v>
      </c>
      <c r="AK314" s="122">
        <v>45376</v>
      </c>
      <c r="AL314" s="122" t="e">
        <v>#N/A</v>
      </c>
      <c r="AM314" s="121" t="e">
        <v>#N/A</v>
      </c>
      <c r="AN314" s="121" t="e">
        <v>#N/A</v>
      </c>
      <c r="AO314" s="121" t="e">
        <v>#N/A</v>
      </c>
      <c r="AP314" s="122" t="e">
        <v>#N/A</v>
      </c>
      <c r="AQ314" s="122" t="e">
        <v>#N/A</v>
      </c>
      <c r="AR314" s="122" t="e">
        <v>#N/A</v>
      </c>
      <c r="AS314" s="122" t="e">
        <v>#N/A</v>
      </c>
      <c r="AT314" s="122" t="e">
        <v>#N/A</v>
      </c>
      <c r="AU314" s="121" t="e">
        <v>#N/A</v>
      </c>
      <c r="AV314" s="122">
        <v>45602</v>
      </c>
      <c r="AW314" s="122">
        <v>45609</v>
      </c>
      <c r="AX314" s="122" t="e">
        <v>#N/A</v>
      </c>
      <c r="AY314" s="122" t="e">
        <v>#N/A</v>
      </c>
      <c r="AZ314" s="122" t="e">
        <v>#N/A</v>
      </c>
      <c r="BA314" s="122" t="e">
        <v>#N/A</v>
      </c>
      <c r="BB314" s="122" t="e">
        <v>#N/A</v>
      </c>
      <c r="BC314" s="122" t="e">
        <v>#N/A</v>
      </c>
      <c r="BD314" s="122" t="e">
        <v>#N/A</v>
      </c>
      <c r="BE314" s="122" t="e">
        <v>#N/A</v>
      </c>
      <c r="BF314" s="122" t="e">
        <v>#N/A</v>
      </c>
      <c r="BG314" s="122" t="e">
        <v>#N/A</v>
      </c>
      <c r="BH314" s="122" t="e">
        <v>#N/A</v>
      </c>
      <c r="BI314" s="122" t="e">
        <v>#N/A</v>
      </c>
      <c r="BJ314" s="122" t="e">
        <v>#N/A</v>
      </c>
      <c r="BK314" s="122">
        <v>45924</v>
      </c>
      <c r="BL314" s="123"/>
      <c r="BM314" s="124" t="e">
        <v>#N/A</v>
      </c>
      <c r="BN314" s="124" t="e">
        <v>#N/A</v>
      </c>
      <c r="BO314" s="124" t="e">
        <v>#N/A</v>
      </c>
      <c r="BP314" s="124" t="e">
        <v>#N/A</v>
      </c>
      <c r="BQ314" s="124" t="e">
        <v>#N/A</v>
      </c>
      <c r="BR314" s="124" t="e">
        <v>#N/A</v>
      </c>
      <c r="BS314" s="124" t="e">
        <v>#N/A</v>
      </c>
      <c r="BT314" s="124" t="e">
        <v>#N/A</v>
      </c>
      <c r="BU314" s="124" t="e">
        <v>#N/A</v>
      </c>
      <c r="BV314" s="124" t="e">
        <v>#N/A</v>
      </c>
      <c r="BW314" s="124" t="e">
        <v>#N/A</v>
      </c>
      <c r="BX314" s="124" t="e">
        <v>#N/A</v>
      </c>
      <c r="BY314" s="124" t="e">
        <v>#N/A</v>
      </c>
      <c r="BZ314" s="124" t="e">
        <v>#N/A</v>
      </c>
      <c r="CA314" s="125"/>
      <c r="CB314" s="124">
        <v>45840</v>
      </c>
      <c r="CC314" s="126">
        <v>1</v>
      </c>
      <c r="CD314" s="127" t="s">
        <v>4198</v>
      </c>
      <c r="CE314" s="128"/>
      <c r="CF314" s="77" t="s">
        <v>4169</v>
      </c>
    </row>
    <row r="315" spans="1:84" ht="14.5" x14ac:dyDescent="0.35">
      <c r="A315" s="77">
        <v>314</v>
      </c>
      <c r="B315" s="106" t="s">
        <v>2395</v>
      </c>
      <c r="C315" s="107" t="s">
        <v>6513</v>
      </c>
      <c r="D315" s="108" t="s">
        <v>2382</v>
      </c>
      <c r="E315" s="109" t="s">
        <v>2383</v>
      </c>
      <c r="F315" s="110" t="s">
        <v>2384</v>
      </c>
      <c r="G315" s="108" t="s">
        <v>1004</v>
      </c>
      <c r="H315" s="111" t="s">
        <v>1146</v>
      </c>
      <c r="I315" s="111" t="s">
        <v>352</v>
      </c>
      <c r="J315" s="111" t="s">
        <v>4649</v>
      </c>
      <c r="K315" s="111" t="s">
        <v>2860</v>
      </c>
      <c r="L315" s="112">
        <v>44970</v>
      </c>
      <c r="M315" s="111" t="s">
        <v>371</v>
      </c>
      <c r="N315" s="113"/>
      <c r="O315" s="114" t="s">
        <v>607</v>
      </c>
      <c r="P315" s="114" t="s">
        <v>607</v>
      </c>
      <c r="Q315" s="114" t="s">
        <v>607</v>
      </c>
      <c r="R315" s="114" t="s">
        <v>5622</v>
      </c>
      <c r="S315" s="114" t="s">
        <v>184</v>
      </c>
      <c r="T315" s="114" t="s">
        <v>5716</v>
      </c>
      <c r="U315" s="114" t="s">
        <v>183</v>
      </c>
      <c r="V315" s="115"/>
      <c r="W315" s="116" t="s">
        <v>2385</v>
      </c>
      <c r="X315" s="116" t="s">
        <v>2386</v>
      </c>
      <c r="Y315" s="117">
        <v>3485255</v>
      </c>
      <c r="Z315" s="117">
        <v>3486154</v>
      </c>
      <c r="AA315" s="118"/>
      <c r="AB315" s="119" t="s">
        <v>5793</v>
      </c>
      <c r="AC315" s="119" t="s">
        <v>2390</v>
      </c>
      <c r="AD315" s="119">
        <v>5948</v>
      </c>
      <c r="AE315" s="119" t="s">
        <v>6905</v>
      </c>
      <c r="AF315" s="119" t="s">
        <v>7499</v>
      </c>
      <c r="AG315" s="120"/>
      <c r="AH315" s="121">
        <v>44844</v>
      </c>
      <c r="AI315" s="121">
        <v>44844</v>
      </c>
      <c r="AJ315" s="121">
        <v>44844</v>
      </c>
      <c r="AK315" s="122">
        <v>44994</v>
      </c>
      <c r="AL315" s="122">
        <v>45072</v>
      </c>
      <c r="AM315" s="122" t="e">
        <v>#N/A</v>
      </c>
      <c r="AN315" s="122">
        <v>45072</v>
      </c>
      <c r="AO315" s="121" t="e">
        <v>#N/A</v>
      </c>
      <c r="AP315" s="122" t="e">
        <v>#N/A</v>
      </c>
      <c r="AQ315" s="122" t="e">
        <v>#N/A</v>
      </c>
      <c r="AR315" s="122">
        <v>45072</v>
      </c>
      <c r="AS315" s="122" t="e">
        <v>#N/A</v>
      </c>
      <c r="AT315" s="122" t="e">
        <v>#N/A</v>
      </c>
      <c r="AU315" s="121" t="e">
        <v>#N/A</v>
      </c>
      <c r="AV315" s="122" t="e">
        <v>#N/A</v>
      </c>
      <c r="AW315" s="122" t="e">
        <v>#N/A</v>
      </c>
      <c r="AX315" s="122" t="e">
        <v>#N/A</v>
      </c>
      <c r="AY315" s="122" t="e">
        <v>#N/A</v>
      </c>
      <c r="AZ315" s="122" t="e">
        <v>#N/A</v>
      </c>
      <c r="BA315" s="122" t="e">
        <v>#N/A</v>
      </c>
      <c r="BB315" s="122" t="e">
        <v>#N/A</v>
      </c>
      <c r="BC315" s="122" t="e">
        <v>#N/A</v>
      </c>
      <c r="BD315" s="122" t="e">
        <v>#N/A</v>
      </c>
      <c r="BE315" s="122" t="e">
        <v>#N/A</v>
      </c>
      <c r="BF315" s="122" t="e">
        <v>#N/A</v>
      </c>
      <c r="BG315" s="122" t="e">
        <v>#N/A</v>
      </c>
      <c r="BH315" s="122" t="e">
        <v>#N/A</v>
      </c>
      <c r="BI315" s="122" t="e">
        <v>#N/A</v>
      </c>
      <c r="BJ315" s="122" t="e">
        <v>#N/A</v>
      </c>
      <c r="BK315" s="122">
        <v>45974</v>
      </c>
      <c r="BL315" s="123"/>
      <c r="BM315" s="124">
        <v>45204</v>
      </c>
      <c r="BN315" s="124">
        <v>45205</v>
      </c>
      <c r="BO315" s="124">
        <v>45378</v>
      </c>
      <c r="BP315" s="124" t="e">
        <v>#N/A</v>
      </c>
      <c r="BQ315" s="124" t="e">
        <v>#N/A</v>
      </c>
      <c r="BR315" s="124">
        <v>45378</v>
      </c>
      <c r="BS315" s="124">
        <v>45205</v>
      </c>
      <c r="BT315" s="124">
        <v>45205</v>
      </c>
      <c r="BU315" s="124" t="e">
        <v>#N/A</v>
      </c>
      <c r="BV315" s="124" t="e">
        <v>#N/A</v>
      </c>
      <c r="BW315" s="124" t="e">
        <v>#N/A</v>
      </c>
      <c r="BX315" s="124" t="e">
        <v>#N/A</v>
      </c>
      <c r="BY315" s="124" t="e">
        <v>#N/A</v>
      </c>
      <c r="BZ315" s="124" t="e">
        <v>#N/A</v>
      </c>
      <c r="CA315" s="125"/>
      <c r="CB315" s="124" t="e">
        <v>#N/A</v>
      </c>
      <c r="CC315" s="126">
        <v>1</v>
      </c>
      <c r="CD315" s="127" t="s">
        <v>4190</v>
      </c>
      <c r="CE315" s="128"/>
      <c r="CF315" s="77" t="s">
        <v>4169</v>
      </c>
    </row>
    <row r="316" spans="1:84" ht="14.5" x14ac:dyDescent="0.35">
      <c r="A316" s="77">
        <v>315</v>
      </c>
      <c r="B316" s="106" t="s">
        <v>3361</v>
      </c>
      <c r="C316" s="107" t="s">
        <v>6621</v>
      </c>
      <c r="D316" s="108" t="s">
        <v>3334</v>
      </c>
      <c r="E316" s="109" t="s">
        <v>3335</v>
      </c>
      <c r="F316" s="110">
        <v>622400334</v>
      </c>
      <c r="G316" s="108" t="s">
        <v>1004</v>
      </c>
      <c r="H316" s="111" t="s">
        <v>1146</v>
      </c>
      <c r="I316" s="111" t="s">
        <v>352</v>
      </c>
      <c r="J316" s="111" t="s">
        <v>4649</v>
      </c>
      <c r="K316" s="111" t="s">
        <v>3159</v>
      </c>
      <c r="L316" s="112">
        <v>45432</v>
      </c>
      <c r="M316" s="111" t="s">
        <v>349</v>
      </c>
      <c r="N316" s="113"/>
      <c r="O316" s="114" t="s">
        <v>6102</v>
      </c>
      <c r="P316" s="114" t="s">
        <v>6102</v>
      </c>
      <c r="Q316" s="114" t="s">
        <v>6102</v>
      </c>
      <c r="R316" s="114" t="s">
        <v>6102</v>
      </c>
      <c r="S316" s="114" t="s">
        <v>6481</v>
      </c>
      <c r="T316" s="114" t="s">
        <v>6102</v>
      </c>
      <c r="U316" s="114" t="s">
        <v>6102</v>
      </c>
      <c r="V316" s="115"/>
      <c r="W316" s="116" t="s">
        <v>3336</v>
      </c>
      <c r="X316" s="116" t="s">
        <v>4655</v>
      </c>
      <c r="Y316" s="117">
        <v>3485187</v>
      </c>
      <c r="Z316" s="117">
        <v>3481189</v>
      </c>
      <c r="AA316" s="118"/>
      <c r="AB316" s="119" t="s">
        <v>5792</v>
      </c>
      <c r="AC316" s="119" t="s">
        <v>3362</v>
      </c>
      <c r="AD316" s="119">
        <v>5774</v>
      </c>
      <c r="AE316" s="119" t="s">
        <v>3337</v>
      </c>
      <c r="AF316" s="119" t="s">
        <v>6622</v>
      </c>
      <c r="AG316" s="120"/>
      <c r="AH316" s="121">
        <v>45448</v>
      </c>
      <c r="AI316" s="121">
        <v>45448</v>
      </c>
      <c r="AJ316" s="121">
        <v>45448</v>
      </c>
      <c r="AK316" s="122">
        <v>45448</v>
      </c>
      <c r="AL316" s="122">
        <v>45600</v>
      </c>
      <c r="AM316" s="122">
        <v>45600</v>
      </c>
      <c r="AN316" s="122">
        <v>45600</v>
      </c>
      <c r="AO316" s="121" t="e">
        <v>#N/A</v>
      </c>
      <c r="AP316" s="122" t="e">
        <v>#N/A</v>
      </c>
      <c r="AQ316" s="122" t="e">
        <v>#N/A</v>
      </c>
      <c r="AR316" s="122" t="e">
        <v>#N/A</v>
      </c>
      <c r="AS316" s="122" t="e">
        <v>#N/A</v>
      </c>
      <c r="AT316" s="122" t="e">
        <v>#N/A</v>
      </c>
      <c r="AU316" s="121" t="e">
        <v>#N/A</v>
      </c>
      <c r="AV316" s="122">
        <v>45786</v>
      </c>
      <c r="AW316" s="122">
        <v>45614</v>
      </c>
      <c r="AX316" s="122" t="e">
        <v>#N/A</v>
      </c>
      <c r="AY316" s="122" t="e">
        <v>#N/A</v>
      </c>
      <c r="AZ316" s="122" t="e">
        <v>#N/A</v>
      </c>
      <c r="BA316" s="122" t="e">
        <v>#N/A</v>
      </c>
      <c r="BB316" s="122" t="e">
        <v>#N/A</v>
      </c>
      <c r="BC316" s="122" t="e">
        <v>#N/A</v>
      </c>
      <c r="BD316" s="122" t="e">
        <v>#N/A</v>
      </c>
      <c r="BE316" s="122" t="e">
        <v>#N/A</v>
      </c>
      <c r="BF316" s="122" t="e">
        <v>#N/A</v>
      </c>
      <c r="BG316" s="122" t="e">
        <v>#N/A</v>
      </c>
      <c r="BH316" s="122" t="e">
        <v>#N/A</v>
      </c>
      <c r="BI316" s="122" t="e">
        <v>#N/A</v>
      </c>
      <c r="BJ316" s="122" t="e">
        <v>#N/A</v>
      </c>
      <c r="BK316" s="122">
        <v>45945</v>
      </c>
      <c r="BL316" s="123"/>
      <c r="BM316" s="124" t="e">
        <v>#N/A</v>
      </c>
      <c r="BN316" s="124" t="e">
        <v>#N/A</v>
      </c>
      <c r="BO316" s="124" t="e">
        <v>#N/A</v>
      </c>
      <c r="BP316" s="124" t="e">
        <v>#N/A</v>
      </c>
      <c r="BQ316" s="124" t="e">
        <v>#N/A</v>
      </c>
      <c r="BR316" s="124" t="e">
        <v>#N/A</v>
      </c>
      <c r="BS316" s="124" t="e">
        <v>#N/A</v>
      </c>
      <c r="BT316" s="124" t="e">
        <v>#N/A</v>
      </c>
      <c r="BU316" s="124" t="e">
        <v>#N/A</v>
      </c>
      <c r="BV316" s="124" t="e">
        <v>#N/A</v>
      </c>
      <c r="BW316" s="124" t="e">
        <v>#N/A</v>
      </c>
      <c r="BX316" s="124" t="e">
        <v>#N/A</v>
      </c>
      <c r="BY316" s="124" t="e">
        <v>#N/A</v>
      </c>
      <c r="BZ316" s="124" t="e">
        <v>#N/A</v>
      </c>
      <c r="CA316" s="125"/>
      <c r="CB316" s="124">
        <v>45840</v>
      </c>
      <c r="CC316" s="126">
        <v>1</v>
      </c>
      <c r="CD316" s="127" t="s">
        <v>4170</v>
      </c>
      <c r="CE316" s="128"/>
      <c r="CF316" s="77" t="s">
        <v>4157</v>
      </c>
    </row>
    <row r="317" spans="1:84" ht="14.5" x14ac:dyDescent="0.35">
      <c r="A317" s="77">
        <v>316</v>
      </c>
      <c r="B317" s="106" t="s">
        <v>2663</v>
      </c>
      <c r="C317" s="107" t="s">
        <v>6523</v>
      </c>
      <c r="D317" s="108" t="s">
        <v>2664</v>
      </c>
      <c r="E317" s="109" t="s">
        <v>2665</v>
      </c>
      <c r="F317" s="110" t="s">
        <v>2713</v>
      </c>
      <c r="G317" s="108" t="s">
        <v>1004</v>
      </c>
      <c r="H317" s="111" t="s">
        <v>1146</v>
      </c>
      <c r="I317" s="111" t="s">
        <v>352</v>
      </c>
      <c r="J317" s="111" t="s">
        <v>4649</v>
      </c>
      <c r="K317" s="111" t="s">
        <v>3159</v>
      </c>
      <c r="L317" s="112">
        <v>45061</v>
      </c>
      <c r="M317" s="111" t="s">
        <v>349</v>
      </c>
      <c r="N317" s="113"/>
      <c r="O317" s="114" t="s">
        <v>183</v>
      </c>
      <c r="P317" s="114" t="s">
        <v>183</v>
      </c>
      <c r="Q317" s="114" t="s">
        <v>3211</v>
      </c>
      <c r="R317" s="114" t="s">
        <v>7297</v>
      </c>
      <c r="S317" s="114" t="s">
        <v>5313</v>
      </c>
      <c r="T317" s="114" t="s">
        <v>183</v>
      </c>
      <c r="U317" s="114" t="s">
        <v>183</v>
      </c>
      <c r="V317" s="115"/>
      <c r="W317" s="116" t="s">
        <v>2666</v>
      </c>
      <c r="X317" s="116" t="s">
        <v>5282</v>
      </c>
      <c r="Y317" s="117">
        <v>3485751</v>
      </c>
      <c r="Z317" s="117">
        <v>3481488</v>
      </c>
      <c r="AA317" s="118"/>
      <c r="AB317" s="119" t="s">
        <v>2730</v>
      </c>
      <c r="AC317" s="119" t="s">
        <v>2757</v>
      </c>
      <c r="AD317" s="119" t="s">
        <v>5613</v>
      </c>
      <c r="AE317" s="119" t="s">
        <v>5614</v>
      </c>
      <c r="AF317" s="119" t="s">
        <v>6236</v>
      </c>
      <c r="AG317" s="120"/>
      <c r="AH317" s="121">
        <v>45089</v>
      </c>
      <c r="AI317" s="121">
        <v>45089</v>
      </c>
      <c r="AJ317" s="121">
        <v>45089</v>
      </c>
      <c r="AK317" s="122">
        <v>45089</v>
      </c>
      <c r="AL317" s="122" t="e">
        <v>#N/A</v>
      </c>
      <c r="AM317" s="121" t="e">
        <v>#N/A</v>
      </c>
      <c r="AN317" s="121">
        <v>46006</v>
      </c>
      <c r="AO317" s="121">
        <v>46006</v>
      </c>
      <c r="AP317" s="122">
        <v>46006</v>
      </c>
      <c r="AQ317" s="122" t="e">
        <v>#N/A</v>
      </c>
      <c r="AR317" s="122" t="e">
        <v>#N/A</v>
      </c>
      <c r="AS317" s="122" t="e">
        <v>#N/A</v>
      </c>
      <c r="AT317" s="122" t="e">
        <v>#N/A</v>
      </c>
      <c r="AU317" s="121" t="e">
        <v>#N/A</v>
      </c>
      <c r="AV317" s="122" t="e">
        <v>#N/A</v>
      </c>
      <c r="AW317" s="122">
        <v>45936</v>
      </c>
      <c r="AX317" s="122" t="e">
        <v>#N/A</v>
      </c>
      <c r="AY317" s="122" t="e">
        <v>#N/A</v>
      </c>
      <c r="AZ317" s="122" t="e">
        <v>#N/A</v>
      </c>
      <c r="BA317" s="122" t="e">
        <v>#N/A</v>
      </c>
      <c r="BB317" s="122" t="e">
        <v>#N/A</v>
      </c>
      <c r="BC317" s="122" t="e">
        <v>#N/A</v>
      </c>
      <c r="BD317" s="122" t="e">
        <v>#N/A</v>
      </c>
      <c r="BE317" s="122" t="e">
        <v>#N/A</v>
      </c>
      <c r="BF317" s="122" t="e">
        <v>#N/A</v>
      </c>
      <c r="BG317" s="122" t="e">
        <v>#N/A</v>
      </c>
      <c r="BH317" s="122" t="e">
        <v>#N/A</v>
      </c>
      <c r="BI317" s="122" t="e">
        <v>#N/A</v>
      </c>
      <c r="BJ317" s="122" t="e">
        <v>#N/A</v>
      </c>
      <c r="BK317" s="122">
        <v>45953</v>
      </c>
      <c r="BL317" s="123"/>
      <c r="BM317" s="124" t="e">
        <v>#N/A</v>
      </c>
      <c r="BN317" s="124" t="e">
        <v>#N/A</v>
      </c>
      <c r="BO317" s="124" t="e">
        <v>#N/A</v>
      </c>
      <c r="BP317" s="124" t="e">
        <v>#N/A</v>
      </c>
      <c r="BQ317" s="124" t="e">
        <v>#N/A</v>
      </c>
      <c r="BR317" s="124" t="e">
        <v>#N/A</v>
      </c>
      <c r="BS317" s="124" t="e">
        <v>#N/A</v>
      </c>
      <c r="BT317" s="124" t="e">
        <v>#N/A</v>
      </c>
      <c r="BU317" s="124" t="e">
        <v>#N/A</v>
      </c>
      <c r="BV317" s="124" t="e">
        <v>#N/A</v>
      </c>
      <c r="BW317" s="124" t="e">
        <v>#N/A</v>
      </c>
      <c r="BX317" s="124" t="e">
        <v>#N/A</v>
      </c>
      <c r="BY317" s="124" t="e">
        <v>#N/A</v>
      </c>
      <c r="BZ317" s="124" t="e">
        <v>#N/A</v>
      </c>
      <c r="CA317" s="125"/>
      <c r="CB317" s="124" t="e">
        <v>#N/A</v>
      </c>
      <c r="CC317" s="126">
        <v>1</v>
      </c>
      <c r="CD317" s="127" t="s">
        <v>4167</v>
      </c>
      <c r="CE317" s="128"/>
      <c r="CF317" s="77" t="s">
        <v>4169</v>
      </c>
    </row>
    <row r="318" spans="1:84" ht="14.5" x14ac:dyDescent="0.35">
      <c r="A318" s="77">
        <v>317</v>
      </c>
      <c r="B318" s="106" t="s">
        <v>3118</v>
      </c>
      <c r="C318" s="107" t="s">
        <v>6593</v>
      </c>
      <c r="D318" s="108" t="s">
        <v>3103</v>
      </c>
      <c r="E318" s="109" t="s">
        <v>3104</v>
      </c>
      <c r="F318" s="110">
        <v>664891121</v>
      </c>
      <c r="G318" s="108" t="s">
        <v>1004</v>
      </c>
      <c r="H318" s="111" t="s">
        <v>1146</v>
      </c>
      <c r="I318" s="111" t="s">
        <v>352</v>
      </c>
      <c r="J318" s="111" t="s">
        <v>4649</v>
      </c>
      <c r="K318" s="111" t="s">
        <v>199</v>
      </c>
      <c r="L318" s="112">
        <v>45275</v>
      </c>
      <c r="M318" s="111" t="s">
        <v>371</v>
      </c>
      <c r="N318" s="113"/>
      <c r="O318" s="114" t="s">
        <v>5314</v>
      </c>
      <c r="P318" s="114" t="s">
        <v>607</v>
      </c>
      <c r="Q318" s="114" t="s">
        <v>3211</v>
      </c>
      <c r="R318" s="114" t="s">
        <v>7297</v>
      </c>
      <c r="S318" s="114" t="s">
        <v>5314</v>
      </c>
      <c r="T318" s="114" t="s">
        <v>183</v>
      </c>
      <c r="U318" s="114" t="s">
        <v>183</v>
      </c>
      <c r="V318" s="115"/>
      <c r="W318" s="116" t="s">
        <v>3105</v>
      </c>
      <c r="X318" s="116" t="s">
        <v>3106</v>
      </c>
      <c r="Y318" s="117">
        <v>3485887</v>
      </c>
      <c r="Z318" s="117">
        <v>3486458</v>
      </c>
      <c r="AA318" s="118"/>
      <c r="AB318" s="119" t="s">
        <v>5540</v>
      </c>
      <c r="AC318" s="119" t="s">
        <v>3119</v>
      </c>
      <c r="AD318" s="119">
        <v>4555</v>
      </c>
      <c r="AE318" s="119" t="s">
        <v>3107</v>
      </c>
      <c r="AF318" s="119" t="s">
        <v>7500</v>
      </c>
      <c r="AG318" s="120"/>
      <c r="AH318" s="121">
        <v>45274</v>
      </c>
      <c r="AI318" s="121">
        <v>45359</v>
      </c>
      <c r="AJ318" s="121">
        <v>45274</v>
      </c>
      <c r="AK318" s="122">
        <v>45359</v>
      </c>
      <c r="AL318" s="122" t="e">
        <v>#N/A</v>
      </c>
      <c r="AM318" s="121" t="e">
        <v>#N/A</v>
      </c>
      <c r="AN318" s="121" t="e">
        <v>#N/A</v>
      </c>
      <c r="AO318" s="121" t="e">
        <v>#N/A</v>
      </c>
      <c r="AP318" s="122" t="e">
        <v>#N/A</v>
      </c>
      <c r="AQ318" s="122" t="e">
        <v>#N/A</v>
      </c>
      <c r="AR318" s="122" t="e">
        <v>#N/A</v>
      </c>
      <c r="AS318" s="122" t="e">
        <v>#N/A</v>
      </c>
      <c r="AT318" s="122" t="e">
        <v>#N/A</v>
      </c>
      <c r="AU318" s="121" t="e">
        <v>#N/A</v>
      </c>
      <c r="AV318" s="122" t="e">
        <v>#N/A</v>
      </c>
      <c r="AW318" s="122" t="e">
        <v>#N/A</v>
      </c>
      <c r="AX318" s="122" t="e">
        <v>#N/A</v>
      </c>
      <c r="AY318" s="122" t="e">
        <v>#N/A</v>
      </c>
      <c r="AZ318" s="122" t="e">
        <v>#N/A</v>
      </c>
      <c r="BA318" s="122" t="e">
        <v>#N/A</v>
      </c>
      <c r="BB318" s="122" t="e">
        <v>#N/A</v>
      </c>
      <c r="BC318" s="122" t="e">
        <v>#N/A</v>
      </c>
      <c r="BD318" s="122" t="e">
        <v>#N/A</v>
      </c>
      <c r="BE318" s="122" t="e">
        <v>#N/A</v>
      </c>
      <c r="BF318" s="122" t="e">
        <v>#N/A</v>
      </c>
      <c r="BG318" s="122" t="e">
        <v>#N/A</v>
      </c>
      <c r="BH318" s="122" t="e">
        <v>#N/A</v>
      </c>
      <c r="BI318" s="122" t="e">
        <v>#N/A</v>
      </c>
      <c r="BJ318" s="122" t="e">
        <v>#N/A</v>
      </c>
      <c r="BK318" s="122">
        <v>45981</v>
      </c>
      <c r="BL318" s="123"/>
      <c r="BM318" s="124">
        <v>45546</v>
      </c>
      <c r="BN318" s="124">
        <v>45546</v>
      </c>
      <c r="BO318" s="124" t="e">
        <v>#N/A</v>
      </c>
      <c r="BP318" s="124" t="e">
        <v>#N/A</v>
      </c>
      <c r="BQ318" s="124" t="e">
        <v>#N/A</v>
      </c>
      <c r="BR318" s="124" t="e">
        <v>#N/A</v>
      </c>
      <c r="BS318" s="124" t="e">
        <v>#N/A</v>
      </c>
      <c r="BT318" s="124" t="e">
        <v>#N/A</v>
      </c>
      <c r="BU318" s="124" t="e">
        <v>#N/A</v>
      </c>
      <c r="BV318" s="124" t="e">
        <v>#N/A</v>
      </c>
      <c r="BW318" s="124" t="e">
        <v>#N/A</v>
      </c>
      <c r="BX318" s="124" t="e">
        <v>#N/A</v>
      </c>
      <c r="BY318" s="124" t="e">
        <v>#N/A</v>
      </c>
      <c r="BZ318" s="124" t="e">
        <v>#N/A</v>
      </c>
      <c r="CA318" s="125"/>
      <c r="CB318" s="124" t="e">
        <v>#N/A</v>
      </c>
      <c r="CC318" s="126">
        <v>1</v>
      </c>
      <c r="CD318" s="127" t="s">
        <v>4196</v>
      </c>
      <c r="CE318" s="128"/>
      <c r="CF318" s="77" t="s">
        <v>4148</v>
      </c>
    </row>
    <row r="319" spans="1:84" ht="14.5" x14ac:dyDescent="0.35">
      <c r="A319" s="77">
        <v>318</v>
      </c>
      <c r="B319" s="106" t="s">
        <v>2979</v>
      </c>
      <c r="C319" s="107" t="s">
        <v>6566</v>
      </c>
      <c r="D319" s="108" t="s">
        <v>2947</v>
      </c>
      <c r="E319" s="109" t="s">
        <v>2948</v>
      </c>
      <c r="F319" s="110">
        <v>635494445</v>
      </c>
      <c r="G319" s="108" t="s">
        <v>1004</v>
      </c>
      <c r="H319" s="111" t="s">
        <v>1146</v>
      </c>
      <c r="I319" s="111" t="s">
        <v>352</v>
      </c>
      <c r="J319" s="111" t="s">
        <v>4649</v>
      </c>
      <c r="K319" s="111" t="s">
        <v>3159</v>
      </c>
      <c r="L319" s="112">
        <v>45195</v>
      </c>
      <c r="M319" s="111" t="s">
        <v>250</v>
      </c>
      <c r="N319" s="113"/>
      <c r="O319" s="114" t="s">
        <v>5314</v>
      </c>
      <c r="P319" s="114" t="s">
        <v>285</v>
      </c>
      <c r="Q319" s="114" t="s">
        <v>607</v>
      </c>
      <c r="R319" s="114" t="s">
        <v>7320</v>
      </c>
      <c r="S319" s="114" t="s">
        <v>813</v>
      </c>
      <c r="T319" s="114" t="s">
        <v>7099</v>
      </c>
      <c r="U319" s="114" t="s">
        <v>7099</v>
      </c>
      <c r="V319" s="115"/>
      <c r="W319" s="116" t="s">
        <v>2949</v>
      </c>
      <c r="X319" s="116" t="s">
        <v>5180</v>
      </c>
      <c r="Y319" s="117">
        <v>3485334</v>
      </c>
      <c r="Z319" s="117">
        <v>3481076</v>
      </c>
      <c r="AA319" s="118"/>
      <c r="AB319" s="119" t="s">
        <v>2950</v>
      </c>
      <c r="AC319" s="119" t="s">
        <v>2980</v>
      </c>
      <c r="AD319" s="119">
        <v>4363</v>
      </c>
      <c r="AE319" s="119" t="s">
        <v>2951</v>
      </c>
      <c r="AF319" s="119" t="s">
        <v>6103</v>
      </c>
      <c r="AG319" s="120"/>
      <c r="AH319" s="121">
        <v>45195</v>
      </c>
      <c r="AI319" s="121">
        <v>45240</v>
      </c>
      <c r="AJ319" s="121">
        <v>45195</v>
      </c>
      <c r="AK319" s="122">
        <v>45240</v>
      </c>
      <c r="AL319" s="122" t="e">
        <v>#N/A</v>
      </c>
      <c r="AM319" s="121" t="e">
        <v>#N/A</v>
      </c>
      <c r="AN319" s="121" t="e">
        <v>#N/A</v>
      </c>
      <c r="AO319" s="121" t="e">
        <v>#N/A</v>
      </c>
      <c r="AP319" s="122" t="e">
        <v>#N/A</v>
      </c>
      <c r="AQ319" s="122" t="e">
        <v>#N/A</v>
      </c>
      <c r="AR319" s="122" t="e">
        <v>#N/A</v>
      </c>
      <c r="AS319" s="122" t="e">
        <v>#N/A</v>
      </c>
      <c r="AT319" s="122" t="e">
        <v>#N/A</v>
      </c>
      <c r="AU319" s="121" t="e">
        <v>#N/A</v>
      </c>
      <c r="AV319" s="122" t="e">
        <v>#N/A</v>
      </c>
      <c r="AW319" s="122">
        <v>45755</v>
      </c>
      <c r="AX319" s="122" t="e">
        <v>#N/A</v>
      </c>
      <c r="AY319" s="122" t="e">
        <v>#N/A</v>
      </c>
      <c r="AZ319" s="122" t="e">
        <v>#N/A</v>
      </c>
      <c r="BA319" s="122" t="e">
        <v>#N/A</v>
      </c>
      <c r="BB319" s="122" t="e">
        <v>#N/A</v>
      </c>
      <c r="BC319" s="122" t="e">
        <v>#N/A</v>
      </c>
      <c r="BD319" s="122" t="e">
        <v>#N/A</v>
      </c>
      <c r="BE319" s="122" t="e">
        <v>#N/A</v>
      </c>
      <c r="BF319" s="122">
        <v>45275</v>
      </c>
      <c r="BG319" s="122" t="e">
        <v>#N/A</v>
      </c>
      <c r="BH319" s="122" t="e">
        <v>#N/A</v>
      </c>
      <c r="BI319" s="122" t="e">
        <v>#N/A</v>
      </c>
      <c r="BJ319" s="122" t="e">
        <v>#N/A</v>
      </c>
      <c r="BK319" s="122">
        <v>45924</v>
      </c>
      <c r="BL319" s="123"/>
      <c r="BM319" s="124" t="e">
        <v>#N/A</v>
      </c>
      <c r="BN319" s="124" t="e">
        <v>#N/A</v>
      </c>
      <c r="BO319" s="124" t="e">
        <v>#N/A</v>
      </c>
      <c r="BP319" s="124" t="e">
        <v>#N/A</v>
      </c>
      <c r="BQ319" s="124" t="e">
        <v>#N/A</v>
      </c>
      <c r="BR319" s="124" t="e">
        <v>#N/A</v>
      </c>
      <c r="BS319" s="124" t="e">
        <v>#N/A</v>
      </c>
      <c r="BT319" s="124" t="e">
        <v>#N/A</v>
      </c>
      <c r="BU319" s="124" t="e">
        <v>#N/A</v>
      </c>
      <c r="BV319" s="124" t="e">
        <v>#N/A</v>
      </c>
      <c r="BW319" s="124" t="e">
        <v>#N/A</v>
      </c>
      <c r="BX319" s="124" t="e">
        <v>#N/A</v>
      </c>
      <c r="BY319" s="124" t="e">
        <v>#N/A</v>
      </c>
      <c r="BZ319" s="124" t="e">
        <v>#N/A</v>
      </c>
      <c r="CA319" s="125"/>
      <c r="CB319" s="124">
        <v>45840</v>
      </c>
      <c r="CC319" s="126">
        <v>1</v>
      </c>
      <c r="CD319" s="127" t="s">
        <v>4181</v>
      </c>
      <c r="CE319" s="128"/>
      <c r="CF319" s="77" t="s">
        <v>4148</v>
      </c>
    </row>
    <row r="320" spans="1:84" ht="14.5" x14ac:dyDescent="0.35">
      <c r="A320" s="77">
        <v>319</v>
      </c>
      <c r="B320" s="106" t="s">
        <v>2708</v>
      </c>
      <c r="C320" s="107" t="s">
        <v>6532</v>
      </c>
      <c r="D320" s="108" t="s">
        <v>2645</v>
      </c>
      <c r="E320" s="109" t="s">
        <v>2646</v>
      </c>
      <c r="F320" s="110">
        <v>653168773</v>
      </c>
      <c r="G320" s="108" t="s">
        <v>1004</v>
      </c>
      <c r="H320" s="111" t="s">
        <v>1146</v>
      </c>
      <c r="I320" s="111" t="s">
        <v>352</v>
      </c>
      <c r="J320" s="111" t="s">
        <v>4649</v>
      </c>
      <c r="K320" s="111" t="s">
        <v>305</v>
      </c>
      <c r="L320" s="112">
        <v>45061</v>
      </c>
      <c r="M320" s="111" t="s">
        <v>349</v>
      </c>
      <c r="N320" s="113"/>
      <c r="O320" s="114" t="s">
        <v>4353</v>
      </c>
      <c r="P320" s="114" t="s">
        <v>4353</v>
      </c>
      <c r="Q320" s="114" t="s">
        <v>6095</v>
      </c>
      <c r="R320" s="114" t="s">
        <v>4353</v>
      </c>
      <c r="S320" s="114" t="s">
        <v>4353</v>
      </c>
      <c r="T320" s="114" t="s">
        <v>4353</v>
      </c>
      <c r="U320" s="114" t="s">
        <v>4353</v>
      </c>
      <c r="V320" s="115"/>
      <c r="W320" s="116" t="s">
        <v>2647</v>
      </c>
      <c r="X320" s="116" t="s">
        <v>2648</v>
      </c>
      <c r="Y320" s="117">
        <v>3485772</v>
      </c>
      <c r="Z320" s="117">
        <v>3481218</v>
      </c>
      <c r="AA320" s="118"/>
      <c r="AB320" s="119" t="s">
        <v>5766</v>
      </c>
      <c r="AC320" s="119" t="s">
        <v>2709</v>
      </c>
      <c r="AD320" s="119">
        <v>4582</v>
      </c>
      <c r="AE320" s="119" t="s">
        <v>2649</v>
      </c>
      <c r="AF320" s="119" t="s">
        <v>6238</v>
      </c>
      <c r="AG320" s="120"/>
      <c r="AH320" s="121">
        <v>45058</v>
      </c>
      <c r="AI320" s="121">
        <v>45058</v>
      </c>
      <c r="AJ320" s="121">
        <v>45058</v>
      </c>
      <c r="AK320" s="122">
        <v>45058</v>
      </c>
      <c r="AL320" s="122" t="e">
        <v>#N/A</v>
      </c>
      <c r="AM320" s="121" t="e">
        <v>#N/A</v>
      </c>
      <c r="AN320" s="121" t="e">
        <v>#N/A</v>
      </c>
      <c r="AO320" s="121" t="e">
        <v>#N/A</v>
      </c>
      <c r="AP320" s="122" t="e">
        <v>#N/A</v>
      </c>
      <c r="AQ320" s="122" t="e">
        <v>#N/A</v>
      </c>
      <c r="AR320" s="122" t="e">
        <v>#N/A</v>
      </c>
      <c r="AS320" s="122" t="e">
        <v>#N/A</v>
      </c>
      <c r="AT320" s="122" t="e">
        <v>#N/A</v>
      </c>
      <c r="AU320" s="121" t="e">
        <v>#N/A</v>
      </c>
      <c r="AV320" s="122" t="e">
        <v>#N/A</v>
      </c>
      <c r="AW320" s="122">
        <v>45755</v>
      </c>
      <c r="AX320" s="122" t="e">
        <v>#N/A</v>
      </c>
      <c r="AY320" s="122" t="e">
        <v>#N/A</v>
      </c>
      <c r="AZ320" s="122" t="e">
        <v>#N/A</v>
      </c>
      <c r="BA320" s="122" t="e">
        <v>#N/A</v>
      </c>
      <c r="BB320" s="122" t="e">
        <v>#N/A</v>
      </c>
      <c r="BC320" s="122" t="e">
        <v>#N/A</v>
      </c>
      <c r="BD320" s="122" t="e">
        <v>#N/A</v>
      </c>
      <c r="BE320" s="122" t="e">
        <v>#N/A</v>
      </c>
      <c r="BF320" s="122">
        <v>45226</v>
      </c>
      <c r="BG320" s="122" t="e">
        <v>#N/A</v>
      </c>
      <c r="BH320" s="122" t="e">
        <v>#N/A</v>
      </c>
      <c r="BI320" s="122" t="e">
        <v>#N/A</v>
      </c>
      <c r="BJ320" s="122" t="e">
        <v>#N/A</v>
      </c>
      <c r="BK320" s="122">
        <v>45924</v>
      </c>
      <c r="BL320" s="123"/>
      <c r="BM320" s="124" t="e">
        <v>#N/A</v>
      </c>
      <c r="BN320" s="124" t="e">
        <v>#N/A</v>
      </c>
      <c r="BO320" s="124" t="e">
        <v>#N/A</v>
      </c>
      <c r="BP320" s="124" t="e">
        <v>#N/A</v>
      </c>
      <c r="BQ320" s="124" t="e">
        <v>#N/A</v>
      </c>
      <c r="BR320" s="124" t="e">
        <v>#N/A</v>
      </c>
      <c r="BS320" s="124" t="e">
        <v>#N/A</v>
      </c>
      <c r="BT320" s="124" t="e">
        <v>#N/A</v>
      </c>
      <c r="BU320" s="124" t="e">
        <v>#N/A</v>
      </c>
      <c r="BV320" s="124" t="e">
        <v>#N/A</v>
      </c>
      <c r="BW320" s="124" t="e">
        <v>#N/A</v>
      </c>
      <c r="BX320" s="124" t="e">
        <v>#N/A</v>
      </c>
      <c r="BY320" s="124" t="e">
        <v>#N/A</v>
      </c>
      <c r="BZ320" s="124" t="e">
        <v>#N/A</v>
      </c>
      <c r="CA320" s="125"/>
      <c r="CB320" s="124" t="e">
        <v>#N/A</v>
      </c>
      <c r="CC320" s="126">
        <v>1</v>
      </c>
      <c r="CD320" s="127" t="s">
        <v>4163</v>
      </c>
      <c r="CE320" s="128"/>
      <c r="CF320" s="77" t="s">
        <v>4148</v>
      </c>
    </row>
    <row r="321" spans="1:85" ht="14.5" x14ac:dyDescent="0.35">
      <c r="A321" s="77">
        <v>320</v>
      </c>
      <c r="B321" s="106" t="s">
        <v>4015</v>
      </c>
      <c r="C321" s="107" t="s">
        <v>6717</v>
      </c>
      <c r="D321" s="108" t="s">
        <v>4019</v>
      </c>
      <c r="E321" s="109" t="s">
        <v>4022</v>
      </c>
      <c r="F321" s="110">
        <v>627910400</v>
      </c>
      <c r="G321" s="108" t="s">
        <v>1004</v>
      </c>
      <c r="H321" s="111" t="s">
        <v>1146</v>
      </c>
      <c r="I321" s="111" t="s">
        <v>352</v>
      </c>
      <c r="J321" s="111" t="s">
        <v>4649</v>
      </c>
      <c r="K321" s="111" t="s">
        <v>3159</v>
      </c>
      <c r="L321" s="112">
        <v>45589</v>
      </c>
      <c r="M321" s="111" t="s">
        <v>250</v>
      </c>
      <c r="N321" s="113"/>
      <c r="O321" s="114" t="s">
        <v>7138</v>
      </c>
      <c r="P321" s="114" t="s">
        <v>7501</v>
      </c>
      <c r="Q321" s="114" t="s">
        <v>7501</v>
      </c>
      <c r="R321" s="114" t="s">
        <v>7501</v>
      </c>
      <c r="S321" s="114" t="s">
        <v>7501</v>
      </c>
      <c r="T321" s="114" t="s">
        <v>7502</v>
      </c>
      <c r="U321" s="114" t="s">
        <v>7502</v>
      </c>
      <c r="V321" s="115"/>
      <c r="W321" s="116" t="s">
        <v>4020</v>
      </c>
      <c r="X321" s="116" t="s">
        <v>5612</v>
      </c>
      <c r="Y321" s="117">
        <v>3485936</v>
      </c>
      <c r="Z321" s="117">
        <v>3481464</v>
      </c>
      <c r="AA321" s="118"/>
      <c r="AB321" s="119" t="s">
        <v>5712</v>
      </c>
      <c r="AC321" s="119" t="s">
        <v>4021</v>
      </c>
      <c r="AD321" s="119">
        <v>5958</v>
      </c>
      <c r="AE321" s="119" t="s">
        <v>6911</v>
      </c>
      <c r="AF321" s="119" t="s">
        <v>7503</v>
      </c>
      <c r="AG321" s="120"/>
      <c r="AH321" s="121">
        <v>45589</v>
      </c>
      <c r="AI321" s="121">
        <v>45589</v>
      </c>
      <c r="AJ321" s="121">
        <v>45589</v>
      </c>
      <c r="AK321" s="122">
        <v>45589</v>
      </c>
      <c r="AL321" s="122" t="e">
        <v>#N/A</v>
      </c>
      <c r="AM321" s="121" t="e">
        <v>#N/A</v>
      </c>
      <c r="AN321" s="121">
        <v>46009</v>
      </c>
      <c r="AO321" s="121">
        <v>46009</v>
      </c>
      <c r="AP321" s="122" t="e">
        <v>#N/A</v>
      </c>
      <c r="AQ321" s="122" t="e">
        <v>#N/A</v>
      </c>
      <c r="AR321" s="122" t="e">
        <v>#N/A</v>
      </c>
      <c r="AS321" s="122" t="e">
        <v>#N/A</v>
      </c>
      <c r="AT321" s="122" t="e">
        <v>#N/A</v>
      </c>
      <c r="AU321" s="121" t="e">
        <v>#N/A</v>
      </c>
      <c r="AV321" s="122">
        <v>45786</v>
      </c>
      <c r="AW321" s="122">
        <v>45694</v>
      </c>
      <c r="AX321" s="122" t="e">
        <v>#N/A</v>
      </c>
      <c r="AY321" s="122" t="e">
        <v>#N/A</v>
      </c>
      <c r="AZ321" s="122" t="e">
        <v>#N/A</v>
      </c>
      <c r="BA321" s="122" t="e">
        <v>#N/A</v>
      </c>
      <c r="BB321" s="122" t="e">
        <v>#N/A</v>
      </c>
      <c r="BC321" s="122" t="e">
        <v>#N/A</v>
      </c>
      <c r="BD321" s="122" t="e">
        <v>#N/A</v>
      </c>
      <c r="BE321" s="122" t="e">
        <v>#N/A</v>
      </c>
      <c r="BF321" s="122" t="e">
        <v>#N/A</v>
      </c>
      <c r="BG321" s="122" t="e">
        <v>#N/A</v>
      </c>
      <c r="BH321" s="122" t="e">
        <v>#N/A</v>
      </c>
      <c r="BI321" s="122" t="e">
        <v>#N/A</v>
      </c>
      <c r="BJ321" s="122" t="e">
        <v>#N/A</v>
      </c>
      <c r="BK321" s="122">
        <v>45974</v>
      </c>
      <c r="BL321" s="123"/>
      <c r="BM321" s="124" t="e">
        <v>#N/A</v>
      </c>
      <c r="BN321" s="124" t="e">
        <v>#N/A</v>
      </c>
      <c r="BO321" s="124" t="e">
        <v>#N/A</v>
      </c>
      <c r="BP321" s="124" t="e">
        <v>#N/A</v>
      </c>
      <c r="BQ321" s="124" t="e">
        <v>#N/A</v>
      </c>
      <c r="BR321" s="124" t="e">
        <v>#N/A</v>
      </c>
      <c r="BS321" s="124" t="e">
        <v>#N/A</v>
      </c>
      <c r="BT321" s="124" t="e">
        <v>#N/A</v>
      </c>
      <c r="BU321" s="124" t="e">
        <v>#N/A</v>
      </c>
      <c r="BV321" s="124" t="e">
        <v>#N/A</v>
      </c>
      <c r="BW321" s="124" t="e">
        <v>#N/A</v>
      </c>
      <c r="BX321" s="124" t="e">
        <v>#N/A</v>
      </c>
      <c r="BY321" s="124" t="e">
        <v>#N/A</v>
      </c>
      <c r="BZ321" s="124" t="e">
        <v>#N/A</v>
      </c>
      <c r="CA321" s="125"/>
      <c r="CB321" s="124">
        <v>45840</v>
      </c>
      <c r="CC321" s="126">
        <v>1</v>
      </c>
      <c r="CD321" s="127" t="s">
        <v>4214</v>
      </c>
      <c r="CE321" s="128" t="e">
        <v>#REF!</v>
      </c>
      <c r="CF321" s="77" t="s">
        <v>4169</v>
      </c>
      <c r="CG321" s="77" t="e">
        <v>#REF!</v>
      </c>
    </row>
    <row r="322" spans="1:85" ht="14.5" x14ac:dyDescent="0.35">
      <c r="A322" s="77">
        <v>321</v>
      </c>
      <c r="B322" s="106" t="s">
        <v>3659</v>
      </c>
      <c r="C322" s="107" t="s">
        <v>6652</v>
      </c>
      <c r="D322" s="108" t="s">
        <v>3660</v>
      </c>
      <c r="E322" s="109" t="s">
        <v>3661</v>
      </c>
      <c r="F322" s="110">
        <v>651777426</v>
      </c>
      <c r="G322" s="108" t="s">
        <v>1004</v>
      </c>
      <c r="H322" s="111" t="s">
        <v>1146</v>
      </c>
      <c r="I322" s="111" t="s">
        <v>352</v>
      </c>
      <c r="J322" s="111" t="s">
        <v>4649</v>
      </c>
      <c r="K322" s="111" t="s">
        <v>199</v>
      </c>
      <c r="L322" s="112">
        <v>45490</v>
      </c>
      <c r="M322" s="111" t="s">
        <v>371</v>
      </c>
      <c r="N322" s="113"/>
      <c r="O322" s="114" t="s">
        <v>2055</v>
      </c>
      <c r="P322" s="114" t="s">
        <v>2055</v>
      </c>
      <c r="Q322" s="114" t="s">
        <v>5314</v>
      </c>
      <c r="R322" s="114" t="s">
        <v>7488</v>
      </c>
      <c r="S322" s="114" t="s">
        <v>3211</v>
      </c>
      <c r="T322" s="114" t="s">
        <v>183</v>
      </c>
      <c r="U322" s="114" t="s">
        <v>183</v>
      </c>
      <c r="V322" s="115"/>
      <c r="W322" s="116" t="s">
        <v>3662</v>
      </c>
      <c r="X322" s="116" t="s">
        <v>3663</v>
      </c>
      <c r="Y322" s="117">
        <v>3485464</v>
      </c>
      <c r="Z322" s="117">
        <v>3486475</v>
      </c>
      <c r="AA322" s="118"/>
      <c r="AB322" s="119" t="s">
        <v>3664</v>
      </c>
      <c r="AC322" s="119" t="s">
        <v>3665</v>
      </c>
      <c r="AD322" s="119">
        <v>6454</v>
      </c>
      <c r="AE322" s="119" t="s">
        <v>4970</v>
      </c>
      <c r="AF322" s="119" t="s">
        <v>6653</v>
      </c>
      <c r="AG322" s="120"/>
      <c r="AH322" s="121">
        <v>45506</v>
      </c>
      <c r="AI322" s="121">
        <v>45506</v>
      </c>
      <c r="AJ322" s="121">
        <v>45506</v>
      </c>
      <c r="AK322" s="122">
        <v>45506</v>
      </c>
      <c r="AL322" s="122" t="e">
        <v>#N/A</v>
      </c>
      <c r="AM322" s="122" t="e">
        <v>#N/A</v>
      </c>
      <c r="AN322" s="122" t="e">
        <v>#N/A</v>
      </c>
      <c r="AO322" s="121" t="e">
        <v>#N/A</v>
      </c>
      <c r="AP322" s="122" t="e">
        <v>#N/A</v>
      </c>
      <c r="AQ322" s="122" t="e">
        <v>#N/A</v>
      </c>
      <c r="AR322" s="122" t="e">
        <v>#N/A</v>
      </c>
      <c r="AS322" s="122" t="e">
        <v>#N/A</v>
      </c>
      <c r="AT322" s="122" t="e">
        <v>#N/A</v>
      </c>
      <c r="AU322" s="121" t="e">
        <v>#N/A</v>
      </c>
      <c r="AV322" s="122" t="e">
        <v>#N/A</v>
      </c>
      <c r="AW322" s="122">
        <v>45736</v>
      </c>
      <c r="AX322" s="122">
        <v>45812</v>
      </c>
      <c r="AY322" s="122" t="e">
        <v>#N/A</v>
      </c>
      <c r="AZ322" s="122" t="e">
        <v>#N/A</v>
      </c>
      <c r="BA322" s="122" t="e">
        <v>#N/A</v>
      </c>
      <c r="BB322" s="122" t="e">
        <v>#N/A</v>
      </c>
      <c r="BC322" s="122" t="e">
        <v>#N/A</v>
      </c>
      <c r="BD322" s="122" t="e">
        <v>#N/A</v>
      </c>
      <c r="BE322" s="122" t="e">
        <v>#N/A</v>
      </c>
      <c r="BF322" s="122" t="e">
        <v>#N/A</v>
      </c>
      <c r="BG322" s="122" t="e">
        <v>#N/A</v>
      </c>
      <c r="BH322" s="122" t="e">
        <v>#N/A</v>
      </c>
      <c r="BI322" s="122" t="e">
        <v>#N/A</v>
      </c>
      <c r="BJ322" s="122" t="e">
        <v>#N/A</v>
      </c>
      <c r="BK322" s="122">
        <v>45959</v>
      </c>
      <c r="BL322" s="123"/>
      <c r="BM322" s="124">
        <v>45812</v>
      </c>
      <c r="BN322" s="124">
        <v>45812</v>
      </c>
      <c r="BO322" s="124">
        <v>45915</v>
      </c>
      <c r="BP322" s="124" t="e">
        <v>#N/A</v>
      </c>
      <c r="BQ322" s="124" t="e">
        <v>#N/A</v>
      </c>
      <c r="BR322" s="124" t="e">
        <v>#N/A</v>
      </c>
      <c r="BS322" s="124" t="e">
        <v>#N/A</v>
      </c>
      <c r="BT322" s="124" t="e">
        <v>#N/A</v>
      </c>
      <c r="BU322" s="124" t="e">
        <v>#N/A</v>
      </c>
      <c r="BV322" s="124" t="e">
        <v>#N/A</v>
      </c>
      <c r="BW322" s="124" t="e">
        <v>#N/A</v>
      </c>
      <c r="BX322" s="124" t="e">
        <v>#N/A</v>
      </c>
      <c r="BY322" s="124" t="e">
        <v>#N/A</v>
      </c>
      <c r="BZ322" s="124" t="e">
        <v>#N/A</v>
      </c>
      <c r="CA322" s="125"/>
      <c r="CB322" s="124" t="e">
        <v>#N/A</v>
      </c>
      <c r="CC322" s="126">
        <v>1</v>
      </c>
      <c r="CD322" s="127" t="s">
        <v>4205</v>
      </c>
      <c r="CE322" s="128"/>
      <c r="CF322" s="77" t="s">
        <v>4169</v>
      </c>
    </row>
    <row r="323" spans="1:85" ht="14.5" x14ac:dyDescent="0.35">
      <c r="A323" s="77">
        <v>322</v>
      </c>
      <c r="B323" s="106" t="s">
        <v>2999</v>
      </c>
      <c r="C323" s="107" t="s">
        <v>6577</v>
      </c>
      <c r="D323" s="108" t="s">
        <v>3000</v>
      </c>
      <c r="E323" s="109" t="s">
        <v>3001</v>
      </c>
      <c r="F323" s="110" t="s">
        <v>3002</v>
      </c>
      <c r="G323" s="108" t="s">
        <v>1004</v>
      </c>
      <c r="H323" s="111" t="s">
        <v>1146</v>
      </c>
      <c r="I323" s="111" t="s">
        <v>352</v>
      </c>
      <c r="J323" s="111" t="s">
        <v>4649</v>
      </c>
      <c r="K323" s="111" t="s">
        <v>2861</v>
      </c>
      <c r="L323" s="112">
        <v>45210</v>
      </c>
      <c r="M323" s="111" t="s">
        <v>371</v>
      </c>
      <c r="N323" s="113"/>
      <c r="O323" s="114" t="s">
        <v>6102</v>
      </c>
      <c r="P323" s="114" t="s">
        <v>6102</v>
      </c>
      <c r="Q323" s="114" t="s">
        <v>6102</v>
      </c>
      <c r="R323" s="114" t="s">
        <v>6102</v>
      </c>
      <c r="S323" s="114" t="s">
        <v>6481</v>
      </c>
      <c r="T323" s="114" t="s">
        <v>6102</v>
      </c>
      <c r="U323" s="114" t="s">
        <v>6102</v>
      </c>
      <c r="V323" s="115"/>
      <c r="W323" s="116" t="s">
        <v>3003</v>
      </c>
      <c r="X323" s="116" t="s">
        <v>5627</v>
      </c>
      <c r="Y323" s="117">
        <v>3485845</v>
      </c>
      <c r="Z323" s="117">
        <v>3486347</v>
      </c>
      <c r="AA323" s="118"/>
      <c r="AB323" s="119" t="s">
        <v>5628</v>
      </c>
      <c r="AC323" s="119" t="s">
        <v>3004</v>
      </c>
      <c r="AD323" s="119">
        <v>4425</v>
      </c>
      <c r="AE323" s="119" t="s">
        <v>3005</v>
      </c>
      <c r="AF323" s="119" t="s">
        <v>6247</v>
      </c>
      <c r="AG323" s="120"/>
      <c r="AH323" s="121">
        <v>45210</v>
      </c>
      <c r="AI323" s="121">
        <v>45369</v>
      </c>
      <c r="AJ323" s="121">
        <v>45210</v>
      </c>
      <c r="AK323" s="122">
        <v>45369</v>
      </c>
      <c r="AL323" s="122" t="e">
        <v>#N/A</v>
      </c>
      <c r="AM323" s="122" t="e">
        <v>#N/A</v>
      </c>
      <c r="AN323" s="122" t="e">
        <v>#N/A</v>
      </c>
      <c r="AO323" s="121" t="e">
        <v>#N/A</v>
      </c>
      <c r="AP323" s="122" t="e">
        <v>#N/A</v>
      </c>
      <c r="AQ323" s="122" t="e">
        <v>#N/A</v>
      </c>
      <c r="AR323" s="122" t="e">
        <v>#N/A</v>
      </c>
      <c r="AS323" s="122" t="e">
        <v>#N/A</v>
      </c>
      <c r="AT323" s="122" t="e">
        <v>#N/A</v>
      </c>
      <c r="AU323" s="121" t="e">
        <v>#N/A</v>
      </c>
      <c r="AV323" s="122" t="e">
        <v>#N/A</v>
      </c>
      <c r="AW323" s="122">
        <v>45758</v>
      </c>
      <c r="AX323" s="122" t="e">
        <v>#N/A</v>
      </c>
      <c r="AY323" s="122" t="e">
        <v>#N/A</v>
      </c>
      <c r="AZ323" s="122" t="e">
        <v>#N/A</v>
      </c>
      <c r="BA323" s="122" t="e">
        <v>#N/A</v>
      </c>
      <c r="BB323" s="122" t="e">
        <v>#N/A</v>
      </c>
      <c r="BC323" s="122">
        <v>45385</v>
      </c>
      <c r="BD323" s="122" t="e">
        <v>#N/A</v>
      </c>
      <c r="BE323" s="122" t="e">
        <v>#N/A</v>
      </c>
      <c r="BF323" s="122" t="e">
        <v>#N/A</v>
      </c>
      <c r="BG323" s="122" t="e">
        <v>#N/A</v>
      </c>
      <c r="BH323" s="122" t="e">
        <v>#N/A</v>
      </c>
      <c r="BI323" s="122" t="e">
        <v>#N/A</v>
      </c>
      <c r="BJ323" s="122" t="e">
        <v>#N/A</v>
      </c>
      <c r="BK323" s="122">
        <v>45945</v>
      </c>
      <c r="BL323" s="123"/>
      <c r="BM323" s="124" t="e">
        <v>#N/A</v>
      </c>
      <c r="BN323" s="124" t="e">
        <v>#N/A</v>
      </c>
      <c r="BO323" s="124" t="e">
        <v>#N/A</v>
      </c>
      <c r="BP323" s="124" t="e">
        <v>#N/A</v>
      </c>
      <c r="BQ323" s="124" t="e">
        <v>#N/A</v>
      </c>
      <c r="BR323" s="124" t="e">
        <v>#N/A</v>
      </c>
      <c r="BS323" s="124" t="e">
        <v>#N/A</v>
      </c>
      <c r="BT323" s="124" t="e">
        <v>#N/A</v>
      </c>
      <c r="BU323" s="124" t="e">
        <v>#N/A</v>
      </c>
      <c r="BV323" s="124" t="e">
        <v>#N/A</v>
      </c>
      <c r="BW323" s="124" t="e">
        <v>#N/A</v>
      </c>
      <c r="BX323" s="124" t="e">
        <v>#N/A</v>
      </c>
      <c r="BY323" s="124" t="e">
        <v>#N/A</v>
      </c>
      <c r="BZ323" s="124" t="e">
        <v>#N/A</v>
      </c>
      <c r="CA323" s="125"/>
      <c r="CB323" s="124" t="e">
        <v>#N/A</v>
      </c>
      <c r="CC323" s="126">
        <v>1</v>
      </c>
      <c r="CD323" s="127" t="s">
        <v>4193</v>
      </c>
      <c r="CE323" s="128"/>
      <c r="CF323" s="77" t="s">
        <v>4180</v>
      </c>
    </row>
    <row r="324" spans="1:85" ht="14.5" x14ac:dyDescent="0.35">
      <c r="A324" s="77">
        <v>323</v>
      </c>
      <c r="B324" s="106" t="s">
        <v>3386</v>
      </c>
      <c r="C324" s="107" t="s">
        <v>6623</v>
      </c>
      <c r="D324" s="108" t="s">
        <v>3380</v>
      </c>
      <c r="E324" s="109" t="s">
        <v>3381</v>
      </c>
      <c r="F324" s="110">
        <v>722376660</v>
      </c>
      <c r="G324" s="108" t="s">
        <v>1004</v>
      </c>
      <c r="H324" s="111" t="s">
        <v>1146</v>
      </c>
      <c r="I324" s="111" t="s">
        <v>352</v>
      </c>
      <c r="J324" s="111" t="s">
        <v>4649</v>
      </c>
      <c r="K324" s="111" t="s">
        <v>3159</v>
      </c>
      <c r="L324" s="112">
        <v>45446</v>
      </c>
      <c r="M324" s="111" t="s">
        <v>349</v>
      </c>
      <c r="N324" s="113"/>
      <c r="O324" s="114" t="s">
        <v>5313</v>
      </c>
      <c r="P324" s="114" t="s">
        <v>5313</v>
      </c>
      <c r="Q324" s="114" t="s">
        <v>607</v>
      </c>
      <c r="R324" s="114" t="s">
        <v>7297</v>
      </c>
      <c r="S324" s="114" t="s">
        <v>5313</v>
      </c>
      <c r="T324" s="114" t="s">
        <v>1007</v>
      </c>
      <c r="U324" s="114" t="s">
        <v>478</v>
      </c>
      <c r="V324" s="115"/>
      <c r="W324" s="116" t="s">
        <v>3382</v>
      </c>
      <c r="X324" s="116" t="s">
        <v>5626</v>
      </c>
      <c r="Y324" s="117">
        <v>3485948</v>
      </c>
      <c r="Z324" s="117">
        <v>3486648</v>
      </c>
      <c r="AA324" s="118"/>
      <c r="AB324" s="119" t="s">
        <v>3394</v>
      </c>
      <c r="AC324" s="119" t="s">
        <v>3509</v>
      </c>
      <c r="AD324" s="119">
        <v>5920</v>
      </c>
      <c r="AE324" s="119" t="s">
        <v>3412</v>
      </c>
      <c r="AF324" s="119" t="s">
        <v>6624</v>
      </c>
      <c r="AG324" s="120"/>
      <c r="AH324" s="121">
        <v>45460</v>
      </c>
      <c r="AI324" s="121">
        <v>45460</v>
      </c>
      <c r="AJ324" s="121">
        <v>45460</v>
      </c>
      <c r="AK324" s="122">
        <v>45460</v>
      </c>
      <c r="AL324" s="122" t="e">
        <v>#N/A</v>
      </c>
      <c r="AM324" s="121" t="e">
        <v>#N/A</v>
      </c>
      <c r="AN324" s="121">
        <v>46006</v>
      </c>
      <c r="AO324" s="121">
        <v>46006</v>
      </c>
      <c r="AP324" s="122">
        <v>46006</v>
      </c>
      <c r="AQ324" s="122" t="e">
        <v>#N/A</v>
      </c>
      <c r="AR324" s="122" t="e">
        <v>#N/A</v>
      </c>
      <c r="AS324" s="122" t="e">
        <v>#N/A</v>
      </c>
      <c r="AT324" s="122" t="e">
        <v>#N/A</v>
      </c>
      <c r="AU324" s="121" t="e">
        <v>#N/A</v>
      </c>
      <c r="AV324" s="122" t="e">
        <v>#N/A</v>
      </c>
      <c r="AW324" s="122">
        <v>45874</v>
      </c>
      <c r="AX324" s="122" t="e">
        <v>#N/A</v>
      </c>
      <c r="AY324" s="122" t="e">
        <v>#N/A</v>
      </c>
      <c r="AZ324" s="122" t="e">
        <v>#N/A</v>
      </c>
      <c r="BA324" s="122" t="e">
        <v>#N/A</v>
      </c>
      <c r="BB324" s="122" t="e">
        <v>#N/A</v>
      </c>
      <c r="BC324" s="122" t="e">
        <v>#N/A</v>
      </c>
      <c r="BD324" s="122" t="e">
        <v>#N/A</v>
      </c>
      <c r="BE324" s="122" t="e">
        <v>#N/A</v>
      </c>
      <c r="BF324" s="122" t="e">
        <v>#N/A</v>
      </c>
      <c r="BG324" s="122" t="e">
        <v>#N/A</v>
      </c>
      <c r="BH324" s="122" t="e">
        <v>#N/A</v>
      </c>
      <c r="BI324" s="122" t="e">
        <v>#N/A</v>
      </c>
      <c r="BJ324" s="122" t="e">
        <v>#N/A</v>
      </c>
      <c r="BK324" s="122">
        <v>45946</v>
      </c>
      <c r="BL324" s="123"/>
      <c r="BM324" s="124" t="e">
        <v>#N/A</v>
      </c>
      <c r="BN324" s="124" t="e">
        <v>#N/A</v>
      </c>
      <c r="BO324" s="124" t="e">
        <v>#N/A</v>
      </c>
      <c r="BP324" s="124" t="e">
        <v>#N/A</v>
      </c>
      <c r="BQ324" s="124" t="e">
        <v>#N/A</v>
      </c>
      <c r="BR324" s="124" t="e">
        <v>#N/A</v>
      </c>
      <c r="BS324" s="124" t="e">
        <v>#N/A</v>
      </c>
      <c r="BT324" s="124" t="e">
        <v>#N/A</v>
      </c>
      <c r="BU324" s="124" t="e">
        <v>#N/A</v>
      </c>
      <c r="BV324" s="124" t="e">
        <v>#N/A</v>
      </c>
      <c r="BW324" s="124" t="e">
        <v>#N/A</v>
      </c>
      <c r="BX324" s="124" t="e">
        <v>#N/A</v>
      </c>
      <c r="BY324" s="124" t="e">
        <v>#N/A</v>
      </c>
      <c r="BZ324" s="124" t="e">
        <v>#N/A</v>
      </c>
      <c r="CA324" s="125"/>
      <c r="CB324" s="124" t="e">
        <v>#N/A</v>
      </c>
      <c r="CC324" s="126">
        <v>1</v>
      </c>
      <c r="CD324" s="127" t="s">
        <v>4188</v>
      </c>
      <c r="CE324" s="128"/>
      <c r="CF324" s="77" t="s">
        <v>4176</v>
      </c>
    </row>
    <row r="325" spans="1:85" ht="14.5" x14ac:dyDescent="0.35">
      <c r="A325" s="77">
        <v>324</v>
      </c>
      <c r="B325" s="106" t="s">
        <v>5471</v>
      </c>
      <c r="C325" s="107" t="s">
        <v>6444</v>
      </c>
      <c r="D325" s="108" t="s">
        <v>5472</v>
      </c>
      <c r="E325" s="109" t="s">
        <v>213</v>
      </c>
      <c r="F325" s="110">
        <v>681670033</v>
      </c>
      <c r="G325" s="108" t="s">
        <v>1004</v>
      </c>
      <c r="H325" s="111" t="s">
        <v>1146</v>
      </c>
      <c r="I325" s="111" t="s">
        <v>352</v>
      </c>
      <c r="J325" s="111" t="s">
        <v>4649</v>
      </c>
      <c r="K325" s="111" t="s">
        <v>3159</v>
      </c>
      <c r="L325" s="112">
        <v>42688</v>
      </c>
      <c r="M325" s="111" t="s">
        <v>371</v>
      </c>
      <c r="N325" s="113"/>
      <c r="O325" s="114" t="s">
        <v>4353</v>
      </c>
      <c r="P325" s="114" t="s">
        <v>4353</v>
      </c>
      <c r="Q325" s="114" t="s">
        <v>4353</v>
      </c>
      <c r="R325" s="114" t="s">
        <v>7316</v>
      </c>
      <c r="S325" s="114" t="s">
        <v>6095</v>
      </c>
      <c r="T325" s="114" t="s">
        <v>183</v>
      </c>
      <c r="U325" s="114" t="s">
        <v>183</v>
      </c>
      <c r="V325" s="115"/>
      <c r="W325" s="116" t="s">
        <v>5473</v>
      </c>
      <c r="X325" s="116" t="s">
        <v>5474</v>
      </c>
      <c r="Y325" s="117">
        <v>3485497</v>
      </c>
      <c r="Z325" s="117">
        <v>3486219</v>
      </c>
      <c r="AA325" s="118"/>
      <c r="AB325" s="119" t="s">
        <v>5807</v>
      </c>
      <c r="AC325" s="119" t="s">
        <v>5475</v>
      </c>
      <c r="AD325" s="119">
        <v>5843</v>
      </c>
      <c r="AE325" s="119" t="s">
        <v>5476</v>
      </c>
      <c r="AF325" s="119" t="s">
        <v>6117</v>
      </c>
      <c r="AG325" s="120"/>
      <c r="AH325" s="121">
        <v>44197</v>
      </c>
      <c r="AI325" s="121">
        <v>44197</v>
      </c>
      <c r="AJ325" s="121">
        <v>44197</v>
      </c>
      <c r="AK325" s="122">
        <v>44197</v>
      </c>
      <c r="AL325" s="122" t="e">
        <v>#N/A</v>
      </c>
      <c r="AM325" s="121" t="e">
        <v>#N/A</v>
      </c>
      <c r="AN325" s="121" t="e">
        <v>#N/A</v>
      </c>
      <c r="AO325" s="121" t="e">
        <v>#N/A</v>
      </c>
      <c r="AP325" s="122" t="e">
        <v>#N/A</v>
      </c>
      <c r="AQ325" s="122" t="e">
        <v>#N/A</v>
      </c>
      <c r="AR325" s="122" t="e">
        <v>#N/A</v>
      </c>
      <c r="AS325" s="122" t="e">
        <v>#N/A</v>
      </c>
      <c r="AT325" s="122" t="e">
        <v>#N/A</v>
      </c>
      <c r="AU325" s="121" t="e">
        <v>#N/A</v>
      </c>
      <c r="AV325" s="122">
        <v>45078</v>
      </c>
      <c r="AW325" s="122" t="e">
        <v>#N/A</v>
      </c>
      <c r="AX325" s="122" t="e">
        <v>#N/A</v>
      </c>
      <c r="AY325" s="122" t="e">
        <v>#N/A</v>
      </c>
      <c r="AZ325" s="122" t="e">
        <v>#N/A</v>
      </c>
      <c r="BA325" s="122" t="e">
        <v>#N/A</v>
      </c>
      <c r="BB325" s="122" t="e">
        <v>#N/A</v>
      </c>
      <c r="BC325" s="122" t="e">
        <v>#N/A</v>
      </c>
      <c r="BD325" s="122" t="e">
        <v>#N/A</v>
      </c>
      <c r="BE325" s="122" t="e">
        <v>#N/A</v>
      </c>
      <c r="BF325" s="122" t="e">
        <v>#N/A</v>
      </c>
      <c r="BG325" s="122" t="e">
        <v>#N/A</v>
      </c>
      <c r="BH325" s="122" t="e">
        <v>#N/A</v>
      </c>
      <c r="BI325" s="122" t="e">
        <v>#N/A</v>
      </c>
      <c r="BJ325" s="122" t="e">
        <v>#N/A</v>
      </c>
      <c r="BK325" s="122">
        <v>45924</v>
      </c>
      <c r="BL325" s="123"/>
      <c r="BM325" s="124">
        <v>44197</v>
      </c>
      <c r="BN325" s="124">
        <v>44197</v>
      </c>
      <c r="BO325" s="124">
        <v>44197</v>
      </c>
      <c r="BP325" s="124">
        <v>44197</v>
      </c>
      <c r="BQ325" s="124">
        <v>44197</v>
      </c>
      <c r="BR325" s="124">
        <v>44197</v>
      </c>
      <c r="BS325" s="124">
        <v>44197</v>
      </c>
      <c r="BT325" s="124">
        <v>44197</v>
      </c>
      <c r="BU325" s="124" t="e">
        <v>#N/A</v>
      </c>
      <c r="BV325" s="124" t="e">
        <v>#N/A</v>
      </c>
      <c r="BW325" s="124" t="e">
        <v>#N/A</v>
      </c>
      <c r="BX325" s="124" t="e">
        <v>#N/A</v>
      </c>
      <c r="BY325" s="124" t="e">
        <v>#N/A</v>
      </c>
      <c r="BZ325" s="124" t="e">
        <v>#N/A</v>
      </c>
      <c r="CA325" s="125"/>
      <c r="CB325" s="124">
        <v>45733</v>
      </c>
      <c r="CC325" s="126">
        <v>1</v>
      </c>
      <c r="CD325" s="127" t="s">
        <v>4169</v>
      </c>
      <c r="CE325" s="128"/>
      <c r="CF325" s="77" t="s">
        <v>4182</v>
      </c>
    </row>
    <row r="326" spans="1:85" ht="14.5" x14ac:dyDescent="0.35">
      <c r="A326" s="77">
        <v>325</v>
      </c>
      <c r="B326" s="106" t="s">
        <v>3006</v>
      </c>
      <c r="C326" s="107" t="s">
        <v>6579</v>
      </c>
      <c r="D326" s="108" t="s">
        <v>3007</v>
      </c>
      <c r="E326" s="109" t="s">
        <v>3008</v>
      </c>
      <c r="F326" s="110">
        <v>611799774</v>
      </c>
      <c r="G326" s="108" t="s">
        <v>1004</v>
      </c>
      <c r="H326" s="111" t="s">
        <v>2478</v>
      </c>
      <c r="I326" s="111" t="s">
        <v>180</v>
      </c>
      <c r="J326" s="111" t="s">
        <v>4649</v>
      </c>
      <c r="K326" s="111" t="s">
        <v>400</v>
      </c>
      <c r="L326" s="112">
        <v>45210</v>
      </c>
      <c r="M326" s="111" t="s">
        <v>747</v>
      </c>
      <c r="N326" s="113"/>
      <c r="O326" s="114" t="s">
        <v>330</v>
      </c>
      <c r="P326" s="114" t="s">
        <v>330</v>
      </c>
      <c r="Q326" s="114" t="s">
        <v>183</v>
      </c>
      <c r="R326" s="114" t="s">
        <v>7406</v>
      </c>
      <c r="S326" s="114" t="s">
        <v>330</v>
      </c>
      <c r="T326" s="114" t="s">
        <v>330</v>
      </c>
      <c r="U326" s="114" t="s">
        <v>330</v>
      </c>
      <c r="V326" s="115"/>
      <c r="W326" s="116" t="s">
        <v>3009</v>
      </c>
      <c r="X326" s="116" t="s">
        <v>3010</v>
      </c>
      <c r="Y326" s="117">
        <v>3485210</v>
      </c>
      <c r="Z326" s="117">
        <v>3481109</v>
      </c>
      <c r="AA326" s="118"/>
      <c r="AB326" s="119" t="s">
        <v>5557</v>
      </c>
      <c r="AC326" s="119" t="s">
        <v>3011</v>
      </c>
      <c r="AD326" s="119">
        <v>5478</v>
      </c>
      <c r="AE326" s="119" t="s">
        <v>3266</v>
      </c>
      <c r="AF326" s="119" t="s">
        <v>6248</v>
      </c>
      <c r="AG326" s="120"/>
      <c r="AH326" s="121">
        <v>45210</v>
      </c>
      <c r="AI326" s="121">
        <v>45351</v>
      </c>
      <c r="AJ326" s="121">
        <v>45210</v>
      </c>
      <c r="AK326" s="122">
        <v>45351</v>
      </c>
      <c r="AL326" s="122">
        <v>45769</v>
      </c>
      <c r="AM326" s="121" t="e">
        <v>#N/A</v>
      </c>
      <c r="AN326" s="121">
        <v>45769</v>
      </c>
      <c r="AO326" s="121">
        <v>45974</v>
      </c>
      <c r="AP326" s="122" t="e">
        <v>#N/A</v>
      </c>
      <c r="AQ326" s="122" t="e">
        <v>#N/A</v>
      </c>
      <c r="AR326" s="122">
        <v>45974</v>
      </c>
      <c r="AS326" s="122" t="e">
        <v>#N/A</v>
      </c>
      <c r="AT326" s="122" t="e">
        <v>#N/A</v>
      </c>
      <c r="AU326" s="121">
        <v>45912</v>
      </c>
      <c r="AV326" s="122">
        <v>45463</v>
      </c>
      <c r="AW326" s="122">
        <v>45495</v>
      </c>
      <c r="AX326" s="122" t="e">
        <v>#N/A</v>
      </c>
      <c r="AY326" s="122" t="e">
        <v>#N/A</v>
      </c>
      <c r="AZ326" s="122" t="e">
        <v>#N/A</v>
      </c>
      <c r="BA326" s="122" t="e">
        <v>#N/A</v>
      </c>
      <c r="BB326" s="122" t="e">
        <v>#N/A</v>
      </c>
      <c r="BC326" s="122" t="e">
        <v>#N/A</v>
      </c>
      <c r="BD326" s="122" t="e">
        <v>#N/A</v>
      </c>
      <c r="BE326" s="122" t="e">
        <v>#N/A</v>
      </c>
      <c r="BF326" s="122" t="e">
        <v>#N/A</v>
      </c>
      <c r="BG326" s="122" t="e">
        <v>#N/A</v>
      </c>
      <c r="BH326" s="122" t="e">
        <v>#N/A</v>
      </c>
      <c r="BI326" s="122" t="e">
        <v>#N/A</v>
      </c>
      <c r="BJ326" s="122" t="e">
        <v>#N/A</v>
      </c>
      <c r="BK326" s="122">
        <v>45951</v>
      </c>
      <c r="BL326" s="123"/>
      <c r="BM326" s="124" t="e">
        <v>#N/A</v>
      </c>
      <c r="BN326" s="124" t="e">
        <v>#N/A</v>
      </c>
      <c r="BO326" s="124" t="e">
        <v>#N/A</v>
      </c>
      <c r="BP326" s="124" t="e">
        <v>#N/A</v>
      </c>
      <c r="BQ326" s="124" t="e">
        <v>#N/A</v>
      </c>
      <c r="BR326" s="124" t="e">
        <v>#N/A</v>
      </c>
      <c r="BS326" s="124" t="e">
        <v>#N/A</v>
      </c>
      <c r="BT326" s="124" t="e">
        <v>#N/A</v>
      </c>
      <c r="BU326" s="124" t="e">
        <v>#N/A</v>
      </c>
      <c r="BV326" s="124" t="e">
        <v>#N/A</v>
      </c>
      <c r="BW326" s="124" t="e">
        <v>#N/A</v>
      </c>
      <c r="BX326" s="124" t="e">
        <v>#N/A</v>
      </c>
      <c r="BY326" s="124" t="e">
        <v>#N/A</v>
      </c>
      <c r="BZ326" s="124" t="e">
        <v>#N/A</v>
      </c>
      <c r="CA326" s="125"/>
      <c r="CB326" s="124">
        <v>45729</v>
      </c>
      <c r="CC326" s="126">
        <v>1</v>
      </c>
      <c r="CD326" s="127" t="s">
        <v>4193</v>
      </c>
      <c r="CE326" s="128"/>
      <c r="CF326" s="77" t="s">
        <v>4157</v>
      </c>
    </row>
    <row r="327" spans="1:85" ht="14.5" x14ac:dyDescent="0.35">
      <c r="A327" s="77">
        <v>326</v>
      </c>
      <c r="B327" s="106" t="s">
        <v>2186</v>
      </c>
      <c r="C327" s="107" t="s">
        <v>6502</v>
      </c>
      <c r="D327" s="108" t="s">
        <v>2125</v>
      </c>
      <c r="E327" s="109" t="s">
        <v>2929</v>
      </c>
      <c r="F327" s="110" t="s">
        <v>2126</v>
      </c>
      <c r="G327" s="108" t="s">
        <v>190</v>
      </c>
      <c r="H327" s="111" t="s">
        <v>2478</v>
      </c>
      <c r="I327" s="111" t="s">
        <v>180</v>
      </c>
      <c r="J327" s="111" t="s">
        <v>4649</v>
      </c>
      <c r="K327" s="111" t="s">
        <v>400</v>
      </c>
      <c r="L327" s="112">
        <v>44966</v>
      </c>
      <c r="M327" s="111" t="s">
        <v>2065</v>
      </c>
      <c r="N327" s="113"/>
      <c r="O327" s="114" t="s">
        <v>5992</v>
      </c>
      <c r="P327" s="114" t="s">
        <v>5992</v>
      </c>
      <c r="Q327" s="114" t="s">
        <v>4477</v>
      </c>
      <c r="R327" s="114" t="s">
        <v>4356</v>
      </c>
      <c r="S327" s="114" t="s">
        <v>4356</v>
      </c>
      <c r="T327" s="114" t="s">
        <v>4477</v>
      </c>
      <c r="U327" s="114" t="s">
        <v>4477</v>
      </c>
      <c r="V327" s="115"/>
      <c r="W327" s="116" t="s">
        <v>2127</v>
      </c>
      <c r="X327" s="116" t="s">
        <v>2128</v>
      </c>
      <c r="Y327" s="117">
        <v>3485742</v>
      </c>
      <c r="Z327" s="117">
        <v>3481414</v>
      </c>
      <c r="AA327" s="118"/>
      <c r="AB327" s="119" t="s">
        <v>5499</v>
      </c>
      <c r="AC327" s="119" t="s">
        <v>2178</v>
      </c>
      <c r="AD327" s="119">
        <v>5436</v>
      </c>
      <c r="AE327" s="119" t="s">
        <v>4375</v>
      </c>
      <c r="AF327" s="119">
        <v>0</v>
      </c>
      <c r="AG327" s="120"/>
      <c r="AH327" s="121">
        <v>44782</v>
      </c>
      <c r="AI327" s="121">
        <v>45260</v>
      </c>
      <c r="AJ327" s="121">
        <v>44782</v>
      </c>
      <c r="AK327" s="122">
        <v>45260</v>
      </c>
      <c r="AL327" s="122" t="e">
        <v>#N/A</v>
      </c>
      <c r="AM327" s="121" t="e">
        <v>#N/A</v>
      </c>
      <c r="AN327" s="121" t="e">
        <v>#N/A</v>
      </c>
      <c r="AO327" s="121" t="e">
        <v>#N/A</v>
      </c>
      <c r="AP327" s="122" t="e">
        <v>#N/A</v>
      </c>
      <c r="AQ327" s="122" t="e">
        <v>#N/A</v>
      </c>
      <c r="AR327" s="122" t="e">
        <v>#N/A</v>
      </c>
      <c r="AS327" s="122" t="e">
        <v>#N/A</v>
      </c>
      <c r="AT327" s="122" t="e">
        <v>#N/A</v>
      </c>
      <c r="AU327" s="121" t="e">
        <v>#N/A</v>
      </c>
      <c r="AV327" s="122" t="e">
        <v>#N/A</v>
      </c>
      <c r="AW327" s="122">
        <v>45849</v>
      </c>
      <c r="AX327" s="122" t="e">
        <v>#N/A</v>
      </c>
      <c r="AY327" s="122" t="e">
        <v>#N/A</v>
      </c>
      <c r="AZ327" s="122" t="e">
        <v>#N/A</v>
      </c>
      <c r="BA327" s="122" t="e">
        <v>#N/A</v>
      </c>
      <c r="BB327" s="122" t="e">
        <v>#N/A</v>
      </c>
      <c r="BC327" s="122" t="e">
        <v>#N/A</v>
      </c>
      <c r="BD327" s="122" t="e">
        <v>#N/A</v>
      </c>
      <c r="BE327" s="122" t="e">
        <v>#N/A</v>
      </c>
      <c r="BF327" s="122" t="e">
        <v>#N/A</v>
      </c>
      <c r="BG327" s="122" t="e">
        <v>#N/A</v>
      </c>
      <c r="BH327" s="122" t="e">
        <v>#N/A</v>
      </c>
      <c r="BI327" s="122" t="e">
        <v>#N/A</v>
      </c>
      <c r="BJ327" s="122" t="e">
        <v>#N/A</v>
      </c>
      <c r="BK327" s="122" t="e">
        <v>#N/A</v>
      </c>
      <c r="BL327" s="123"/>
      <c r="BM327" s="124" t="e">
        <v>#N/A</v>
      </c>
      <c r="BN327" s="124" t="e">
        <v>#N/A</v>
      </c>
      <c r="BO327" s="124" t="e">
        <v>#N/A</v>
      </c>
      <c r="BP327" s="124" t="e">
        <v>#N/A</v>
      </c>
      <c r="BQ327" s="124" t="e">
        <v>#N/A</v>
      </c>
      <c r="BR327" s="124" t="e">
        <v>#N/A</v>
      </c>
      <c r="BS327" s="124" t="e">
        <v>#N/A</v>
      </c>
      <c r="BT327" s="124" t="e">
        <v>#N/A</v>
      </c>
      <c r="BU327" s="124" t="e">
        <v>#N/A</v>
      </c>
      <c r="BV327" s="124" t="e">
        <v>#N/A</v>
      </c>
      <c r="BW327" s="124" t="e">
        <v>#N/A</v>
      </c>
      <c r="BX327" s="124" t="e">
        <v>#N/A</v>
      </c>
      <c r="BY327" s="124" t="e">
        <v>#N/A</v>
      </c>
      <c r="BZ327" s="124" t="e">
        <v>#N/A</v>
      </c>
      <c r="CA327" s="125"/>
      <c r="CB327" s="124">
        <v>45734</v>
      </c>
      <c r="CC327" s="126">
        <v>1</v>
      </c>
      <c r="CD327" s="127" t="s">
        <v>4178</v>
      </c>
      <c r="CE327" s="128"/>
      <c r="CF327" s="77" t="s">
        <v>4157</v>
      </c>
    </row>
    <row r="328" spans="1:85" ht="14.5" x14ac:dyDescent="0.35">
      <c r="A328" s="77">
        <v>327</v>
      </c>
      <c r="B328" s="106" t="s">
        <v>4801</v>
      </c>
      <c r="C328" s="107" t="s">
        <v>6790</v>
      </c>
      <c r="D328" s="108" t="s">
        <v>4802</v>
      </c>
      <c r="E328" s="109" t="s">
        <v>4803</v>
      </c>
      <c r="F328" s="110">
        <v>646169873</v>
      </c>
      <c r="G328" s="108" t="s">
        <v>1004</v>
      </c>
      <c r="H328" s="111" t="s">
        <v>2478</v>
      </c>
      <c r="I328" s="111" t="s">
        <v>180</v>
      </c>
      <c r="J328" s="111" t="s">
        <v>4649</v>
      </c>
      <c r="K328" s="111" t="s">
        <v>400</v>
      </c>
      <c r="L328" s="112">
        <v>45831</v>
      </c>
      <c r="M328" s="111" t="s">
        <v>747</v>
      </c>
      <c r="N328" s="113"/>
      <c r="O328" s="114" t="s">
        <v>1009</v>
      </c>
      <c r="P328" s="114" t="s">
        <v>1009</v>
      </c>
      <c r="Q328" s="114" t="s">
        <v>1009</v>
      </c>
      <c r="R328" s="114" t="s">
        <v>1009</v>
      </c>
      <c r="S328" s="114" t="s">
        <v>1009</v>
      </c>
      <c r="T328" s="114" t="s">
        <v>183</v>
      </c>
      <c r="U328" s="114" t="s">
        <v>183</v>
      </c>
      <c r="V328" s="115"/>
      <c r="W328" s="116" t="s">
        <v>4804</v>
      </c>
      <c r="X328" s="116" t="s">
        <v>4805</v>
      </c>
      <c r="Y328" s="117">
        <v>3487120</v>
      </c>
      <c r="Z328" s="117">
        <v>3486786</v>
      </c>
      <c r="AA328" s="118"/>
      <c r="AB328" s="119" t="s">
        <v>4806</v>
      </c>
      <c r="AC328" s="119" t="s">
        <v>4807</v>
      </c>
      <c r="AD328" s="119">
        <v>26288</v>
      </c>
      <c r="AE328" s="119" t="s">
        <v>4808</v>
      </c>
      <c r="AF328" s="119" t="s">
        <v>7504</v>
      </c>
      <c r="AG328" s="120"/>
      <c r="AH328" s="121">
        <v>45831</v>
      </c>
      <c r="AI328" s="121">
        <v>45831</v>
      </c>
      <c r="AJ328" s="121">
        <v>45831</v>
      </c>
      <c r="AK328" s="122">
        <v>45831</v>
      </c>
      <c r="AL328" s="122" t="e">
        <v>#N/A</v>
      </c>
      <c r="AM328" s="121" t="e">
        <v>#N/A</v>
      </c>
      <c r="AN328" s="121" t="e">
        <v>#N/A</v>
      </c>
      <c r="AO328" s="121" t="e">
        <v>#N/A</v>
      </c>
      <c r="AP328" s="122" t="e">
        <v>#N/A</v>
      </c>
      <c r="AQ328" s="122" t="e">
        <v>#N/A</v>
      </c>
      <c r="AR328" s="122" t="e">
        <v>#N/A</v>
      </c>
      <c r="AS328" s="122" t="e">
        <v>#N/A</v>
      </c>
      <c r="AT328" s="122" t="e">
        <v>#N/A</v>
      </c>
      <c r="AU328" s="121" t="e">
        <v>#N/A</v>
      </c>
      <c r="AV328" s="122" t="e">
        <v>#N/A</v>
      </c>
      <c r="AW328" s="122">
        <v>45828</v>
      </c>
      <c r="AX328" s="122" t="e">
        <v>#N/A</v>
      </c>
      <c r="AY328" s="122" t="e">
        <v>#N/A</v>
      </c>
      <c r="AZ328" s="122" t="e">
        <v>#N/A</v>
      </c>
      <c r="BA328" s="122" t="e">
        <v>#N/A</v>
      </c>
      <c r="BB328" s="122" t="e">
        <v>#N/A</v>
      </c>
      <c r="BC328" s="122" t="e">
        <v>#N/A</v>
      </c>
      <c r="BD328" s="122" t="e">
        <v>#N/A</v>
      </c>
      <c r="BE328" s="122" t="e">
        <v>#N/A</v>
      </c>
      <c r="BF328" s="122" t="e">
        <v>#N/A</v>
      </c>
      <c r="BG328" s="122" t="e">
        <v>#N/A</v>
      </c>
      <c r="BH328" s="122" t="e">
        <v>#N/A</v>
      </c>
      <c r="BI328" s="122" t="e">
        <v>#N/A</v>
      </c>
      <c r="BJ328" s="122" t="e">
        <v>#N/A</v>
      </c>
      <c r="BK328" s="122">
        <v>45971</v>
      </c>
      <c r="BL328" s="123"/>
      <c r="BM328" s="124" t="e">
        <v>#N/A</v>
      </c>
      <c r="BN328" s="124" t="e">
        <v>#N/A</v>
      </c>
      <c r="BO328" s="124" t="e">
        <v>#N/A</v>
      </c>
      <c r="BP328" s="124" t="e">
        <v>#N/A</v>
      </c>
      <c r="BQ328" s="124" t="e">
        <v>#N/A</v>
      </c>
      <c r="BR328" s="124" t="e">
        <v>#N/A</v>
      </c>
      <c r="BS328" s="124" t="e">
        <v>#N/A</v>
      </c>
      <c r="BT328" s="124" t="e">
        <v>#N/A</v>
      </c>
      <c r="BU328" s="124" t="e">
        <v>#N/A</v>
      </c>
      <c r="BV328" s="124" t="e">
        <v>#N/A</v>
      </c>
      <c r="BW328" s="124" t="e">
        <v>#N/A</v>
      </c>
      <c r="BX328" s="124" t="e">
        <v>#N/A</v>
      </c>
      <c r="BY328" s="124" t="e">
        <v>#N/A</v>
      </c>
      <c r="BZ328" s="124" t="e">
        <v>#N/A</v>
      </c>
      <c r="CA328" s="125"/>
      <c r="CB328" s="124">
        <v>45828</v>
      </c>
      <c r="CC328" s="126">
        <v>1</v>
      </c>
      <c r="CD328" s="127" t="s">
        <v>4980</v>
      </c>
      <c r="CE328" s="128"/>
      <c r="CF328" s="77" t="s">
        <v>4202</v>
      </c>
    </row>
    <row r="329" spans="1:85" ht="14.5" x14ac:dyDescent="0.35">
      <c r="A329" s="77">
        <v>328</v>
      </c>
      <c r="B329" s="106" t="s">
        <v>4529</v>
      </c>
      <c r="C329" s="107" t="s">
        <v>6753</v>
      </c>
      <c r="D329" s="108" t="s">
        <v>4490</v>
      </c>
      <c r="E329" s="109" t="s">
        <v>4491</v>
      </c>
      <c r="F329" s="110">
        <v>640267366</v>
      </c>
      <c r="G329" s="108" t="s">
        <v>1004</v>
      </c>
      <c r="H329" s="111" t="s">
        <v>2478</v>
      </c>
      <c r="I329" s="111" t="s">
        <v>180</v>
      </c>
      <c r="J329" s="111" t="s">
        <v>4649</v>
      </c>
      <c r="K329" s="111" t="s">
        <v>400</v>
      </c>
      <c r="L329" s="112">
        <v>45810</v>
      </c>
      <c r="M329" s="111" t="s">
        <v>2065</v>
      </c>
      <c r="N329" s="113"/>
      <c r="O329" s="114" t="s">
        <v>557</v>
      </c>
      <c r="P329" s="114" t="s">
        <v>183</v>
      </c>
      <c r="Q329" s="114" t="s">
        <v>607</v>
      </c>
      <c r="R329" s="114" t="s">
        <v>7297</v>
      </c>
      <c r="S329" s="114" t="s">
        <v>183</v>
      </c>
      <c r="T329" s="114" t="s">
        <v>557</v>
      </c>
      <c r="U329" s="114" t="s">
        <v>607</v>
      </c>
      <c r="V329" s="115"/>
      <c r="W329" s="116" t="s">
        <v>4492</v>
      </c>
      <c r="X329" s="116" t="s">
        <v>4493</v>
      </c>
      <c r="Y329" s="117">
        <v>3485993</v>
      </c>
      <c r="Z329" s="117">
        <v>3486499</v>
      </c>
      <c r="AA329" s="118"/>
      <c r="AB329" s="119" t="s">
        <v>5811</v>
      </c>
      <c r="AC329" s="119" t="s">
        <v>4494</v>
      </c>
      <c r="AD329" s="119">
        <v>5778</v>
      </c>
      <c r="AE329" s="119" t="s">
        <v>4495</v>
      </c>
      <c r="AF329" s="119">
        <v>0</v>
      </c>
      <c r="AG329" s="120"/>
      <c r="AH329" s="121">
        <v>45810</v>
      </c>
      <c r="AI329" s="121">
        <v>45810</v>
      </c>
      <c r="AJ329" s="121">
        <v>45810</v>
      </c>
      <c r="AK329" s="122">
        <v>45810</v>
      </c>
      <c r="AL329" s="122" t="e">
        <v>#N/A</v>
      </c>
      <c r="AM329" s="121" t="e">
        <v>#N/A</v>
      </c>
      <c r="AN329" s="121" t="e">
        <v>#N/A</v>
      </c>
      <c r="AO329" s="121" t="e">
        <v>#N/A</v>
      </c>
      <c r="AP329" s="122" t="e">
        <v>#N/A</v>
      </c>
      <c r="AQ329" s="122" t="e">
        <v>#N/A</v>
      </c>
      <c r="AR329" s="122" t="e">
        <v>#N/A</v>
      </c>
      <c r="AS329" s="122" t="e">
        <v>#N/A</v>
      </c>
      <c r="AT329" s="122" t="e">
        <v>#N/A</v>
      </c>
      <c r="AU329" s="121" t="e">
        <v>#N/A</v>
      </c>
      <c r="AV329" s="122" t="e">
        <v>#N/A</v>
      </c>
      <c r="AW329" s="122">
        <v>45807</v>
      </c>
      <c r="AX329" s="122" t="e">
        <v>#N/A</v>
      </c>
      <c r="AY329" s="122" t="e">
        <v>#N/A</v>
      </c>
      <c r="AZ329" s="122" t="e">
        <v>#N/A</v>
      </c>
      <c r="BA329" s="122" t="e">
        <v>#N/A</v>
      </c>
      <c r="BB329" s="122" t="e">
        <v>#N/A</v>
      </c>
      <c r="BC329" s="122" t="e">
        <v>#N/A</v>
      </c>
      <c r="BD329" s="122" t="e">
        <v>#N/A</v>
      </c>
      <c r="BE329" s="122" t="e">
        <v>#N/A</v>
      </c>
      <c r="BF329" s="122" t="e">
        <v>#N/A</v>
      </c>
      <c r="BG329" s="122" t="e">
        <v>#N/A</v>
      </c>
      <c r="BH329" s="122" t="e">
        <v>#N/A</v>
      </c>
      <c r="BI329" s="122" t="e">
        <v>#N/A</v>
      </c>
      <c r="BJ329" s="122" t="e">
        <v>#N/A</v>
      </c>
      <c r="BK329" s="122" t="e">
        <v>#N/A</v>
      </c>
      <c r="BL329" s="123"/>
      <c r="BM329" s="124" t="e">
        <v>#N/A</v>
      </c>
      <c r="BN329" s="124" t="e">
        <v>#N/A</v>
      </c>
      <c r="BO329" s="124" t="e">
        <v>#N/A</v>
      </c>
      <c r="BP329" s="124" t="e">
        <v>#N/A</v>
      </c>
      <c r="BQ329" s="124" t="e">
        <v>#N/A</v>
      </c>
      <c r="BR329" s="124" t="e">
        <v>#N/A</v>
      </c>
      <c r="BS329" s="124" t="e">
        <v>#N/A</v>
      </c>
      <c r="BT329" s="124" t="e">
        <v>#N/A</v>
      </c>
      <c r="BU329" s="124" t="e">
        <v>#N/A</v>
      </c>
      <c r="BV329" s="124" t="e">
        <v>#N/A</v>
      </c>
      <c r="BW329" s="124" t="e">
        <v>#N/A</v>
      </c>
      <c r="BX329" s="124" t="e">
        <v>#N/A</v>
      </c>
      <c r="BY329" s="124" t="e">
        <v>#N/A</v>
      </c>
      <c r="BZ329" s="124" t="e">
        <v>#N/A</v>
      </c>
      <c r="CA329" s="125"/>
      <c r="CB329" s="124">
        <v>45810</v>
      </c>
      <c r="CC329" s="126">
        <v>1</v>
      </c>
      <c r="CD329" s="127" t="s">
        <v>4480</v>
      </c>
      <c r="CE329" s="128"/>
      <c r="CF329" s="77" t="s">
        <v>4185</v>
      </c>
    </row>
    <row r="330" spans="1:85" ht="14.5" x14ac:dyDescent="0.35">
      <c r="A330" s="77">
        <v>329</v>
      </c>
      <c r="B330" s="106" t="s">
        <v>4779</v>
      </c>
      <c r="C330" s="107" t="s">
        <v>6787</v>
      </c>
      <c r="D330" s="108" t="s">
        <v>4780</v>
      </c>
      <c r="E330" s="109" t="s">
        <v>4781</v>
      </c>
      <c r="F330" s="110">
        <v>629872639</v>
      </c>
      <c r="G330" s="108" t="s">
        <v>1004</v>
      </c>
      <c r="H330" s="111" t="s">
        <v>2478</v>
      </c>
      <c r="I330" s="111" t="s">
        <v>180</v>
      </c>
      <c r="J330" s="111" t="s">
        <v>4649</v>
      </c>
      <c r="K330" s="111" t="s">
        <v>400</v>
      </c>
      <c r="L330" s="112">
        <v>45831</v>
      </c>
      <c r="M330" s="111" t="s">
        <v>747</v>
      </c>
      <c r="N330" s="113"/>
      <c r="O330" s="114" t="s">
        <v>7233</v>
      </c>
      <c r="P330" s="114" t="s">
        <v>183</v>
      </c>
      <c r="Q330" s="114" t="s">
        <v>1009</v>
      </c>
      <c r="R330" s="114" t="s">
        <v>7306</v>
      </c>
      <c r="S330" s="114" t="s">
        <v>183</v>
      </c>
      <c r="T330" s="114" t="s">
        <v>1009</v>
      </c>
      <c r="U330" s="114" t="s">
        <v>1009</v>
      </c>
      <c r="V330" s="115"/>
      <c r="W330" s="116" t="s">
        <v>4782</v>
      </c>
      <c r="X330" s="116" t="s">
        <v>4783</v>
      </c>
      <c r="Y330" s="117">
        <v>3487113</v>
      </c>
      <c r="Z330" s="117">
        <v>3486779</v>
      </c>
      <c r="AA330" s="118"/>
      <c r="AB330" s="119" t="s">
        <v>4784</v>
      </c>
      <c r="AC330" s="119" t="s">
        <v>4785</v>
      </c>
      <c r="AD330" s="119">
        <v>26277</v>
      </c>
      <c r="AE330" s="119" t="s">
        <v>4786</v>
      </c>
      <c r="AF330" s="119" t="s">
        <v>7505</v>
      </c>
      <c r="AG330" s="120"/>
      <c r="AH330" s="121">
        <v>45831</v>
      </c>
      <c r="AI330" s="121">
        <v>45831</v>
      </c>
      <c r="AJ330" s="121">
        <v>45831</v>
      </c>
      <c r="AK330" s="122">
        <v>45831</v>
      </c>
      <c r="AL330" s="122" t="e">
        <v>#N/A</v>
      </c>
      <c r="AM330" s="121" t="e">
        <v>#N/A</v>
      </c>
      <c r="AN330" s="121" t="e">
        <v>#N/A</v>
      </c>
      <c r="AO330" s="121" t="e">
        <v>#N/A</v>
      </c>
      <c r="AP330" s="122" t="e">
        <v>#N/A</v>
      </c>
      <c r="AQ330" s="122" t="e">
        <v>#N/A</v>
      </c>
      <c r="AR330" s="122" t="e">
        <v>#N/A</v>
      </c>
      <c r="AS330" s="122" t="e">
        <v>#N/A</v>
      </c>
      <c r="AT330" s="122" t="e">
        <v>#N/A</v>
      </c>
      <c r="AU330" s="121" t="e">
        <v>#N/A</v>
      </c>
      <c r="AV330" s="122" t="e">
        <v>#N/A</v>
      </c>
      <c r="AW330" s="122">
        <v>45828</v>
      </c>
      <c r="AX330" s="122" t="e">
        <v>#N/A</v>
      </c>
      <c r="AY330" s="122" t="e">
        <v>#N/A</v>
      </c>
      <c r="AZ330" s="122" t="e">
        <v>#N/A</v>
      </c>
      <c r="BA330" s="122" t="e">
        <v>#N/A</v>
      </c>
      <c r="BB330" s="122" t="e">
        <v>#N/A</v>
      </c>
      <c r="BC330" s="122" t="e">
        <v>#N/A</v>
      </c>
      <c r="BD330" s="122" t="e">
        <v>#N/A</v>
      </c>
      <c r="BE330" s="122" t="e">
        <v>#N/A</v>
      </c>
      <c r="BF330" s="122" t="e">
        <v>#N/A</v>
      </c>
      <c r="BG330" s="122" t="e">
        <v>#N/A</v>
      </c>
      <c r="BH330" s="122" t="e">
        <v>#N/A</v>
      </c>
      <c r="BI330" s="122" t="e">
        <v>#N/A</v>
      </c>
      <c r="BJ330" s="122" t="e">
        <v>#N/A</v>
      </c>
      <c r="BK330" s="122">
        <v>46001</v>
      </c>
      <c r="BL330" s="123"/>
      <c r="BM330" s="124" t="e">
        <v>#N/A</v>
      </c>
      <c r="BN330" s="124" t="e">
        <v>#N/A</v>
      </c>
      <c r="BO330" s="124" t="e">
        <v>#N/A</v>
      </c>
      <c r="BP330" s="124" t="e">
        <v>#N/A</v>
      </c>
      <c r="BQ330" s="124" t="e">
        <v>#N/A</v>
      </c>
      <c r="BR330" s="124" t="e">
        <v>#N/A</v>
      </c>
      <c r="BS330" s="124" t="e">
        <v>#N/A</v>
      </c>
      <c r="BT330" s="124" t="e">
        <v>#N/A</v>
      </c>
      <c r="BU330" s="124" t="e">
        <v>#N/A</v>
      </c>
      <c r="BV330" s="124" t="e">
        <v>#N/A</v>
      </c>
      <c r="BW330" s="124" t="e">
        <v>#N/A</v>
      </c>
      <c r="BX330" s="124" t="e">
        <v>#N/A</v>
      </c>
      <c r="BY330" s="124" t="e">
        <v>#N/A</v>
      </c>
      <c r="BZ330" s="124" t="e">
        <v>#N/A</v>
      </c>
      <c r="CA330" s="125"/>
      <c r="CB330" s="124">
        <v>45828</v>
      </c>
      <c r="CC330" s="126">
        <v>1</v>
      </c>
      <c r="CD330" s="127" t="s">
        <v>4980</v>
      </c>
      <c r="CE330" s="128"/>
      <c r="CF330" s="77" t="s">
        <v>4149</v>
      </c>
    </row>
    <row r="331" spans="1:85" ht="14.5" x14ac:dyDescent="0.35">
      <c r="A331" s="77">
        <v>330</v>
      </c>
      <c r="B331" s="106" t="s">
        <v>5119</v>
      </c>
      <c r="C331" s="107" t="s">
        <v>6822</v>
      </c>
      <c r="D331" s="108" t="s">
        <v>5120</v>
      </c>
      <c r="E331" s="109" t="s">
        <v>5121</v>
      </c>
      <c r="F331" s="110">
        <v>659771535</v>
      </c>
      <c r="G331" s="108" t="s">
        <v>1004</v>
      </c>
      <c r="H331" s="111" t="s">
        <v>2478</v>
      </c>
      <c r="I331" s="111" t="s">
        <v>180</v>
      </c>
      <c r="J331" s="111" t="s">
        <v>4649</v>
      </c>
      <c r="K331" s="111" t="s">
        <v>400</v>
      </c>
      <c r="L331" s="112">
        <v>45873</v>
      </c>
      <c r="M331" s="111" t="s">
        <v>747</v>
      </c>
      <c r="N331" s="113"/>
      <c r="O331" s="114" t="s">
        <v>4469</v>
      </c>
      <c r="P331" s="114" t="s">
        <v>4356</v>
      </c>
      <c r="Q331" s="114" t="s">
        <v>4469</v>
      </c>
      <c r="R331" s="114" t="s">
        <v>4469</v>
      </c>
      <c r="S331" s="114" t="s">
        <v>4356</v>
      </c>
      <c r="T331" s="114" t="s">
        <v>4469</v>
      </c>
      <c r="U331" s="114" t="s">
        <v>4469</v>
      </c>
      <c r="V331" s="115"/>
      <c r="W331" s="116" t="s">
        <v>5122</v>
      </c>
      <c r="X331" s="116" t="s">
        <v>5123</v>
      </c>
      <c r="Y331" s="117">
        <v>3487089</v>
      </c>
      <c r="Z331" s="117">
        <v>3486315</v>
      </c>
      <c r="AA331" s="118"/>
      <c r="AB331" s="119" t="s">
        <v>5124</v>
      </c>
      <c r="AC331" s="119" t="s">
        <v>5125</v>
      </c>
      <c r="AD331" s="119" t="s">
        <v>5126</v>
      </c>
      <c r="AE331" s="119" t="s">
        <v>5127</v>
      </c>
      <c r="AF331" s="119" t="s">
        <v>6124</v>
      </c>
      <c r="AG331" s="120"/>
      <c r="AH331" s="121">
        <v>45873</v>
      </c>
      <c r="AI331" s="121">
        <v>45873</v>
      </c>
      <c r="AJ331" s="121">
        <v>45873</v>
      </c>
      <c r="AK331" s="122">
        <v>45873</v>
      </c>
      <c r="AL331" s="122" t="e">
        <v>#N/A</v>
      </c>
      <c r="AM331" s="121" t="e">
        <v>#N/A</v>
      </c>
      <c r="AN331" s="121" t="e">
        <v>#N/A</v>
      </c>
      <c r="AO331" s="121" t="e">
        <v>#N/A</v>
      </c>
      <c r="AP331" s="122" t="e">
        <v>#N/A</v>
      </c>
      <c r="AQ331" s="122" t="e">
        <v>#N/A</v>
      </c>
      <c r="AR331" s="122" t="e">
        <v>#N/A</v>
      </c>
      <c r="AS331" s="122" t="e">
        <v>#N/A</v>
      </c>
      <c r="AT331" s="122" t="e">
        <v>#N/A</v>
      </c>
      <c r="AU331" s="121" t="e">
        <v>#N/A</v>
      </c>
      <c r="AV331" s="122" t="e">
        <v>#N/A</v>
      </c>
      <c r="AW331" s="122">
        <v>45873</v>
      </c>
      <c r="AX331" s="122" t="e">
        <v>#N/A</v>
      </c>
      <c r="AY331" s="122" t="e">
        <v>#N/A</v>
      </c>
      <c r="AZ331" s="122" t="e">
        <v>#N/A</v>
      </c>
      <c r="BA331" s="122" t="e">
        <v>#N/A</v>
      </c>
      <c r="BB331" s="122" t="e">
        <v>#N/A</v>
      </c>
      <c r="BC331" s="122" t="e">
        <v>#N/A</v>
      </c>
      <c r="BD331" s="122" t="e">
        <v>#N/A</v>
      </c>
      <c r="BE331" s="122" t="e">
        <v>#N/A</v>
      </c>
      <c r="BF331" s="122" t="e">
        <v>#N/A</v>
      </c>
      <c r="BG331" s="122" t="e">
        <v>#N/A</v>
      </c>
      <c r="BH331" s="122" t="e">
        <v>#N/A</v>
      </c>
      <c r="BI331" s="122" t="e">
        <v>#N/A</v>
      </c>
      <c r="BJ331" s="122" t="e">
        <v>#N/A</v>
      </c>
      <c r="BK331" s="122">
        <v>45953</v>
      </c>
      <c r="BL331" s="123"/>
      <c r="BM331" s="124" t="e">
        <v>#N/A</v>
      </c>
      <c r="BN331" s="124" t="e">
        <v>#N/A</v>
      </c>
      <c r="BO331" s="124" t="e">
        <v>#N/A</v>
      </c>
      <c r="BP331" s="124" t="e">
        <v>#N/A</v>
      </c>
      <c r="BQ331" s="124" t="e">
        <v>#N/A</v>
      </c>
      <c r="BR331" s="124" t="e">
        <v>#N/A</v>
      </c>
      <c r="BS331" s="124" t="e">
        <v>#N/A</v>
      </c>
      <c r="BT331" s="124" t="e">
        <v>#N/A</v>
      </c>
      <c r="BU331" s="124" t="e">
        <v>#N/A</v>
      </c>
      <c r="BV331" s="124" t="e">
        <v>#N/A</v>
      </c>
      <c r="BW331" s="124" t="e">
        <v>#N/A</v>
      </c>
      <c r="BX331" s="124" t="e">
        <v>#N/A</v>
      </c>
      <c r="BY331" s="124" t="e">
        <v>#N/A</v>
      </c>
      <c r="BZ331" s="124" t="e">
        <v>#N/A</v>
      </c>
      <c r="CA331" s="125"/>
      <c r="CB331" s="124" t="e">
        <v>#N/A</v>
      </c>
      <c r="CC331" s="126">
        <v>1</v>
      </c>
      <c r="CD331" s="127" t="s">
        <v>5058</v>
      </c>
      <c r="CE331" s="128"/>
      <c r="CF331" s="77" t="s">
        <v>4149</v>
      </c>
    </row>
    <row r="332" spans="1:85" ht="14.5" x14ac:dyDescent="0.35">
      <c r="A332" s="77">
        <v>331</v>
      </c>
      <c r="B332" s="106" t="s">
        <v>4535</v>
      </c>
      <c r="C332" s="107" t="s">
        <v>6757</v>
      </c>
      <c r="D332" s="108" t="s">
        <v>4515</v>
      </c>
      <c r="E332" s="109" t="s">
        <v>4516</v>
      </c>
      <c r="F332" s="110">
        <v>660290001</v>
      </c>
      <c r="G332" s="108" t="s">
        <v>1004</v>
      </c>
      <c r="H332" s="111" t="s">
        <v>2478</v>
      </c>
      <c r="I332" s="111" t="s">
        <v>180</v>
      </c>
      <c r="J332" s="111" t="s">
        <v>4649</v>
      </c>
      <c r="K332" s="111" t="s">
        <v>400</v>
      </c>
      <c r="L332" s="112">
        <v>45810</v>
      </c>
      <c r="M332" s="111" t="s">
        <v>747</v>
      </c>
      <c r="N332" s="113"/>
      <c r="O332" s="114" t="s">
        <v>6923</v>
      </c>
      <c r="P332" s="114" t="s">
        <v>6923</v>
      </c>
      <c r="Q332" s="114" t="s">
        <v>6910</v>
      </c>
      <c r="R332" s="114" t="s">
        <v>7506</v>
      </c>
      <c r="S332" s="114" t="s">
        <v>6923</v>
      </c>
      <c r="T332" s="114" t="s">
        <v>183</v>
      </c>
      <c r="U332" s="114" t="s">
        <v>183</v>
      </c>
      <c r="V332" s="115"/>
      <c r="W332" s="116" t="s">
        <v>4517</v>
      </c>
      <c r="X332" s="116" t="s">
        <v>4518</v>
      </c>
      <c r="Y332" s="117">
        <v>3485896</v>
      </c>
      <c r="Z332" s="117">
        <v>3481694</v>
      </c>
      <c r="AA332" s="118"/>
      <c r="AB332" s="119" t="s">
        <v>5631</v>
      </c>
      <c r="AC332" s="119" t="s">
        <v>4519</v>
      </c>
      <c r="AD332" s="119">
        <v>5788</v>
      </c>
      <c r="AE332" s="119" t="s">
        <v>4520</v>
      </c>
      <c r="AF332" s="119" t="s">
        <v>7507</v>
      </c>
      <c r="AG332" s="120"/>
      <c r="AH332" s="121">
        <v>45810</v>
      </c>
      <c r="AI332" s="121">
        <v>45810</v>
      </c>
      <c r="AJ332" s="121">
        <v>45810</v>
      </c>
      <c r="AK332" s="122">
        <v>45810</v>
      </c>
      <c r="AL332" s="122" t="e">
        <v>#N/A</v>
      </c>
      <c r="AM332" s="121" t="e">
        <v>#N/A</v>
      </c>
      <c r="AN332" s="121" t="e">
        <v>#N/A</v>
      </c>
      <c r="AO332" s="121" t="e">
        <v>#N/A</v>
      </c>
      <c r="AP332" s="122" t="e">
        <v>#N/A</v>
      </c>
      <c r="AQ332" s="122" t="e">
        <v>#N/A</v>
      </c>
      <c r="AR332" s="122" t="e">
        <v>#N/A</v>
      </c>
      <c r="AS332" s="122" t="e">
        <v>#N/A</v>
      </c>
      <c r="AT332" s="122" t="e">
        <v>#N/A</v>
      </c>
      <c r="AU332" s="121" t="e">
        <v>#N/A</v>
      </c>
      <c r="AV332" s="122" t="e">
        <v>#N/A</v>
      </c>
      <c r="AW332" s="122">
        <v>45807</v>
      </c>
      <c r="AX332" s="122" t="e">
        <v>#N/A</v>
      </c>
      <c r="AY332" s="122" t="e">
        <v>#N/A</v>
      </c>
      <c r="AZ332" s="122" t="e">
        <v>#N/A</v>
      </c>
      <c r="BA332" s="122" t="e">
        <v>#N/A</v>
      </c>
      <c r="BB332" s="122" t="e">
        <v>#N/A</v>
      </c>
      <c r="BC332" s="122" t="e">
        <v>#N/A</v>
      </c>
      <c r="BD332" s="122" t="e">
        <v>#N/A</v>
      </c>
      <c r="BE332" s="122" t="e">
        <v>#N/A</v>
      </c>
      <c r="BF332" s="122" t="e">
        <v>#N/A</v>
      </c>
      <c r="BG332" s="122" t="e">
        <v>#N/A</v>
      </c>
      <c r="BH332" s="122" t="e">
        <v>#N/A</v>
      </c>
      <c r="BI332" s="122" t="e">
        <v>#N/A</v>
      </c>
      <c r="BJ332" s="122" t="e">
        <v>#N/A</v>
      </c>
      <c r="BK332" s="122">
        <v>46001</v>
      </c>
      <c r="BL332" s="123"/>
      <c r="BM332" s="124" t="e">
        <v>#N/A</v>
      </c>
      <c r="BN332" s="124" t="e">
        <v>#N/A</v>
      </c>
      <c r="BO332" s="124" t="e">
        <v>#N/A</v>
      </c>
      <c r="BP332" s="124" t="e">
        <v>#N/A</v>
      </c>
      <c r="BQ332" s="124" t="e">
        <v>#N/A</v>
      </c>
      <c r="BR332" s="124" t="e">
        <v>#N/A</v>
      </c>
      <c r="BS332" s="124" t="e">
        <v>#N/A</v>
      </c>
      <c r="BT332" s="124" t="e">
        <v>#N/A</v>
      </c>
      <c r="BU332" s="124" t="e">
        <v>#N/A</v>
      </c>
      <c r="BV332" s="124" t="e">
        <v>#N/A</v>
      </c>
      <c r="BW332" s="124" t="e">
        <v>#N/A</v>
      </c>
      <c r="BX332" s="124" t="e">
        <v>#N/A</v>
      </c>
      <c r="BY332" s="124" t="e">
        <v>#N/A</v>
      </c>
      <c r="BZ332" s="124" t="e">
        <v>#N/A</v>
      </c>
      <c r="CA332" s="125"/>
      <c r="CB332" s="124">
        <v>45813</v>
      </c>
      <c r="CC332" s="126">
        <v>1</v>
      </c>
      <c r="CD332" s="127" t="s">
        <v>4480</v>
      </c>
      <c r="CE332" s="128"/>
      <c r="CF332" s="77" t="s">
        <v>4149</v>
      </c>
    </row>
    <row r="333" spans="1:85" ht="14.5" x14ac:dyDescent="0.35">
      <c r="A333" s="77">
        <v>332</v>
      </c>
      <c r="B333" s="106" t="s">
        <v>4937</v>
      </c>
      <c r="C333" s="107" t="s">
        <v>6401</v>
      </c>
      <c r="D333" s="108">
        <v>221104012</v>
      </c>
      <c r="E333" s="109" t="s">
        <v>4938</v>
      </c>
      <c r="F333" s="110">
        <v>652874735</v>
      </c>
      <c r="G333" s="108" t="s">
        <v>1004</v>
      </c>
      <c r="H333" s="111" t="s">
        <v>2478</v>
      </c>
      <c r="I333" s="111" t="s">
        <v>180</v>
      </c>
      <c r="J333" s="111" t="s">
        <v>4649</v>
      </c>
      <c r="K333" s="111" t="s">
        <v>400</v>
      </c>
      <c r="L333" s="112">
        <v>45587</v>
      </c>
      <c r="M333" s="111" t="s">
        <v>2065</v>
      </c>
      <c r="N333" s="113"/>
      <c r="O333" s="114" t="s">
        <v>7253</v>
      </c>
      <c r="P333" s="114" t="s">
        <v>7508</v>
      </c>
      <c r="Q333" s="114" t="s">
        <v>7508</v>
      </c>
      <c r="R333" s="114" t="s">
        <v>7253</v>
      </c>
      <c r="S333" s="114" t="s">
        <v>7253</v>
      </c>
      <c r="T333" s="114" t="s">
        <v>4356</v>
      </c>
      <c r="U333" s="114" t="s">
        <v>4356</v>
      </c>
      <c r="V333" s="115"/>
      <c r="W333" s="116" t="s">
        <v>4939</v>
      </c>
      <c r="X333" s="116" t="s">
        <v>4940</v>
      </c>
      <c r="Y333" s="117">
        <v>3485762</v>
      </c>
      <c r="Z333" s="117">
        <v>3486485</v>
      </c>
      <c r="AA333" s="118"/>
      <c r="AB333" s="119" t="s">
        <v>5189</v>
      </c>
      <c r="AC333" s="119" t="s">
        <v>4941</v>
      </c>
      <c r="AD333" s="119" t="s">
        <v>4942</v>
      </c>
      <c r="AE333" s="119" t="s">
        <v>4943</v>
      </c>
      <c r="AF333" s="119">
        <v>0</v>
      </c>
      <c r="AG333" s="120"/>
      <c r="AH333" s="121">
        <v>45866</v>
      </c>
      <c r="AI333" s="121">
        <v>45866</v>
      </c>
      <c r="AJ333" s="121">
        <v>45866</v>
      </c>
      <c r="AK333" s="122">
        <v>45866</v>
      </c>
      <c r="AL333" s="122" t="e">
        <v>#N/A</v>
      </c>
      <c r="AM333" s="121" t="e">
        <v>#N/A</v>
      </c>
      <c r="AN333" s="121" t="e">
        <v>#N/A</v>
      </c>
      <c r="AO333" s="121" t="e">
        <v>#N/A</v>
      </c>
      <c r="AP333" s="122" t="e">
        <v>#N/A</v>
      </c>
      <c r="AQ333" s="122" t="e">
        <v>#N/A</v>
      </c>
      <c r="AR333" s="122" t="e">
        <v>#N/A</v>
      </c>
      <c r="AS333" s="122" t="e">
        <v>#N/A</v>
      </c>
      <c r="AT333" s="122" t="e">
        <v>#N/A</v>
      </c>
      <c r="AU333" s="121" t="e">
        <v>#N/A</v>
      </c>
      <c r="AV333" s="122" t="e">
        <v>#N/A</v>
      </c>
      <c r="AW333" s="122">
        <v>45866</v>
      </c>
      <c r="AX333" s="122" t="e">
        <v>#N/A</v>
      </c>
      <c r="AY333" s="122" t="e">
        <v>#N/A</v>
      </c>
      <c r="AZ333" s="122" t="e">
        <v>#N/A</v>
      </c>
      <c r="BA333" s="122" t="e">
        <v>#N/A</v>
      </c>
      <c r="BB333" s="122" t="e">
        <v>#N/A</v>
      </c>
      <c r="BC333" s="122" t="e">
        <v>#N/A</v>
      </c>
      <c r="BD333" s="122" t="e">
        <v>#N/A</v>
      </c>
      <c r="BE333" s="122" t="e">
        <v>#N/A</v>
      </c>
      <c r="BF333" s="122" t="e">
        <v>#N/A</v>
      </c>
      <c r="BG333" s="122" t="e">
        <v>#N/A</v>
      </c>
      <c r="BH333" s="122" t="e">
        <v>#N/A</v>
      </c>
      <c r="BI333" s="122" t="e">
        <v>#N/A</v>
      </c>
      <c r="BJ333" s="122" t="e">
        <v>#N/A</v>
      </c>
      <c r="BK333" s="122" t="e">
        <v>#N/A</v>
      </c>
      <c r="BL333" s="123"/>
      <c r="BM333" s="124" t="e">
        <v>#N/A</v>
      </c>
      <c r="BN333" s="124" t="e">
        <v>#N/A</v>
      </c>
      <c r="BO333" s="124" t="e">
        <v>#N/A</v>
      </c>
      <c r="BP333" s="124" t="e">
        <v>#N/A</v>
      </c>
      <c r="BQ333" s="124" t="e">
        <v>#N/A</v>
      </c>
      <c r="BR333" s="124" t="e">
        <v>#N/A</v>
      </c>
      <c r="BS333" s="124" t="e">
        <v>#N/A</v>
      </c>
      <c r="BT333" s="124" t="e">
        <v>#N/A</v>
      </c>
      <c r="BU333" s="124" t="e">
        <v>#N/A</v>
      </c>
      <c r="BV333" s="124" t="e">
        <v>#N/A</v>
      </c>
      <c r="BW333" s="124" t="e">
        <v>#N/A</v>
      </c>
      <c r="BX333" s="124" t="e">
        <v>#N/A</v>
      </c>
      <c r="BY333" s="124" t="e">
        <v>#N/A</v>
      </c>
      <c r="BZ333" s="124" t="e">
        <v>#N/A</v>
      </c>
      <c r="CA333" s="125"/>
      <c r="CB333" s="124" t="e">
        <v>#N/A</v>
      </c>
      <c r="CC333" s="126">
        <v>1</v>
      </c>
      <c r="CD333" s="127" t="s">
        <v>4920</v>
      </c>
      <c r="CE333" s="128"/>
      <c r="CF333" s="77" t="s">
        <v>4149</v>
      </c>
    </row>
    <row r="334" spans="1:85" ht="14.5" x14ac:dyDescent="0.35">
      <c r="A334" s="77">
        <v>333</v>
      </c>
      <c r="B334" s="106" t="s">
        <v>6296</v>
      </c>
      <c r="C334" s="107" t="s">
        <v>1638</v>
      </c>
      <c r="D334" s="108" t="s">
        <v>1679</v>
      </c>
      <c r="E334" s="109" t="s">
        <v>1639</v>
      </c>
      <c r="F334" s="110">
        <v>666154544</v>
      </c>
      <c r="G334" s="108" t="s">
        <v>1004</v>
      </c>
      <c r="H334" s="111" t="s">
        <v>2478</v>
      </c>
      <c r="I334" s="111" t="s">
        <v>180</v>
      </c>
      <c r="J334" s="111" t="s">
        <v>4649</v>
      </c>
      <c r="K334" s="111" t="s">
        <v>400</v>
      </c>
      <c r="L334" s="112">
        <v>38620</v>
      </c>
      <c r="M334" s="111" t="s">
        <v>747</v>
      </c>
      <c r="N334" s="113"/>
      <c r="O334" s="114" t="s">
        <v>182</v>
      </c>
      <c r="P334" s="114" t="s">
        <v>182</v>
      </c>
      <c r="Q334" s="114" t="s">
        <v>183</v>
      </c>
      <c r="R334" s="114" t="s">
        <v>7509</v>
      </c>
      <c r="S334" s="114" t="s">
        <v>184</v>
      </c>
      <c r="T334" s="114" t="s">
        <v>182</v>
      </c>
      <c r="U334" s="114" t="s">
        <v>4353</v>
      </c>
      <c r="V334" s="115"/>
      <c r="W334" s="116" t="s">
        <v>1640</v>
      </c>
      <c r="X334" s="116" t="s">
        <v>1641</v>
      </c>
      <c r="Y334" s="117">
        <v>3485441</v>
      </c>
      <c r="Z334" s="117">
        <v>3481158</v>
      </c>
      <c r="AA334" s="118"/>
      <c r="AB334" s="119" t="s">
        <v>5190</v>
      </c>
      <c r="AC334" s="119" t="s">
        <v>1642</v>
      </c>
      <c r="AD334" s="119">
        <v>27405</v>
      </c>
      <c r="AE334" s="119" t="s">
        <v>1680</v>
      </c>
      <c r="AF334" s="119" t="s">
        <v>7510</v>
      </c>
      <c r="AG334" s="120"/>
      <c r="AH334" s="121">
        <v>44601</v>
      </c>
      <c r="AI334" s="121">
        <v>44974</v>
      </c>
      <c r="AJ334" s="121">
        <v>44974</v>
      </c>
      <c r="AK334" s="122">
        <v>44974</v>
      </c>
      <c r="AL334" s="122" t="e">
        <v>#N/A</v>
      </c>
      <c r="AM334" s="121" t="e">
        <v>#N/A</v>
      </c>
      <c r="AN334" s="121" t="e">
        <v>#N/A</v>
      </c>
      <c r="AO334" s="121" t="e">
        <v>#N/A</v>
      </c>
      <c r="AP334" s="122" t="e">
        <v>#N/A</v>
      </c>
      <c r="AQ334" s="122" t="e">
        <v>#N/A</v>
      </c>
      <c r="AR334" s="122" t="e">
        <v>#N/A</v>
      </c>
      <c r="AS334" s="122" t="e">
        <v>#N/A</v>
      </c>
      <c r="AT334" s="122">
        <v>44690</v>
      </c>
      <c r="AU334" s="121" t="e">
        <v>#N/A</v>
      </c>
      <c r="AV334" s="122">
        <v>45785</v>
      </c>
      <c r="AW334" s="122">
        <v>45643</v>
      </c>
      <c r="AX334" s="122" t="e">
        <v>#N/A</v>
      </c>
      <c r="AY334" s="122" t="e">
        <v>#N/A</v>
      </c>
      <c r="AZ334" s="122" t="e">
        <v>#N/A</v>
      </c>
      <c r="BA334" s="122" t="e">
        <v>#N/A</v>
      </c>
      <c r="BB334" s="122" t="e">
        <v>#N/A</v>
      </c>
      <c r="BC334" s="122" t="e">
        <v>#N/A</v>
      </c>
      <c r="BD334" s="122" t="e">
        <v>#N/A</v>
      </c>
      <c r="BE334" s="122" t="e">
        <v>#N/A</v>
      </c>
      <c r="BF334" s="122" t="e">
        <v>#N/A</v>
      </c>
      <c r="BG334" s="122" t="e">
        <v>#N/A</v>
      </c>
      <c r="BH334" s="122" t="e">
        <v>#N/A</v>
      </c>
      <c r="BI334" s="122" t="e">
        <v>#N/A</v>
      </c>
      <c r="BJ334" s="122" t="e">
        <v>#N/A</v>
      </c>
      <c r="BK334" s="122">
        <v>46009</v>
      </c>
      <c r="BL334" s="123"/>
      <c r="BM334" s="124">
        <v>44781</v>
      </c>
      <c r="BN334" s="124">
        <v>44881</v>
      </c>
      <c r="BO334" s="124">
        <v>44882</v>
      </c>
      <c r="BP334" s="124">
        <v>44886</v>
      </c>
      <c r="BQ334" s="124">
        <v>44888</v>
      </c>
      <c r="BR334" s="124">
        <v>44889</v>
      </c>
      <c r="BS334" s="124" t="e">
        <v>#N/A</v>
      </c>
      <c r="BT334" s="124" t="e">
        <v>#N/A</v>
      </c>
      <c r="BU334" s="124" t="e">
        <v>#N/A</v>
      </c>
      <c r="BV334" s="124" t="e">
        <v>#N/A</v>
      </c>
      <c r="BW334" s="124" t="e">
        <v>#N/A</v>
      </c>
      <c r="BX334" s="124" t="e">
        <v>#N/A</v>
      </c>
      <c r="BY334" s="124" t="e">
        <v>#N/A</v>
      </c>
      <c r="BZ334" s="124" t="e">
        <v>#N/A</v>
      </c>
      <c r="CA334" s="125"/>
      <c r="CB334" s="124" t="e">
        <v>#N/A</v>
      </c>
      <c r="CC334" s="126">
        <v>1</v>
      </c>
      <c r="CD334" s="127" t="e">
        <v>#N/A</v>
      </c>
      <c r="CE334" s="128"/>
      <c r="CF334" s="77" t="s">
        <v>4149</v>
      </c>
    </row>
    <row r="335" spans="1:85" ht="14.5" x14ac:dyDescent="0.35">
      <c r="A335" s="77">
        <v>334</v>
      </c>
      <c r="B335" s="106" t="s">
        <v>4530</v>
      </c>
      <c r="C335" s="107" t="s">
        <v>6751</v>
      </c>
      <c r="D335" s="108" t="s">
        <v>4497</v>
      </c>
      <c r="E335" s="109" t="s">
        <v>4498</v>
      </c>
      <c r="F335" s="110">
        <v>655963134</v>
      </c>
      <c r="G335" s="108" t="s">
        <v>1004</v>
      </c>
      <c r="H335" s="111" t="s">
        <v>2478</v>
      </c>
      <c r="I335" s="111" t="s">
        <v>180</v>
      </c>
      <c r="J335" s="111" t="s">
        <v>4649</v>
      </c>
      <c r="K335" s="111" t="s">
        <v>400</v>
      </c>
      <c r="L335" s="112">
        <v>45810</v>
      </c>
      <c r="M335" s="111" t="s">
        <v>2065</v>
      </c>
      <c r="N335" s="113"/>
      <c r="O335" s="114" t="s">
        <v>1009</v>
      </c>
      <c r="P335" s="114" t="s">
        <v>1009</v>
      </c>
      <c r="Q335" s="114" t="s">
        <v>1009</v>
      </c>
      <c r="R335" s="114" t="s">
        <v>1009</v>
      </c>
      <c r="S335" s="114" t="s">
        <v>7233</v>
      </c>
      <c r="T335" s="114" t="s">
        <v>183</v>
      </c>
      <c r="U335" s="114" t="s">
        <v>183</v>
      </c>
      <c r="V335" s="115"/>
      <c r="W335" s="116" t="s">
        <v>4499</v>
      </c>
      <c r="X335" s="116" t="s">
        <v>4500</v>
      </c>
      <c r="Y335" s="117">
        <v>3485992</v>
      </c>
      <c r="Z335" s="117">
        <v>3486497</v>
      </c>
      <c r="AA335" s="118"/>
      <c r="AB335" s="119" t="s">
        <v>5632</v>
      </c>
      <c r="AC335" s="119" t="s">
        <v>4501</v>
      </c>
      <c r="AD335" s="119">
        <v>5784</v>
      </c>
      <c r="AE335" s="119" t="s">
        <v>4502</v>
      </c>
      <c r="AF335" s="119" t="s">
        <v>7511</v>
      </c>
      <c r="AG335" s="120"/>
      <c r="AH335" s="121">
        <v>45810</v>
      </c>
      <c r="AI335" s="121">
        <v>45810</v>
      </c>
      <c r="AJ335" s="121">
        <v>45810</v>
      </c>
      <c r="AK335" s="122">
        <v>45810</v>
      </c>
      <c r="AL335" s="122">
        <v>46007</v>
      </c>
      <c r="AM335" s="121" t="e">
        <v>#N/A</v>
      </c>
      <c r="AN335" s="121">
        <v>46007</v>
      </c>
      <c r="AO335" s="121">
        <v>46008</v>
      </c>
      <c r="AP335" s="122" t="e">
        <v>#N/A</v>
      </c>
      <c r="AQ335" s="122" t="e">
        <v>#N/A</v>
      </c>
      <c r="AR335" s="122">
        <v>46007</v>
      </c>
      <c r="AS335" s="122" t="e">
        <v>#N/A</v>
      </c>
      <c r="AT335" s="122" t="e">
        <v>#N/A</v>
      </c>
      <c r="AU335" s="121" t="e">
        <v>#N/A</v>
      </c>
      <c r="AV335" s="122" t="e">
        <v>#N/A</v>
      </c>
      <c r="AW335" s="122">
        <v>45807</v>
      </c>
      <c r="AX335" s="122" t="e">
        <v>#N/A</v>
      </c>
      <c r="AY335" s="122" t="e">
        <v>#N/A</v>
      </c>
      <c r="AZ335" s="122">
        <v>46007</v>
      </c>
      <c r="BA335" s="122" t="e">
        <v>#N/A</v>
      </c>
      <c r="BB335" s="122" t="e">
        <v>#N/A</v>
      </c>
      <c r="BC335" s="122" t="e">
        <v>#N/A</v>
      </c>
      <c r="BD335" s="122" t="e">
        <v>#N/A</v>
      </c>
      <c r="BE335" s="122" t="e">
        <v>#N/A</v>
      </c>
      <c r="BF335" s="122" t="e">
        <v>#N/A</v>
      </c>
      <c r="BG335" s="122" t="e">
        <v>#N/A</v>
      </c>
      <c r="BH335" s="122" t="e">
        <v>#N/A</v>
      </c>
      <c r="BI335" s="122" t="e">
        <v>#N/A</v>
      </c>
      <c r="BJ335" s="122" t="e">
        <v>#N/A</v>
      </c>
      <c r="BK335" s="122">
        <v>45973</v>
      </c>
      <c r="BL335" s="123"/>
      <c r="BM335" s="124" t="e">
        <v>#N/A</v>
      </c>
      <c r="BN335" s="124" t="e">
        <v>#N/A</v>
      </c>
      <c r="BO335" s="124" t="e">
        <v>#N/A</v>
      </c>
      <c r="BP335" s="124" t="e">
        <v>#N/A</v>
      </c>
      <c r="BQ335" s="124" t="e">
        <v>#N/A</v>
      </c>
      <c r="BR335" s="124" t="e">
        <v>#N/A</v>
      </c>
      <c r="BS335" s="124" t="e">
        <v>#N/A</v>
      </c>
      <c r="BT335" s="124" t="e">
        <v>#N/A</v>
      </c>
      <c r="BU335" s="124" t="e">
        <v>#N/A</v>
      </c>
      <c r="BV335" s="124" t="e">
        <v>#N/A</v>
      </c>
      <c r="BW335" s="124" t="e">
        <v>#N/A</v>
      </c>
      <c r="BX335" s="124" t="e">
        <v>#N/A</v>
      </c>
      <c r="BY335" s="124" t="e">
        <v>#N/A</v>
      </c>
      <c r="BZ335" s="124" t="e">
        <v>#N/A</v>
      </c>
      <c r="CA335" s="125"/>
      <c r="CB335" s="124">
        <v>45810</v>
      </c>
      <c r="CC335" s="126">
        <v>1</v>
      </c>
      <c r="CD335" s="127" t="s">
        <v>4480</v>
      </c>
      <c r="CE335" s="128"/>
      <c r="CF335" s="77" t="s">
        <v>4904</v>
      </c>
    </row>
    <row r="336" spans="1:85" ht="14.5" x14ac:dyDescent="0.35">
      <c r="A336" s="77">
        <v>335</v>
      </c>
      <c r="B336" s="106" t="s">
        <v>5224</v>
      </c>
      <c r="C336" s="107" t="s">
        <v>6828</v>
      </c>
      <c r="D336" s="108" t="s">
        <v>5302</v>
      </c>
      <c r="E336" s="109" t="s">
        <v>5225</v>
      </c>
      <c r="F336" s="110">
        <v>665411262</v>
      </c>
      <c r="G336" s="108" t="s">
        <v>1004</v>
      </c>
      <c r="H336" s="111" t="s">
        <v>2478</v>
      </c>
      <c r="I336" s="111" t="s">
        <v>180</v>
      </c>
      <c r="J336" s="111" t="s">
        <v>4649</v>
      </c>
      <c r="K336" s="111" t="s">
        <v>4778</v>
      </c>
      <c r="L336" s="112">
        <v>45880</v>
      </c>
      <c r="M336" s="111" t="s">
        <v>747</v>
      </c>
      <c r="N336" s="113"/>
      <c r="O336" s="114" t="s">
        <v>3831</v>
      </c>
      <c r="P336" s="114" t="s">
        <v>3831</v>
      </c>
      <c r="Q336" s="114" t="s">
        <v>183</v>
      </c>
      <c r="R336" s="114" t="s">
        <v>7464</v>
      </c>
      <c r="S336" s="114" t="s">
        <v>3831</v>
      </c>
      <c r="T336" s="114" t="s">
        <v>3831</v>
      </c>
      <c r="U336" s="114" t="s">
        <v>3831</v>
      </c>
      <c r="V336" s="115"/>
      <c r="W336" s="116" t="s">
        <v>5226</v>
      </c>
      <c r="X336" s="116" t="s">
        <v>5227</v>
      </c>
      <c r="Y336" s="117">
        <v>3487107</v>
      </c>
      <c r="Z336" s="117">
        <v>3486845</v>
      </c>
      <c r="AA336" s="118"/>
      <c r="AB336" s="119" t="s">
        <v>5630</v>
      </c>
      <c r="AC336" s="119" t="s">
        <v>5228</v>
      </c>
      <c r="AD336" s="119" t="s">
        <v>5229</v>
      </c>
      <c r="AE336" s="119" t="s">
        <v>5230</v>
      </c>
      <c r="AF336" s="119" t="s">
        <v>7236</v>
      </c>
      <c r="AG336" s="120"/>
      <c r="AH336" s="121">
        <v>45880</v>
      </c>
      <c r="AI336" s="121">
        <v>45880</v>
      </c>
      <c r="AJ336" s="121">
        <v>45880</v>
      </c>
      <c r="AK336" s="122">
        <v>45880</v>
      </c>
      <c r="AL336" s="122" t="e">
        <v>#N/A</v>
      </c>
      <c r="AM336" s="121" t="e">
        <v>#N/A</v>
      </c>
      <c r="AN336" s="121" t="e">
        <v>#N/A</v>
      </c>
      <c r="AO336" s="121" t="e">
        <v>#N/A</v>
      </c>
      <c r="AP336" s="122" t="e">
        <v>#N/A</v>
      </c>
      <c r="AQ336" s="122" t="e">
        <v>#N/A</v>
      </c>
      <c r="AR336" s="122" t="e">
        <v>#N/A</v>
      </c>
      <c r="AS336" s="122" t="e">
        <v>#N/A</v>
      </c>
      <c r="AT336" s="122" t="e">
        <v>#N/A</v>
      </c>
      <c r="AU336" s="121" t="e">
        <v>#N/A</v>
      </c>
      <c r="AV336" s="122" t="e">
        <v>#N/A</v>
      </c>
      <c r="AW336" s="122">
        <v>45880</v>
      </c>
      <c r="AX336" s="122" t="e">
        <v>#N/A</v>
      </c>
      <c r="AY336" s="122" t="e">
        <v>#N/A</v>
      </c>
      <c r="AZ336" s="122" t="e">
        <v>#N/A</v>
      </c>
      <c r="BA336" s="122" t="e">
        <v>#N/A</v>
      </c>
      <c r="BB336" s="122" t="e">
        <v>#N/A</v>
      </c>
      <c r="BC336" s="122" t="e">
        <v>#N/A</v>
      </c>
      <c r="BD336" s="122" t="e">
        <v>#N/A</v>
      </c>
      <c r="BE336" s="122" t="e">
        <v>#N/A</v>
      </c>
      <c r="BF336" s="122" t="e">
        <v>#N/A</v>
      </c>
      <c r="BG336" s="122" t="e">
        <v>#N/A</v>
      </c>
      <c r="BH336" s="122" t="e">
        <v>#N/A</v>
      </c>
      <c r="BI336" s="122" t="e">
        <v>#N/A</v>
      </c>
      <c r="BJ336" s="122" t="e">
        <v>#N/A</v>
      </c>
      <c r="BK336" s="122">
        <v>45965</v>
      </c>
      <c r="BL336" s="123"/>
      <c r="BM336" s="124" t="e">
        <v>#N/A</v>
      </c>
      <c r="BN336" s="124" t="e">
        <v>#N/A</v>
      </c>
      <c r="BO336" s="124" t="e">
        <v>#N/A</v>
      </c>
      <c r="BP336" s="124" t="e">
        <v>#N/A</v>
      </c>
      <c r="BQ336" s="124" t="e">
        <v>#N/A</v>
      </c>
      <c r="BR336" s="124" t="e">
        <v>#N/A</v>
      </c>
      <c r="BS336" s="124" t="e">
        <v>#N/A</v>
      </c>
      <c r="BT336" s="124" t="e">
        <v>#N/A</v>
      </c>
      <c r="BU336" s="124" t="e">
        <v>#N/A</v>
      </c>
      <c r="BV336" s="124" t="e">
        <v>#N/A</v>
      </c>
      <c r="BW336" s="124" t="e">
        <v>#N/A</v>
      </c>
      <c r="BX336" s="124" t="e">
        <v>#N/A</v>
      </c>
      <c r="BY336" s="124" t="e">
        <v>#N/A</v>
      </c>
      <c r="BZ336" s="124" t="e">
        <v>#N/A</v>
      </c>
      <c r="CA336" s="125"/>
      <c r="CB336" s="124" t="e">
        <v>#N/A</v>
      </c>
      <c r="CC336" s="126">
        <v>1</v>
      </c>
      <c r="CD336" s="127" t="s">
        <v>5329</v>
      </c>
      <c r="CE336" s="128"/>
      <c r="CF336" s="77" t="s">
        <v>4169</v>
      </c>
    </row>
    <row r="337" spans="1:85" ht="14.5" x14ac:dyDescent="0.35">
      <c r="A337" s="77">
        <v>203</v>
      </c>
      <c r="B337" s="106" t="s">
        <v>5356</v>
      </c>
      <c r="C337" s="107" t="s">
        <v>6843</v>
      </c>
      <c r="D337" s="108" t="s">
        <v>5357</v>
      </c>
      <c r="E337" s="109" t="s">
        <v>5358</v>
      </c>
      <c r="F337" s="110">
        <v>627911298</v>
      </c>
      <c r="G337" s="108" t="s">
        <v>1004</v>
      </c>
      <c r="H337" s="111" t="s">
        <v>2478</v>
      </c>
      <c r="I337" s="111" t="s">
        <v>180</v>
      </c>
      <c r="J337" s="111" t="s">
        <v>4649</v>
      </c>
      <c r="K337" s="111" t="s">
        <v>400</v>
      </c>
      <c r="L337" s="112">
        <v>45887</v>
      </c>
      <c r="M337" s="111" t="s">
        <v>747</v>
      </c>
      <c r="N337" s="113"/>
      <c r="O337" s="114" t="s">
        <v>7280</v>
      </c>
      <c r="P337" s="114" t="s">
        <v>7280</v>
      </c>
      <c r="Q337" s="114" t="s">
        <v>7280</v>
      </c>
      <c r="R337" s="114" t="s">
        <v>7280</v>
      </c>
      <c r="S337" s="114" t="s">
        <v>7280</v>
      </c>
      <c r="T337" s="114" t="s">
        <v>183</v>
      </c>
      <c r="U337" s="114" t="s">
        <v>183</v>
      </c>
      <c r="V337" s="115"/>
      <c r="W337" s="116" t="s">
        <v>5359</v>
      </c>
      <c r="X337" s="116" t="s">
        <v>5360</v>
      </c>
      <c r="Y337" s="117">
        <v>3485831</v>
      </c>
      <c r="Z337" s="117">
        <v>3486559</v>
      </c>
      <c r="AA337" s="118"/>
      <c r="AB337" s="119" t="s">
        <v>5361</v>
      </c>
      <c r="AC337" s="119" t="s">
        <v>5362</v>
      </c>
      <c r="AD337" s="119" t="s">
        <v>5363</v>
      </c>
      <c r="AE337" s="119" t="s">
        <v>5364</v>
      </c>
      <c r="AF337" s="119" t="s">
        <v>7512</v>
      </c>
      <c r="AG337" s="120"/>
      <c r="AH337" s="121">
        <v>45887</v>
      </c>
      <c r="AI337" s="121">
        <v>45887</v>
      </c>
      <c r="AJ337" s="121">
        <v>45887</v>
      </c>
      <c r="AK337" s="122">
        <v>45887</v>
      </c>
      <c r="AL337" s="122" t="e">
        <v>#N/A</v>
      </c>
      <c r="AM337" s="121" t="e">
        <v>#N/A</v>
      </c>
      <c r="AN337" s="121" t="e">
        <v>#N/A</v>
      </c>
      <c r="AO337" s="121" t="e">
        <v>#N/A</v>
      </c>
      <c r="AP337" s="122" t="e">
        <v>#N/A</v>
      </c>
      <c r="AQ337" s="122" t="e">
        <v>#N/A</v>
      </c>
      <c r="AR337" s="122" t="e">
        <v>#N/A</v>
      </c>
      <c r="AS337" s="122" t="e">
        <v>#N/A</v>
      </c>
      <c r="AT337" s="122" t="e">
        <v>#N/A</v>
      </c>
      <c r="AU337" s="121" t="e">
        <v>#N/A</v>
      </c>
      <c r="AV337" s="122" t="e">
        <v>#N/A</v>
      </c>
      <c r="AW337" s="122">
        <v>45887</v>
      </c>
      <c r="AX337" s="122" t="e">
        <v>#N/A</v>
      </c>
      <c r="AY337" s="122" t="e">
        <v>#N/A</v>
      </c>
      <c r="AZ337" s="122" t="e">
        <v>#N/A</v>
      </c>
      <c r="BA337" s="122" t="e">
        <v>#N/A</v>
      </c>
      <c r="BB337" s="122" t="e">
        <v>#N/A</v>
      </c>
      <c r="BC337" s="122" t="e">
        <v>#N/A</v>
      </c>
      <c r="BD337" s="122" t="e">
        <v>#N/A</v>
      </c>
      <c r="BE337" s="122" t="e">
        <v>#N/A</v>
      </c>
      <c r="BF337" s="122" t="e">
        <v>#N/A</v>
      </c>
      <c r="BG337" s="122" t="e">
        <v>#N/A</v>
      </c>
      <c r="BH337" s="122" t="e">
        <v>#N/A</v>
      </c>
      <c r="BI337" s="122" t="e">
        <v>#N/A</v>
      </c>
      <c r="BJ337" s="122" t="e">
        <v>#N/A</v>
      </c>
      <c r="BK337" s="122">
        <v>45971</v>
      </c>
      <c r="BL337" s="123"/>
      <c r="BM337" s="124" t="e">
        <v>#N/A</v>
      </c>
      <c r="BN337" s="124" t="e">
        <v>#N/A</v>
      </c>
      <c r="BO337" s="124" t="e">
        <v>#N/A</v>
      </c>
      <c r="BP337" s="124" t="e">
        <v>#N/A</v>
      </c>
      <c r="BQ337" s="124" t="e">
        <v>#N/A</v>
      </c>
      <c r="BR337" s="124" t="e">
        <v>#N/A</v>
      </c>
      <c r="BS337" s="124" t="e">
        <v>#N/A</v>
      </c>
      <c r="BT337" s="124" t="e">
        <v>#N/A</v>
      </c>
      <c r="BU337" s="124" t="e">
        <v>#N/A</v>
      </c>
      <c r="BV337" s="124" t="e">
        <v>#N/A</v>
      </c>
      <c r="BW337" s="124" t="e">
        <v>#N/A</v>
      </c>
      <c r="BX337" s="124" t="e">
        <v>#N/A</v>
      </c>
      <c r="BY337" s="124" t="e">
        <v>#N/A</v>
      </c>
      <c r="BZ337" s="124" t="e">
        <v>#N/A</v>
      </c>
      <c r="CA337" s="125"/>
      <c r="CB337" s="124" t="e">
        <v>#N/A</v>
      </c>
      <c r="CC337" s="126">
        <v>1</v>
      </c>
      <c r="CD337" s="127" t="s">
        <v>5355</v>
      </c>
      <c r="CE337" s="128"/>
      <c r="CF337" s="77" t="s">
        <v>4169</v>
      </c>
    </row>
    <row r="338" spans="1:85" ht="14.5" x14ac:dyDescent="0.35">
      <c r="A338" s="77">
        <v>337</v>
      </c>
      <c r="B338" s="106" t="s">
        <v>5999</v>
      </c>
      <c r="C338" s="107" t="s">
        <v>6874</v>
      </c>
      <c r="D338" s="108" t="s">
        <v>5924</v>
      </c>
      <c r="E338" s="109" t="s">
        <v>5925</v>
      </c>
      <c r="F338" s="110">
        <v>651372779</v>
      </c>
      <c r="G338" s="108" t="s">
        <v>1004</v>
      </c>
      <c r="H338" s="111" t="s">
        <v>2478</v>
      </c>
      <c r="I338" s="111" t="s">
        <v>180</v>
      </c>
      <c r="J338" s="111" t="s">
        <v>4649</v>
      </c>
      <c r="K338" s="111" t="s">
        <v>4778</v>
      </c>
      <c r="L338" s="112">
        <v>45922</v>
      </c>
      <c r="M338" s="111" t="s">
        <v>747</v>
      </c>
      <c r="N338" s="113"/>
      <c r="O338" s="114" t="s">
        <v>1009</v>
      </c>
      <c r="P338" s="114" t="s">
        <v>183</v>
      </c>
      <c r="Q338" s="114" t="s">
        <v>1009</v>
      </c>
      <c r="R338" s="114" t="s">
        <v>7306</v>
      </c>
      <c r="S338" s="114" t="s">
        <v>183</v>
      </c>
      <c r="T338" s="114" t="s">
        <v>1009</v>
      </c>
      <c r="U338" s="114" t="s">
        <v>1009</v>
      </c>
      <c r="V338" s="115"/>
      <c r="W338" s="116" t="s">
        <v>5926</v>
      </c>
      <c r="X338" s="116" t="s">
        <v>5927</v>
      </c>
      <c r="Y338" s="117">
        <v>3485333</v>
      </c>
      <c r="Z338" s="117">
        <v>3481450</v>
      </c>
      <c r="AA338" s="118"/>
      <c r="AB338" s="119" t="s">
        <v>5928</v>
      </c>
      <c r="AC338" s="119" t="s">
        <v>5929</v>
      </c>
      <c r="AD338" s="119" t="s">
        <v>6875</v>
      </c>
      <c r="AE338" s="119" t="s">
        <v>6876</v>
      </c>
      <c r="AF338" s="119" t="s">
        <v>7513</v>
      </c>
      <c r="AG338" s="120"/>
      <c r="AH338" s="121">
        <v>45922</v>
      </c>
      <c r="AI338" s="121">
        <v>45922</v>
      </c>
      <c r="AJ338" s="121">
        <v>45922</v>
      </c>
      <c r="AK338" s="122">
        <v>45922</v>
      </c>
      <c r="AL338" s="122" t="e">
        <v>#N/A</v>
      </c>
      <c r="AM338" s="121" t="e">
        <v>#N/A</v>
      </c>
      <c r="AN338" s="121" t="e">
        <v>#N/A</v>
      </c>
      <c r="AO338" s="121" t="e">
        <v>#N/A</v>
      </c>
      <c r="AP338" s="122" t="e">
        <v>#N/A</v>
      </c>
      <c r="AQ338" s="122" t="e">
        <v>#N/A</v>
      </c>
      <c r="AR338" s="122" t="e">
        <v>#N/A</v>
      </c>
      <c r="AS338" s="122" t="e">
        <v>#N/A</v>
      </c>
      <c r="AT338" s="122" t="e">
        <v>#N/A</v>
      </c>
      <c r="AU338" s="121" t="e">
        <v>#N/A</v>
      </c>
      <c r="AV338" s="122" t="e">
        <v>#N/A</v>
      </c>
      <c r="AW338" s="122">
        <v>45919</v>
      </c>
      <c r="AX338" s="122" t="e">
        <v>#N/A</v>
      </c>
      <c r="AY338" s="122" t="e">
        <v>#N/A</v>
      </c>
      <c r="AZ338" s="122" t="e">
        <v>#N/A</v>
      </c>
      <c r="BA338" s="122" t="e">
        <v>#N/A</v>
      </c>
      <c r="BB338" s="122" t="e">
        <v>#N/A</v>
      </c>
      <c r="BC338" s="122" t="e">
        <v>#N/A</v>
      </c>
      <c r="BD338" s="122" t="e">
        <v>#N/A</v>
      </c>
      <c r="BE338" s="122" t="e">
        <v>#N/A</v>
      </c>
      <c r="BF338" s="122" t="e">
        <v>#N/A</v>
      </c>
      <c r="BG338" s="122" t="e">
        <v>#N/A</v>
      </c>
      <c r="BH338" s="122" t="e">
        <v>#N/A</v>
      </c>
      <c r="BI338" s="122" t="e">
        <v>#N/A</v>
      </c>
      <c r="BJ338" s="122" t="e">
        <v>#N/A</v>
      </c>
      <c r="BK338" s="122">
        <v>45971</v>
      </c>
      <c r="BL338" s="123"/>
      <c r="BM338" s="124" t="e">
        <v>#N/A</v>
      </c>
      <c r="BN338" s="124" t="e">
        <v>#N/A</v>
      </c>
      <c r="BO338" s="124" t="e">
        <v>#N/A</v>
      </c>
      <c r="BP338" s="124" t="e">
        <v>#N/A</v>
      </c>
      <c r="BQ338" s="124" t="e">
        <v>#N/A</v>
      </c>
      <c r="BR338" s="124" t="e">
        <v>#N/A</v>
      </c>
      <c r="BS338" s="124" t="e">
        <v>#N/A</v>
      </c>
      <c r="BT338" s="124" t="e">
        <v>#N/A</v>
      </c>
      <c r="BU338" s="124" t="e">
        <v>#N/A</v>
      </c>
      <c r="BV338" s="124" t="e">
        <v>#N/A</v>
      </c>
      <c r="BW338" s="124" t="e">
        <v>#N/A</v>
      </c>
      <c r="BX338" s="124" t="e">
        <v>#N/A</v>
      </c>
      <c r="BY338" s="124" t="e">
        <v>#N/A</v>
      </c>
      <c r="BZ338" s="124" t="e">
        <v>#N/A</v>
      </c>
      <c r="CA338" s="125"/>
      <c r="CB338" s="124" t="e">
        <v>#N/A</v>
      </c>
      <c r="CC338" s="126">
        <v>1</v>
      </c>
      <c r="CD338" s="127" t="s">
        <v>5994</v>
      </c>
      <c r="CE338" s="128"/>
      <c r="CF338" s="77" t="s">
        <v>4169</v>
      </c>
    </row>
    <row r="339" spans="1:85" ht="14.5" x14ac:dyDescent="0.35">
      <c r="A339" s="77">
        <v>338</v>
      </c>
      <c r="B339" s="106" t="s">
        <v>6996</v>
      </c>
      <c r="C339" s="107" t="s">
        <v>7282</v>
      </c>
      <c r="D339" s="108" t="s">
        <v>6997</v>
      </c>
      <c r="E339" s="109" t="s">
        <v>6998</v>
      </c>
      <c r="F339" s="110">
        <v>657289597</v>
      </c>
      <c r="G339" s="108" t="s">
        <v>1004</v>
      </c>
      <c r="H339" s="111" t="s">
        <v>2478</v>
      </c>
      <c r="I339" s="111" t="s">
        <v>180</v>
      </c>
      <c r="J339" s="111" t="s">
        <v>4649</v>
      </c>
      <c r="K339" s="111" t="s">
        <v>400</v>
      </c>
      <c r="L339" s="112">
        <v>46000</v>
      </c>
      <c r="M339" s="111" t="s">
        <v>4022</v>
      </c>
      <c r="N339" s="113"/>
      <c r="O339" s="114" t="s">
        <v>330</v>
      </c>
      <c r="P339" s="114" t="s">
        <v>330</v>
      </c>
      <c r="Q339" s="114" t="s">
        <v>330</v>
      </c>
      <c r="R339" s="114" t="s">
        <v>7380</v>
      </c>
      <c r="S339" s="114" t="s">
        <v>330</v>
      </c>
      <c r="T339" s="114" t="s">
        <v>183</v>
      </c>
      <c r="U339" s="114" t="s">
        <v>183</v>
      </c>
      <c r="V339" s="115"/>
      <c r="W339" s="116" t="s">
        <v>6999</v>
      </c>
      <c r="X339" s="116" t="s">
        <v>7000</v>
      </c>
      <c r="Y339" s="117">
        <v>3487148</v>
      </c>
      <c r="Z339" s="117">
        <v>3486562</v>
      </c>
      <c r="AA339" s="118"/>
      <c r="AB339" s="119" t="s">
        <v>7001</v>
      </c>
      <c r="AC339" s="119" t="s">
        <v>7002</v>
      </c>
      <c r="AD339" s="119">
        <v>5338</v>
      </c>
      <c r="AE339" s="119" t="s">
        <v>7514</v>
      </c>
      <c r="AF339" s="119" t="s">
        <v>7515</v>
      </c>
      <c r="AG339" s="120"/>
      <c r="AH339" s="121">
        <v>45995</v>
      </c>
      <c r="AI339" s="121">
        <v>45995</v>
      </c>
      <c r="AJ339" s="121">
        <v>45995</v>
      </c>
      <c r="AK339" s="122">
        <v>45995</v>
      </c>
      <c r="AL339" s="122" t="e">
        <v>#N/A</v>
      </c>
      <c r="AM339" s="122" t="e">
        <v>#N/A</v>
      </c>
      <c r="AN339" s="122" t="e">
        <v>#N/A</v>
      </c>
      <c r="AO339" s="121" t="e">
        <v>#N/A</v>
      </c>
      <c r="AP339" s="122" t="e">
        <v>#N/A</v>
      </c>
      <c r="AQ339" s="122" t="e">
        <v>#N/A</v>
      </c>
      <c r="AR339" s="122" t="e">
        <v>#N/A</v>
      </c>
      <c r="AS339" s="122" t="e">
        <v>#N/A</v>
      </c>
      <c r="AT339" s="122" t="e">
        <v>#N/A</v>
      </c>
      <c r="AU339" s="121" t="e">
        <v>#N/A</v>
      </c>
      <c r="AV339" s="122" t="e">
        <v>#N/A</v>
      </c>
      <c r="AW339" s="122">
        <v>45995</v>
      </c>
      <c r="AX339" s="122" t="e">
        <v>#N/A</v>
      </c>
      <c r="AY339" s="122" t="e">
        <v>#N/A</v>
      </c>
      <c r="AZ339" s="122" t="e">
        <v>#N/A</v>
      </c>
      <c r="BA339" s="122" t="e">
        <v>#N/A</v>
      </c>
      <c r="BB339" s="122" t="e">
        <v>#N/A</v>
      </c>
      <c r="BC339" s="122" t="e">
        <v>#N/A</v>
      </c>
      <c r="BD339" s="122" t="e">
        <v>#N/A</v>
      </c>
      <c r="BE339" s="122" t="e">
        <v>#N/A</v>
      </c>
      <c r="BF339" s="122" t="e">
        <v>#N/A</v>
      </c>
      <c r="BG339" s="122" t="e">
        <v>#N/A</v>
      </c>
      <c r="BH339" s="122" t="e">
        <v>#N/A</v>
      </c>
      <c r="BI339" s="122" t="e">
        <v>#N/A</v>
      </c>
      <c r="BJ339" s="122" t="e">
        <v>#N/A</v>
      </c>
      <c r="BK339" s="122">
        <v>45995</v>
      </c>
      <c r="BL339" s="123"/>
      <c r="BM339" s="124" t="e">
        <v>#N/A</v>
      </c>
      <c r="BN339" s="124" t="e">
        <v>#N/A</v>
      </c>
      <c r="BO339" s="124" t="e">
        <v>#N/A</v>
      </c>
      <c r="BP339" s="124" t="e">
        <v>#N/A</v>
      </c>
      <c r="BQ339" s="124" t="e">
        <v>#N/A</v>
      </c>
      <c r="BR339" s="124" t="e">
        <v>#N/A</v>
      </c>
      <c r="BS339" s="124" t="e">
        <v>#N/A</v>
      </c>
      <c r="BT339" s="124" t="e">
        <v>#N/A</v>
      </c>
      <c r="BU339" s="124" t="e">
        <v>#N/A</v>
      </c>
      <c r="BV339" s="124" t="e">
        <v>#N/A</v>
      </c>
      <c r="BW339" s="124" t="e">
        <v>#N/A</v>
      </c>
      <c r="BX339" s="124" t="e">
        <v>#N/A</v>
      </c>
      <c r="BY339" s="124" t="e">
        <v>#N/A</v>
      </c>
      <c r="BZ339" s="124" t="e">
        <v>#N/A</v>
      </c>
      <c r="CA339" s="125"/>
      <c r="CB339" s="124">
        <v>45995</v>
      </c>
      <c r="CC339" s="126">
        <v>1</v>
      </c>
      <c r="CD339" s="127" t="s">
        <v>7003</v>
      </c>
      <c r="CE339" s="128"/>
      <c r="CF339" s="77" t="s">
        <v>4187</v>
      </c>
    </row>
    <row r="340" spans="1:85" ht="14.5" x14ac:dyDescent="0.35">
      <c r="A340" s="77">
        <v>339</v>
      </c>
      <c r="B340" s="106" t="s">
        <v>84</v>
      </c>
      <c r="C340" s="107" t="s">
        <v>1107</v>
      </c>
      <c r="D340" s="108" t="s">
        <v>638</v>
      </c>
      <c r="E340" s="109" t="s">
        <v>639</v>
      </c>
      <c r="F340" s="110">
        <v>646119900</v>
      </c>
      <c r="G340" s="108" t="s">
        <v>1004</v>
      </c>
      <c r="H340" s="111" t="s">
        <v>399</v>
      </c>
      <c r="I340" s="111" t="s">
        <v>180</v>
      </c>
      <c r="J340" s="111" t="s">
        <v>4649</v>
      </c>
      <c r="K340" s="111" t="s">
        <v>400</v>
      </c>
      <c r="L340" s="112">
        <v>42999</v>
      </c>
      <c r="M340" s="111" t="s">
        <v>747</v>
      </c>
      <c r="N340" s="113"/>
      <c r="O340" s="114" t="s">
        <v>7516</v>
      </c>
      <c r="P340" s="114" t="s">
        <v>7516</v>
      </c>
      <c r="Q340" s="114" t="s">
        <v>285</v>
      </c>
      <c r="R340" s="114" t="s">
        <v>7312</v>
      </c>
      <c r="S340" s="114" t="s">
        <v>7516</v>
      </c>
      <c r="T340" s="114" t="s">
        <v>183</v>
      </c>
      <c r="U340" s="114" t="s">
        <v>183</v>
      </c>
      <c r="V340" s="115"/>
      <c r="W340" s="116" t="s">
        <v>3221</v>
      </c>
      <c r="X340" s="116" t="s">
        <v>3222</v>
      </c>
      <c r="Y340" s="117">
        <v>3485577</v>
      </c>
      <c r="Z340" s="117">
        <v>3481222</v>
      </c>
      <c r="AA340" s="118"/>
      <c r="AB340" s="119" t="s">
        <v>5633</v>
      </c>
      <c r="AC340" s="119" t="s">
        <v>3223</v>
      </c>
      <c r="AD340" s="119">
        <v>27771</v>
      </c>
      <c r="AE340" s="119" t="s">
        <v>3224</v>
      </c>
      <c r="AF340" s="119" t="s">
        <v>6208</v>
      </c>
      <c r="AG340" s="120"/>
      <c r="AH340" s="121">
        <v>44197</v>
      </c>
      <c r="AI340" s="121">
        <v>44197</v>
      </c>
      <c r="AJ340" s="121">
        <v>44197</v>
      </c>
      <c r="AK340" s="122">
        <v>44197</v>
      </c>
      <c r="AL340" s="122" t="e">
        <v>#N/A</v>
      </c>
      <c r="AM340" s="121" t="e">
        <v>#N/A</v>
      </c>
      <c r="AN340" s="121" t="e">
        <v>#N/A</v>
      </c>
      <c r="AO340" s="121" t="e">
        <v>#N/A</v>
      </c>
      <c r="AP340" s="122" t="e">
        <v>#N/A</v>
      </c>
      <c r="AQ340" s="122" t="e">
        <v>#N/A</v>
      </c>
      <c r="AR340" s="122" t="e">
        <v>#N/A</v>
      </c>
      <c r="AS340" s="122" t="e">
        <v>#N/A</v>
      </c>
      <c r="AT340" s="122" t="e">
        <v>#N/A</v>
      </c>
      <c r="AU340" s="121" t="e">
        <v>#N/A</v>
      </c>
      <c r="AV340" s="122" t="e">
        <v>#N/A</v>
      </c>
      <c r="AW340" s="122">
        <v>45736</v>
      </c>
      <c r="AX340" s="122" t="e">
        <v>#N/A</v>
      </c>
      <c r="AY340" s="122" t="e">
        <v>#N/A</v>
      </c>
      <c r="AZ340" s="122" t="e">
        <v>#N/A</v>
      </c>
      <c r="BA340" s="122" t="e">
        <v>#N/A</v>
      </c>
      <c r="BB340" s="122" t="e">
        <v>#N/A</v>
      </c>
      <c r="BC340" s="122" t="e">
        <v>#N/A</v>
      </c>
      <c r="BD340" s="122" t="e">
        <v>#N/A</v>
      </c>
      <c r="BE340" s="122" t="e">
        <v>#N/A</v>
      </c>
      <c r="BF340" s="122" t="e">
        <v>#N/A</v>
      </c>
      <c r="BG340" s="122" t="e">
        <v>#N/A</v>
      </c>
      <c r="BH340" s="122" t="e">
        <v>#N/A</v>
      </c>
      <c r="BI340" s="122" t="e">
        <v>#N/A</v>
      </c>
      <c r="BJ340" s="122" t="e">
        <v>#N/A</v>
      </c>
      <c r="BK340" s="122">
        <v>45959</v>
      </c>
      <c r="BL340" s="123"/>
      <c r="BM340" s="124" t="e">
        <v>#N/A</v>
      </c>
      <c r="BN340" s="124" t="e">
        <v>#N/A</v>
      </c>
      <c r="BO340" s="124" t="e">
        <v>#N/A</v>
      </c>
      <c r="BP340" s="124" t="e">
        <v>#N/A</v>
      </c>
      <c r="BQ340" s="124" t="e">
        <v>#N/A</v>
      </c>
      <c r="BR340" s="124" t="e">
        <v>#N/A</v>
      </c>
      <c r="BS340" s="124" t="e">
        <v>#N/A</v>
      </c>
      <c r="BT340" s="124" t="e">
        <v>#N/A</v>
      </c>
      <c r="BU340" s="124" t="e">
        <v>#N/A</v>
      </c>
      <c r="BV340" s="124" t="e">
        <v>#N/A</v>
      </c>
      <c r="BW340" s="124" t="e">
        <v>#N/A</v>
      </c>
      <c r="BX340" s="124" t="e">
        <v>#N/A</v>
      </c>
      <c r="BY340" s="124" t="e">
        <v>#N/A</v>
      </c>
      <c r="BZ340" s="124" t="e">
        <v>#N/A</v>
      </c>
      <c r="CA340" s="125"/>
      <c r="CB340" s="124" t="e">
        <v>#N/A</v>
      </c>
      <c r="CC340" s="126">
        <v>1</v>
      </c>
      <c r="CD340" s="127" t="s">
        <v>4169</v>
      </c>
      <c r="CE340" s="128"/>
      <c r="CF340" s="77" t="s">
        <v>4187</v>
      </c>
    </row>
    <row r="341" spans="1:85" ht="14.5" x14ac:dyDescent="0.35">
      <c r="A341" s="77">
        <v>340</v>
      </c>
      <c r="B341" s="106" t="s">
        <v>1632</v>
      </c>
      <c r="C341" s="107" t="s">
        <v>1633</v>
      </c>
      <c r="D341" s="108" t="s">
        <v>1676</v>
      </c>
      <c r="E341" s="109" t="s">
        <v>1634</v>
      </c>
      <c r="F341" s="110">
        <v>662457943</v>
      </c>
      <c r="G341" s="108" t="s">
        <v>1004</v>
      </c>
      <c r="H341" s="111" t="s">
        <v>399</v>
      </c>
      <c r="I341" s="111" t="s">
        <v>180</v>
      </c>
      <c r="J341" s="111" t="s">
        <v>4649</v>
      </c>
      <c r="K341" s="111" t="s">
        <v>400</v>
      </c>
      <c r="L341" s="112">
        <v>43252</v>
      </c>
      <c r="M341" s="111" t="s">
        <v>2065</v>
      </c>
      <c r="N341" s="113"/>
      <c r="O341" s="114" t="s">
        <v>184</v>
      </c>
      <c r="P341" s="114" t="s">
        <v>183</v>
      </c>
      <c r="Q341" s="114" t="s">
        <v>184</v>
      </c>
      <c r="R341" s="114" t="s">
        <v>7316</v>
      </c>
      <c r="S341" s="114" t="s">
        <v>183</v>
      </c>
      <c r="T341" s="114" t="s">
        <v>182</v>
      </c>
      <c r="U341" s="114" t="s">
        <v>182</v>
      </c>
      <c r="V341" s="115"/>
      <c r="W341" s="116" t="s">
        <v>1635</v>
      </c>
      <c r="X341" s="116" t="s">
        <v>1636</v>
      </c>
      <c r="Y341" s="117">
        <v>3485613</v>
      </c>
      <c r="Z341" s="117">
        <v>3486233</v>
      </c>
      <c r="AA341" s="118"/>
      <c r="AB341" s="119" t="s">
        <v>1677</v>
      </c>
      <c r="AC341" s="119" t="s">
        <v>1637</v>
      </c>
      <c r="AD341" s="119">
        <v>27878</v>
      </c>
      <c r="AE341" s="119" t="s">
        <v>1678</v>
      </c>
      <c r="AF341" s="119">
        <v>0</v>
      </c>
      <c r="AG341" s="120"/>
      <c r="AH341" s="121">
        <v>44690</v>
      </c>
      <c r="AI341" s="121">
        <v>44690</v>
      </c>
      <c r="AJ341" s="121">
        <v>44690</v>
      </c>
      <c r="AK341" s="122">
        <v>44690</v>
      </c>
      <c r="AL341" s="122">
        <v>45076</v>
      </c>
      <c r="AM341" s="121">
        <v>45091</v>
      </c>
      <c r="AN341" s="121">
        <v>45076</v>
      </c>
      <c r="AO341" s="121">
        <v>45975</v>
      </c>
      <c r="AP341" s="122" t="e">
        <v>#N/A</v>
      </c>
      <c r="AQ341" s="122" t="e">
        <v>#N/A</v>
      </c>
      <c r="AR341" s="122">
        <v>45091</v>
      </c>
      <c r="AS341" s="122" t="e">
        <v>#N/A</v>
      </c>
      <c r="AT341" s="122">
        <v>44690</v>
      </c>
      <c r="AU341" s="121" t="e">
        <v>#N/A</v>
      </c>
      <c r="AV341" s="122" t="e">
        <v>#N/A</v>
      </c>
      <c r="AW341" s="122">
        <v>45671</v>
      </c>
      <c r="AX341" s="122" t="e">
        <v>#N/A</v>
      </c>
      <c r="AY341" s="122" t="e">
        <v>#N/A</v>
      </c>
      <c r="AZ341" s="122" t="e">
        <v>#N/A</v>
      </c>
      <c r="BA341" s="122">
        <v>45091</v>
      </c>
      <c r="BB341" s="122" t="e">
        <v>#N/A</v>
      </c>
      <c r="BC341" s="122" t="e">
        <v>#N/A</v>
      </c>
      <c r="BD341" s="122" t="e">
        <v>#N/A</v>
      </c>
      <c r="BE341" s="122" t="e">
        <v>#N/A</v>
      </c>
      <c r="BF341" s="122" t="e">
        <v>#N/A</v>
      </c>
      <c r="BG341" s="122" t="e">
        <v>#N/A</v>
      </c>
      <c r="BH341" s="122" t="e">
        <v>#N/A</v>
      </c>
      <c r="BI341" s="122" t="e">
        <v>#N/A</v>
      </c>
      <c r="BJ341" s="122" t="e">
        <v>#N/A</v>
      </c>
      <c r="BK341" s="122" t="e">
        <v>#N/A</v>
      </c>
      <c r="BL341" s="123"/>
      <c r="BM341" s="124" t="e">
        <v>#N/A</v>
      </c>
      <c r="BN341" s="124" t="e">
        <v>#N/A</v>
      </c>
      <c r="BO341" s="124" t="e">
        <v>#N/A</v>
      </c>
      <c r="BP341" s="124" t="e">
        <v>#N/A</v>
      </c>
      <c r="BQ341" s="124" t="e">
        <v>#N/A</v>
      </c>
      <c r="BR341" s="124" t="e">
        <v>#N/A</v>
      </c>
      <c r="BS341" s="124" t="e">
        <v>#N/A</v>
      </c>
      <c r="BT341" s="124" t="e">
        <v>#N/A</v>
      </c>
      <c r="BU341" s="124" t="e">
        <v>#N/A</v>
      </c>
      <c r="BV341" s="124" t="e">
        <v>#N/A</v>
      </c>
      <c r="BW341" s="124" t="e">
        <v>#N/A</v>
      </c>
      <c r="BX341" s="124" t="e">
        <v>#N/A</v>
      </c>
      <c r="BY341" s="124" t="e">
        <v>#N/A</v>
      </c>
      <c r="BZ341" s="124" t="e">
        <v>#N/A</v>
      </c>
      <c r="CA341" s="125"/>
      <c r="CB341" s="124">
        <v>45726</v>
      </c>
      <c r="CC341" s="126">
        <v>1</v>
      </c>
      <c r="CD341" s="127" t="s">
        <v>4153</v>
      </c>
      <c r="CE341" s="128"/>
      <c r="CF341" s="77" t="s">
        <v>4382</v>
      </c>
    </row>
    <row r="342" spans="1:85" ht="14.5" x14ac:dyDescent="0.35">
      <c r="A342" s="77">
        <v>341</v>
      </c>
      <c r="B342" s="106" t="s">
        <v>1047</v>
      </c>
      <c r="C342" s="107" t="s">
        <v>1411</v>
      </c>
      <c r="D342" s="108" t="s">
        <v>1048</v>
      </c>
      <c r="E342" s="109" t="s">
        <v>1049</v>
      </c>
      <c r="F342" s="110">
        <v>629438789</v>
      </c>
      <c r="G342" s="108" t="s">
        <v>1004</v>
      </c>
      <c r="H342" s="111" t="s">
        <v>399</v>
      </c>
      <c r="I342" s="111" t="s">
        <v>180</v>
      </c>
      <c r="J342" s="111" t="s">
        <v>4649</v>
      </c>
      <c r="K342" s="111" t="s">
        <v>400</v>
      </c>
      <c r="L342" s="112">
        <v>44743</v>
      </c>
      <c r="M342" s="111" t="s">
        <v>2065</v>
      </c>
      <c r="N342" s="113"/>
      <c r="O342" s="114" t="s">
        <v>330</v>
      </c>
      <c r="P342" s="114" t="s">
        <v>330</v>
      </c>
      <c r="Q342" s="114" t="s">
        <v>330</v>
      </c>
      <c r="R342" s="114" t="s">
        <v>330</v>
      </c>
      <c r="S342" s="114" t="s">
        <v>330</v>
      </c>
      <c r="T342" s="114" t="s">
        <v>183</v>
      </c>
      <c r="U342" s="114" t="s">
        <v>183</v>
      </c>
      <c r="V342" s="115"/>
      <c r="W342" s="116" t="s">
        <v>1050</v>
      </c>
      <c r="X342" s="116" t="s">
        <v>1051</v>
      </c>
      <c r="Y342" s="117">
        <v>3485454</v>
      </c>
      <c r="Z342" s="117">
        <v>3486150</v>
      </c>
      <c r="AA342" s="118"/>
      <c r="AB342" s="119" t="s">
        <v>5634</v>
      </c>
      <c r="AC342" s="119" t="s">
        <v>1412</v>
      </c>
      <c r="AD342" s="119">
        <v>4194</v>
      </c>
      <c r="AE342" s="119" t="s">
        <v>1413</v>
      </c>
      <c r="AF342" s="119" t="s">
        <v>7125</v>
      </c>
      <c r="AG342" s="120"/>
      <c r="AH342" s="121">
        <v>44197</v>
      </c>
      <c r="AI342" s="121">
        <v>44593</v>
      </c>
      <c r="AJ342" s="121">
        <v>44593</v>
      </c>
      <c r="AK342" s="122">
        <v>44593</v>
      </c>
      <c r="AL342" s="122" t="e">
        <v>#N/A</v>
      </c>
      <c r="AM342" s="122" t="e">
        <v>#N/A</v>
      </c>
      <c r="AN342" s="122" t="e">
        <v>#N/A</v>
      </c>
      <c r="AO342" s="121" t="e">
        <v>#N/A</v>
      </c>
      <c r="AP342" s="122" t="e">
        <v>#N/A</v>
      </c>
      <c r="AQ342" s="122" t="e">
        <v>#N/A</v>
      </c>
      <c r="AR342" s="122" t="e">
        <v>#N/A</v>
      </c>
      <c r="AS342" s="122" t="e">
        <v>#N/A</v>
      </c>
      <c r="AT342" s="122" t="e">
        <v>#N/A</v>
      </c>
      <c r="AU342" s="121" t="e">
        <v>#N/A</v>
      </c>
      <c r="AV342" s="122" t="e">
        <v>#N/A</v>
      </c>
      <c r="AW342" s="122">
        <v>45819</v>
      </c>
      <c r="AX342" s="122" t="e">
        <v>#N/A</v>
      </c>
      <c r="AY342" s="122" t="e">
        <v>#N/A</v>
      </c>
      <c r="AZ342" s="122" t="e">
        <v>#N/A</v>
      </c>
      <c r="BA342" s="122" t="e">
        <v>#N/A</v>
      </c>
      <c r="BB342" s="122" t="e">
        <v>#N/A</v>
      </c>
      <c r="BC342" s="122" t="e">
        <v>#N/A</v>
      </c>
      <c r="BD342" s="122" t="e">
        <v>#N/A</v>
      </c>
      <c r="BE342" s="122" t="e">
        <v>#N/A</v>
      </c>
      <c r="BF342" s="122" t="e">
        <v>#N/A</v>
      </c>
      <c r="BG342" s="122" t="e">
        <v>#N/A</v>
      </c>
      <c r="BH342" s="122" t="e">
        <v>#N/A</v>
      </c>
      <c r="BI342" s="122" t="e">
        <v>#N/A</v>
      </c>
      <c r="BJ342" s="122" t="e">
        <v>#N/A</v>
      </c>
      <c r="BK342" s="122">
        <v>45964</v>
      </c>
      <c r="BL342" s="123"/>
      <c r="BM342" s="124">
        <v>45204</v>
      </c>
      <c r="BN342" s="124">
        <v>45205</v>
      </c>
      <c r="BO342" s="124">
        <v>45378</v>
      </c>
      <c r="BP342" s="124" t="e">
        <v>#N/A</v>
      </c>
      <c r="BQ342" s="124" t="e">
        <v>#N/A</v>
      </c>
      <c r="BR342" s="124">
        <v>45378</v>
      </c>
      <c r="BS342" s="124">
        <v>45205</v>
      </c>
      <c r="BT342" s="124">
        <v>45205</v>
      </c>
      <c r="BU342" s="124" t="e">
        <v>#N/A</v>
      </c>
      <c r="BV342" s="124" t="e">
        <v>#N/A</v>
      </c>
      <c r="BW342" s="124" t="e">
        <v>#N/A</v>
      </c>
      <c r="BX342" s="124" t="e">
        <v>#N/A</v>
      </c>
      <c r="BY342" s="124" t="e">
        <v>#N/A</v>
      </c>
      <c r="BZ342" s="124" t="e">
        <v>#N/A</v>
      </c>
      <c r="CA342" s="125"/>
      <c r="CB342" s="124">
        <v>45733</v>
      </c>
      <c r="CC342" s="126">
        <v>1</v>
      </c>
      <c r="CD342" s="127" t="s">
        <v>4148</v>
      </c>
      <c r="CE342" s="128"/>
      <c r="CF342" s="77" t="s">
        <v>4155</v>
      </c>
    </row>
    <row r="343" spans="1:85" ht="14.5" x14ac:dyDescent="0.35">
      <c r="A343" s="77">
        <v>342</v>
      </c>
      <c r="B343" s="106" t="s">
        <v>3228</v>
      </c>
      <c r="C343" s="107" t="s">
        <v>6494</v>
      </c>
      <c r="D343" s="108" t="s">
        <v>3229</v>
      </c>
      <c r="E343" s="109" t="s">
        <v>3230</v>
      </c>
      <c r="F343" s="110" t="s">
        <v>3231</v>
      </c>
      <c r="G343" s="108" t="s">
        <v>190</v>
      </c>
      <c r="H343" s="111" t="s">
        <v>399</v>
      </c>
      <c r="I343" s="111" t="s">
        <v>180</v>
      </c>
      <c r="J343" s="111" t="s">
        <v>4649</v>
      </c>
      <c r="K343" s="111" t="s">
        <v>400</v>
      </c>
      <c r="L343" s="112">
        <v>44954</v>
      </c>
      <c r="M343" s="111" t="s">
        <v>329</v>
      </c>
      <c r="N343" s="113"/>
      <c r="O343" s="114" t="s">
        <v>4638</v>
      </c>
      <c r="P343" s="114" t="s">
        <v>4356</v>
      </c>
      <c r="Q343" s="114" t="s">
        <v>4451</v>
      </c>
      <c r="R343" s="114" t="s">
        <v>4451</v>
      </c>
      <c r="S343" s="114" t="s">
        <v>4356</v>
      </c>
      <c r="T343" s="114" t="s">
        <v>4638</v>
      </c>
      <c r="U343" s="114" t="s">
        <v>4638</v>
      </c>
      <c r="V343" s="115"/>
      <c r="W343" s="116" t="s">
        <v>3232</v>
      </c>
      <c r="X343" s="116" t="s">
        <v>3233</v>
      </c>
      <c r="Y343" s="117">
        <v>3485707</v>
      </c>
      <c r="Z343" s="117">
        <v>3486313</v>
      </c>
      <c r="AA343" s="118"/>
      <c r="AB343" s="119" t="s">
        <v>5812</v>
      </c>
      <c r="AC343" s="119" t="s">
        <v>3234</v>
      </c>
      <c r="AD343" s="119">
        <v>4447</v>
      </c>
      <c r="AE343" s="119" t="s">
        <v>3235</v>
      </c>
      <c r="AF343" s="119">
        <v>0</v>
      </c>
      <c r="AG343" s="120"/>
      <c r="AH343" s="121">
        <v>44774</v>
      </c>
      <c r="AI343" s="121">
        <v>44769</v>
      </c>
      <c r="AJ343" s="121">
        <v>44769</v>
      </c>
      <c r="AK343" s="122">
        <v>45006</v>
      </c>
      <c r="AL343" s="122" t="e">
        <v>#N/A</v>
      </c>
      <c r="AM343" s="121" t="e">
        <v>#N/A</v>
      </c>
      <c r="AN343" s="121" t="e">
        <v>#N/A</v>
      </c>
      <c r="AO343" s="121" t="e">
        <v>#N/A</v>
      </c>
      <c r="AP343" s="122" t="e">
        <v>#N/A</v>
      </c>
      <c r="AQ343" s="122" t="e">
        <v>#N/A</v>
      </c>
      <c r="AR343" s="122" t="e">
        <v>#N/A</v>
      </c>
      <c r="AS343" s="122" t="e">
        <v>#N/A</v>
      </c>
      <c r="AT343" s="122" t="e">
        <v>#N/A</v>
      </c>
      <c r="AU343" s="121" t="e">
        <v>#N/A</v>
      </c>
      <c r="AV343" s="122" t="e">
        <v>#N/A</v>
      </c>
      <c r="AW343" s="122" t="e">
        <v>#N/A</v>
      </c>
      <c r="AX343" s="122" t="e">
        <v>#N/A</v>
      </c>
      <c r="AY343" s="122" t="e">
        <v>#N/A</v>
      </c>
      <c r="AZ343" s="122" t="e">
        <v>#N/A</v>
      </c>
      <c r="BA343" s="122" t="e">
        <v>#N/A</v>
      </c>
      <c r="BB343" s="122" t="e">
        <v>#N/A</v>
      </c>
      <c r="BC343" s="122" t="e">
        <v>#N/A</v>
      </c>
      <c r="BD343" s="122" t="e">
        <v>#N/A</v>
      </c>
      <c r="BE343" s="122" t="e">
        <v>#N/A</v>
      </c>
      <c r="BF343" s="122" t="e">
        <v>#N/A</v>
      </c>
      <c r="BG343" s="122" t="s">
        <v>6019</v>
      </c>
      <c r="BH343" s="122" t="e">
        <v>#N/A</v>
      </c>
      <c r="BI343" s="122" t="e">
        <v>#N/A</v>
      </c>
      <c r="BJ343" s="122" t="e">
        <v>#N/A</v>
      </c>
      <c r="BK343" s="122" t="e">
        <v>#N/A</v>
      </c>
      <c r="BL343" s="123"/>
      <c r="BM343" s="124" t="e">
        <v>#N/A</v>
      </c>
      <c r="BN343" s="124" t="e">
        <v>#N/A</v>
      </c>
      <c r="BO343" s="124" t="e">
        <v>#N/A</v>
      </c>
      <c r="BP343" s="124" t="e">
        <v>#N/A</v>
      </c>
      <c r="BQ343" s="124" t="e">
        <v>#N/A</v>
      </c>
      <c r="BR343" s="124" t="e">
        <v>#N/A</v>
      </c>
      <c r="BS343" s="124" t="e">
        <v>#N/A</v>
      </c>
      <c r="BT343" s="124" t="e">
        <v>#N/A</v>
      </c>
      <c r="BU343" s="124" t="e">
        <v>#N/A</v>
      </c>
      <c r="BV343" s="124" t="e">
        <v>#N/A</v>
      </c>
      <c r="BW343" s="124" t="e">
        <v>#N/A</v>
      </c>
      <c r="BX343" s="124" t="e">
        <v>#N/A</v>
      </c>
      <c r="BY343" s="124" t="e">
        <v>#N/A</v>
      </c>
      <c r="BZ343" s="124" t="e">
        <v>#N/A</v>
      </c>
      <c r="CA343" s="125"/>
      <c r="CB343" s="124" t="e">
        <v>#N/A</v>
      </c>
      <c r="CC343" s="126">
        <v>1</v>
      </c>
      <c r="CD343" s="127" t="s">
        <v>4172</v>
      </c>
      <c r="CE343" s="128"/>
      <c r="CF343" s="77" t="s">
        <v>4155</v>
      </c>
    </row>
    <row r="344" spans="1:85" ht="14.5" x14ac:dyDescent="0.35">
      <c r="A344" s="77">
        <v>343</v>
      </c>
      <c r="B344" s="106" t="s">
        <v>96</v>
      </c>
      <c r="C344" s="107" t="s">
        <v>1140</v>
      </c>
      <c r="D344" s="108" t="s">
        <v>675</v>
      </c>
      <c r="E344" s="109" t="s">
        <v>676</v>
      </c>
      <c r="F344" s="110">
        <v>657993036</v>
      </c>
      <c r="G344" s="108" t="s">
        <v>190</v>
      </c>
      <c r="H344" s="111" t="s">
        <v>399</v>
      </c>
      <c r="I344" s="111" t="s">
        <v>180</v>
      </c>
      <c r="J344" s="111" t="s">
        <v>4649</v>
      </c>
      <c r="K344" s="111" t="s">
        <v>400</v>
      </c>
      <c r="L344" s="112">
        <v>43230</v>
      </c>
      <c r="M344" s="111" t="s">
        <v>2628</v>
      </c>
      <c r="N344" s="113"/>
      <c r="O344" s="114" t="s">
        <v>1013</v>
      </c>
      <c r="P344" s="114" t="s">
        <v>183</v>
      </c>
      <c r="Q344" s="114" t="s">
        <v>1013</v>
      </c>
      <c r="R344" s="114" t="s">
        <v>7316</v>
      </c>
      <c r="S344" s="114" t="s">
        <v>183</v>
      </c>
      <c r="T344" s="114" t="s">
        <v>1710</v>
      </c>
      <c r="U344" s="114" t="s">
        <v>1710</v>
      </c>
      <c r="V344" s="115"/>
      <c r="W344" s="116" t="s">
        <v>3218</v>
      </c>
      <c r="X344" s="116" t="s">
        <v>3219</v>
      </c>
      <c r="Y344" s="117">
        <v>3485535</v>
      </c>
      <c r="Z344" s="117">
        <v>3481051</v>
      </c>
      <c r="AA344" s="118"/>
      <c r="AB344" s="119" t="s">
        <v>5636</v>
      </c>
      <c r="AC344" s="119" t="s">
        <v>3220</v>
      </c>
      <c r="AD344" s="119">
        <v>5119</v>
      </c>
      <c r="AE344" s="119" t="s">
        <v>4135</v>
      </c>
      <c r="AF344" s="119">
        <v>0</v>
      </c>
      <c r="AG344" s="120"/>
      <c r="AH344" s="121">
        <v>44197</v>
      </c>
      <c r="AI344" s="121">
        <v>44197</v>
      </c>
      <c r="AJ344" s="121">
        <v>44197</v>
      </c>
      <c r="AK344" s="122">
        <v>44197</v>
      </c>
      <c r="AL344" s="122">
        <v>44197</v>
      </c>
      <c r="AM344" s="121" t="e">
        <v>#N/A</v>
      </c>
      <c r="AN344" s="121" t="e">
        <v>#N/A</v>
      </c>
      <c r="AO344" s="121" t="e">
        <v>#N/A</v>
      </c>
      <c r="AP344" s="122" t="e">
        <v>#N/A</v>
      </c>
      <c r="AQ344" s="122" t="e">
        <v>#N/A</v>
      </c>
      <c r="AR344" s="122" t="e">
        <v>#N/A</v>
      </c>
      <c r="AS344" s="122" t="e">
        <v>#N/A</v>
      </c>
      <c r="AT344" s="122" t="e">
        <v>#N/A</v>
      </c>
      <c r="AU344" s="121" t="e">
        <v>#N/A</v>
      </c>
      <c r="AV344" s="122" t="e">
        <v>#N/A</v>
      </c>
      <c r="AW344" s="122">
        <v>45671</v>
      </c>
      <c r="AX344" s="122" t="e">
        <v>#N/A</v>
      </c>
      <c r="AY344" s="122" t="e">
        <v>#N/A</v>
      </c>
      <c r="AZ344" s="122" t="e">
        <v>#N/A</v>
      </c>
      <c r="BA344" s="122" t="e">
        <v>#N/A</v>
      </c>
      <c r="BB344" s="122" t="e">
        <v>#N/A</v>
      </c>
      <c r="BC344" s="122" t="e">
        <v>#N/A</v>
      </c>
      <c r="BD344" s="122" t="e">
        <v>#N/A</v>
      </c>
      <c r="BE344" s="122" t="e">
        <v>#N/A</v>
      </c>
      <c r="BF344" s="122" t="e">
        <v>#N/A</v>
      </c>
      <c r="BG344" s="122" t="e">
        <v>#N/A</v>
      </c>
      <c r="BH344" s="122" t="e">
        <v>#N/A</v>
      </c>
      <c r="BI344" s="122" t="e">
        <v>#N/A</v>
      </c>
      <c r="BJ344" s="122" t="e">
        <v>#N/A</v>
      </c>
      <c r="BK344" s="122" t="e">
        <v>#N/A</v>
      </c>
      <c r="BL344" s="123"/>
      <c r="BM344" s="124" t="e">
        <v>#N/A</v>
      </c>
      <c r="BN344" s="124" t="e">
        <v>#N/A</v>
      </c>
      <c r="BO344" s="124" t="e">
        <v>#N/A</v>
      </c>
      <c r="BP344" s="124" t="e">
        <v>#N/A</v>
      </c>
      <c r="BQ344" s="124" t="e">
        <v>#N/A</v>
      </c>
      <c r="BR344" s="124" t="e">
        <v>#N/A</v>
      </c>
      <c r="BS344" s="124" t="e">
        <v>#N/A</v>
      </c>
      <c r="BT344" s="124" t="e">
        <v>#N/A</v>
      </c>
      <c r="BU344" s="124" t="e">
        <v>#N/A</v>
      </c>
      <c r="BV344" s="124" t="e">
        <v>#N/A</v>
      </c>
      <c r="BW344" s="124" t="e">
        <v>#N/A</v>
      </c>
      <c r="BX344" s="124" t="e">
        <v>#N/A</v>
      </c>
      <c r="BY344" s="124" t="e">
        <v>#N/A</v>
      </c>
      <c r="BZ344" s="124" t="e">
        <v>#N/A</v>
      </c>
      <c r="CA344" s="125"/>
      <c r="CB344" s="124" t="e">
        <v>#N/A</v>
      </c>
      <c r="CC344" s="126">
        <v>1</v>
      </c>
      <c r="CD344" s="127" t="s">
        <v>4169</v>
      </c>
      <c r="CE344" s="128"/>
      <c r="CF344" s="77" t="s">
        <v>4158</v>
      </c>
    </row>
    <row r="345" spans="1:85" ht="14.5" x14ac:dyDescent="0.35">
      <c r="A345" s="77">
        <v>344</v>
      </c>
      <c r="B345" s="106" t="s">
        <v>2912</v>
      </c>
      <c r="C345" s="107" t="s">
        <v>6561</v>
      </c>
      <c r="D345" s="108" t="s">
        <v>2897</v>
      </c>
      <c r="E345" s="109" t="s">
        <v>2898</v>
      </c>
      <c r="F345" s="110">
        <v>622241620</v>
      </c>
      <c r="G345" s="108" t="s">
        <v>1004</v>
      </c>
      <c r="H345" s="111" t="s">
        <v>399</v>
      </c>
      <c r="I345" s="111" t="s">
        <v>180</v>
      </c>
      <c r="J345" s="111" t="s">
        <v>4649</v>
      </c>
      <c r="K345" s="111" t="s">
        <v>400</v>
      </c>
      <c r="L345" s="112">
        <v>45155</v>
      </c>
      <c r="M345" s="111" t="s">
        <v>2065</v>
      </c>
      <c r="N345" s="113"/>
      <c r="O345" s="114" t="s">
        <v>2910</v>
      </c>
      <c r="P345" s="114" t="s">
        <v>7517</v>
      </c>
      <c r="Q345" s="114" t="s">
        <v>183</v>
      </c>
      <c r="R345" s="114" t="s">
        <v>7518</v>
      </c>
      <c r="S345" s="114" t="s">
        <v>7517</v>
      </c>
      <c r="T345" s="114" t="s">
        <v>7517</v>
      </c>
      <c r="U345" s="114" t="s">
        <v>7517</v>
      </c>
      <c r="V345" s="115"/>
      <c r="W345" s="116" t="s">
        <v>2899</v>
      </c>
      <c r="X345" s="116" t="s">
        <v>2900</v>
      </c>
      <c r="Y345" s="117">
        <v>3485800</v>
      </c>
      <c r="Z345" s="117">
        <v>3486605</v>
      </c>
      <c r="AA345" s="118"/>
      <c r="AB345" s="119" t="s">
        <v>5813</v>
      </c>
      <c r="AC345" s="119" t="s">
        <v>2901</v>
      </c>
      <c r="AD345" s="119">
        <v>4310</v>
      </c>
      <c r="AE345" s="119" t="s">
        <v>2902</v>
      </c>
      <c r="AF345" s="119">
        <v>0</v>
      </c>
      <c r="AG345" s="120"/>
      <c r="AH345" s="121">
        <v>45155</v>
      </c>
      <c r="AI345" s="121">
        <v>45237</v>
      </c>
      <c r="AJ345" s="121">
        <v>45155</v>
      </c>
      <c r="AK345" s="122">
        <v>45237</v>
      </c>
      <c r="AL345" s="122">
        <v>45238</v>
      </c>
      <c r="AM345" s="121">
        <v>45240</v>
      </c>
      <c r="AN345" s="121">
        <v>45974</v>
      </c>
      <c r="AO345" s="121">
        <v>45974</v>
      </c>
      <c r="AP345" s="122" t="e">
        <v>#N/A</v>
      </c>
      <c r="AQ345" s="122" t="e">
        <v>#N/A</v>
      </c>
      <c r="AR345" s="122">
        <v>45239</v>
      </c>
      <c r="AS345" s="122" t="e">
        <v>#N/A</v>
      </c>
      <c r="AT345" s="122" t="e">
        <v>#N/A</v>
      </c>
      <c r="AU345" s="121" t="e">
        <v>#N/A</v>
      </c>
      <c r="AV345" s="122" t="e">
        <v>#N/A</v>
      </c>
      <c r="AW345" s="122">
        <v>45772</v>
      </c>
      <c r="AX345" s="122" t="e">
        <v>#N/A</v>
      </c>
      <c r="AY345" s="122" t="e">
        <v>#N/A</v>
      </c>
      <c r="AZ345" s="122" t="e">
        <v>#N/A</v>
      </c>
      <c r="BA345" s="122" t="e">
        <v>#N/A</v>
      </c>
      <c r="BB345" s="122" t="e">
        <v>#N/A</v>
      </c>
      <c r="BC345" s="122" t="e">
        <v>#N/A</v>
      </c>
      <c r="BD345" s="122" t="e">
        <v>#N/A</v>
      </c>
      <c r="BE345" s="122" t="e">
        <v>#N/A</v>
      </c>
      <c r="BF345" s="122" t="e">
        <v>#N/A</v>
      </c>
      <c r="BG345" s="122" t="e">
        <v>#N/A</v>
      </c>
      <c r="BH345" s="122" t="e">
        <v>#N/A</v>
      </c>
      <c r="BI345" s="122" t="e">
        <v>#N/A</v>
      </c>
      <c r="BJ345" s="122" t="e">
        <v>#N/A</v>
      </c>
      <c r="BK345" s="122" t="e">
        <v>#N/A</v>
      </c>
      <c r="BL345" s="123"/>
      <c r="BM345" s="124" t="e">
        <v>#N/A</v>
      </c>
      <c r="BN345" s="124" t="e">
        <v>#N/A</v>
      </c>
      <c r="BO345" s="124" t="e">
        <v>#N/A</v>
      </c>
      <c r="BP345" s="124" t="e">
        <v>#N/A</v>
      </c>
      <c r="BQ345" s="124" t="e">
        <v>#N/A</v>
      </c>
      <c r="BR345" s="124" t="e">
        <v>#N/A</v>
      </c>
      <c r="BS345" s="124" t="e">
        <v>#N/A</v>
      </c>
      <c r="BT345" s="124" t="e">
        <v>#N/A</v>
      </c>
      <c r="BU345" s="124" t="e">
        <v>#N/A</v>
      </c>
      <c r="BV345" s="124" t="e">
        <v>#N/A</v>
      </c>
      <c r="BW345" s="124" t="e">
        <v>#N/A</v>
      </c>
      <c r="BX345" s="124" t="e">
        <v>#N/A</v>
      </c>
      <c r="BY345" s="124" t="e">
        <v>#N/A</v>
      </c>
      <c r="BZ345" s="124" t="e">
        <v>#N/A</v>
      </c>
      <c r="CA345" s="125"/>
      <c r="CB345" s="124" t="e">
        <v>#N/A</v>
      </c>
      <c r="CC345" s="126">
        <v>1</v>
      </c>
      <c r="CD345" s="127" t="s">
        <v>4177</v>
      </c>
      <c r="CE345" s="128"/>
      <c r="CF345" s="77" t="s">
        <v>4159</v>
      </c>
    </row>
    <row r="346" spans="1:85" ht="14.5" x14ac:dyDescent="0.35">
      <c r="A346" s="77">
        <v>345</v>
      </c>
      <c r="B346" s="106" t="s">
        <v>153</v>
      </c>
      <c r="C346" s="107" t="s">
        <v>1183</v>
      </c>
      <c r="D346" s="108" t="s">
        <v>861</v>
      </c>
      <c r="E346" s="109" t="s">
        <v>862</v>
      </c>
      <c r="F346" s="110">
        <v>632440473</v>
      </c>
      <c r="G346" s="108" t="s">
        <v>1004</v>
      </c>
      <c r="H346" s="111" t="s">
        <v>399</v>
      </c>
      <c r="I346" s="111" t="s">
        <v>180</v>
      </c>
      <c r="J346" s="111" t="s">
        <v>4649</v>
      </c>
      <c r="K346" s="111" t="s">
        <v>400</v>
      </c>
      <c r="L346" s="112">
        <v>43731</v>
      </c>
      <c r="M346" s="111" t="s">
        <v>2065</v>
      </c>
      <c r="N346" s="113"/>
      <c r="O346" s="114" t="s">
        <v>7519</v>
      </c>
      <c r="P346" s="114" t="s">
        <v>344</v>
      </c>
      <c r="Q346" s="114" t="s">
        <v>344</v>
      </c>
      <c r="R346" s="114" t="s">
        <v>7334</v>
      </c>
      <c r="S346" s="114" t="s">
        <v>344</v>
      </c>
      <c r="T346" s="114" t="s">
        <v>183</v>
      </c>
      <c r="U346" s="114" t="s">
        <v>183</v>
      </c>
      <c r="V346" s="115"/>
      <c r="W346" s="116" t="s">
        <v>863</v>
      </c>
      <c r="X346" s="116" t="s">
        <v>864</v>
      </c>
      <c r="Y346" s="117">
        <v>3485033</v>
      </c>
      <c r="Z346" s="117">
        <v>3481149</v>
      </c>
      <c r="AA346" s="118"/>
      <c r="AB346" s="119" t="s">
        <v>865</v>
      </c>
      <c r="AC346" s="119" t="s">
        <v>1184</v>
      </c>
      <c r="AD346" s="119">
        <v>4045</v>
      </c>
      <c r="AE346" s="119" t="s">
        <v>866</v>
      </c>
      <c r="AF346" s="119" t="s">
        <v>7120</v>
      </c>
      <c r="AG346" s="120"/>
      <c r="AH346" s="121">
        <v>44197</v>
      </c>
      <c r="AI346" s="121">
        <v>44197</v>
      </c>
      <c r="AJ346" s="121">
        <v>44197</v>
      </c>
      <c r="AK346" s="122">
        <v>44197</v>
      </c>
      <c r="AL346" s="122">
        <v>44197</v>
      </c>
      <c r="AM346" s="122">
        <v>44197</v>
      </c>
      <c r="AN346" s="122">
        <v>44197</v>
      </c>
      <c r="AO346" s="121" t="e">
        <v>#N/A</v>
      </c>
      <c r="AP346" s="122" t="e">
        <v>#N/A</v>
      </c>
      <c r="AQ346" s="122" t="e">
        <v>#N/A</v>
      </c>
      <c r="AR346" s="122" t="e">
        <v>#N/A</v>
      </c>
      <c r="AS346" s="122" t="e">
        <v>#N/A</v>
      </c>
      <c r="AT346" s="122" t="e">
        <v>#N/A</v>
      </c>
      <c r="AU346" s="121" t="e">
        <v>#N/A</v>
      </c>
      <c r="AV346" s="122" t="e">
        <v>#N/A</v>
      </c>
      <c r="AW346" s="122">
        <v>45723</v>
      </c>
      <c r="AX346" s="122" t="e">
        <v>#N/A</v>
      </c>
      <c r="AY346" s="122" t="e">
        <v>#N/A</v>
      </c>
      <c r="AZ346" s="122" t="e">
        <v>#N/A</v>
      </c>
      <c r="BA346" s="122" t="e">
        <v>#N/A</v>
      </c>
      <c r="BB346" s="122" t="e">
        <v>#N/A</v>
      </c>
      <c r="BC346" s="122" t="e">
        <v>#N/A</v>
      </c>
      <c r="BD346" s="122" t="e">
        <v>#N/A</v>
      </c>
      <c r="BE346" s="122" t="e">
        <v>#N/A</v>
      </c>
      <c r="BF346" s="122" t="e">
        <v>#N/A</v>
      </c>
      <c r="BG346" s="122" t="e">
        <v>#N/A</v>
      </c>
      <c r="BH346" s="122" t="e">
        <v>#N/A</v>
      </c>
      <c r="BI346" s="122" t="e">
        <v>#N/A</v>
      </c>
      <c r="BJ346" s="122" t="e">
        <v>#N/A</v>
      </c>
      <c r="BK346" s="122">
        <v>45964</v>
      </c>
      <c r="BL346" s="123"/>
      <c r="BM346" s="124" t="e">
        <v>#N/A</v>
      </c>
      <c r="BN346" s="124" t="e">
        <v>#N/A</v>
      </c>
      <c r="BO346" s="124" t="e">
        <v>#N/A</v>
      </c>
      <c r="BP346" s="124" t="e">
        <v>#N/A</v>
      </c>
      <c r="BQ346" s="124" t="e">
        <v>#N/A</v>
      </c>
      <c r="BR346" s="124" t="e">
        <v>#N/A</v>
      </c>
      <c r="BS346" s="124" t="e">
        <v>#N/A</v>
      </c>
      <c r="BT346" s="124" t="e">
        <v>#N/A</v>
      </c>
      <c r="BU346" s="124" t="e">
        <v>#N/A</v>
      </c>
      <c r="BV346" s="124" t="e">
        <v>#N/A</v>
      </c>
      <c r="BW346" s="124" t="e">
        <v>#N/A</v>
      </c>
      <c r="BX346" s="124" t="e">
        <v>#N/A</v>
      </c>
      <c r="BY346" s="124" t="e">
        <v>#N/A</v>
      </c>
      <c r="BZ346" s="124" t="e">
        <v>#N/A</v>
      </c>
      <c r="CA346" s="125"/>
      <c r="CB346" s="124">
        <v>45842</v>
      </c>
      <c r="CC346" s="126">
        <v>1</v>
      </c>
      <c r="CD346" s="127" t="s">
        <v>4169</v>
      </c>
      <c r="CE346" s="128" t="e">
        <v>#REF!</v>
      </c>
      <c r="CF346" s="77" t="s">
        <v>4172</v>
      </c>
      <c r="CG346" s="77" t="e">
        <v>#REF!</v>
      </c>
    </row>
    <row r="347" spans="1:85" ht="14.5" x14ac:dyDescent="0.35">
      <c r="A347" s="77">
        <v>346</v>
      </c>
      <c r="B347" s="106" t="s">
        <v>163</v>
      </c>
      <c r="C347" s="107" t="s">
        <v>1166</v>
      </c>
      <c r="D347" s="108" t="s">
        <v>898</v>
      </c>
      <c r="E347" s="109" t="s">
        <v>899</v>
      </c>
      <c r="F347" s="110">
        <v>666832211</v>
      </c>
      <c r="G347" s="108" t="s">
        <v>1004</v>
      </c>
      <c r="H347" s="111" t="s">
        <v>399</v>
      </c>
      <c r="I347" s="111" t="s">
        <v>180</v>
      </c>
      <c r="J347" s="111" t="s">
        <v>4649</v>
      </c>
      <c r="K347" s="111" t="s">
        <v>400</v>
      </c>
      <c r="L347" s="112">
        <v>44179</v>
      </c>
      <c r="M347" s="111" t="s">
        <v>747</v>
      </c>
      <c r="N347" s="113"/>
      <c r="O347" s="114" t="s">
        <v>7520</v>
      </c>
      <c r="P347" s="114" t="s">
        <v>7521</v>
      </c>
      <c r="Q347" s="114" t="s">
        <v>7521</v>
      </c>
      <c r="R347" s="114" t="s">
        <v>7520</v>
      </c>
      <c r="S347" s="114" t="s">
        <v>7520</v>
      </c>
      <c r="T347" s="114" t="s">
        <v>4356</v>
      </c>
      <c r="U347" s="114" t="s">
        <v>4356</v>
      </c>
      <c r="V347" s="115"/>
      <c r="W347" s="116" t="s">
        <v>900</v>
      </c>
      <c r="X347" s="116" t="s">
        <v>901</v>
      </c>
      <c r="Y347" s="117">
        <v>3485584</v>
      </c>
      <c r="Z347" s="117">
        <v>3481183</v>
      </c>
      <c r="AA347" s="118"/>
      <c r="AB347" s="119" t="s">
        <v>5495</v>
      </c>
      <c r="AC347" s="119" t="s">
        <v>1167</v>
      </c>
      <c r="AD347" s="119">
        <v>4299</v>
      </c>
      <c r="AE347" s="119" t="s">
        <v>902</v>
      </c>
      <c r="AF347" s="119">
        <v>0</v>
      </c>
      <c r="AG347" s="120"/>
      <c r="AH347" s="121">
        <v>44197</v>
      </c>
      <c r="AI347" s="121">
        <v>44197</v>
      </c>
      <c r="AJ347" s="121">
        <v>44197</v>
      </c>
      <c r="AK347" s="122">
        <v>44197</v>
      </c>
      <c r="AL347" s="122" t="e">
        <v>#N/A</v>
      </c>
      <c r="AM347" s="121" t="e">
        <v>#N/A</v>
      </c>
      <c r="AN347" s="121" t="e">
        <v>#N/A</v>
      </c>
      <c r="AO347" s="121" t="e">
        <v>#N/A</v>
      </c>
      <c r="AP347" s="122" t="e">
        <v>#N/A</v>
      </c>
      <c r="AQ347" s="122" t="e">
        <v>#N/A</v>
      </c>
      <c r="AR347" s="122" t="e">
        <v>#N/A</v>
      </c>
      <c r="AS347" s="122" t="e">
        <v>#N/A</v>
      </c>
      <c r="AT347" s="122" t="e">
        <v>#N/A</v>
      </c>
      <c r="AU347" s="121" t="e">
        <v>#N/A</v>
      </c>
      <c r="AV347" s="122" t="e">
        <v>#N/A</v>
      </c>
      <c r="AW347" s="122">
        <v>45748</v>
      </c>
      <c r="AX347" s="122" t="e">
        <v>#N/A</v>
      </c>
      <c r="AY347" s="122" t="e">
        <v>#N/A</v>
      </c>
      <c r="AZ347" s="122" t="e">
        <v>#N/A</v>
      </c>
      <c r="BA347" s="122" t="e">
        <v>#N/A</v>
      </c>
      <c r="BB347" s="122" t="e">
        <v>#N/A</v>
      </c>
      <c r="BC347" s="122" t="e">
        <v>#N/A</v>
      </c>
      <c r="BD347" s="122" t="e">
        <v>#N/A</v>
      </c>
      <c r="BE347" s="122" t="e">
        <v>#N/A</v>
      </c>
      <c r="BF347" s="122" t="e">
        <v>#N/A</v>
      </c>
      <c r="BG347" s="122" t="e">
        <v>#N/A</v>
      </c>
      <c r="BH347" s="122" t="e">
        <v>#N/A</v>
      </c>
      <c r="BI347" s="122" t="e">
        <v>#N/A</v>
      </c>
      <c r="BJ347" s="122" t="e">
        <v>#N/A</v>
      </c>
      <c r="BK347" s="122" t="e">
        <v>#N/A</v>
      </c>
      <c r="BL347" s="123"/>
      <c r="BM347" s="124" t="e">
        <v>#N/A</v>
      </c>
      <c r="BN347" s="124" t="e">
        <v>#N/A</v>
      </c>
      <c r="BO347" s="124" t="e">
        <v>#N/A</v>
      </c>
      <c r="BP347" s="124" t="e">
        <v>#N/A</v>
      </c>
      <c r="BQ347" s="124" t="e">
        <v>#N/A</v>
      </c>
      <c r="BR347" s="124" t="e">
        <v>#N/A</v>
      </c>
      <c r="BS347" s="124" t="e">
        <v>#N/A</v>
      </c>
      <c r="BT347" s="124" t="e">
        <v>#N/A</v>
      </c>
      <c r="BU347" s="124" t="e">
        <v>#N/A</v>
      </c>
      <c r="BV347" s="124" t="e">
        <v>#N/A</v>
      </c>
      <c r="BW347" s="124" t="e">
        <v>#N/A</v>
      </c>
      <c r="BX347" s="124" t="e">
        <v>#N/A</v>
      </c>
      <c r="BY347" s="124" t="e">
        <v>#N/A</v>
      </c>
      <c r="BZ347" s="124" t="e">
        <v>#N/A</v>
      </c>
      <c r="CA347" s="125"/>
      <c r="CB347" s="124" t="e">
        <v>#N/A</v>
      </c>
      <c r="CC347" s="126">
        <v>1</v>
      </c>
      <c r="CD347" s="127" t="s">
        <v>4169</v>
      </c>
      <c r="CE347" s="128"/>
      <c r="CF347" s="77" t="s">
        <v>4189</v>
      </c>
    </row>
    <row r="348" spans="1:85" ht="14.5" x14ac:dyDescent="0.35">
      <c r="A348" s="77">
        <v>347</v>
      </c>
      <c r="B348" s="106" t="s">
        <v>169</v>
      </c>
      <c r="C348" s="107" t="s">
        <v>1187</v>
      </c>
      <c r="D348" s="108" t="s">
        <v>921</v>
      </c>
      <c r="E348" s="109" t="s">
        <v>922</v>
      </c>
      <c r="F348" s="110">
        <v>616520855</v>
      </c>
      <c r="G348" s="108" t="s">
        <v>190</v>
      </c>
      <c r="H348" s="111" t="s">
        <v>399</v>
      </c>
      <c r="I348" s="111" t="s">
        <v>180</v>
      </c>
      <c r="J348" s="111" t="s">
        <v>4649</v>
      </c>
      <c r="K348" s="111" t="s">
        <v>400</v>
      </c>
      <c r="L348" s="112">
        <v>44179</v>
      </c>
      <c r="M348" s="111" t="s">
        <v>2065</v>
      </c>
      <c r="N348" s="113"/>
      <c r="O348" s="114" t="s">
        <v>6047</v>
      </c>
      <c r="P348" s="114" t="s">
        <v>183</v>
      </c>
      <c r="Q348" s="114" t="s">
        <v>6047</v>
      </c>
      <c r="R348" s="114" t="s">
        <v>7297</v>
      </c>
      <c r="S348" s="114" t="s">
        <v>183</v>
      </c>
      <c r="T348" s="114" t="s">
        <v>6046</v>
      </c>
      <c r="U348" s="114" t="s">
        <v>6046</v>
      </c>
      <c r="V348" s="115"/>
      <c r="W348" s="116" t="s">
        <v>923</v>
      </c>
      <c r="X348" s="116" t="s">
        <v>924</v>
      </c>
      <c r="Y348" s="117">
        <v>3485205</v>
      </c>
      <c r="Z348" s="117">
        <v>3486316</v>
      </c>
      <c r="AA348" s="118"/>
      <c r="AB348" s="119" t="s">
        <v>2040</v>
      </c>
      <c r="AC348" s="119" t="s">
        <v>1188</v>
      </c>
      <c r="AD348" s="119">
        <v>6453</v>
      </c>
      <c r="AE348" s="119" t="s">
        <v>4957</v>
      </c>
      <c r="AF348" s="119">
        <v>0</v>
      </c>
      <c r="AG348" s="120"/>
      <c r="AH348" s="121">
        <v>44197</v>
      </c>
      <c r="AI348" s="121">
        <v>44197</v>
      </c>
      <c r="AJ348" s="121">
        <v>44197</v>
      </c>
      <c r="AK348" s="122">
        <v>44197</v>
      </c>
      <c r="AL348" s="122" t="e">
        <v>#N/A</v>
      </c>
      <c r="AM348" s="121" t="e">
        <v>#N/A</v>
      </c>
      <c r="AN348" s="121" t="e">
        <v>#N/A</v>
      </c>
      <c r="AO348" s="121" t="e">
        <v>#N/A</v>
      </c>
      <c r="AP348" s="122" t="e">
        <v>#N/A</v>
      </c>
      <c r="AQ348" s="122" t="e">
        <v>#N/A</v>
      </c>
      <c r="AR348" s="122" t="e">
        <v>#N/A</v>
      </c>
      <c r="AS348" s="122" t="e">
        <v>#N/A</v>
      </c>
      <c r="AT348" s="122" t="e">
        <v>#N/A</v>
      </c>
      <c r="AU348" s="121" t="e">
        <v>#N/A</v>
      </c>
      <c r="AV348" s="122" t="e">
        <v>#N/A</v>
      </c>
      <c r="AW348" s="122">
        <v>45869</v>
      </c>
      <c r="AX348" s="122" t="e">
        <v>#N/A</v>
      </c>
      <c r="AY348" s="122" t="e">
        <v>#N/A</v>
      </c>
      <c r="AZ348" s="122" t="e">
        <v>#N/A</v>
      </c>
      <c r="BA348" s="122" t="e">
        <v>#N/A</v>
      </c>
      <c r="BB348" s="122" t="e">
        <v>#N/A</v>
      </c>
      <c r="BC348" s="122" t="e">
        <v>#N/A</v>
      </c>
      <c r="BD348" s="122" t="e">
        <v>#N/A</v>
      </c>
      <c r="BE348" s="122" t="e">
        <v>#N/A</v>
      </c>
      <c r="BF348" s="122" t="e">
        <v>#N/A</v>
      </c>
      <c r="BG348" s="122" t="e">
        <v>#N/A</v>
      </c>
      <c r="BH348" s="122" t="e">
        <v>#N/A</v>
      </c>
      <c r="BI348" s="122" t="e">
        <v>#N/A</v>
      </c>
      <c r="BJ348" s="122" t="e">
        <v>#N/A</v>
      </c>
      <c r="BK348" s="122" t="e">
        <v>#N/A</v>
      </c>
      <c r="BL348" s="123"/>
      <c r="BM348" s="124" t="e">
        <v>#N/A</v>
      </c>
      <c r="BN348" s="124" t="e">
        <v>#N/A</v>
      </c>
      <c r="BO348" s="124" t="e">
        <v>#N/A</v>
      </c>
      <c r="BP348" s="124" t="e">
        <v>#N/A</v>
      </c>
      <c r="BQ348" s="124" t="e">
        <v>#N/A</v>
      </c>
      <c r="BR348" s="124" t="e">
        <v>#N/A</v>
      </c>
      <c r="BS348" s="124" t="e">
        <v>#N/A</v>
      </c>
      <c r="BT348" s="124" t="e">
        <v>#N/A</v>
      </c>
      <c r="BU348" s="124" t="e">
        <v>#N/A</v>
      </c>
      <c r="BV348" s="124" t="e">
        <v>#N/A</v>
      </c>
      <c r="BW348" s="124" t="e">
        <v>#N/A</v>
      </c>
      <c r="BX348" s="124" t="e">
        <v>#N/A</v>
      </c>
      <c r="BY348" s="124" t="e">
        <v>#N/A</v>
      </c>
      <c r="BZ348" s="124" t="e">
        <v>#N/A</v>
      </c>
      <c r="CA348" s="125"/>
      <c r="CB348" s="124" t="e">
        <v>#N/A</v>
      </c>
      <c r="CC348" s="126">
        <v>1</v>
      </c>
      <c r="CD348" s="127" t="s">
        <v>4169</v>
      </c>
      <c r="CE348" s="128"/>
      <c r="CF348" s="77" t="s">
        <v>4174</v>
      </c>
    </row>
    <row r="349" spans="1:85" ht="14.5" x14ac:dyDescent="0.35">
      <c r="A349" s="77">
        <v>348</v>
      </c>
      <c r="B349" s="106" t="s">
        <v>6368</v>
      </c>
      <c r="C349" s="107" t="s">
        <v>1172</v>
      </c>
      <c r="D349" s="108" t="s">
        <v>397</v>
      </c>
      <c r="E349" s="109" t="s">
        <v>398</v>
      </c>
      <c r="F349" s="110">
        <v>687224261</v>
      </c>
      <c r="G349" s="108" t="s">
        <v>1004</v>
      </c>
      <c r="H349" s="111" t="s">
        <v>399</v>
      </c>
      <c r="I349" s="111" t="s">
        <v>180</v>
      </c>
      <c r="J349" s="111" t="s">
        <v>4649</v>
      </c>
      <c r="K349" s="111" t="s">
        <v>400</v>
      </c>
      <c r="L349" s="112">
        <v>39496</v>
      </c>
      <c r="M349" s="111" t="s">
        <v>2065</v>
      </c>
      <c r="N349" s="113"/>
      <c r="O349" s="114" t="s">
        <v>182</v>
      </c>
      <c r="P349" s="114" t="s">
        <v>184</v>
      </c>
      <c r="Q349" s="114" t="s">
        <v>183</v>
      </c>
      <c r="R349" s="114" t="s">
        <v>7509</v>
      </c>
      <c r="S349" s="114" t="s">
        <v>182</v>
      </c>
      <c r="T349" s="114" t="s">
        <v>182</v>
      </c>
      <c r="U349" s="114" t="s">
        <v>182</v>
      </c>
      <c r="V349" s="115"/>
      <c r="W349" s="116" t="s">
        <v>401</v>
      </c>
      <c r="X349" s="116" t="s">
        <v>402</v>
      </c>
      <c r="Y349" s="117">
        <v>3485130</v>
      </c>
      <c r="Z349" s="117">
        <v>3486215</v>
      </c>
      <c r="AA349" s="118"/>
      <c r="AB349" s="119" t="s">
        <v>5277</v>
      </c>
      <c r="AC349" s="119" t="s">
        <v>1173</v>
      </c>
      <c r="AD349" s="119">
        <v>5152</v>
      </c>
      <c r="AE349" s="119" t="s">
        <v>3505</v>
      </c>
      <c r="AF349" s="119">
        <v>0</v>
      </c>
      <c r="AG349" s="120"/>
      <c r="AH349" s="121">
        <v>44197</v>
      </c>
      <c r="AI349" s="121">
        <v>44197</v>
      </c>
      <c r="AJ349" s="121">
        <v>44197</v>
      </c>
      <c r="AK349" s="122">
        <v>44197</v>
      </c>
      <c r="AL349" s="122" t="e">
        <v>#N/A</v>
      </c>
      <c r="AM349" s="121" t="e">
        <v>#N/A</v>
      </c>
      <c r="AN349" s="121" t="e">
        <v>#N/A</v>
      </c>
      <c r="AO349" s="121" t="e">
        <v>#N/A</v>
      </c>
      <c r="AP349" s="122" t="e">
        <v>#N/A</v>
      </c>
      <c r="AQ349" s="122" t="e">
        <v>#N/A</v>
      </c>
      <c r="AR349" s="122" t="e">
        <v>#N/A</v>
      </c>
      <c r="AS349" s="122" t="e">
        <v>#N/A</v>
      </c>
      <c r="AT349" s="122" t="e">
        <v>#N/A</v>
      </c>
      <c r="AU349" s="121" t="e">
        <v>#N/A</v>
      </c>
      <c r="AV349" s="122" t="e">
        <v>#N/A</v>
      </c>
      <c r="AW349" s="122">
        <v>45741</v>
      </c>
      <c r="AX349" s="122" t="e">
        <v>#N/A</v>
      </c>
      <c r="AY349" s="122" t="e">
        <v>#N/A</v>
      </c>
      <c r="AZ349" s="122" t="e">
        <v>#N/A</v>
      </c>
      <c r="BA349" s="122" t="e">
        <v>#N/A</v>
      </c>
      <c r="BB349" s="122" t="e">
        <v>#N/A</v>
      </c>
      <c r="BC349" s="122" t="e">
        <v>#N/A</v>
      </c>
      <c r="BD349" s="122" t="e">
        <v>#N/A</v>
      </c>
      <c r="BE349" s="122" t="e">
        <v>#N/A</v>
      </c>
      <c r="BF349" s="122" t="e">
        <v>#N/A</v>
      </c>
      <c r="BG349" s="122" t="e">
        <v>#N/A</v>
      </c>
      <c r="BH349" s="122" t="e">
        <v>#N/A</v>
      </c>
      <c r="BI349" s="122" t="e">
        <v>#N/A</v>
      </c>
      <c r="BJ349" s="122" t="e">
        <v>#N/A</v>
      </c>
      <c r="BK349" s="122" t="e">
        <v>#N/A</v>
      </c>
      <c r="BL349" s="123"/>
      <c r="BM349" s="124" t="e">
        <v>#N/A</v>
      </c>
      <c r="BN349" s="124" t="e">
        <v>#N/A</v>
      </c>
      <c r="BO349" s="124" t="e">
        <v>#N/A</v>
      </c>
      <c r="BP349" s="124" t="e">
        <v>#N/A</v>
      </c>
      <c r="BQ349" s="124" t="e">
        <v>#N/A</v>
      </c>
      <c r="BR349" s="124" t="e">
        <v>#N/A</v>
      </c>
      <c r="BS349" s="124" t="e">
        <v>#N/A</v>
      </c>
      <c r="BT349" s="124" t="e">
        <v>#N/A</v>
      </c>
      <c r="BU349" s="124" t="e">
        <v>#N/A</v>
      </c>
      <c r="BV349" s="124" t="e">
        <v>#N/A</v>
      </c>
      <c r="BW349" s="124" t="e">
        <v>#N/A</v>
      </c>
      <c r="BX349" s="124" t="e">
        <v>#N/A</v>
      </c>
      <c r="BY349" s="124" t="e">
        <v>#N/A</v>
      </c>
      <c r="BZ349" s="124" t="e">
        <v>#N/A</v>
      </c>
      <c r="CA349" s="125"/>
      <c r="CB349" s="124">
        <v>45841</v>
      </c>
      <c r="CC349" s="126">
        <v>1</v>
      </c>
      <c r="CD349" s="127" t="e">
        <v>#N/A</v>
      </c>
      <c r="CE349" s="128"/>
      <c r="CF349" s="77" t="s">
        <v>4174</v>
      </c>
    </row>
    <row r="350" spans="1:85" ht="14.5" x14ac:dyDescent="0.35">
      <c r="A350" s="77">
        <v>349</v>
      </c>
      <c r="B350" s="106" t="s">
        <v>2686</v>
      </c>
      <c r="C350" s="107" t="s">
        <v>6537</v>
      </c>
      <c r="D350" s="108" t="s">
        <v>2687</v>
      </c>
      <c r="E350" s="109" t="s">
        <v>2688</v>
      </c>
      <c r="F350" s="110">
        <v>669890726</v>
      </c>
      <c r="G350" s="108" t="s">
        <v>1004</v>
      </c>
      <c r="H350" s="111" t="s">
        <v>399</v>
      </c>
      <c r="I350" s="111" t="s">
        <v>180</v>
      </c>
      <c r="J350" s="111" t="s">
        <v>4649</v>
      </c>
      <c r="K350" s="111" t="s">
        <v>400</v>
      </c>
      <c r="L350" s="112">
        <v>45063</v>
      </c>
      <c r="M350" s="111" t="s">
        <v>747</v>
      </c>
      <c r="N350" s="113"/>
      <c r="O350" s="114" t="s">
        <v>6017</v>
      </c>
      <c r="P350" s="114" t="s">
        <v>183</v>
      </c>
      <c r="Q350" s="114" t="s">
        <v>182</v>
      </c>
      <c r="R350" s="114" t="s">
        <v>182</v>
      </c>
      <c r="S350" s="114" t="s">
        <v>183</v>
      </c>
      <c r="T350" s="114" t="s">
        <v>7522</v>
      </c>
      <c r="U350" s="114" t="s">
        <v>7522</v>
      </c>
      <c r="V350" s="115"/>
      <c r="W350" s="116" t="s">
        <v>2689</v>
      </c>
      <c r="X350" s="116" t="s">
        <v>2690</v>
      </c>
      <c r="Y350" s="117">
        <v>3485668</v>
      </c>
      <c r="Z350" s="117">
        <v>3481453</v>
      </c>
      <c r="AA350" s="118"/>
      <c r="AB350" s="119" t="s">
        <v>2691</v>
      </c>
      <c r="AC350" s="119" t="s">
        <v>2722</v>
      </c>
      <c r="AD350" s="119">
        <v>4610</v>
      </c>
      <c r="AE350" s="119" t="s">
        <v>2692</v>
      </c>
      <c r="AF350" s="119">
        <v>0</v>
      </c>
      <c r="AG350" s="120"/>
      <c r="AH350" s="121">
        <v>45062</v>
      </c>
      <c r="AI350" s="121">
        <v>45062</v>
      </c>
      <c r="AJ350" s="121">
        <v>45062</v>
      </c>
      <c r="AK350" s="122">
        <v>45062</v>
      </c>
      <c r="AL350" s="122" t="e">
        <v>#N/A</v>
      </c>
      <c r="AM350" s="121" t="e">
        <v>#N/A</v>
      </c>
      <c r="AN350" s="121" t="e">
        <v>#N/A</v>
      </c>
      <c r="AO350" s="121" t="e">
        <v>#N/A</v>
      </c>
      <c r="AP350" s="122" t="e">
        <v>#N/A</v>
      </c>
      <c r="AQ350" s="122" t="e">
        <v>#N/A</v>
      </c>
      <c r="AR350" s="122" t="e">
        <v>#N/A</v>
      </c>
      <c r="AS350" s="122" t="e">
        <v>#N/A</v>
      </c>
      <c r="AT350" s="122" t="e">
        <v>#N/A</v>
      </c>
      <c r="AU350" s="121" t="e">
        <v>#N/A</v>
      </c>
      <c r="AV350" s="122" t="e">
        <v>#N/A</v>
      </c>
      <c r="AW350" s="122">
        <v>45742</v>
      </c>
      <c r="AX350" s="122" t="e">
        <v>#N/A</v>
      </c>
      <c r="AY350" s="122" t="e">
        <v>#N/A</v>
      </c>
      <c r="AZ350" s="122" t="e">
        <v>#N/A</v>
      </c>
      <c r="BA350" s="122" t="e">
        <v>#N/A</v>
      </c>
      <c r="BB350" s="122" t="e">
        <v>#N/A</v>
      </c>
      <c r="BC350" s="122" t="e">
        <v>#N/A</v>
      </c>
      <c r="BD350" s="122" t="e">
        <v>#N/A</v>
      </c>
      <c r="BE350" s="122" t="e">
        <v>#N/A</v>
      </c>
      <c r="BF350" s="122" t="e">
        <v>#N/A</v>
      </c>
      <c r="BG350" s="122" t="e">
        <v>#N/A</v>
      </c>
      <c r="BH350" s="122" t="e">
        <v>#N/A</v>
      </c>
      <c r="BI350" s="122" t="e">
        <v>#N/A</v>
      </c>
      <c r="BJ350" s="122" t="e">
        <v>#N/A</v>
      </c>
      <c r="BK350" s="122" t="e">
        <v>#N/A</v>
      </c>
      <c r="BL350" s="123"/>
      <c r="BM350" s="124" t="e">
        <v>#N/A</v>
      </c>
      <c r="BN350" s="124" t="e">
        <v>#N/A</v>
      </c>
      <c r="BO350" s="124" t="e">
        <v>#N/A</v>
      </c>
      <c r="BP350" s="124" t="e">
        <v>#N/A</v>
      </c>
      <c r="BQ350" s="124" t="e">
        <v>#N/A</v>
      </c>
      <c r="BR350" s="124" t="e">
        <v>#N/A</v>
      </c>
      <c r="BS350" s="124" t="e">
        <v>#N/A</v>
      </c>
      <c r="BT350" s="124" t="e">
        <v>#N/A</v>
      </c>
      <c r="BU350" s="124" t="e">
        <v>#N/A</v>
      </c>
      <c r="BV350" s="124" t="e">
        <v>#N/A</v>
      </c>
      <c r="BW350" s="124" t="e">
        <v>#N/A</v>
      </c>
      <c r="BX350" s="124" t="e">
        <v>#N/A</v>
      </c>
      <c r="BY350" s="124" t="e">
        <v>#N/A</v>
      </c>
      <c r="BZ350" s="124" t="e">
        <v>#N/A</v>
      </c>
      <c r="CA350" s="125"/>
      <c r="CB350" s="124" t="e">
        <v>#N/A</v>
      </c>
      <c r="CC350" s="126">
        <v>1</v>
      </c>
      <c r="CD350" s="127" t="s">
        <v>4164</v>
      </c>
      <c r="CE350" s="128"/>
      <c r="CF350" s="77" t="s">
        <v>4174</v>
      </c>
    </row>
    <row r="351" spans="1:85" ht="14.5" x14ac:dyDescent="0.35">
      <c r="A351" s="77">
        <v>350</v>
      </c>
      <c r="B351" s="106" t="s">
        <v>3421</v>
      </c>
      <c r="C351" s="107" t="s">
        <v>6598</v>
      </c>
      <c r="D351" s="108" t="s">
        <v>3496</v>
      </c>
      <c r="E351" s="109" t="s">
        <v>3422</v>
      </c>
      <c r="F351" s="110">
        <v>671478093</v>
      </c>
      <c r="G351" s="108" t="s">
        <v>1004</v>
      </c>
      <c r="H351" s="111" t="s">
        <v>399</v>
      </c>
      <c r="I351" s="111" t="s">
        <v>180</v>
      </c>
      <c r="J351" s="111" t="s">
        <v>4649</v>
      </c>
      <c r="K351" s="111" t="s">
        <v>400</v>
      </c>
      <c r="L351" s="112">
        <v>45327</v>
      </c>
      <c r="M351" s="111" t="s">
        <v>2065</v>
      </c>
      <c r="N351" s="113"/>
      <c r="O351" s="114" t="s">
        <v>5710</v>
      </c>
      <c r="P351" s="114" t="s">
        <v>5710</v>
      </c>
      <c r="Q351" s="114" t="s">
        <v>5710</v>
      </c>
      <c r="R351" s="114" t="s">
        <v>7523</v>
      </c>
      <c r="S351" s="114" t="s">
        <v>5710</v>
      </c>
      <c r="T351" s="114" t="s">
        <v>183</v>
      </c>
      <c r="U351" s="114" t="s">
        <v>183</v>
      </c>
      <c r="V351" s="115"/>
      <c r="W351" s="116" t="s">
        <v>3446</v>
      </c>
      <c r="X351" s="116" t="s">
        <v>3447</v>
      </c>
      <c r="Y351" s="117">
        <v>3485468</v>
      </c>
      <c r="Z351" s="117">
        <v>3481294</v>
      </c>
      <c r="AA351" s="118"/>
      <c r="AB351" s="119" t="s">
        <v>3490</v>
      </c>
      <c r="AC351" s="119" t="s">
        <v>3491</v>
      </c>
      <c r="AD351" s="119">
        <v>27128</v>
      </c>
      <c r="AE351" s="119" t="s">
        <v>3492</v>
      </c>
      <c r="AF351" s="119" t="s">
        <v>7524</v>
      </c>
      <c r="AG351" s="120"/>
      <c r="AH351" s="121">
        <v>45492</v>
      </c>
      <c r="AI351" s="121">
        <v>45492</v>
      </c>
      <c r="AJ351" s="121">
        <v>45492</v>
      </c>
      <c r="AK351" s="122">
        <v>45492</v>
      </c>
      <c r="AL351" s="122" t="e">
        <v>#N/A</v>
      </c>
      <c r="AM351" s="121" t="e">
        <v>#N/A</v>
      </c>
      <c r="AN351" s="121" t="e">
        <v>#N/A</v>
      </c>
      <c r="AO351" s="121" t="e">
        <v>#N/A</v>
      </c>
      <c r="AP351" s="122" t="e">
        <v>#N/A</v>
      </c>
      <c r="AQ351" s="122" t="e">
        <v>#N/A</v>
      </c>
      <c r="AR351" s="122" t="e">
        <v>#N/A</v>
      </c>
      <c r="AS351" s="122" t="e">
        <v>#N/A</v>
      </c>
      <c r="AT351" s="122">
        <v>45492</v>
      </c>
      <c r="AU351" s="121" t="e">
        <v>#N/A</v>
      </c>
      <c r="AV351" s="122" t="e">
        <v>#N/A</v>
      </c>
      <c r="AW351" s="122">
        <v>45688</v>
      </c>
      <c r="AX351" s="122" t="e">
        <v>#N/A</v>
      </c>
      <c r="AY351" s="122" t="e">
        <v>#N/A</v>
      </c>
      <c r="AZ351" s="122" t="e">
        <v>#N/A</v>
      </c>
      <c r="BA351" s="122" t="e">
        <v>#N/A</v>
      </c>
      <c r="BB351" s="122" t="e">
        <v>#N/A</v>
      </c>
      <c r="BC351" s="122" t="e">
        <v>#N/A</v>
      </c>
      <c r="BD351" s="122" t="e">
        <v>#N/A</v>
      </c>
      <c r="BE351" s="122" t="e">
        <v>#N/A</v>
      </c>
      <c r="BF351" s="122" t="e">
        <v>#N/A</v>
      </c>
      <c r="BG351" s="122" t="e">
        <v>#N/A</v>
      </c>
      <c r="BH351" s="122" t="e">
        <v>#N/A</v>
      </c>
      <c r="BI351" s="122" t="e">
        <v>#N/A</v>
      </c>
      <c r="BJ351" s="122" t="e">
        <v>#N/A</v>
      </c>
      <c r="BK351" s="122">
        <v>45972</v>
      </c>
      <c r="BL351" s="123"/>
      <c r="BM351" s="124" t="e">
        <v>#N/A</v>
      </c>
      <c r="BN351" s="124" t="e">
        <v>#N/A</v>
      </c>
      <c r="BO351" s="124" t="e">
        <v>#N/A</v>
      </c>
      <c r="BP351" s="124" t="e">
        <v>#N/A</v>
      </c>
      <c r="BQ351" s="124" t="e">
        <v>#N/A</v>
      </c>
      <c r="BR351" s="124" t="e">
        <v>#N/A</v>
      </c>
      <c r="BS351" s="124" t="e">
        <v>#N/A</v>
      </c>
      <c r="BT351" s="124" t="e">
        <v>#N/A</v>
      </c>
      <c r="BU351" s="124" t="e">
        <v>#N/A</v>
      </c>
      <c r="BV351" s="124" t="e">
        <v>#N/A</v>
      </c>
      <c r="BW351" s="124" t="e">
        <v>#N/A</v>
      </c>
      <c r="BX351" s="124" t="e">
        <v>#N/A</v>
      </c>
      <c r="BY351" s="124" t="e">
        <v>#N/A</v>
      </c>
      <c r="BZ351" s="124" t="e">
        <v>#N/A</v>
      </c>
      <c r="CA351" s="125"/>
      <c r="CB351" s="124" t="e">
        <v>#N/A</v>
      </c>
      <c r="CC351" s="126">
        <v>1</v>
      </c>
      <c r="CD351" s="127" t="s">
        <v>4203</v>
      </c>
      <c r="CE351" s="128"/>
      <c r="CF351" s="77" t="s">
        <v>4174</v>
      </c>
    </row>
    <row r="352" spans="1:85" ht="14.5" x14ac:dyDescent="0.35">
      <c r="A352" s="77">
        <v>130</v>
      </c>
      <c r="B352" s="106" t="s">
        <v>3437</v>
      </c>
      <c r="C352" s="107" t="s">
        <v>6597</v>
      </c>
      <c r="D352" s="108" t="s">
        <v>3495</v>
      </c>
      <c r="E352" s="109" t="s">
        <v>3438</v>
      </c>
      <c r="F352" s="110">
        <v>673817499</v>
      </c>
      <c r="G352" s="108" t="s">
        <v>1004</v>
      </c>
      <c r="H352" s="111" t="s">
        <v>399</v>
      </c>
      <c r="I352" s="111" t="s">
        <v>180</v>
      </c>
      <c r="J352" s="111" t="s">
        <v>4649</v>
      </c>
      <c r="K352" s="111" t="s">
        <v>400</v>
      </c>
      <c r="L352" s="112">
        <v>45327</v>
      </c>
      <c r="M352" s="111" t="s">
        <v>2065</v>
      </c>
      <c r="N352" s="113"/>
      <c r="O352" s="114" t="s">
        <v>607</v>
      </c>
      <c r="P352" s="114" t="s">
        <v>183</v>
      </c>
      <c r="Q352" s="114" t="s">
        <v>557</v>
      </c>
      <c r="R352" s="114" t="s">
        <v>7297</v>
      </c>
      <c r="S352" s="114" t="s">
        <v>183</v>
      </c>
      <c r="T352" s="114" t="s">
        <v>607</v>
      </c>
      <c r="U352" s="114" t="s">
        <v>607</v>
      </c>
      <c r="V352" s="115"/>
      <c r="W352" s="116" t="s">
        <v>3439</v>
      </c>
      <c r="X352" s="116" t="s">
        <v>3440</v>
      </c>
      <c r="Y352" s="117">
        <v>3485597</v>
      </c>
      <c r="Z352" s="117">
        <v>3481446</v>
      </c>
      <c r="AA352" s="118"/>
      <c r="AB352" s="119" t="s">
        <v>3441</v>
      </c>
      <c r="AC352" s="119" t="s">
        <v>3442</v>
      </c>
      <c r="AD352" s="119">
        <v>27363</v>
      </c>
      <c r="AE352" s="119" t="s">
        <v>3443</v>
      </c>
      <c r="AF352" s="119" t="s">
        <v>7165</v>
      </c>
      <c r="AG352" s="120"/>
      <c r="AH352" s="121">
        <v>45492</v>
      </c>
      <c r="AI352" s="121">
        <v>45492</v>
      </c>
      <c r="AJ352" s="121">
        <v>45492</v>
      </c>
      <c r="AK352" s="122">
        <v>45492</v>
      </c>
      <c r="AL352" s="122" t="e">
        <v>#N/A</v>
      </c>
      <c r="AM352" s="122" t="e">
        <v>#N/A</v>
      </c>
      <c r="AN352" s="122" t="e">
        <v>#N/A</v>
      </c>
      <c r="AO352" s="121" t="e">
        <v>#N/A</v>
      </c>
      <c r="AP352" s="122" t="e">
        <v>#N/A</v>
      </c>
      <c r="AQ352" s="122" t="e">
        <v>#N/A</v>
      </c>
      <c r="AR352" s="122" t="e">
        <v>#N/A</v>
      </c>
      <c r="AS352" s="122" t="e">
        <v>#N/A</v>
      </c>
      <c r="AT352" s="122">
        <v>45492</v>
      </c>
      <c r="AU352" s="121">
        <v>45923</v>
      </c>
      <c r="AV352" s="122">
        <v>45623</v>
      </c>
      <c r="AW352" s="122">
        <v>45586</v>
      </c>
      <c r="AX352" s="122" t="e">
        <v>#N/A</v>
      </c>
      <c r="AY352" s="122" t="e">
        <v>#N/A</v>
      </c>
      <c r="AZ352" s="122" t="e">
        <v>#N/A</v>
      </c>
      <c r="BA352" s="122" t="e">
        <v>#N/A</v>
      </c>
      <c r="BB352" s="122" t="e">
        <v>#N/A</v>
      </c>
      <c r="BC352" s="122" t="e">
        <v>#N/A</v>
      </c>
      <c r="BD352" s="122" t="e">
        <v>#N/A</v>
      </c>
      <c r="BE352" s="122" t="e">
        <v>#N/A</v>
      </c>
      <c r="BF352" s="122" t="e">
        <v>#N/A</v>
      </c>
      <c r="BG352" s="122" t="e">
        <v>#N/A</v>
      </c>
      <c r="BH352" s="122" t="e">
        <v>#N/A</v>
      </c>
      <c r="BI352" s="122" t="e">
        <v>#N/A</v>
      </c>
      <c r="BJ352" s="122" t="e">
        <v>#N/A</v>
      </c>
      <c r="BK352" s="122">
        <v>45968</v>
      </c>
      <c r="BL352" s="123"/>
      <c r="BM352" s="124" t="e">
        <v>#N/A</v>
      </c>
      <c r="BN352" s="124" t="e">
        <v>#N/A</v>
      </c>
      <c r="BO352" s="124" t="e">
        <v>#N/A</v>
      </c>
      <c r="BP352" s="124" t="e">
        <v>#N/A</v>
      </c>
      <c r="BQ352" s="124" t="e">
        <v>#N/A</v>
      </c>
      <c r="BR352" s="124" t="e">
        <v>#N/A</v>
      </c>
      <c r="BS352" s="124" t="e">
        <v>#N/A</v>
      </c>
      <c r="BT352" s="124" t="e">
        <v>#N/A</v>
      </c>
      <c r="BU352" s="124" t="e">
        <v>#N/A</v>
      </c>
      <c r="BV352" s="124" t="e">
        <v>#N/A</v>
      </c>
      <c r="BW352" s="124" t="e">
        <v>#N/A</v>
      </c>
      <c r="BX352" s="124" t="e">
        <v>#N/A</v>
      </c>
      <c r="BY352" s="124" t="e">
        <v>#N/A</v>
      </c>
      <c r="BZ352" s="124" t="e">
        <v>#N/A</v>
      </c>
      <c r="CA352" s="125"/>
      <c r="CB352" s="124" t="s">
        <v>5496</v>
      </c>
      <c r="CC352" s="126">
        <v>1</v>
      </c>
      <c r="CD352" s="127" t="s">
        <v>4203</v>
      </c>
      <c r="CE352" s="128"/>
      <c r="CF352" s="77" t="s">
        <v>4174</v>
      </c>
    </row>
    <row r="353" spans="1:85" ht="14.5" x14ac:dyDescent="0.35">
      <c r="A353" s="77">
        <v>128</v>
      </c>
      <c r="B353" s="106" t="s">
        <v>2867</v>
      </c>
      <c r="C353" s="107" t="s">
        <v>6558</v>
      </c>
      <c r="D353" s="108" t="s">
        <v>2819</v>
      </c>
      <c r="E353" s="109" t="s">
        <v>2820</v>
      </c>
      <c r="F353" s="110">
        <v>650273479</v>
      </c>
      <c r="G353" s="108" t="s">
        <v>1004</v>
      </c>
      <c r="H353" s="111" t="s">
        <v>399</v>
      </c>
      <c r="I353" s="111" t="s">
        <v>180</v>
      </c>
      <c r="J353" s="111" t="s">
        <v>4649</v>
      </c>
      <c r="K353" s="111" t="s">
        <v>400</v>
      </c>
      <c r="L353" s="112">
        <v>45131</v>
      </c>
      <c r="M353" s="111" t="s">
        <v>2065</v>
      </c>
      <c r="N353" s="113"/>
      <c r="O353" s="114" t="s">
        <v>501</v>
      </c>
      <c r="P353" s="114" t="s">
        <v>501</v>
      </c>
      <c r="Q353" s="114" t="s">
        <v>501</v>
      </c>
      <c r="R353" s="114" t="s">
        <v>7321</v>
      </c>
      <c r="S353" s="114" t="s">
        <v>501</v>
      </c>
      <c r="T353" s="114" t="s">
        <v>183</v>
      </c>
      <c r="U353" s="114" t="s">
        <v>183</v>
      </c>
      <c r="V353" s="115"/>
      <c r="W353" s="116" t="s">
        <v>2821</v>
      </c>
      <c r="X353" s="116" t="s">
        <v>2822</v>
      </c>
      <c r="Y353" s="117">
        <v>3485808</v>
      </c>
      <c r="Z353" s="117">
        <v>3486338</v>
      </c>
      <c r="AA353" s="118"/>
      <c r="AB353" s="119" t="s">
        <v>5502</v>
      </c>
      <c r="AC353" s="119" t="s">
        <v>2823</v>
      </c>
      <c r="AD353" s="119">
        <v>4241</v>
      </c>
      <c r="AE353" s="119" t="s">
        <v>2824</v>
      </c>
      <c r="AF353" s="119" t="s">
        <v>7525</v>
      </c>
      <c r="AG353" s="120"/>
      <c r="AH353" s="121">
        <v>45089</v>
      </c>
      <c r="AI353" s="121">
        <v>45175</v>
      </c>
      <c r="AJ353" s="121">
        <v>45128</v>
      </c>
      <c r="AK353" s="122">
        <v>45175</v>
      </c>
      <c r="AL353" s="122">
        <v>45769</v>
      </c>
      <c r="AM353" s="121" t="e">
        <v>#N/A</v>
      </c>
      <c r="AN353" s="121">
        <v>45769</v>
      </c>
      <c r="AO353" s="121" t="e">
        <v>#N/A</v>
      </c>
      <c r="AP353" s="122" t="e">
        <v>#N/A</v>
      </c>
      <c r="AQ353" s="122" t="e">
        <v>#N/A</v>
      </c>
      <c r="AR353" s="122">
        <v>45973</v>
      </c>
      <c r="AS353" s="122" t="e">
        <v>#N/A</v>
      </c>
      <c r="AT353" s="122" t="e">
        <v>#N/A</v>
      </c>
      <c r="AU353" s="121" t="e">
        <v>#N/A</v>
      </c>
      <c r="AV353" s="122" t="e">
        <v>#N/A</v>
      </c>
      <c r="AW353" s="122">
        <v>45874</v>
      </c>
      <c r="AX353" s="122" t="e">
        <v>#N/A</v>
      </c>
      <c r="AY353" s="122" t="e">
        <v>#N/A</v>
      </c>
      <c r="AZ353" s="122" t="e">
        <v>#N/A</v>
      </c>
      <c r="BA353" s="122" t="e">
        <v>#N/A</v>
      </c>
      <c r="BB353" s="122" t="e">
        <v>#N/A</v>
      </c>
      <c r="BC353" s="122" t="e">
        <v>#N/A</v>
      </c>
      <c r="BD353" s="122" t="e">
        <v>#N/A</v>
      </c>
      <c r="BE353" s="122" t="e">
        <v>#N/A</v>
      </c>
      <c r="BF353" s="122" t="e">
        <v>#N/A</v>
      </c>
      <c r="BG353" s="122" t="e">
        <v>#N/A</v>
      </c>
      <c r="BH353" s="122" t="e">
        <v>#N/A</v>
      </c>
      <c r="BI353" s="122" t="e">
        <v>#N/A</v>
      </c>
      <c r="BJ353" s="122" t="e">
        <v>#N/A</v>
      </c>
      <c r="BK353" s="122">
        <v>45975</v>
      </c>
      <c r="BL353" s="123"/>
      <c r="BM353" s="124" t="e">
        <v>#N/A</v>
      </c>
      <c r="BN353" s="124" t="e">
        <v>#N/A</v>
      </c>
      <c r="BO353" s="124" t="e">
        <v>#N/A</v>
      </c>
      <c r="BP353" s="124" t="e">
        <v>#N/A</v>
      </c>
      <c r="BQ353" s="124" t="e">
        <v>#N/A</v>
      </c>
      <c r="BR353" s="124" t="e">
        <v>#N/A</v>
      </c>
      <c r="BS353" s="124" t="e">
        <v>#N/A</v>
      </c>
      <c r="BT353" s="124" t="e">
        <v>#N/A</v>
      </c>
      <c r="BU353" s="124" t="e">
        <v>#N/A</v>
      </c>
      <c r="BV353" s="124" t="e">
        <v>#N/A</v>
      </c>
      <c r="BW353" s="124" t="e">
        <v>#N/A</v>
      </c>
      <c r="BX353" s="124" t="e">
        <v>#N/A</v>
      </c>
      <c r="BY353" s="124" t="e">
        <v>#N/A</v>
      </c>
      <c r="BZ353" s="124" t="e">
        <v>#N/A</v>
      </c>
      <c r="CA353" s="125"/>
      <c r="CB353" s="124" t="e">
        <v>#N/A</v>
      </c>
      <c r="CC353" s="126">
        <v>1</v>
      </c>
      <c r="CD353" s="127" t="s">
        <v>4173</v>
      </c>
      <c r="CE353" s="128"/>
      <c r="CF353" s="77" t="s">
        <v>4178</v>
      </c>
    </row>
    <row r="354" spans="1:85" ht="14.5" x14ac:dyDescent="0.35">
      <c r="A354" s="77">
        <v>352</v>
      </c>
      <c r="B354" s="106" t="s">
        <v>143</v>
      </c>
      <c r="C354" s="107" t="s">
        <v>1444</v>
      </c>
      <c r="D354" s="108" t="s">
        <v>827</v>
      </c>
      <c r="E354" s="109" t="s">
        <v>828</v>
      </c>
      <c r="F354" s="110">
        <v>664143086</v>
      </c>
      <c r="G354" s="108" t="s">
        <v>1004</v>
      </c>
      <c r="H354" s="111" t="s">
        <v>399</v>
      </c>
      <c r="I354" s="111" t="s">
        <v>180</v>
      </c>
      <c r="J354" s="111" t="s">
        <v>4649</v>
      </c>
      <c r="K354" s="111" t="s">
        <v>400</v>
      </c>
      <c r="L354" s="112">
        <v>43645</v>
      </c>
      <c r="M354" s="111" t="s">
        <v>2065</v>
      </c>
      <c r="N354" s="113"/>
      <c r="O354" s="114" t="s">
        <v>330</v>
      </c>
      <c r="P354" s="114" t="s">
        <v>330</v>
      </c>
      <c r="Q354" s="114" t="s">
        <v>330</v>
      </c>
      <c r="R354" s="114" t="s">
        <v>330</v>
      </c>
      <c r="S354" s="114" t="s">
        <v>330</v>
      </c>
      <c r="T354" s="114" t="s">
        <v>183</v>
      </c>
      <c r="U354" s="114" t="s">
        <v>183</v>
      </c>
      <c r="V354" s="115"/>
      <c r="W354" s="116" t="s">
        <v>829</v>
      </c>
      <c r="X354" s="116" t="s">
        <v>830</v>
      </c>
      <c r="Y354" s="117">
        <v>3485018</v>
      </c>
      <c r="Z354" s="117">
        <v>3486263</v>
      </c>
      <c r="AA354" s="118"/>
      <c r="AB354" s="119" t="s">
        <v>5722</v>
      </c>
      <c r="AC354" s="119" t="s">
        <v>1445</v>
      </c>
      <c r="AD354" s="119" t="s">
        <v>6125</v>
      </c>
      <c r="AE354" s="119" t="s">
        <v>6126</v>
      </c>
      <c r="AF354" s="119">
        <v>0</v>
      </c>
      <c r="AG354" s="120"/>
      <c r="AH354" s="121">
        <v>44197</v>
      </c>
      <c r="AI354" s="121">
        <v>44197</v>
      </c>
      <c r="AJ354" s="121">
        <v>44197</v>
      </c>
      <c r="AK354" s="122">
        <v>44197</v>
      </c>
      <c r="AL354" s="122" t="e">
        <v>#N/A</v>
      </c>
      <c r="AM354" s="121" t="e">
        <v>#N/A</v>
      </c>
      <c r="AN354" s="121" t="e">
        <v>#N/A</v>
      </c>
      <c r="AO354" s="121" t="e">
        <v>#N/A</v>
      </c>
      <c r="AP354" s="122" t="e">
        <v>#N/A</v>
      </c>
      <c r="AQ354" s="122" t="e">
        <v>#N/A</v>
      </c>
      <c r="AR354" s="122" t="s">
        <v>7265</v>
      </c>
      <c r="AS354" s="122" t="e">
        <v>#N/A</v>
      </c>
      <c r="AT354" s="122" t="e">
        <v>#N/A</v>
      </c>
      <c r="AU354" s="121" t="e">
        <v>#N/A</v>
      </c>
      <c r="AV354" s="122" t="e">
        <v>#N/A</v>
      </c>
      <c r="AW354" s="122">
        <v>45643</v>
      </c>
      <c r="AX354" s="122" t="e">
        <v>#N/A</v>
      </c>
      <c r="AY354" s="122" t="e">
        <v>#N/A</v>
      </c>
      <c r="AZ354" s="122" t="e">
        <v>#N/A</v>
      </c>
      <c r="BA354" s="122" t="e">
        <v>#N/A</v>
      </c>
      <c r="BB354" s="122" t="e">
        <v>#N/A</v>
      </c>
      <c r="BC354" s="122" t="e">
        <v>#N/A</v>
      </c>
      <c r="BD354" s="122" t="e">
        <v>#N/A</v>
      </c>
      <c r="BE354" s="122" t="e">
        <v>#N/A</v>
      </c>
      <c r="BF354" s="122" t="e">
        <v>#N/A</v>
      </c>
      <c r="BG354" s="122" t="e">
        <v>#N/A</v>
      </c>
      <c r="BH354" s="122" t="e">
        <v>#N/A</v>
      </c>
      <c r="BI354" s="122" t="e">
        <v>#N/A</v>
      </c>
      <c r="BJ354" s="122" t="e">
        <v>#N/A</v>
      </c>
      <c r="BK354" s="122" t="e">
        <v>#N/A</v>
      </c>
      <c r="BL354" s="123"/>
      <c r="BM354" s="124" t="e">
        <v>#N/A</v>
      </c>
      <c r="BN354" s="124" t="e">
        <v>#N/A</v>
      </c>
      <c r="BO354" s="124" t="e">
        <v>#N/A</v>
      </c>
      <c r="BP354" s="124" t="e">
        <v>#N/A</v>
      </c>
      <c r="BQ354" s="124" t="e">
        <v>#N/A</v>
      </c>
      <c r="BR354" s="124" t="e">
        <v>#N/A</v>
      </c>
      <c r="BS354" s="124" t="e">
        <v>#N/A</v>
      </c>
      <c r="BT354" s="124" t="e">
        <v>#N/A</v>
      </c>
      <c r="BU354" s="124" t="e">
        <v>#N/A</v>
      </c>
      <c r="BV354" s="124" t="e">
        <v>#N/A</v>
      </c>
      <c r="BW354" s="124" t="e">
        <v>#N/A</v>
      </c>
      <c r="BX354" s="124" t="e">
        <v>#N/A</v>
      </c>
      <c r="BY354" s="124" t="e">
        <v>#N/A</v>
      </c>
      <c r="BZ354" s="124" t="e">
        <v>#N/A</v>
      </c>
      <c r="CA354" s="125"/>
      <c r="CB354" s="124" t="e">
        <v>#N/A</v>
      </c>
      <c r="CC354" s="126">
        <v>1</v>
      </c>
      <c r="CD354" s="127" t="s">
        <v>4169</v>
      </c>
      <c r="CE354" s="128"/>
      <c r="CF354" s="77" t="s">
        <v>4178</v>
      </c>
    </row>
    <row r="355" spans="1:85" ht="14.5" x14ac:dyDescent="0.35">
      <c r="A355" s="77">
        <v>354</v>
      </c>
      <c r="B355" s="106" t="s">
        <v>130</v>
      </c>
      <c r="C355" s="107" t="s">
        <v>1370</v>
      </c>
      <c r="D355" s="108" t="s">
        <v>786</v>
      </c>
      <c r="E355" s="109" t="s">
        <v>787</v>
      </c>
      <c r="F355" s="110">
        <v>656378964</v>
      </c>
      <c r="G355" s="108" t="s">
        <v>1004</v>
      </c>
      <c r="H355" s="111" t="s">
        <v>399</v>
      </c>
      <c r="I355" s="111" t="s">
        <v>180</v>
      </c>
      <c r="J355" s="111" t="s">
        <v>4649</v>
      </c>
      <c r="K355" s="111" t="s">
        <v>400</v>
      </c>
      <c r="L355" s="112">
        <v>43248</v>
      </c>
      <c r="M355" s="111" t="s">
        <v>2065</v>
      </c>
      <c r="N355" s="113"/>
      <c r="O355" s="114" t="s">
        <v>226</v>
      </c>
      <c r="P355" s="114" t="s">
        <v>225</v>
      </c>
      <c r="Q355" s="114" t="s">
        <v>226</v>
      </c>
      <c r="R355" s="114" t="s">
        <v>7331</v>
      </c>
      <c r="S355" s="114" t="s">
        <v>225</v>
      </c>
      <c r="T355" s="114" t="s">
        <v>183</v>
      </c>
      <c r="U355" s="114" t="s">
        <v>183</v>
      </c>
      <c r="V355" s="115"/>
      <c r="W355" s="116" t="s">
        <v>1955</v>
      </c>
      <c r="X355" s="116" t="s">
        <v>1956</v>
      </c>
      <c r="Y355" s="117">
        <v>3485570</v>
      </c>
      <c r="Z355" s="117">
        <v>3481108</v>
      </c>
      <c r="AA355" s="118"/>
      <c r="AB355" s="119" t="s">
        <v>5635</v>
      </c>
      <c r="AC355" s="119" t="s">
        <v>1957</v>
      </c>
      <c r="AD355" s="119">
        <v>27904</v>
      </c>
      <c r="AE355" s="119" t="s">
        <v>1958</v>
      </c>
      <c r="AF355" s="119">
        <v>0</v>
      </c>
      <c r="AG355" s="120"/>
      <c r="AH355" s="121">
        <v>44197</v>
      </c>
      <c r="AI355" s="121">
        <v>44197</v>
      </c>
      <c r="AJ355" s="121">
        <v>44197</v>
      </c>
      <c r="AK355" s="122">
        <v>44197</v>
      </c>
      <c r="AL355" s="122" t="e">
        <v>#N/A</v>
      </c>
      <c r="AM355" s="121" t="e">
        <v>#N/A</v>
      </c>
      <c r="AN355" s="121" t="e">
        <v>#N/A</v>
      </c>
      <c r="AO355" s="121" t="e">
        <v>#N/A</v>
      </c>
      <c r="AP355" s="122" t="e">
        <v>#N/A</v>
      </c>
      <c r="AQ355" s="122" t="e">
        <v>#N/A</v>
      </c>
      <c r="AR355" s="122" t="e">
        <v>#N/A</v>
      </c>
      <c r="AS355" s="122" t="e">
        <v>#N/A</v>
      </c>
      <c r="AT355" s="122" t="e">
        <v>#N/A</v>
      </c>
      <c r="AU355" s="121" t="e">
        <v>#N/A</v>
      </c>
      <c r="AV355" s="122" t="e">
        <v>#N/A</v>
      </c>
      <c r="AW355" s="122">
        <v>45819</v>
      </c>
      <c r="AX355" s="122" t="e">
        <v>#N/A</v>
      </c>
      <c r="AY355" s="122" t="e">
        <v>#N/A</v>
      </c>
      <c r="AZ355" s="122" t="e">
        <v>#N/A</v>
      </c>
      <c r="BA355" s="122" t="e">
        <v>#N/A</v>
      </c>
      <c r="BB355" s="122" t="e">
        <v>#N/A</v>
      </c>
      <c r="BC355" s="122" t="e">
        <v>#N/A</v>
      </c>
      <c r="BD355" s="122" t="e">
        <v>#N/A</v>
      </c>
      <c r="BE355" s="122" t="e">
        <v>#N/A</v>
      </c>
      <c r="BF355" s="122" t="e">
        <v>#N/A</v>
      </c>
      <c r="BG355" s="122" t="e">
        <v>#N/A</v>
      </c>
      <c r="BH355" s="122" t="e">
        <v>#N/A</v>
      </c>
      <c r="BI355" s="122" t="e">
        <v>#N/A</v>
      </c>
      <c r="BJ355" s="122" t="e">
        <v>#N/A</v>
      </c>
      <c r="BK355" s="122">
        <v>45972</v>
      </c>
      <c r="BL355" s="123"/>
      <c r="BM355" s="124">
        <v>44519</v>
      </c>
      <c r="BN355" s="124">
        <v>44519</v>
      </c>
      <c r="BO355" s="124">
        <v>44519</v>
      </c>
      <c r="BP355" s="124">
        <v>44519</v>
      </c>
      <c r="BQ355" s="124">
        <v>44519</v>
      </c>
      <c r="BR355" s="124">
        <v>44704</v>
      </c>
      <c r="BS355" s="124">
        <v>44578</v>
      </c>
      <c r="BT355" s="124">
        <v>44578</v>
      </c>
      <c r="BU355" s="124" t="e">
        <v>#N/A</v>
      </c>
      <c r="BV355" s="124" t="e">
        <v>#N/A</v>
      </c>
      <c r="BW355" s="124" t="e">
        <v>#N/A</v>
      </c>
      <c r="BX355" s="124" t="e">
        <v>#N/A</v>
      </c>
      <c r="BY355" s="124" t="e">
        <v>#N/A</v>
      </c>
      <c r="BZ355" s="124" t="e">
        <v>#N/A</v>
      </c>
      <c r="CA355" s="125"/>
      <c r="CB355" s="124">
        <v>45733</v>
      </c>
      <c r="CC355" s="126">
        <v>1</v>
      </c>
      <c r="CD355" s="127" t="s">
        <v>4169</v>
      </c>
      <c r="CE355" s="128"/>
      <c r="CF355" s="77" t="s">
        <v>4178</v>
      </c>
    </row>
    <row r="356" spans="1:85" ht="14.5" x14ac:dyDescent="0.35">
      <c r="A356" s="77">
        <v>355</v>
      </c>
      <c r="B356" s="106" t="s">
        <v>6279</v>
      </c>
      <c r="C356" s="107" t="s">
        <v>1287</v>
      </c>
      <c r="D356" s="108" t="s">
        <v>238</v>
      </c>
      <c r="E356" s="109" t="s">
        <v>239</v>
      </c>
      <c r="F356" s="110" t="s">
        <v>1006</v>
      </c>
      <c r="G356" s="108" t="s">
        <v>1004</v>
      </c>
      <c r="H356" s="111" t="s">
        <v>2862</v>
      </c>
      <c r="I356" s="111" t="s">
        <v>180</v>
      </c>
      <c r="J356" s="111" t="s">
        <v>4649</v>
      </c>
      <c r="K356" s="111" t="s">
        <v>199</v>
      </c>
      <c r="L356" s="112">
        <v>38176</v>
      </c>
      <c r="M356" s="111" t="s">
        <v>1719</v>
      </c>
      <c r="N356" s="113"/>
      <c r="O356" s="114" t="s">
        <v>184</v>
      </c>
      <c r="P356" s="114" t="s">
        <v>184</v>
      </c>
      <c r="Q356" s="114" t="s">
        <v>184</v>
      </c>
      <c r="R356" s="114" t="s">
        <v>184</v>
      </c>
      <c r="S356" s="114" t="s">
        <v>184</v>
      </c>
      <c r="T356" s="114" t="s">
        <v>183</v>
      </c>
      <c r="U356" s="114" t="s">
        <v>183</v>
      </c>
      <c r="V356" s="115"/>
      <c r="W356" s="116" t="s">
        <v>240</v>
      </c>
      <c r="X356" s="116" t="s">
        <v>241</v>
      </c>
      <c r="Y356" s="117">
        <v>3485401</v>
      </c>
      <c r="Z356" s="117">
        <v>3481027</v>
      </c>
      <c r="AA356" s="118"/>
      <c r="AB356" s="119" t="s">
        <v>5196</v>
      </c>
      <c r="AC356" s="119" t="s">
        <v>1288</v>
      </c>
      <c r="AD356" s="119" t="s">
        <v>3923</v>
      </c>
      <c r="AE356" s="119" t="s">
        <v>3923</v>
      </c>
      <c r="AF356" s="119" t="s">
        <v>7526</v>
      </c>
      <c r="AG356" s="120"/>
      <c r="AH356" s="121">
        <v>44197</v>
      </c>
      <c r="AI356" s="121">
        <v>44197</v>
      </c>
      <c r="AJ356" s="121">
        <v>44197</v>
      </c>
      <c r="AK356" s="122">
        <v>44197</v>
      </c>
      <c r="AL356" s="122" t="e">
        <v>#N/A</v>
      </c>
      <c r="AM356" s="122" t="e">
        <v>#N/A</v>
      </c>
      <c r="AN356" s="122" t="e">
        <v>#N/A</v>
      </c>
      <c r="AO356" s="121" t="e">
        <v>#N/A</v>
      </c>
      <c r="AP356" s="122" t="e">
        <v>#N/A</v>
      </c>
      <c r="AQ356" s="122" t="e">
        <v>#N/A</v>
      </c>
      <c r="AR356" s="122" t="e">
        <v>#N/A</v>
      </c>
      <c r="AS356" s="122" t="e">
        <v>#N/A</v>
      </c>
      <c r="AT356" s="122" t="e">
        <v>#N/A</v>
      </c>
      <c r="AU356" s="121" t="e">
        <v>#N/A</v>
      </c>
      <c r="AV356" s="122" t="e">
        <v>#N/A</v>
      </c>
      <c r="AW356" s="122">
        <v>45936</v>
      </c>
      <c r="AX356" s="122" t="e">
        <v>#N/A</v>
      </c>
      <c r="AY356" s="122">
        <v>44197</v>
      </c>
      <c r="AZ356" s="122" t="e">
        <v>#N/A</v>
      </c>
      <c r="BA356" s="122" t="e">
        <v>#N/A</v>
      </c>
      <c r="BB356" s="122" t="e">
        <v>#N/A</v>
      </c>
      <c r="BC356" s="122" t="e">
        <v>#N/A</v>
      </c>
      <c r="BD356" s="122" t="e">
        <v>#N/A</v>
      </c>
      <c r="BE356" s="122" t="e">
        <v>#N/A</v>
      </c>
      <c r="BF356" s="122" t="e">
        <v>#N/A</v>
      </c>
      <c r="BG356" s="122" t="e">
        <v>#N/A</v>
      </c>
      <c r="BH356" s="122" t="e">
        <v>#N/A</v>
      </c>
      <c r="BI356" s="122" t="e">
        <v>#N/A</v>
      </c>
      <c r="BJ356" s="122" t="e">
        <v>#N/A</v>
      </c>
      <c r="BK356" s="122">
        <v>45980</v>
      </c>
      <c r="BL356" s="123"/>
      <c r="BM356" s="124" t="e">
        <v>#N/A</v>
      </c>
      <c r="BN356" s="124" t="e">
        <v>#N/A</v>
      </c>
      <c r="BO356" s="124" t="e">
        <v>#N/A</v>
      </c>
      <c r="BP356" s="124" t="e">
        <v>#N/A</v>
      </c>
      <c r="BQ356" s="124" t="e">
        <v>#N/A</v>
      </c>
      <c r="BR356" s="124" t="e">
        <v>#N/A</v>
      </c>
      <c r="BS356" s="124" t="e">
        <v>#N/A</v>
      </c>
      <c r="BT356" s="124" t="e">
        <v>#N/A</v>
      </c>
      <c r="BU356" s="124" t="e">
        <v>#N/A</v>
      </c>
      <c r="BV356" s="124" t="e">
        <v>#N/A</v>
      </c>
      <c r="BW356" s="124" t="e">
        <v>#N/A</v>
      </c>
      <c r="BX356" s="124" t="e">
        <v>#N/A</v>
      </c>
      <c r="BY356" s="124" t="e">
        <v>#N/A</v>
      </c>
      <c r="BZ356" s="124" t="e">
        <v>#N/A</v>
      </c>
      <c r="CA356" s="125"/>
      <c r="CB356" s="124" t="e">
        <v>#N/A</v>
      </c>
      <c r="CC356" s="126">
        <v>1</v>
      </c>
      <c r="CD356" s="127" t="e">
        <v>#N/A</v>
      </c>
      <c r="CE356" s="128"/>
      <c r="CF356" s="77" t="s">
        <v>4178</v>
      </c>
    </row>
    <row r="357" spans="1:85" ht="14.5" x14ac:dyDescent="0.35">
      <c r="A357" s="77">
        <v>356</v>
      </c>
      <c r="B357" s="106" t="s">
        <v>6283</v>
      </c>
      <c r="C357" s="107" t="s">
        <v>1320</v>
      </c>
      <c r="D357" s="108" t="s">
        <v>244</v>
      </c>
      <c r="E357" s="109" t="s">
        <v>245</v>
      </c>
      <c r="F357" s="110">
        <v>954170087</v>
      </c>
      <c r="G357" s="108" t="s">
        <v>1004</v>
      </c>
      <c r="H357" s="111" t="s">
        <v>2862</v>
      </c>
      <c r="I357" s="111" t="s">
        <v>180</v>
      </c>
      <c r="J357" s="111" t="s">
        <v>4649</v>
      </c>
      <c r="K357" s="111" t="s">
        <v>199</v>
      </c>
      <c r="L357" s="112">
        <v>39356</v>
      </c>
      <c r="M357" s="111" t="s">
        <v>1719</v>
      </c>
      <c r="N357" s="113"/>
      <c r="O357" s="114" t="s">
        <v>6198</v>
      </c>
      <c r="P357" s="114" t="s">
        <v>257</v>
      </c>
      <c r="Q357" s="114" t="s">
        <v>6198</v>
      </c>
      <c r="R357" s="114" t="s">
        <v>6198</v>
      </c>
      <c r="S357" s="114" t="s">
        <v>183</v>
      </c>
      <c r="T357" s="114" t="s">
        <v>246</v>
      </c>
      <c r="U357" s="114" t="s">
        <v>183</v>
      </c>
      <c r="V357" s="115"/>
      <c r="W357" s="116" t="s">
        <v>247</v>
      </c>
      <c r="X357" s="116" t="s">
        <v>248</v>
      </c>
      <c r="Y357" s="117">
        <v>3485292</v>
      </c>
      <c r="Z357" s="117">
        <v>3486159</v>
      </c>
      <c r="AA357" s="118"/>
      <c r="AB357" s="119" t="s">
        <v>5259</v>
      </c>
      <c r="AC357" s="119" t="s">
        <v>1321</v>
      </c>
      <c r="AD357" s="119">
        <v>4099</v>
      </c>
      <c r="AE357" s="119" t="s">
        <v>3132</v>
      </c>
      <c r="AF357" s="119" t="s">
        <v>7527</v>
      </c>
      <c r="AG357" s="120"/>
      <c r="AH357" s="121">
        <v>44197</v>
      </c>
      <c r="AI357" s="121">
        <v>44197</v>
      </c>
      <c r="AJ357" s="121">
        <v>45737</v>
      </c>
      <c r="AK357" s="122">
        <v>44197</v>
      </c>
      <c r="AL357" s="122">
        <v>44197</v>
      </c>
      <c r="AM357" s="122" t="e">
        <v>#N/A</v>
      </c>
      <c r="AN357" s="122" t="s">
        <v>7054</v>
      </c>
      <c r="AO357" s="121" t="e">
        <v>#N/A</v>
      </c>
      <c r="AP357" s="122" t="e">
        <v>#N/A</v>
      </c>
      <c r="AQ357" s="122" t="e">
        <v>#N/A</v>
      </c>
      <c r="AR357" s="122">
        <v>44197</v>
      </c>
      <c r="AS357" s="122" t="e">
        <v>#N/A</v>
      </c>
      <c r="AT357" s="122" t="e">
        <v>#N/A</v>
      </c>
      <c r="AU357" s="121" t="e">
        <v>#N/A</v>
      </c>
      <c r="AV357" s="122" t="e">
        <v>#N/A</v>
      </c>
      <c r="AW357" s="122">
        <v>45939</v>
      </c>
      <c r="AX357" s="122" t="e">
        <v>#N/A</v>
      </c>
      <c r="AY357" s="122">
        <v>44631</v>
      </c>
      <c r="AZ357" s="122" t="e">
        <v>#N/A</v>
      </c>
      <c r="BA357" s="122" t="e">
        <v>#N/A</v>
      </c>
      <c r="BB357" s="122" t="e">
        <v>#N/A</v>
      </c>
      <c r="BC357" s="122" t="e">
        <v>#N/A</v>
      </c>
      <c r="BD357" s="122" t="e">
        <v>#N/A</v>
      </c>
      <c r="BE357" s="122" t="e">
        <v>#N/A</v>
      </c>
      <c r="BF357" s="122" t="e">
        <v>#N/A</v>
      </c>
      <c r="BG357" s="122" t="e">
        <v>#N/A</v>
      </c>
      <c r="BH357" s="122" t="e">
        <v>#N/A</v>
      </c>
      <c r="BI357" s="122" t="e">
        <v>#N/A</v>
      </c>
      <c r="BJ357" s="122" t="e">
        <v>#N/A</v>
      </c>
      <c r="BK357" s="122">
        <v>45981</v>
      </c>
      <c r="BL357" s="123"/>
      <c r="BM357" s="124" t="e">
        <v>#N/A</v>
      </c>
      <c r="BN357" s="124" t="e">
        <v>#N/A</v>
      </c>
      <c r="BO357" s="124" t="e">
        <v>#N/A</v>
      </c>
      <c r="BP357" s="124" t="e">
        <v>#N/A</v>
      </c>
      <c r="BQ357" s="124" t="e">
        <v>#N/A</v>
      </c>
      <c r="BR357" s="124" t="e">
        <v>#N/A</v>
      </c>
      <c r="BS357" s="124" t="e">
        <v>#N/A</v>
      </c>
      <c r="BT357" s="124" t="e">
        <v>#N/A</v>
      </c>
      <c r="BU357" s="124" t="e">
        <v>#N/A</v>
      </c>
      <c r="BV357" s="124" t="e">
        <v>#N/A</v>
      </c>
      <c r="BW357" s="124" t="e">
        <v>#N/A</v>
      </c>
      <c r="BX357" s="124" t="e">
        <v>#N/A</v>
      </c>
      <c r="BY357" s="124" t="e">
        <v>#N/A</v>
      </c>
      <c r="BZ357" s="124" t="e">
        <v>#N/A</v>
      </c>
      <c r="CA357" s="125"/>
      <c r="CB357" s="124" t="e">
        <v>#N/A</v>
      </c>
      <c r="CC357" s="126">
        <v>1</v>
      </c>
      <c r="CD357" s="127" t="e">
        <v>#N/A</v>
      </c>
      <c r="CE357" s="128" t="e">
        <v>#REF!</v>
      </c>
      <c r="CF357" s="77" t="s">
        <v>4177</v>
      </c>
      <c r="CG357" s="77" t="e">
        <v>#REF!</v>
      </c>
    </row>
    <row r="358" spans="1:85" ht="14.5" x14ac:dyDescent="0.35">
      <c r="A358" s="77">
        <v>357</v>
      </c>
      <c r="B358" s="106" t="s">
        <v>6292</v>
      </c>
      <c r="C358" s="107" t="s">
        <v>1234</v>
      </c>
      <c r="D358" s="108" t="s">
        <v>258</v>
      </c>
      <c r="E358" s="109" t="s">
        <v>259</v>
      </c>
      <c r="F358" s="110">
        <v>954275207</v>
      </c>
      <c r="G358" s="108" t="s">
        <v>1004</v>
      </c>
      <c r="H358" s="111" t="s">
        <v>2862</v>
      </c>
      <c r="I358" s="111" t="s">
        <v>180</v>
      </c>
      <c r="J358" s="111" t="s">
        <v>4649</v>
      </c>
      <c r="K358" s="111" t="s">
        <v>199</v>
      </c>
      <c r="L358" s="112">
        <v>38857</v>
      </c>
      <c r="M358" s="111" t="s">
        <v>1719</v>
      </c>
      <c r="N358" s="113"/>
      <c r="O358" s="114" t="s">
        <v>182</v>
      </c>
      <c r="P358" s="114" t="s">
        <v>182</v>
      </c>
      <c r="Q358" s="114" t="s">
        <v>184</v>
      </c>
      <c r="R358" s="114" t="s">
        <v>182</v>
      </c>
      <c r="S358" s="114" t="s">
        <v>182</v>
      </c>
      <c r="T358" s="114" t="s">
        <v>183</v>
      </c>
      <c r="U358" s="114" t="s">
        <v>183</v>
      </c>
      <c r="V358" s="115"/>
      <c r="W358" s="116" t="s">
        <v>260</v>
      </c>
      <c r="X358" s="116" t="s">
        <v>261</v>
      </c>
      <c r="Y358" s="117">
        <v>3485480</v>
      </c>
      <c r="Z358" s="117">
        <v>3481072</v>
      </c>
      <c r="AA358" s="118"/>
      <c r="AB358" s="119" t="s">
        <v>4925</v>
      </c>
      <c r="AC358" s="119" t="s">
        <v>1235</v>
      </c>
      <c r="AD358" s="119" t="s">
        <v>3923</v>
      </c>
      <c r="AE358" s="119" t="s">
        <v>3923</v>
      </c>
      <c r="AF358" s="119" t="s">
        <v>7528</v>
      </c>
      <c r="AG358" s="120"/>
      <c r="AH358" s="121">
        <v>44197</v>
      </c>
      <c r="AI358" s="121">
        <v>44750</v>
      </c>
      <c r="AJ358" s="121">
        <v>44750</v>
      </c>
      <c r="AK358" s="122">
        <v>44197</v>
      </c>
      <c r="AL358" s="122" t="e">
        <v>#N/A</v>
      </c>
      <c r="AM358" s="121" t="e">
        <v>#N/A</v>
      </c>
      <c r="AN358" s="121" t="e">
        <v>#N/A</v>
      </c>
      <c r="AO358" s="121" t="e">
        <v>#N/A</v>
      </c>
      <c r="AP358" s="122" t="e">
        <v>#N/A</v>
      </c>
      <c r="AQ358" s="122" t="e">
        <v>#N/A</v>
      </c>
      <c r="AR358" s="122" t="e">
        <v>#N/A</v>
      </c>
      <c r="AS358" s="122" t="e">
        <v>#N/A</v>
      </c>
      <c r="AT358" s="122" t="e">
        <v>#N/A</v>
      </c>
      <c r="AU358" s="121" t="e">
        <v>#N/A</v>
      </c>
      <c r="AV358" s="122" t="e">
        <v>#N/A</v>
      </c>
      <c r="AW358" s="122">
        <v>45936</v>
      </c>
      <c r="AX358" s="122" t="e">
        <v>#N/A</v>
      </c>
      <c r="AY358" s="122">
        <v>44197</v>
      </c>
      <c r="AZ358" s="122" t="e">
        <v>#N/A</v>
      </c>
      <c r="BA358" s="122" t="e">
        <v>#N/A</v>
      </c>
      <c r="BB358" s="122" t="e">
        <v>#N/A</v>
      </c>
      <c r="BC358" s="122" t="e">
        <v>#N/A</v>
      </c>
      <c r="BD358" s="122" t="e">
        <v>#N/A</v>
      </c>
      <c r="BE358" s="122" t="e">
        <v>#N/A</v>
      </c>
      <c r="BF358" s="122" t="e">
        <v>#N/A</v>
      </c>
      <c r="BG358" s="122" t="e">
        <v>#N/A</v>
      </c>
      <c r="BH358" s="122" t="e">
        <v>#N/A</v>
      </c>
      <c r="BI358" s="122" t="e">
        <v>#N/A</v>
      </c>
      <c r="BJ358" s="122" t="e">
        <v>#N/A</v>
      </c>
      <c r="BK358" s="122">
        <v>45980</v>
      </c>
      <c r="BL358" s="123"/>
      <c r="BM358" s="124" t="e">
        <v>#N/A</v>
      </c>
      <c r="BN358" s="124" t="e">
        <v>#N/A</v>
      </c>
      <c r="BO358" s="124" t="e">
        <v>#N/A</v>
      </c>
      <c r="BP358" s="124" t="e">
        <v>#N/A</v>
      </c>
      <c r="BQ358" s="124" t="e">
        <v>#N/A</v>
      </c>
      <c r="BR358" s="124" t="e">
        <v>#N/A</v>
      </c>
      <c r="BS358" s="124" t="e">
        <v>#N/A</v>
      </c>
      <c r="BT358" s="124" t="e">
        <v>#N/A</v>
      </c>
      <c r="BU358" s="124" t="e">
        <v>#N/A</v>
      </c>
      <c r="BV358" s="124" t="e">
        <v>#N/A</v>
      </c>
      <c r="BW358" s="124" t="e">
        <v>#N/A</v>
      </c>
      <c r="BX358" s="124" t="e">
        <v>#N/A</v>
      </c>
      <c r="BY358" s="124" t="e">
        <v>#N/A</v>
      </c>
      <c r="BZ358" s="124" t="e">
        <v>#N/A</v>
      </c>
      <c r="CA358" s="125"/>
      <c r="CB358" s="124" t="e">
        <v>#N/A</v>
      </c>
      <c r="CC358" s="126">
        <v>1</v>
      </c>
      <c r="CD358" s="127" t="e">
        <v>#N/A</v>
      </c>
      <c r="CE358" s="128"/>
      <c r="CF358" s="77" t="s">
        <v>4177</v>
      </c>
    </row>
    <row r="359" spans="1:85" ht="14.5" x14ac:dyDescent="0.35">
      <c r="A359" s="77">
        <v>358</v>
      </c>
      <c r="B359" s="106" t="s">
        <v>136</v>
      </c>
      <c r="C359" s="107" t="s">
        <v>1438</v>
      </c>
      <c r="D359" s="108" t="s">
        <v>802</v>
      </c>
      <c r="E359" s="109" t="s">
        <v>803</v>
      </c>
      <c r="F359" s="110">
        <v>656865947</v>
      </c>
      <c r="G359" s="108" t="s">
        <v>190</v>
      </c>
      <c r="H359" s="111" t="s">
        <v>2862</v>
      </c>
      <c r="I359" s="111" t="s">
        <v>180</v>
      </c>
      <c r="J359" s="111" t="s">
        <v>4649</v>
      </c>
      <c r="K359" s="111" t="s">
        <v>3159</v>
      </c>
      <c r="L359" s="112">
        <v>43586</v>
      </c>
      <c r="M359" s="111" t="s">
        <v>2933</v>
      </c>
      <c r="N359" s="113"/>
      <c r="O359" s="114" t="s">
        <v>4902</v>
      </c>
      <c r="P359" s="114" t="s">
        <v>183</v>
      </c>
      <c r="Q359" s="114" t="s">
        <v>183</v>
      </c>
      <c r="R359" s="114" t="s">
        <v>7529</v>
      </c>
      <c r="S359" s="114" t="s">
        <v>4902</v>
      </c>
      <c r="T359" s="114" t="s">
        <v>4902</v>
      </c>
      <c r="U359" s="114" t="s">
        <v>4902</v>
      </c>
      <c r="V359" s="115"/>
      <c r="W359" s="116" t="s">
        <v>804</v>
      </c>
      <c r="X359" s="116" t="s">
        <v>805</v>
      </c>
      <c r="Y359" s="117">
        <v>3485572</v>
      </c>
      <c r="Z359" s="117">
        <v>3481128</v>
      </c>
      <c r="AA359" s="118"/>
      <c r="AB359" s="119" t="s">
        <v>5846</v>
      </c>
      <c r="AC359" s="119" t="s">
        <v>1439</v>
      </c>
      <c r="AD359" s="119">
        <v>4545</v>
      </c>
      <c r="AE359" s="119" t="s">
        <v>2452</v>
      </c>
      <c r="AF359" s="119">
        <v>0</v>
      </c>
      <c r="AG359" s="120"/>
      <c r="AH359" s="121">
        <v>44197</v>
      </c>
      <c r="AI359" s="121">
        <v>44924</v>
      </c>
      <c r="AJ359" s="121">
        <v>44924</v>
      </c>
      <c r="AK359" s="122">
        <v>44924</v>
      </c>
      <c r="AL359" s="122" t="e">
        <v>#N/A</v>
      </c>
      <c r="AM359" s="121" t="e">
        <v>#N/A</v>
      </c>
      <c r="AN359" s="121" t="e">
        <v>#N/A</v>
      </c>
      <c r="AO359" s="121" t="e">
        <v>#N/A</v>
      </c>
      <c r="AP359" s="122" t="e">
        <v>#N/A</v>
      </c>
      <c r="AQ359" s="122" t="e">
        <v>#N/A</v>
      </c>
      <c r="AR359" s="122" t="e">
        <v>#N/A</v>
      </c>
      <c r="AS359" s="122" t="e">
        <v>#N/A</v>
      </c>
      <c r="AT359" s="122" t="e">
        <v>#N/A</v>
      </c>
      <c r="AU359" s="121" t="e">
        <v>#N/A</v>
      </c>
      <c r="AV359" s="122" t="e">
        <v>#N/A</v>
      </c>
      <c r="AW359" s="122" t="e">
        <v>#N/A</v>
      </c>
      <c r="AX359" s="122" t="e">
        <v>#N/A</v>
      </c>
      <c r="AY359" s="122">
        <v>45097</v>
      </c>
      <c r="AZ359" s="122" t="e">
        <v>#N/A</v>
      </c>
      <c r="BA359" s="122" t="e">
        <v>#N/A</v>
      </c>
      <c r="BB359" s="122" t="e">
        <v>#N/A</v>
      </c>
      <c r="BC359" s="122" t="e">
        <v>#N/A</v>
      </c>
      <c r="BD359" s="122" t="e">
        <v>#N/A</v>
      </c>
      <c r="BE359" s="122" t="e">
        <v>#N/A</v>
      </c>
      <c r="BF359" s="122" t="e">
        <v>#N/A</v>
      </c>
      <c r="BG359" s="122" t="e">
        <v>#N/A</v>
      </c>
      <c r="BH359" s="122" t="e">
        <v>#N/A</v>
      </c>
      <c r="BI359" s="122" t="e">
        <v>#N/A</v>
      </c>
      <c r="BJ359" s="122" t="e">
        <v>#N/A</v>
      </c>
      <c r="BK359" s="122" t="e">
        <v>#N/A</v>
      </c>
      <c r="BL359" s="123"/>
      <c r="BM359" s="124" t="e">
        <v>#N/A</v>
      </c>
      <c r="BN359" s="124" t="e">
        <v>#N/A</v>
      </c>
      <c r="BO359" s="124" t="e">
        <v>#N/A</v>
      </c>
      <c r="BP359" s="124" t="e">
        <v>#N/A</v>
      </c>
      <c r="BQ359" s="124" t="e">
        <v>#N/A</v>
      </c>
      <c r="BR359" s="124" t="e">
        <v>#N/A</v>
      </c>
      <c r="BS359" s="124" t="e">
        <v>#N/A</v>
      </c>
      <c r="BT359" s="124" t="e">
        <v>#N/A</v>
      </c>
      <c r="BU359" s="124" t="e">
        <v>#N/A</v>
      </c>
      <c r="BV359" s="124" t="e">
        <v>#N/A</v>
      </c>
      <c r="BW359" s="124" t="e">
        <v>#N/A</v>
      </c>
      <c r="BX359" s="124" t="e">
        <v>#N/A</v>
      </c>
      <c r="BY359" s="124" t="e">
        <v>#N/A</v>
      </c>
      <c r="BZ359" s="124" t="e">
        <v>#N/A</v>
      </c>
      <c r="CA359" s="125"/>
      <c r="CB359" s="124">
        <v>45729</v>
      </c>
      <c r="CC359" s="126">
        <v>1</v>
      </c>
      <c r="CD359" s="127" t="s">
        <v>4169</v>
      </c>
      <c r="CE359" s="128"/>
      <c r="CF359" s="77" t="s">
        <v>4185</v>
      </c>
    </row>
    <row r="360" spans="1:85" ht="14.5" x14ac:dyDescent="0.35">
      <c r="A360" s="77">
        <v>359</v>
      </c>
      <c r="B360" s="106" t="s">
        <v>2024</v>
      </c>
      <c r="C360" s="107" t="s">
        <v>6438</v>
      </c>
      <c r="D360" s="108" t="s">
        <v>2025</v>
      </c>
      <c r="E360" s="109" t="s">
        <v>2026</v>
      </c>
      <c r="F360" s="110">
        <v>600363451</v>
      </c>
      <c r="G360" s="108" t="s">
        <v>1004</v>
      </c>
      <c r="H360" s="111" t="s">
        <v>2862</v>
      </c>
      <c r="I360" s="111" t="s">
        <v>180</v>
      </c>
      <c r="J360" s="111" t="s">
        <v>4649</v>
      </c>
      <c r="K360" s="111" t="s">
        <v>199</v>
      </c>
      <c r="L360" s="112">
        <v>41304</v>
      </c>
      <c r="M360" s="111" t="s">
        <v>1719</v>
      </c>
      <c r="N360" s="113"/>
      <c r="O360" s="114" t="s">
        <v>226</v>
      </c>
      <c r="P360" s="114" t="s">
        <v>226</v>
      </c>
      <c r="Q360" s="114" t="s">
        <v>225</v>
      </c>
      <c r="R360" s="114" t="s">
        <v>7331</v>
      </c>
      <c r="S360" s="114" t="s">
        <v>4373</v>
      </c>
      <c r="T360" s="114" t="s">
        <v>183</v>
      </c>
      <c r="U360" s="114" t="s">
        <v>183</v>
      </c>
      <c r="V360" s="115"/>
      <c r="W360" s="116" t="s">
        <v>2027</v>
      </c>
      <c r="X360" s="116" t="s">
        <v>2028</v>
      </c>
      <c r="Y360" s="117">
        <v>3485557</v>
      </c>
      <c r="Z360" s="117">
        <v>3486258</v>
      </c>
      <c r="AA360" s="118"/>
      <c r="AB360" s="119" t="s">
        <v>5845</v>
      </c>
      <c r="AC360" s="119" t="s">
        <v>2169</v>
      </c>
      <c r="AD360" s="119">
        <v>5014</v>
      </c>
      <c r="AE360" s="119" t="s">
        <v>4354</v>
      </c>
      <c r="AF360" s="119" t="s">
        <v>7530</v>
      </c>
      <c r="AG360" s="120"/>
      <c r="AH360" s="121">
        <v>44774</v>
      </c>
      <c r="AI360" s="121">
        <v>44774</v>
      </c>
      <c r="AJ360" s="121">
        <v>44774</v>
      </c>
      <c r="AK360" s="122">
        <v>44974</v>
      </c>
      <c r="AL360" s="122" t="e">
        <v>#N/A</v>
      </c>
      <c r="AM360" s="122" t="e">
        <v>#N/A</v>
      </c>
      <c r="AN360" s="122" t="e">
        <v>#N/A</v>
      </c>
      <c r="AO360" s="121" t="e">
        <v>#N/A</v>
      </c>
      <c r="AP360" s="122" t="e">
        <v>#N/A</v>
      </c>
      <c r="AQ360" s="122" t="e">
        <v>#N/A</v>
      </c>
      <c r="AR360" s="122" t="e">
        <v>#N/A</v>
      </c>
      <c r="AS360" s="122" t="e">
        <v>#N/A</v>
      </c>
      <c r="AT360" s="122" t="e">
        <v>#N/A</v>
      </c>
      <c r="AU360" s="121" t="e">
        <v>#N/A</v>
      </c>
      <c r="AV360" s="122" t="e">
        <v>#N/A</v>
      </c>
      <c r="AW360" s="122">
        <v>45819</v>
      </c>
      <c r="AX360" s="122" t="e">
        <v>#N/A</v>
      </c>
      <c r="AY360" s="122">
        <v>45079</v>
      </c>
      <c r="AZ360" s="122" t="e">
        <v>#N/A</v>
      </c>
      <c r="BA360" s="122" t="e">
        <v>#N/A</v>
      </c>
      <c r="BB360" s="122" t="e">
        <v>#N/A</v>
      </c>
      <c r="BC360" s="122" t="e">
        <v>#N/A</v>
      </c>
      <c r="BD360" s="122" t="e">
        <v>#N/A</v>
      </c>
      <c r="BE360" s="122" t="e">
        <v>#N/A</v>
      </c>
      <c r="BF360" s="122" t="e">
        <v>#N/A</v>
      </c>
      <c r="BG360" s="122" t="e">
        <v>#N/A</v>
      </c>
      <c r="BH360" s="122" t="e">
        <v>#N/A</v>
      </c>
      <c r="BI360" s="122" t="e">
        <v>#N/A</v>
      </c>
      <c r="BJ360" s="122" t="e">
        <v>#N/A</v>
      </c>
      <c r="BK360" s="122">
        <v>45978</v>
      </c>
      <c r="BL360" s="123"/>
      <c r="BM360" s="124" t="e">
        <v>#N/A</v>
      </c>
      <c r="BN360" s="124" t="e">
        <v>#N/A</v>
      </c>
      <c r="BO360" s="124" t="e">
        <v>#N/A</v>
      </c>
      <c r="BP360" s="124" t="e">
        <v>#N/A</v>
      </c>
      <c r="BQ360" s="124" t="e">
        <v>#N/A</v>
      </c>
      <c r="BR360" s="124" t="e">
        <v>#N/A</v>
      </c>
      <c r="BS360" s="124" t="e">
        <v>#N/A</v>
      </c>
      <c r="BT360" s="124" t="e">
        <v>#N/A</v>
      </c>
      <c r="BU360" s="124" t="e">
        <v>#N/A</v>
      </c>
      <c r="BV360" s="124" t="e">
        <v>#N/A</v>
      </c>
      <c r="BW360" s="124" t="e">
        <v>#N/A</v>
      </c>
      <c r="BX360" s="124" t="e">
        <v>#N/A</v>
      </c>
      <c r="BY360" s="124" t="e">
        <v>#N/A</v>
      </c>
      <c r="BZ360" s="124" t="e">
        <v>#N/A</v>
      </c>
      <c r="CA360" s="125"/>
      <c r="CB360" s="124" t="e">
        <v>#N/A</v>
      </c>
      <c r="CC360" s="126">
        <v>1</v>
      </c>
      <c r="CD360" s="127" t="s">
        <v>4176</v>
      </c>
      <c r="CE360" s="128"/>
      <c r="CF360" s="77" t="s">
        <v>4185</v>
      </c>
    </row>
    <row r="361" spans="1:85" ht="14.5" x14ac:dyDescent="0.35">
      <c r="A361" s="77">
        <v>360</v>
      </c>
      <c r="B361" s="106" t="s">
        <v>3282</v>
      </c>
      <c r="C361" s="107" t="s">
        <v>6431</v>
      </c>
      <c r="D361" s="108" t="s">
        <v>3321</v>
      </c>
      <c r="E361" s="109" t="s">
        <v>3283</v>
      </c>
      <c r="F361" s="110">
        <v>654152249</v>
      </c>
      <c r="G361" s="108" t="s">
        <v>1004</v>
      </c>
      <c r="H361" s="111" t="s">
        <v>1028</v>
      </c>
      <c r="I361" s="111" t="s">
        <v>180</v>
      </c>
      <c r="J361" s="111" t="s">
        <v>4649</v>
      </c>
      <c r="K361" s="111" t="s">
        <v>3159</v>
      </c>
      <c r="L361" s="112">
        <v>45365</v>
      </c>
      <c r="M361" s="111" t="s">
        <v>224</v>
      </c>
      <c r="N361" s="113"/>
      <c r="O361" s="114" t="s">
        <v>344</v>
      </c>
      <c r="P361" s="114" t="s">
        <v>344</v>
      </c>
      <c r="Q361" s="114" t="s">
        <v>344</v>
      </c>
      <c r="R361" s="114" t="s">
        <v>7334</v>
      </c>
      <c r="S361" s="114" t="s">
        <v>344</v>
      </c>
      <c r="T361" s="114" t="s">
        <v>183</v>
      </c>
      <c r="U361" s="114" t="s">
        <v>183</v>
      </c>
      <c r="V361" s="115"/>
      <c r="W361" s="116" t="s">
        <v>3284</v>
      </c>
      <c r="X361" s="116" t="s">
        <v>3285</v>
      </c>
      <c r="Y361" s="117">
        <v>3485650</v>
      </c>
      <c r="Z361" s="117">
        <v>3481444</v>
      </c>
      <c r="AA361" s="118"/>
      <c r="AB361" s="119" t="s">
        <v>5649</v>
      </c>
      <c r="AC361" s="119" t="s">
        <v>3286</v>
      </c>
      <c r="AD361" s="119">
        <v>5906</v>
      </c>
      <c r="AE361" s="119" t="s">
        <v>3409</v>
      </c>
      <c r="AF361" s="119" t="s">
        <v>6127</v>
      </c>
      <c r="AG361" s="120"/>
      <c r="AH361" s="121">
        <v>45448</v>
      </c>
      <c r="AI361" s="121">
        <v>45448</v>
      </c>
      <c r="AJ361" s="121">
        <v>45448</v>
      </c>
      <c r="AK361" s="122">
        <v>45448</v>
      </c>
      <c r="AL361" s="122" t="e">
        <v>#N/A</v>
      </c>
      <c r="AM361" s="122" t="e">
        <v>#N/A</v>
      </c>
      <c r="AN361" s="122" t="e">
        <v>#N/A</v>
      </c>
      <c r="AO361" s="121" t="e">
        <v>#N/A</v>
      </c>
      <c r="AP361" s="122" t="e">
        <v>#N/A</v>
      </c>
      <c r="AQ361" s="122" t="e">
        <v>#N/A</v>
      </c>
      <c r="AR361" s="122" t="e">
        <v>#N/A</v>
      </c>
      <c r="AS361" s="122" t="e">
        <v>#N/A</v>
      </c>
      <c r="AT361" s="122" t="e">
        <v>#N/A</v>
      </c>
      <c r="AU361" s="121" t="e">
        <v>#N/A</v>
      </c>
      <c r="AV361" s="122" t="e">
        <v>#N/A</v>
      </c>
      <c r="AW361" s="122">
        <v>45723</v>
      </c>
      <c r="AX361" s="122" t="e">
        <v>#N/A</v>
      </c>
      <c r="AY361" s="122" t="e">
        <v>#N/A</v>
      </c>
      <c r="AZ361" s="122" t="e">
        <v>#N/A</v>
      </c>
      <c r="BA361" s="122" t="e">
        <v>#N/A</v>
      </c>
      <c r="BB361" s="122" t="e">
        <v>#N/A</v>
      </c>
      <c r="BC361" s="122" t="e">
        <v>#N/A</v>
      </c>
      <c r="BD361" s="122" t="e">
        <v>#N/A</v>
      </c>
      <c r="BE361" s="122" t="e">
        <v>#N/A</v>
      </c>
      <c r="BF361" s="122" t="e">
        <v>#N/A</v>
      </c>
      <c r="BG361" s="122" t="e">
        <v>#N/A</v>
      </c>
      <c r="BH361" s="122" t="e">
        <v>#N/A</v>
      </c>
      <c r="BI361" s="122" t="e">
        <v>#N/A</v>
      </c>
      <c r="BJ361" s="122" t="e">
        <v>#N/A</v>
      </c>
      <c r="BK361" s="122">
        <v>45957</v>
      </c>
      <c r="BL361" s="123"/>
      <c r="BM361" s="124" t="e">
        <v>#N/A</v>
      </c>
      <c r="BN361" s="124" t="e">
        <v>#N/A</v>
      </c>
      <c r="BO361" s="124" t="e">
        <v>#N/A</v>
      </c>
      <c r="BP361" s="124" t="e">
        <v>#N/A</v>
      </c>
      <c r="BQ361" s="124" t="e">
        <v>#N/A</v>
      </c>
      <c r="BR361" s="124" t="e">
        <v>#N/A</v>
      </c>
      <c r="BS361" s="124" t="e">
        <v>#N/A</v>
      </c>
      <c r="BT361" s="124" t="e">
        <v>#N/A</v>
      </c>
      <c r="BU361" s="124" t="e">
        <v>#N/A</v>
      </c>
      <c r="BV361" s="124" t="e">
        <v>#N/A</v>
      </c>
      <c r="BW361" s="124" t="e">
        <v>#N/A</v>
      </c>
      <c r="BX361" s="124" t="e">
        <v>#N/A</v>
      </c>
      <c r="BY361" s="124" t="e">
        <v>#N/A</v>
      </c>
      <c r="BZ361" s="124" t="e">
        <v>#N/A</v>
      </c>
      <c r="CA361" s="125"/>
      <c r="CB361" s="124">
        <v>45842</v>
      </c>
      <c r="CC361" s="126">
        <v>1</v>
      </c>
      <c r="CD361" s="127" t="s">
        <v>4200</v>
      </c>
      <c r="CE361" s="128"/>
      <c r="CF361" s="77" t="s">
        <v>4185</v>
      </c>
    </row>
    <row r="362" spans="1:85" ht="14.5" x14ac:dyDescent="0.35">
      <c r="A362" s="77">
        <v>361</v>
      </c>
      <c r="B362" s="106" t="s">
        <v>2981</v>
      </c>
      <c r="C362" s="107" t="s">
        <v>6568</v>
      </c>
      <c r="D362" s="108" t="s">
        <v>2952</v>
      </c>
      <c r="E362" s="109" t="s">
        <v>2953</v>
      </c>
      <c r="F362" s="110">
        <v>623007414</v>
      </c>
      <c r="G362" s="108" t="s">
        <v>1004</v>
      </c>
      <c r="H362" s="111" t="s">
        <v>1028</v>
      </c>
      <c r="I362" s="111" t="s">
        <v>180</v>
      </c>
      <c r="J362" s="111" t="s">
        <v>4649</v>
      </c>
      <c r="K362" s="111" t="s">
        <v>3159</v>
      </c>
      <c r="L362" s="112">
        <v>45195</v>
      </c>
      <c r="M362" s="111" t="s">
        <v>2463</v>
      </c>
      <c r="N362" s="113"/>
      <c r="O362" s="114" t="s">
        <v>6128</v>
      </c>
      <c r="P362" s="114" t="s">
        <v>6128</v>
      </c>
      <c r="Q362" s="114" t="s">
        <v>501</v>
      </c>
      <c r="R362" s="114" t="s">
        <v>7531</v>
      </c>
      <c r="S362" s="114" t="s">
        <v>6128</v>
      </c>
      <c r="T362" s="114" t="s">
        <v>183</v>
      </c>
      <c r="U362" s="114" t="s">
        <v>183</v>
      </c>
      <c r="V362" s="115"/>
      <c r="W362" s="116" t="s">
        <v>2954</v>
      </c>
      <c r="X362" s="116" t="s">
        <v>2955</v>
      </c>
      <c r="Y362" s="117">
        <v>3485496</v>
      </c>
      <c r="Z362" s="117">
        <v>3481083</v>
      </c>
      <c r="AA362" s="118"/>
      <c r="AB362" s="119" t="s">
        <v>2956</v>
      </c>
      <c r="AC362" s="119" t="s">
        <v>2982</v>
      </c>
      <c r="AD362" s="119">
        <v>5243</v>
      </c>
      <c r="AE362" s="119" t="s">
        <v>6129</v>
      </c>
      <c r="AF362" s="119" t="s">
        <v>7158</v>
      </c>
      <c r="AG362" s="120"/>
      <c r="AH362" s="121">
        <v>45195</v>
      </c>
      <c r="AI362" s="121">
        <v>45240</v>
      </c>
      <c r="AJ362" s="121">
        <v>45195</v>
      </c>
      <c r="AK362" s="122">
        <v>45240</v>
      </c>
      <c r="AL362" s="122" t="e">
        <v>#N/A</v>
      </c>
      <c r="AM362" s="122" t="e">
        <v>#N/A</v>
      </c>
      <c r="AN362" s="122" t="e">
        <v>#N/A</v>
      </c>
      <c r="AO362" s="121" t="e">
        <v>#N/A</v>
      </c>
      <c r="AP362" s="122" t="e">
        <v>#N/A</v>
      </c>
      <c r="AQ362" s="122" t="e">
        <v>#N/A</v>
      </c>
      <c r="AR362" s="122" t="e">
        <v>#N/A</v>
      </c>
      <c r="AS362" s="122" t="e">
        <v>#N/A</v>
      </c>
      <c r="AT362" s="122" t="e">
        <v>#N/A</v>
      </c>
      <c r="AU362" s="121" t="e">
        <v>#N/A</v>
      </c>
      <c r="AV362" s="122" t="e">
        <v>#N/A</v>
      </c>
      <c r="AW362" s="122">
        <v>45947</v>
      </c>
      <c r="AX362" s="122" t="e">
        <v>#N/A</v>
      </c>
      <c r="AY362" s="122" t="e">
        <v>#N/A</v>
      </c>
      <c r="AZ362" s="122" t="e">
        <v>#N/A</v>
      </c>
      <c r="BA362" s="122" t="e">
        <v>#N/A</v>
      </c>
      <c r="BB362" s="122" t="e">
        <v>#N/A</v>
      </c>
      <c r="BC362" s="122" t="e">
        <v>#N/A</v>
      </c>
      <c r="BD362" s="122" t="e">
        <v>#N/A</v>
      </c>
      <c r="BE362" s="122" t="e">
        <v>#N/A</v>
      </c>
      <c r="BF362" s="122" t="e">
        <v>#N/A</v>
      </c>
      <c r="BG362" s="122" t="e">
        <v>#N/A</v>
      </c>
      <c r="BH362" s="122" t="e">
        <v>#N/A</v>
      </c>
      <c r="BI362" s="122" t="e">
        <v>#N/A</v>
      </c>
      <c r="BJ362" s="122" t="e">
        <v>#N/A</v>
      </c>
      <c r="BK362" s="122">
        <v>45967</v>
      </c>
      <c r="BL362" s="123"/>
      <c r="BM362" s="124" t="e">
        <v>#N/A</v>
      </c>
      <c r="BN362" s="124" t="e">
        <v>#N/A</v>
      </c>
      <c r="BO362" s="124" t="e">
        <v>#N/A</v>
      </c>
      <c r="BP362" s="124" t="e">
        <v>#N/A</v>
      </c>
      <c r="BQ362" s="124" t="e">
        <v>#N/A</v>
      </c>
      <c r="BR362" s="124" t="e">
        <v>#N/A</v>
      </c>
      <c r="BS362" s="124" t="e">
        <v>#N/A</v>
      </c>
      <c r="BT362" s="124" t="e">
        <v>#N/A</v>
      </c>
      <c r="BU362" s="124" t="e">
        <v>#N/A</v>
      </c>
      <c r="BV362" s="124" t="e">
        <v>#N/A</v>
      </c>
      <c r="BW362" s="124" t="e">
        <v>#N/A</v>
      </c>
      <c r="BX362" s="124" t="e">
        <v>#N/A</v>
      </c>
      <c r="BY362" s="124" t="e">
        <v>#N/A</v>
      </c>
      <c r="BZ362" s="124" t="e">
        <v>#N/A</v>
      </c>
      <c r="CA362" s="125"/>
      <c r="CB362" s="124" t="e">
        <v>#N/A</v>
      </c>
      <c r="CC362" s="126">
        <v>1</v>
      </c>
      <c r="CD362" s="127" t="s">
        <v>4181</v>
      </c>
      <c r="CE362" s="128"/>
      <c r="CF362" s="77" t="s">
        <v>4184</v>
      </c>
    </row>
    <row r="363" spans="1:85" ht="14.5" x14ac:dyDescent="0.35">
      <c r="A363" s="77">
        <v>362</v>
      </c>
      <c r="B363" s="106" t="s">
        <v>1643</v>
      </c>
      <c r="C363" s="107" t="s">
        <v>1644</v>
      </c>
      <c r="D363" s="108" t="s">
        <v>1681</v>
      </c>
      <c r="E363" s="109" t="s">
        <v>1645</v>
      </c>
      <c r="F363" s="110">
        <v>652157718</v>
      </c>
      <c r="G363" s="108" t="s">
        <v>1004</v>
      </c>
      <c r="H363" s="111" t="s">
        <v>1028</v>
      </c>
      <c r="I363" s="111" t="s">
        <v>180</v>
      </c>
      <c r="J363" s="111" t="s">
        <v>4649</v>
      </c>
      <c r="K363" s="111" t="s">
        <v>3159</v>
      </c>
      <c r="L363" s="112">
        <v>42999</v>
      </c>
      <c r="M363" s="111" t="s">
        <v>2463</v>
      </c>
      <c r="N363" s="113"/>
      <c r="O363" s="114" t="s">
        <v>4351</v>
      </c>
      <c r="P363" s="114" t="s">
        <v>4351</v>
      </c>
      <c r="Q363" s="114" t="s">
        <v>286</v>
      </c>
      <c r="R363" s="114" t="s">
        <v>7391</v>
      </c>
      <c r="S363" s="114" t="s">
        <v>4351</v>
      </c>
      <c r="T363" s="114" t="s">
        <v>183</v>
      </c>
      <c r="U363" s="114" t="s">
        <v>183</v>
      </c>
      <c r="V363" s="115"/>
      <c r="W363" s="116" t="s">
        <v>1646</v>
      </c>
      <c r="X363" s="116" t="s">
        <v>1647</v>
      </c>
      <c r="Y363" s="117">
        <v>3485275</v>
      </c>
      <c r="Z363" s="117">
        <v>3481227</v>
      </c>
      <c r="AA363" s="118"/>
      <c r="AB363" s="119" t="s">
        <v>5232</v>
      </c>
      <c r="AC363" s="119" t="s">
        <v>1706</v>
      </c>
      <c r="AD363" s="119">
        <v>27239</v>
      </c>
      <c r="AE363" s="119" t="s">
        <v>1682</v>
      </c>
      <c r="AF363" s="119" t="s">
        <v>7102</v>
      </c>
      <c r="AG363" s="120"/>
      <c r="AH363" s="121">
        <v>44690</v>
      </c>
      <c r="AI363" s="121">
        <v>44690</v>
      </c>
      <c r="AJ363" s="121">
        <v>44690</v>
      </c>
      <c r="AK363" s="122">
        <v>44690</v>
      </c>
      <c r="AL363" s="122" t="e">
        <v>#N/A</v>
      </c>
      <c r="AM363" s="121" t="e">
        <v>#N/A</v>
      </c>
      <c r="AN363" s="121" t="e">
        <v>#N/A</v>
      </c>
      <c r="AO363" s="121" t="e">
        <v>#N/A</v>
      </c>
      <c r="AP363" s="122" t="e">
        <v>#N/A</v>
      </c>
      <c r="AQ363" s="122" t="e">
        <v>#N/A</v>
      </c>
      <c r="AR363" s="122" t="e">
        <v>#N/A</v>
      </c>
      <c r="AS363" s="122" t="e">
        <v>#N/A</v>
      </c>
      <c r="AT363" s="122">
        <v>44690</v>
      </c>
      <c r="AU363" s="121" t="e">
        <v>#N/A</v>
      </c>
      <c r="AV363" s="122" t="e">
        <v>#N/A</v>
      </c>
      <c r="AW363" s="122">
        <v>45947</v>
      </c>
      <c r="AX363" s="122" t="e">
        <v>#N/A</v>
      </c>
      <c r="AY363" s="122" t="e">
        <v>#N/A</v>
      </c>
      <c r="AZ363" s="122" t="e">
        <v>#N/A</v>
      </c>
      <c r="BA363" s="122" t="e">
        <v>#N/A</v>
      </c>
      <c r="BB363" s="122" t="e">
        <v>#N/A</v>
      </c>
      <c r="BC363" s="122" t="e">
        <v>#N/A</v>
      </c>
      <c r="BD363" s="122" t="e">
        <v>#N/A</v>
      </c>
      <c r="BE363" s="122" t="e">
        <v>#N/A</v>
      </c>
      <c r="BF363" s="122" t="e">
        <v>#N/A</v>
      </c>
      <c r="BG363" s="122" t="e">
        <v>#N/A</v>
      </c>
      <c r="BH363" s="122" t="e">
        <v>#N/A</v>
      </c>
      <c r="BI363" s="122" t="e">
        <v>#N/A</v>
      </c>
      <c r="BJ363" s="122" t="e">
        <v>#N/A</v>
      </c>
      <c r="BK363" s="122">
        <v>45961</v>
      </c>
      <c r="BL363" s="123"/>
      <c r="BM363" s="124" t="e">
        <v>#N/A</v>
      </c>
      <c r="BN363" s="124" t="e">
        <v>#N/A</v>
      </c>
      <c r="BO363" s="124" t="e">
        <v>#N/A</v>
      </c>
      <c r="BP363" s="124" t="e">
        <v>#N/A</v>
      </c>
      <c r="BQ363" s="124" t="e">
        <v>#N/A</v>
      </c>
      <c r="BR363" s="124" t="e">
        <v>#N/A</v>
      </c>
      <c r="BS363" s="124" t="e">
        <v>#N/A</v>
      </c>
      <c r="BT363" s="124" t="e">
        <v>#N/A</v>
      </c>
      <c r="BU363" s="124" t="e">
        <v>#N/A</v>
      </c>
      <c r="BV363" s="124" t="e">
        <v>#N/A</v>
      </c>
      <c r="BW363" s="124" t="e">
        <v>#N/A</v>
      </c>
      <c r="BX363" s="124" t="e">
        <v>#N/A</v>
      </c>
      <c r="BY363" s="124" t="e">
        <v>#N/A</v>
      </c>
      <c r="BZ363" s="124" t="e">
        <v>#N/A</v>
      </c>
      <c r="CA363" s="125"/>
      <c r="CB363" s="124" t="e">
        <v>#N/A</v>
      </c>
      <c r="CC363" s="126">
        <v>1</v>
      </c>
      <c r="CD363" s="127" t="s">
        <v>4153</v>
      </c>
      <c r="CE363" s="128"/>
      <c r="CF363" s="77" t="s">
        <v>4184</v>
      </c>
    </row>
    <row r="364" spans="1:85" ht="14.5" x14ac:dyDescent="0.35">
      <c r="A364" s="77">
        <v>363</v>
      </c>
      <c r="B364" s="106" t="s">
        <v>6376</v>
      </c>
      <c r="C364" s="107" t="s">
        <v>6377</v>
      </c>
      <c r="D364" s="108" t="s">
        <v>2714</v>
      </c>
      <c r="E364" s="109" t="s">
        <v>2715</v>
      </c>
      <c r="F364" s="110" t="s">
        <v>2716</v>
      </c>
      <c r="G364" s="108" t="s">
        <v>190</v>
      </c>
      <c r="H364" s="111" t="s">
        <v>1028</v>
      </c>
      <c r="I364" s="111" t="s">
        <v>180</v>
      </c>
      <c r="J364" s="111" t="s">
        <v>4649</v>
      </c>
      <c r="K364" s="111" t="s">
        <v>3159</v>
      </c>
      <c r="L364" s="112">
        <v>39587</v>
      </c>
      <c r="M364" s="111" t="s">
        <v>1920</v>
      </c>
      <c r="N364" s="113"/>
      <c r="O364" s="114" t="s">
        <v>7249</v>
      </c>
      <c r="P364" s="114" t="s">
        <v>7251</v>
      </c>
      <c r="Q364" s="114" t="s">
        <v>7251</v>
      </c>
      <c r="R364" s="114" t="s">
        <v>7250</v>
      </c>
      <c r="S364" s="114" t="s">
        <v>7250</v>
      </c>
      <c r="T364" s="114" t="s">
        <v>7249</v>
      </c>
      <c r="U364" s="114" t="s">
        <v>7249</v>
      </c>
      <c r="V364" s="115"/>
      <c r="W364" s="116" t="s">
        <v>2717</v>
      </c>
      <c r="X364" s="116" t="s">
        <v>2718</v>
      </c>
      <c r="Y364" s="117">
        <v>3485781</v>
      </c>
      <c r="Z364" s="117">
        <v>3481458</v>
      </c>
      <c r="AA364" s="118"/>
      <c r="AB364" s="119" t="s">
        <v>5679</v>
      </c>
      <c r="AC364" s="119" t="s">
        <v>2758</v>
      </c>
      <c r="AD364" s="119">
        <v>26382</v>
      </c>
      <c r="AE364" s="119" t="s">
        <v>4127</v>
      </c>
      <c r="AF364" s="119">
        <v>0</v>
      </c>
      <c r="AG364" s="120"/>
      <c r="AH364" s="121">
        <v>45089</v>
      </c>
      <c r="AI364" s="121">
        <v>45089</v>
      </c>
      <c r="AJ364" s="121">
        <v>45089</v>
      </c>
      <c r="AK364" s="122">
        <v>45089</v>
      </c>
      <c r="AL364" s="122">
        <v>45245</v>
      </c>
      <c r="AM364" s="121">
        <v>45482</v>
      </c>
      <c r="AN364" s="121">
        <v>45482</v>
      </c>
      <c r="AO364" s="121" t="e">
        <v>#N/A</v>
      </c>
      <c r="AP364" s="122" t="e">
        <v>#N/A</v>
      </c>
      <c r="AQ364" s="122" t="e">
        <v>#N/A</v>
      </c>
      <c r="AR364" s="122">
        <v>45482</v>
      </c>
      <c r="AS364" s="122" t="e">
        <v>#N/A</v>
      </c>
      <c r="AT364" s="122" t="e">
        <v>#N/A</v>
      </c>
      <c r="AU364" s="121" t="e">
        <v>#N/A</v>
      </c>
      <c r="AV364" s="122" t="e">
        <v>#N/A</v>
      </c>
      <c r="AW364" s="122" t="e">
        <v>#N/A</v>
      </c>
      <c r="AX364" s="122" t="e">
        <v>#N/A</v>
      </c>
      <c r="AY364" s="122" t="e">
        <v>#N/A</v>
      </c>
      <c r="AZ364" s="122" t="e">
        <v>#N/A</v>
      </c>
      <c r="BA364" s="122" t="e">
        <v>#N/A</v>
      </c>
      <c r="BB364" s="122" t="e">
        <v>#N/A</v>
      </c>
      <c r="BC364" s="122" t="e">
        <v>#N/A</v>
      </c>
      <c r="BD364" s="122" t="e">
        <v>#N/A</v>
      </c>
      <c r="BE364" s="122" t="e">
        <v>#N/A</v>
      </c>
      <c r="BF364" s="122" t="e">
        <v>#N/A</v>
      </c>
      <c r="BG364" s="122" t="e">
        <v>#N/A</v>
      </c>
      <c r="BH364" s="122" t="e">
        <v>#N/A</v>
      </c>
      <c r="BI364" s="122" t="e">
        <v>#N/A</v>
      </c>
      <c r="BJ364" s="122" t="e">
        <v>#N/A</v>
      </c>
      <c r="BK364" s="122" t="e">
        <v>#N/A</v>
      </c>
      <c r="BL364" s="123"/>
      <c r="BM364" s="124" t="e">
        <v>#N/A</v>
      </c>
      <c r="BN364" s="124" t="e">
        <v>#N/A</v>
      </c>
      <c r="BO364" s="124" t="e">
        <v>#N/A</v>
      </c>
      <c r="BP364" s="124" t="e">
        <v>#N/A</v>
      </c>
      <c r="BQ364" s="124" t="e">
        <v>#N/A</v>
      </c>
      <c r="BR364" s="124" t="e">
        <v>#N/A</v>
      </c>
      <c r="BS364" s="124" t="e">
        <v>#N/A</v>
      </c>
      <c r="BT364" s="124" t="e">
        <v>#N/A</v>
      </c>
      <c r="BU364" s="124" t="e">
        <v>#N/A</v>
      </c>
      <c r="BV364" s="124" t="e">
        <v>#N/A</v>
      </c>
      <c r="BW364" s="124" t="e">
        <v>#N/A</v>
      </c>
      <c r="BX364" s="124" t="e">
        <v>#N/A</v>
      </c>
      <c r="BY364" s="124" t="e">
        <v>#N/A</v>
      </c>
      <c r="BZ364" s="124" t="e">
        <v>#N/A</v>
      </c>
      <c r="CA364" s="125"/>
      <c r="CB364" s="124" t="e">
        <v>#N/A</v>
      </c>
      <c r="CC364" s="126">
        <v>1</v>
      </c>
      <c r="CD364" s="127" t="e">
        <v>#N/A</v>
      </c>
      <c r="CE364" s="128"/>
      <c r="CF364" s="77" t="s">
        <v>4184</v>
      </c>
    </row>
    <row r="365" spans="1:85" ht="14.5" x14ac:dyDescent="0.35">
      <c r="A365" s="77">
        <v>364</v>
      </c>
      <c r="B365" s="106" t="s">
        <v>4536</v>
      </c>
      <c r="C365" s="107" t="s">
        <v>6752</v>
      </c>
      <c r="D365" s="108" t="s">
        <v>4521</v>
      </c>
      <c r="E365" s="109" t="s">
        <v>4522</v>
      </c>
      <c r="F365" s="110">
        <v>692283076</v>
      </c>
      <c r="G365" s="108" t="s">
        <v>1004</v>
      </c>
      <c r="H365" s="111" t="s">
        <v>1028</v>
      </c>
      <c r="I365" s="111" t="s">
        <v>180</v>
      </c>
      <c r="J365" s="111" t="s">
        <v>4649</v>
      </c>
      <c r="K365" s="111" t="s">
        <v>3159</v>
      </c>
      <c r="L365" s="112">
        <v>45810</v>
      </c>
      <c r="M365" s="111" t="s">
        <v>3335</v>
      </c>
      <c r="N365" s="113"/>
      <c r="O365" s="114" t="s">
        <v>585</v>
      </c>
      <c r="P365" s="114" t="s">
        <v>183</v>
      </c>
      <c r="Q365" s="114" t="s">
        <v>585</v>
      </c>
      <c r="R365" s="114" t="s">
        <v>7296</v>
      </c>
      <c r="S365" s="114" t="s">
        <v>183</v>
      </c>
      <c r="T365" s="114" t="s">
        <v>585</v>
      </c>
      <c r="U365" s="114" t="s">
        <v>585</v>
      </c>
      <c r="V365" s="115"/>
      <c r="W365" s="116" t="s">
        <v>4523</v>
      </c>
      <c r="X365" s="116" t="s">
        <v>4524</v>
      </c>
      <c r="Y365" s="117">
        <v>3485490</v>
      </c>
      <c r="Z365" s="117">
        <v>3486482</v>
      </c>
      <c r="AA365" s="118"/>
      <c r="AB365" s="119" t="s">
        <v>4525</v>
      </c>
      <c r="AC365" s="119" t="s">
        <v>4526</v>
      </c>
      <c r="AD365" s="119">
        <v>5294</v>
      </c>
      <c r="AE365" s="119" t="s">
        <v>4527</v>
      </c>
      <c r="AF365" s="119" t="s">
        <v>6130</v>
      </c>
      <c r="AG365" s="120"/>
      <c r="AH365" s="121">
        <v>45810</v>
      </c>
      <c r="AI365" s="121">
        <v>45810</v>
      </c>
      <c r="AJ365" s="121">
        <v>45810</v>
      </c>
      <c r="AK365" s="122">
        <v>45810</v>
      </c>
      <c r="AL365" s="122" t="e">
        <v>#N/A</v>
      </c>
      <c r="AM365" s="121" t="e">
        <v>#N/A</v>
      </c>
      <c r="AN365" s="121" t="e">
        <v>#N/A</v>
      </c>
      <c r="AO365" s="121" t="e">
        <v>#N/A</v>
      </c>
      <c r="AP365" s="122" t="e">
        <v>#N/A</v>
      </c>
      <c r="AQ365" s="122" t="e">
        <v>#N/A</v>
      </c>
      <c r="AR365" s="122" t="e">
        <v>#N/A</v>
      </c>
      <c r="AS365" s="122" t="e">
        <v>#N/A</v>
      </c>
      <c r="AT365" s="122" t="e">
        <v>#N/A</v>
      </c>
      <c r="AU365" s="121" t="e">
        <v>#N/A</v>
      </c>
      <c r="AV365" s="122" t="e">
        <v>#N/A</v>
      </c>
      <c r="AW365" s="122">
        <v>45807</v>
      </c>
      <c r="AX365" s="122" t="e">
        <v>#N/A</v>
      </c>
      <c r="AY365" s="122" t="e">
        <v>#N/A</v>
      </c>
      <c r="AZ365" s="122" t="e">
        <v>#N/A</v>
      </c>
      <c r="BA365" s="122" t="e">
        <v>#N/A</v>
      </c>
      <c r="BB365" s="122" t="e">
        <v>#N/A</v>
      </c>
      <c r="BC365" s="122" t="e">
        <v>#N/A</v>
      </c>
      <c r="BD365" s="122" t="e">
        <v>#N/A</v>
      </c>
      <c r="BE365" s="122" t="e">
        <v>#N/A</v>
      </c>
      <c r="BF365" s="122" t="e">
        <v>#N/A</v>
      </c>
      <c r="BG365" s="122" t="e">
        <v>#N/A</v>
      </c>
      <c r="BH365" s="122" t="e">
        <v>#N/A</v>
      </c>
      <c r="BI365" s="122" t="e">
        <v>#N/A</v>
      </c>
      <c r="BJ365" s="122" t="e">
        <v>#N/A</v>
      </c>
      <c r="BK365" s="122">
        <v>45954</v>
      </c>
      <c r="BL365" s="123"/>
      <c r="BM365" s="124" t="e">
        <v>#N/A</v>
      </c>
      <c r="BN365" s="124" t="e">
        <v>#N/A</v>
      </c>
      <c r="BO365" s="124" t="e">
        <v>#N/A</v>
      </c>
      <c r="BP365" s="124" t="e">
        <v>#N/A</v>
      </c>
      <c r="BQ365" s="124" t="e">
        <v>#N/A</v>
      </c>
      <c r="BR365" s="124" t="e">
        <v>#N/A</v>
      </c>
      <c r="BS365" s="124" t="e">
        <v>#N/A</v>
      </c>
      <c r="BT365" s="124" t="e">
        <v>#N/A</v>
      </c>
      <c r="BU365" s="124" t="e">
        <v>#N/A</v>
      </c>
      <c r="BV365" s="124" t="e">
        <v>#N/A</v>
      </c>
      <c r="BW365" s="124" t="e">
        <v>#N/A</v>
      </c>
      <c r="BX365" s="124" t="e">
        <v>#N/A</v>
      </c>
      <c r="BY365" s="124" t="e">
        <v>#N/A</v>
      </c>
      <c r="BZ365" s="124" t="e">
        <v>#N/A</v>
      </c>
      <c r="CA365" s="125"/>
      <c r="CB365" s="124">
        <v>45821</v>
      </c>
      <c r="CC365" s="126">
        <v>1</v>
      </c>
      <c r="CD365" s="127" t="s">
        <v>4479</v>
      </c>
      <c r="CE365" s="128"/>
      <c r="CF365" s="77" t="s">
        <v>4189</v>
      </c>
    </row>
    <row r="366" spans="1:85" ht="14.5" x14ac:dyDescent="0.35">
      <c r="A366" s="77">
        <v>365</v>
      </c>
      <c r="B366" s="106" t="s">
        <v>4809</v>
      </c>
      <c r="C366" s="107" t="s">
        <v>6791</v>
      </c>
      <c r="D366" s="108" t="s">
        <v>4810</v>
      </c>
      <c r="E366" s="109" t="s">
        <v>4811</v>
      </c>
      <c r="F366" s="110">
        <v>628109358</v>
      </c>
      <c r="G366" s="108" t="s">
        <v>1004</v>
      </c>
      <c r="H366" s="111" t="s">
        <v>1028</v>
      </c>
      <c r="I366" s="111" t="s">
        <v>180</v>
      </c>
      <c r="J366" s="111" t="s">
        <v>4649</v>
      </c>
      <c r="K366" s="111" t="s">
        <v>4654</v>
      </c>
      <c r="L366" s="112">
        <v>45831</v>
      </c>
      <c r="M366" s="111" t="s">
        <v>4022</v>
      </c>
      <c r="N366" s="113"/>
      <c r="O366" s="114" t="s">
        <v>3831</v>
      </c>
      <c r="P366" s="114" t="s">
        <v>3831</v>
      </c>
      <c r="Q366" s="114" t="s">
        <v>585</v>
      </c>
      <c r="R366" s="114" t="s">
        <v>7382</v>
      </c>
      <c r="S366" s="114" t="s">
        <v>3831</v>
      </c>
      <c r="T366" s="114" t="s">
        <v>183</v>
      </c>
      <c r="U366" s="114" t="s">
        <v>183</v>
      </c>
      <c r="V366" s="115"/>
      <c r="W366" s="116" t="s">
        <v>4812</v>
      </c>
      <c r="X366" s="116" t="s">
        <v>4813</v>
      </c>
      <c r="Y366" s="117">
        <v>3487122</v>
      </c>
      <c r="Z366" s="117">
        <v>3486788</v>
      </c>
      <c r="AA366" s="118"/>
      <c r="AB366" s="119" t="s">
        <v>4814</v>
      </c>
      <c r="AC366" s="119" t="s">
        <v>4815</v>
      </c>
      <c r="AD366" s="119">
        <v>26292</v>
      </c>
      <c r="AE366" s="119" t="s">
        <v>4816</v>
      </c>
      <c r="AF366" s="119" t="s">
        <v>6132</v>
      </c>
      <c r="AG366" s="120"/>
      <c r="AH366" s="121">
        <v>45831</v>
      </c>
      <c r="AI366" s="121">
        <v>45831</v>
      </c>
      <c r="AJ366" s="121">
        <v>45831</v>
      </c>
      <c r="AK366" s="122">
        <v>45831</v>
      </c>
      <c r="AL366" s="122" t="e">
        <v>#N/A</v>
      </c>
      <c r="AM366" s="121" t="e">
        <v>#N/A</v>
      </c>
      <c r="AN366" s="121" t="e">
        <v>#N/A</v>
      </c>
      <c r="AO366" s="121" t="e">
        <v>#N/A</v>
      </c>
      <c r="AP366" s="122" t="e">
        <v>#N/A</v>
      </c>
      <c r="AQ366" s="122" t="e">
        <v>#N/A</v>
      </c>
      <c r="AR366" s="122" t="e">
        <v>#N/A</v>
      </c>
      <c r="AS366" s="122" t="e">
        <v>#N/A</v>
      </c>
      <c r="AT366" s="122" t="e">
        <v>#N/A</v>
      </c>
      <c r="AU366" s="121" t="e">
        <v>#N/A</v>
      </c>
      <c r="AV366" s="122" t="e">
        <v>#N/A</v>
      </c>
      <c r="AW366" s="122">
        <v>45828</v>
      </c>
      <c r="AX366" s="122" t="e">
        <v>#N/A</v>
      </c>
      <c r="AY366" s="122" t="e">
        <v>#N/A</v>
      </c>
      <c r="AZ366" s="122" t="e">
        <v>#N/A</v>
      </c>
      <c r="BA366" s="122" t="e">
        <v>#N/A</v>
      </c>
      <c r="BB366" s="122" t="e">
        <v>#N/A</v>
      </c>
      <c r="BC366" s="122" t="e">
        <v>#N/A</v>
      </c>
      <c r="BD366" s="122" t="e">
        <v>#N/A</v>
      </c>
      <c r="BE366" s="122" t="e">
        <v>#N/A</v>
      </c>
      <c r="BF366" s="122" t="e">
        <v>#N/A</v>
      </c>
      <c r="BG366" s="122" t="e">
        <v>#N/A</v>
      </c>
      <c r="BH366" s="122" t="e">
        <v>#N/A</v>
      </c>
      <c r="BI366" s="122" t="e">
        <v>#N/A</v>
      </c>
      <c r="BJ366" s="122" t="e">
        <v>#N/A</v>
      </c>
      <c r="BK366" s="122">
        <v>45959</v>
      </c>
      <c r="BL366" s="123"/>
      <c r="BM366" s="124" t="e">
        <v>#N/A</v>
      </c>
      <c r="BN366" s="124" t="e">
        <v>#N/A</v>
      </c>
      <c r="BO366" s="124" t="e">
        <v>#N/A</v>
      </c>
      <c r="BP366" s="124" t="e">
        <v>#N/A</v>
      </c>
      <c r="BQ366" s="124" t="e">
        <v>#N/A</v>
      </c>
      <c r="BR366" s="124" t="e">
        <v>#N/A</v>
      </c>
      <c r="BS366" s="124" t="e">
        <v>#N/A</v>
      </c>
      <c r="BT366" s="124" t="e">
        <v>#N/A</v>
      </c>
      <c r="BU366" s="124" t="e">
        <v>#N/A</v>
      </c>
      <c r="BV366" s="124" t="e">
        <v>#N/A</v>
      </c>
      <c r="BW366" s="124" t="e">
        <v>#N/A</v>
      </c>
      <c r="BX366" s="124" t="e">
        <v>#N/A</v>
      </c>
      <c r="BY366" s="124" t="e">
        <v>#N/A</v>
      </c>
      <c r="BZ366" s="124" t="e">
        <v>#N/A</v>
      </c>
      <c r="CA366" s="125"/>
      <c r="CB366" s="124">
        <v>45828</v>
      </c>
      <c r="CC366" s="126">
        <v>1</v>
      </c>
      <c r="CD366" s="127" t="s">
        <v>4980</v>
      </c>
      <c r="CE366" s="128"/>
      <c r="CF366" s="77" t="s">
        <v>4190</v>
      </c>
    </row>
    <row r="367" spans="1:85" ht="14.5" x14ac:dyDescent="0.35">
      <c r="A367" s="77">
        <v>366</v>
      </c>
      <c r="B367" s="106" t="s">
        <v>4787</v>
      </c>
      <c r="C367" s="107" t="s">
        <v>6788</v>
      </c>
      <c r="D367" s="108" t="s">
        <v>4788</v>
      </c>
      <c r="E367" s="109" t="s">
        <v>4789</v>
      </c>
      <c r="F367" s="110">
        <v>607505467</v>
      </c>
      <c r="G367" s="108" t="s">
        <v>1004</v>
      </c>
      <c r="H367" s="111" t="s">
        <v>1028</v>
      </c>
      <c r="I367" s="111" t="s">
        <v>180</v>
      </c>
      <c r="J367" s="111" t="s">
        <v>4649</v>
      </c>
      <c r="K367" s="111" t="s">
        <v>3159</v>
      </c>
      <c r="L367" s="112">
        <v>45831</v>
      </c>
      <c r="M367" s="111" t="s">
        <v>4022</v>
      </c>
      <c r="N367" s="113"/>
      <c r="O367" s="114" t="s">
        <v>585</v>
      </c>
      <c r="P367" s="114" t="s">
        <v>183</v>
      </c>
      <c r="Q367" s="114" t="s">
        <v>585</v>
      </c>
      <c r="R367" s="114" t="s">
        <v>7296</v>
      </c>
      <c r="S367" s="114" t="s">
        <v>183</v>
      </c>
      <c r="T367" s="114" t="s">
        <v>585</v>
      </c>
      <c r="U367" s="114" t="s">
        <v>585</v>
      </c>
      <c r="V367" s="115"/>
      <c r="W367" s="116" t="s">
        <v>4790</v>
      </c>
      <c r="X367" s="116" t="s">
        <v>4791</v>
      </c>
      <c r="Y367" s="117">
        <v>3487126</v>
      </c>
      <c r="Z367" s="117">
        <v>3486793</v>
      </c>
      <c r="AA367" s="118"/>
      <c r="AB367" s="119" t="s">
        <v>5849</v>
      </c>
      <c r="AC367" s="119" t="s">
        <v>4792</v>
      </c>
      <c r="AD367" s="119">
        <v>26301</v>
      </c>
      <c r="AE367" s="119" t="s">
        <v>4793</v>
      </c>
      <c r="AF367" s="119" t="s">
        <v>6133</v>
      </c>
      <c r="AG367" s="120"/>
      <c r="AH367" s="121">
        <v>45831</v>
      </c>
      <c r="AI367" s="121">
        <v>45831</v>
      </c>
      <c r="AJ367" s="121">
        <v>45831</v>
      </c>
      <c r="AK367" s="122">
        <v>45831</v>
      </c>
      <c r="AL367" s="122" t="e">
        <v>#N/A</v>
      </c>
      <c r="AM367" s="121" t="e">
        <v>#N/A</v>
      </c>
      <c r="AN367" s="121" t="e">
        <v>#N/A</v>
      </c>
      <c r="AO367" s="121" t="e">
        <v>#N/A</v>
      </c>
      <c r="AP367" s="122" t="e">
        <v>#N/A</v>
      </c>
      <c r="AQ367" s="122" t="e">
        <v>#N/A</v>
      </c>
      <c r="AR367" s="122" t="e">
        <v>#N/A</v>
      </c>
      <c r="AS367" s="122" t="e">
        <v>#N/A</v>
      </c>
      <c r="AT367" s="122" t="e">
        <v>#N/A</v>
      </c>
      <c r="AU367" s="121" t="e">
        <v>#N/A</v>
      </c>
      <c r="AV367" s="122" t="e">
        <v>#N/A</v>
      </c>
      <c r="AW367" s="122">
        <v>45874</v>
      </c>
      <c r="AX367" s="122" t="e">
        <v>#N/A</v>
      </c>
      <c r="AY367" s="122" t="e">
        <v>#N/A</v>
      </c>
      <c r="AZ367" s="122" t="e">
        <v>#N/A</v>
      </c>
      <c r="BA367" s="122" t="e">
        <v>#N/A</v>
      </c>
      <c r="BB367" s="122" t="e">
        <v>#N/A</v>
      </c>
      <c r="BC367" s="122" t="e">
        <v>#N/A</v>
      </c>
      <c r="BD367" s="122" t="e">
        <v>#N/A</v>
      </c>
      <c r="BE367" s="122" t="e">
        <v>#N/A</v>
      </c>
      <c r="BF367" s="122" t="e">
        <v>#N/A</v>
      </c>
      <c r="BG367" s="122" t="e">
        <v>#N/A</v>
      </c>
      <c r="BH367" s="122" t="e">
        <v>#N/A</v>
      </c>
      <c r="BI367" s="122" t="e">
        <v>#N/A</v>
      </c>
      <c r="BJ367" s="122" t="e">
        <v>#N/A</v>
      </c>
      <c r="BK367" s="122">
        <v>45953</v>
      </c>
      <c r="BL367" s="123"/>
      <c r="BM367" s="124" t="e">
        <v>#N/A</v>
      </c>
      <c r="BN367" s="124" t="e">
        <v>#N/A</v>
      </c>
      <c r="BO367" s="124" t="e">
        <v>#N/A</v>
      </c>
      <c r="BP367" s="124" t="e">
        <v>#N/A</v>
      </c>
      <c r="BQ367" s="124" t="e">
        <v>#N/A</v>
      </c>
      <c r="BR367" s="124" t="e">
        <v>#N/A</v>
      </c>
      <c r="BS367" s="124" t="e">
        <v>#N/A</v>
      </c>
      <c r="BT367" s="124" t="e">
        <v>#N/A</v>
      </c>
      <c r="BU367" s="124" t="e">
        <v>#N/A</v>
      </c>
      <c r="BV367" s="124" t="e">
        <v>#N/A</v>
      </c>
      <c r="BW367" s="124" t="e">
        <v>#N/A</v>
      </c>
      <c r="BX367" s="124" t="e">
        <v>#N/A</v>
      </c>
      <c r="BY367" s="124" t="e">
        <v>#N/A</v>
      </c>
      <c r="BZ367" s="124" t="e">
        <v>#N/A</v>
      </c>
      <c r="CA367" s="125"/>
      <c r="CB367" s="124">
        <v>45828</v>
      </c>
      <c r="CC367" s="126">
        <v>1</v>
      </c>
      <c r="CD367" s="127" t="s">
        <v>4979</v>
      </c>
      <c r="CE367" s="128"/>
      <c r="CF367" s="77" t="s">
        <v>4190</v>
      </c>
    </row>
    <row r="368" spans="1:85" ht="14.5" x14ac:dyDescent="0.35">
      <c r="A368" s="77">
        <v>367</v>
      </c>
      <c r="B368" s="106" t="s">
        <v>4728</v>
      </c>
      <c r="C368" s="107" t="s">
        <v>6780</v>
      </c>
      <c r="D368" s="108" t="s">
        <v>4729</v>
      </c>
      <c r="E368" s="109" t="s">
        <v>4730</v>
      </c>
      <c r="F368" s="110">
        <v>697110257</v>
      </c>
      <c r="G368" s="108" t="s">
        <v>1004</v>
      </c>
      <c r="H368" s="111" t="s">
        <v>1028</v>
      </c>
      <c r="I368" s="111" t="s">
        <v>180</v>
      </c>
      <c r="J368" s="111" t="s">
        <v>4649</v>
      </c>
      <c r="K368" s="111" t="s">
        <v>3159</v>
      </c>
      <c r="L368" s="112">
        <v>45831</v>
      </c>
      <c r="M368" s="111" t="s">
        <v>4022</v>
      </c>
      <c r="N368" s="113"/>
      <c r="O368" s="114" t="s">
        <v>585</v>
      </c>
      <c r="P368" s="114" t="s">
        <v>585</v>
      </c>
      <c r="Q368" s="114" t="s">
        <v>585</v>
      </c>
      <c r="R368" s="114" t="s">
        <v>7296</v>
      </c>
      <c r="S368" s="114" t="s">
        <v>585</v>
      </c>
      <c r="T368" s="114" t="s">
        <v>183</v>
      </c>
      <c r="U368" s="114" t="s">
        <v>183</v>
      </c>
      <c r="V368" s="115"/>
      <c r="W368" s="116" t="s">
        <v>4731</v>
      </c>
      <c r="X368" s="116" t="s">
        <v>4732</v>
      </c>
      <c r="Y368" s="117">
        <v>3487136</v>
      </c>
      <c r="Z368" s="117">
        <v>3481565</v>
      </c>
      <c r="AA368" s="118"/>
      <c r="AB368" s="119" t="s">
        <v>5733</v>
      </c>
      <c r="AC368" s="119" t="s">
        <v>4733</v>
      </c>
      <c r="AD368" s="119">
        <v>26315</v>
      </c>
      <c r="AE368" s="119" t="s">
        <v>4734</v>
      </c>
      <c r="AF368" s="119" t="s">
        <v>7222</v>
      </c>
      <c r="AG368" s="120"/>
      <c r="AH368" s="121">
        <v>45831</v>
      </c>
      <c r="AI368" s="121">
        <v>45831</v>
      </c>
      <c r="AJ368" s="121">
        <v>45831</v>
      </c>
      <c r="AK368" s="122">
        <v>45831</v>
      </c>
      <c r="AL368" s="122" t="e">
        <v>#N/A</v>
      </c>
      <c r="AM368" s="121" t="e">
        <v>#N/A</v>
      </c>
      <c r="AN368" s="121" t="e">
        <v>#N/A</v>
      </c>
      <c r="AO368" s="121" t="e">
        <v>#N/A</v>
      </c>
      <c r="AP368" s="122" t="e">
        <v>#N/A</v>
      </c>
      <c r="AQ368" s="122" t="e">
        <v>#N/A</v>
      </c>
      <c r="AR368" s="122" t="e">
        <v>#N/A</v>
      </c>
      <c r="AS368" s="122" t="e">
        <v>#N/A</v>
      </c>
      <c r="AT368" s="122" t="e">
        <v>#N/A</v>
      </c>
      <c r="AU368" s="121" t="e">
        <v>#N/A</v>
      </c>
      <c r="AV368" s="122" t="e">
        <v>#N/A</v>
      </c>
      <c r="AW368" s="122">
        <v>45883</v>
      </c>
      <c r="AX368" s="122" t="e">
        <v>#N/A</v>
      </c>
      <c r="AY368" s="122" t="e">
        <v>#N/A</v>
      </c>
      <c r="AZ368" s="122" t="e">
        <v>#N/A</v>
      </c>
      <c r="BA368" s="122" t="e">
        <v>#N/A</v>
      </c>
      <c r="BB368" s="122" t="e">
        <v>#N/A</v>
      </c>
      <c r="BC368" s="122" t="e">
        <v>#N/A</v>
      </c>
      <c r="BD368" s="122" t="e">
        <v>#N/A</v>
      </c>
      <c r="BE368" s="122" t="e">
        <v>#N/A</v>
      </c>
      <c r="BF368" s="122" t="e">
        <v>#N/A</v>
      </c>
      <c r="BG368" s="122" t="e">
        <v>#N/A</v>
      </c>
      <c r="BH368" s="122" t="e">
        <v>#N/A</v>
      </c>
      <c r="BI368" s="122" t="e">
        <v>#N/A</v>
      </c>
      <c r="BJ368" s="122" t="e">
        <v>#N/A</v>
      </c>
      <c r="BK368" s="122">
        <v>45961</v>
      </c>
      <c r="BL368" s="123"/>
      <c r="BM368" s="124" t="e">
        <v>#N/A</v>
      </c>
      <c r="BN368" s="124" t="e">
        <v>#N/A</v>
      </c>
      <c r="BO368" s="124" t="e">
        <v>#N/A</v>
      </c>
      <c r="BP368" s="124" t="e">
        <v>#N/A</v>
      </c>
      <c r="BQ368" s="124" t="e">
        <v>#N/A</v>
      </c>
      <c r="BR368" s="124" t="e">
        <v>#N/A</v>
      </c>
      <c r="BS368" s="124" t="e">
        <v>#N/A</v>
      </c>
      <c r="BT368" s="124" t="e">
        <v>#N/A</v>
      </c>
      <c r="BU368" s="124" t="e">
        <v>#N/A</v>
      </c>
      <c r="BV368" s="124" t="e">
        <v>#N/A</v>
      </c>
      <c r="BW368" s="124" t="e">
        <v>#N/A</v>
      </c>
      <c r="BX368" s="124" t="e">
        <v>#N/A</v>
      </c>
      <c r="BY368" s="124" t="e">
        <v>#N/A</v>
      </c>
      <c r="BZ368" s="124" t="e">
        <v>#N/A</v>
      </c>
      <c r="CA368" s="125"/>
      <c r="CB368" s="124">
        <v>45828</v>
      </c>
      <c r="CC368" s="126">
        <v>1</v>
      </c>
      <c r="CD368" s="127" t="s">
        <v>4979</v>
      </c>
      <c r="CE368" s="128"/>
      <c r="CF368" s="77" t="s">
        <v>4191</v>
      </c>
    </row>
    <row r="369" spans="1:84" ht="14.5" x14ac:dyDescent="0.35">
      <c r="A369" s="77">
        <v>368</v>
      </c>
      <c r="B369" s="106" t="s">
        <v>2864</v>
      </c>
      <c r="C369" s="107" t="s">
        <v>6555</v>
      </c>
      <c r="D369" s="108" t="s">
        <v>2800</v>
      </c>
      <c r="E369" s="109" t="s">
        <v>2801</v>
      </c>
      <c r="F369" s="110">
        <v>611419187</v>
      </c>
      <c r="G369" s="108" t="s">
        <v>1004</v>
      </c>
      <c r="H369" s="111" t="s">
        <v>1028</v>
      </c>
      <c r="I369" s="111" t="s">
        <v>180</v>
      </c>
      <c r="J369" s="111" t="s">
        <v>4649</v>
      </c>
      <c r="K369" s="111" t="s">
        <v>3159</v>
      </c>
      <c r="L369" s="112">
        <v>45131</v>
      </c>
      <c r="M369" s="111" t="s">
        <v>2933</v>
      </c>
      <c r="N369" s="113"/>
      <c r="O369" s="114" t="s">
        <v>585</v>
      </c>
      <c r="P369" s="114" t="s">
        <v>585</v>
      </c>
      <c r="Q369" s="114" t="s">
        <v>585</v>
      </c>
      <c r="R369" s="114" t="s">
        <v>7296</v>
      </c>
      <c r="S369" s="114" t="s">
        <v>585</v>
      </c>
      <c r="T369" s="114" t="s">
        <v>183</v>
      </c>
      <c r="U369" s="114" t="s">
        <v>183</v>
      </c>
      <c r="V369" s="115"/>
      <c r="W369" s="116" t="s">
        <v>2802</v>
      </c>
      <c r="X369" s="116" t="s">
        <v>2803</v>
      </c>
      <c r="Y369" s="117">
        <v>3485799</v>
      </c>
      <c r="Z369" s="117">
        <v>3486329</v>
      </c>
      <c r="AA369" s="118"/>
      <c r="AB369" s="119" t="s">
        <v>5512</v>
      </c>
      <c r="AC369" s="119" t="s">
        <v>2804</v>
      </c>
      <c r="AD369" s="119">
        <v>4206</v>
      </c>
      <c r="AE369" s="119" t="s">
        <v>2805</v>
      </c>
      <c r="AF369" s="119" t="s">
        <v>7532</v>
      </c>
      <c r="AG369" s="120"/>
      <c r="AH369" s="121">
        <v>45128</v>
      </c>
      <c r="AI369" s="121">
        <v>45175</v>
      </c>
      <c r="AJ369" s="121">
        <v>45128</v>
      </c>
      <c r="AK369" s="122">
        <v>45175</v>
      </c>
      <c r="AL369" s="122" t="e">
        <v>#N/A</v>
      </c>
      <c r="AM369" s="121" t="e">
        <v>#N/A</v>
      </c>
      <c r="AN369" s="121" t="e">
        <v>#N/A</v>
      </c>
      <c r="AO369" s="121" t="e">
        <v>#N/A</v>
      </c>
      <c r="AP369" s="122" t="e">
        <v>#N/A</v>
      </c>
      <c r="AQ369" s="122" t="e">
        <v>#N/A</v>
      </c>
      <c r="AR369" s="122" t="e">
        <v>#N/A</v>
      </c>
      <c r="AS369" s="122" t="e">
        <v>#N/A</v>
      </c>
      <c r="AT369" s="122" t="e">
        <v>#N/A</v>
      </c>
      <c r="AU369" s="121" t="e">
        <v>#N/A</v>
      </c>
      <c r="AV369" s="122" t="e">
        <v>#N/A</v>
      </c>
      <c r="AW369" s="122">
        <v>45749</v>
      </c>
      <c r="AX369" s="122" t="e">
        <v>#N/A</v>
      </c>
      <c r="AY369" s="122" t="e">
        <v>#N/A</v>
      </c>
      <c r="AZ369" s="122" t="e">
        <v>#N/A</v>
      </c>
      <c r="BA369" s="122" t="e">
        <v>#N/A</v>
      </c>
      <c r="BB369" s="122" t="e">
        <v>#N/A</v>
      </c>
      <c r="BC369" s="122" t="e">
        <v>#N/A</v>
      </c>
      <c r="BD369" s="122" t="e">
        <v>#N/A</v>
      </c>
      <c r="BE369" s="122" t="e">
        <v>#N/A</v>
      </c>
      <c r="BF369" s="122" t="e">
        <v>#N/A</v>
      </c>
      <c r="BG369" s="122" t="e">
        <v>#N/A</v>
      </c>
      <c r="BH369" s="122" t="e">
        <v>#N/A</v>
      </c>
      <c r="BI369" s="122" t="e">
        <v>#N/A</v>
      </c>
      <c r="BJ369" s="122" t="e">
        <v>#N/A</v>
      </c>
      <c r="BK369" s="122">
        <v>45975</v>
      </c>
      <c r="BL369" s="123"/>
      <c r="BM369" s="124" t="e">
        <v>#N/A</v>
      </c>
      <c r="BN369" s="124" t="e">
        <v>#N/A</v>
      </c>
      <c r="BO369" s="124" t="e">
        <v>#N/A</v>
      </c>
      <c r="BP369" s="124" t="e">
        <v>#N/A</v>
      </c>
      <c r="BQ369" s="124" t="e">
        <v>#N/A</v>
      </c>
      <c r="BR369" s="124" t="e">
        <v>#N/A</v>
      </c>
      <c r="BS369" s="124" t="e">
        <v>#N/A</v>
      </c>
      <c r="BT369" s="124" t="e">
        <v>#N/A</v>
      </c>
      <c r="BU369" s="124" t="e">
        <v>#N/A</v>
      </c>
      <c r="BV369" s="124" t="e">
        <v>#N/A</v>
      </c>
      <c r="BW369" s="124" t="e">
        <v>#N/A</v>
      </c>
      <c r="BX369" s="124" t="e">
        <v>#N/A</v>
      </c>
      <c r="BY369" s="124" t="e">
        <v>#N/A</v>
      </c>
      <c r="BZ369" s="124" t="e">
        <v>#N/A</v>
      </c>
      <c r="CA369" s="125"/>
      <c r="CB369" s="124" t="e">
        <v>#N/A</v>
      </c>
      <c r="CC369" s="126">
        <v>1</v>
      </c>
      <c r="CD369" s="127" t="s">
        <v>4173</v>
      </c>
      <c r="CE369" s="128"/>
      <c r="CF369" s="77" t="s">
        <v>4191</v>
      </c>
    </row>
    <row r="370" spans="1:84" ht="14.5" x14ac:dyDescent="0.35">
      <c r="A370" s="77">
        <v>369</v>
      </c>
      <c r="B370" s="106" t="s">
        <v>5008</v>
      </c>
      <c r="C370" s="107" t="s">
        <v>6800</v>
      </c>
      <c r="D370" s="108" t="s">
        <v>5009</v>
      </c>
      <c r="E370" s="109" t="s">
        <v>5010</v>
      </c>
      <c r="F370" s="110">
        <v>605217912</v>
      </c>
      <c r="G370" s="108" t="s">
        <v>1004</v>
      </c>
      <c r="H370" s="111" t="s">
        <v>1028</v>
      </c>
      <c r="I370" s="111" t="s">
        <v>180</v>
      </c>
      <c r="J370" s="111" t="s">
        <v>4649</v>
      </c>
      <c r="K370" s="111" t="s">
        <v>3159</v>
      </c>
      <c r="L370" s="112">
        <v>45852</v>
      </c>
      <c r="M370" s="111" t="s">
        <v>2665</v>
      </c>
      <c r="N370" s="113"/>
      <c r="O370" s="114" t="s">
        <v>3831</v>
      </c>
      <c r="P370" s="114" t="s">
        <v>3831</v>
      </c>
      <c r="Q370" s="114" t="s">
        <v>6014</v>
      </c>
      <c r="R370" s="114" t="s">
        <v>4356</v>
      </c>
      <c r="S370" s="114" t="s">
        <v>4356</v>
      </c>
      <c r="T370" s="114" t="s">
        <v>6014</v>
      </c>
      <c r="U370" s="114" t="s">
        <v>6014</v>
      </c>
      <c r="V370" s="115"/>
      <c r="W370" s="116" t="s">
        <v>5011</v>
      </c>
      <c r="X370" s="116" t="s">
        <v>5012</v>
      </c>
      <c r="Y370" s="117">
        <v>3485945</v>
      </c>
      <c r="Z370" s="117">
        <v>3486867</v>
      </c>
      <c r="AA370" s="118"/>
      <c r="AB370" s="119" t="s">
        <v>5013</v>
      </c>
      <c r="AC370" s="119" t="s">
        <v>5014</v>
      </c>
      <c r="AD370" s="119">
        <v>5587</v>
      </c>
      <c r="AE370" s="119" t="s">
        <v>5015</v>
      </c>
      <c r="AF370" s="119" t="s">
        <v>7533</v>
      </c>
      <c r="AG370" s="120"/>
      <c r="AH370" s="121">
        <v>45853</v>
      </c>
      <c r="AI370" s="121">
        <v>45853</v>
      </c>
      <c r="AJ370" s="121">
        <v>45853</v>
      </c>
      <c r="AK370" s="122">
        <v>45853</v>
      </c>
      <c r="AL370" s="122" t="e">
        <v>#N/A</v>
      </c>
      <c r="AM370" s="121" t="e">
        <v>#N/A</v>
      </c>
      <c r="AN370" s="121" t="e">
        <v>#N/A</v>
      </c>
      <c r="AO370" s="121" t="e">
        <v>#N/A</v>
      </c>
      <c r="AP370" s="122" t="e">
        <v>#N/A</v>
      </c>
      <c r="AQ370" s="122" t="e">
        <v>#N/A</v>
      </c>
      <c r="AR370" s="122" t="e">
        <v>#N/A</v>
      </c>
      <c r="AS370" s="122" t="e">
        <v>#N/A</v>
      </c>
      <c r="AT370" s="122" t="e">
        <v>#N/A</v>
      </c>
      <c r="AU370" s="121" t="e">
        <v>#N/A</v>
      </c>
      <c r="AV370" s="122" t="e">
        <v>#N/A</v>
      </c>
      <c r="AW370" s="122">
        <v>45853</v>
      </c>
      <c r="AX370" s="122" t="e">
        <v>#N/A</v>
      </c>
      <c r="AY370" s="122" t="e">
        <v>#N/A</v>
      </c>
      <c r="AZ370" s="122" t="e">
        <v>#N/A</v>
      </c>
      <c r="BA370" s="122" t="e">
        <v>#N/A</v>
      </c>
      <c r="BB370" s="122" t="e">
        <v>#N/A</v>
      </c>
      <c r="BC370" s="122" t="e">
        <v>#N/A</v>
      </c>
      <c r="BD370" s="122" t="e">
        <v>#N/A</v>
      </c>
      <c r="BE370" s="122" t="e">
        <v>#N/A</v>
      </c>
      <c r="BF370" s="122" t="e">
        <v>#N/A</v>
      </c>
      <c r="BG370" s="122" t="e">
        <v>#N/A</v>
      </c>
      <c r="BH370" s="122" t="e">
        <v>#N/A</v>
      </c>
      <c r="BI370" s="122" t="e">
        <v>#N/A</v>
      </c>
      <c r="BJ370" s="122" t="e">
        <v>#N/A</v>
      </c>
      <c r="BK370" s="122">
        <v>45974</v>
      </c>
      <c r="BL370" s="123"/>
      <c r="BM370" s="124" t="e">
        <v>#N/A</v>
      </c>
      <c r="BN370" s="124" t="e">
        <v>#N/A</v>
      </c>
      <c r="BO370" s="124" t="e">
        <v>#N/A</v>
      </c>
      <c r="BP370" s="124" t="e">
        <v>#N/A</v>
      </c>
      <c r="BQ370" s="124" t="e">
        <v>#N/A</v>
      </c>
      <c r="BR370" s="124" t="e">
        <v>#N/A</v>
      </c>
      <c r="BS370" s="124" t="e">
        <v>#N/A</v>
      </c>
      <c r="BT370" s="124" t="e">
        <v>#N/A</v>
      </c>
      <c r="BU370" s="124" t="e">
        <v>#N/A</v>
      </c>
      <c r="BV370" s="124" t="e">
        <v>#N/A</v>
      </c>
      <c r="BW370" s="124" t="e">
        <v>#N/A</v>
      </c>
      <c r="BX370" s="124" t="e">
        <v>#N/A</v>
      </c>
      <c r="BY370" s="124" t="e">
        <v>#N/A</v>
      </c>
      <c r="BZ370" s="124" t="e">
        <v>#N/A</v>
      </c>
      <c r="CA370" s="125"/>
      <c r="CB370" s="124">
        <v>45853</v>
      </c>
      <c r="CC370" s="126">
        <v>1</v>
      </c>
      <c r="CD370" s="127" t="s">
        <v>4981</v>
      </c>
      <c r="CE370" s="128"/>
      <c r="CF370" s="77" t="s">
        <v>4191</v>
      </c>
    </row>
    <row r="371" spans="1:84" ht="14.5" x14ac:dyDescent="0.35">
      <c r="A371" s="77">
        <v>370</v>
      </c>
      <c r="B371" s="106" t="s">
        <v>4840</v>
      </c>
      <c r="C371" s="107" t="s">
        <v>6798</v>
      </c>
      <c r="D371" s="108" t="s">
        <v>4841</v>
      </c>
      <c r="E371" s="109" t="s">
        <v>4842</v>
      </c>
      <c r="F371" s="110" t="s">
        <v>4843</v>
      </c>
      <c r="G371" s="108" t="s">
        <v>1004</v>
      </c>
      <c r="H371" s="111" t="s">
        <v>1028</v>
      </c>
      <c r="I371" s="111" t="s">
        <v>180</v>
      </c>
      <c r="J371" s="111" t="s">
        <v>4649</v>
      </c>
      <c r="K371" s="111" t="s">
        <v>3159</v>
      </c>
      <c r="L371" s="112">
        <v>45852</v>
      </c>
      <c r="M371" s="111" t="s">
        <v>2665</v>
      </c>
      <c r="N371" s="113"/>
      <c r="O371" s="114" t="s">
        <v>3831</v>
      </c>
      <c r="P371" s="114" t="s">
        <v>3831</v>
      </c>
      <c r="Q371" s="114" t="s">
        <v>183</v>
      </c>
      <c r="R371" s="114" t="s">
        <v>7464</v>
      </c>
      <c r="S371" s="114" t="s">
        <v>3831</v>
      </c>
      <c r="T371" s="114" t="s">
        <v>3831</v>
      </c>
      <c r="U371" s="114" t="s">
        <v>3831</v>
      </c>
      <c r="V371" s="115"/>
      <c r="W371" s="116" t="s">
        <v>4844</v>
      </c>
      <c r="X371" s="116" t="s">
        <v>4845</v>
      </c>
      <c r="Y371" s="117">
        <v>3487075</v>
      </c>
      <c r="Z371" s="117">
        <v>3486355</v>
      </c>
      <c r="AA371" s="118"/>
      <c r="AB371" s="119" t="s">
        <v>5855</v>
      </c>
      <c r="AC371" s="119" t="s">
        <v>4846</v>
      </c>
      <c r="AD371" s="119">
        <v>5072</v>
      </c>
      <c r="AE371" s="119" t="s">
        <v>4847</v>
      </c>
      <c r="AF371" s="119" t="s">
        <v>7534</v>
      </c>
      <c r="AG371" s="120"/>
      <c r="AH371" s="121">
        <v>45853</v>
      </c>
      <c r="AI371" s="121">
        <v>45853</v>
      </c>
      <c r="AJ371" s="121">
        <v>45853</v>
      </c>
      <c r="AK371" s="122">
        <v>45853</v>
      </c>
      <c r="AL371" s="122" t="e">
        <v>#N/A</v>
      </c>
      <c r="AM371" s="122" t="e">
        <v>#N/A</v>
      </c>
      <c r="AN371" s="122" t="e">
        <v>#N/A</v>
      </c>
      <c r="AO371" s="121" t="e">
        <v>#N/A</v>
      </c>
      <c r="AP371" s="122" t="e">
        <v>#N/A</v>
      </c>
      <c r="AQ371" s="122" t="e">
        <v>#N/A</v>
      </c>
      <c r="AR371" s="122" t="e">
        <v>#N/A</v>
      </c>
      <c r="AS371" s="122" t="e">
        <v>#N/A</v>
      </c>
      <c r="AT371" s="122" t="e">
        <v>#N/A</v>
      </c>
      <c r="AU371" s="121" t="e">
        <v>#N/A</v>
      </c>
      <c r="AV371" s="122" t="e">
        <v>#N/A</v>
      </c>
      <c r="AW371" s="122">
        <v>45853</v>
      </c>
      <c r="AX371" s="122" t="e">
        <v>#N/A</v>
      </c>
      <c r="AY371" s="122" t="e">
        <v>#N/A</v>
      </c>
      <c r="AZ371" s="122" t="e">
        <v>#N/A</v>
      </c>
      <c r="BA371" s="122" t="e">
        <v>#N/A</v>
      </c>
      <c r="BB371" s="122" t="e">
        <v>#N/A</v>
      </c>
      <c r="BC371" s="122" t="e">
        <v>#N/A</v>
      </c>
      <c r="BD371" s="122" t="e">
        <v>#N/A</v>
      </c>
      <c r="BE371" s="122" t="e">
        <v>#N/A</v>
      </c>
      <c r="BF371" s="122" t="e">
        <v>#N/A</v>
      </c>
      <c r="BG371" s="122" t="e">
        <v>#N/A</v>
      </c>
      <c r="BH371" s="122" t="e">
        <v>#N/A</v>
      </c>
      <c r="BI371" s="122" t="e">
        <v>#N/A</v>
      </c>
      <c r="BJ371" s="122" t="e">
        <v>#N/A</v>
      </c>
      <c r="BK371" s="122">
        <v>45974</v>
      </c>
      <c r="BL371" s="123"/>
      <c r="BM371" s="124" t="e">
        <v>#N/A</v>
      </c>
      <c r="BN371" s="124" t="e">
        <v>#N/A</v>
      </c>
      <c r="BO371" s="124" t="e">
        <v>#N/A</v>
      </c>
      <c r="BP371" s="124" t="e">
        <v>#N/A</v>
      </c>
      <c r="BQ371" s="124" t="e">
        <v>#N/A</v>
      </c>
      <c r="BR371" s="124" t="e">
        <v>#N/A</v>
      </c>
      <c r="BS371" s="124" t="e">
        <v>#N/A</v>
      </c>
      <c r="BT371" s="124" t="e">
        <v>#N/A</v>
      </c>
      <c r="BU371" s="124" t="e">
        <v>#N/A</v>
      </c>
      <c r="BV371" s="124" t="e">
        <v>#N/A</v>
      </c>
      <c r="BW371" s="124" t="e">
        <v>#N/A</v>
      </c>
      <c r="BX371" s="124" t="e">
        <v>#N/A</v>
      </c>
      <c r="BY371" s="124" t="e">
        <v>#N/A</v>
      </c>
      <c r="BZ371" s="124" t="e">
        <v>#N/A</v>
      </c>
      <c r="CA371" s="125"/>
      <c r="CB371" s="124">
        <v>45853</v>
      </c>
      <c r="CC371" s="126">
        <v>1</v>
      </c>
      <c r="CD371" s="127" t="s">
        <v>4981</v>
      </c>
      <c r="CE371" s="128"/>
      <c r="CF371" s="77" t="s">
        <v>4192</v>
      </c>
    </row>
    <row r="372" spans="1:84" ht="14.5" x14ac:dyDescent="0.35">
      <c r="A372" s="77">
        <v>371</v>
      </c>
      <c r="B372" s="106" t="s">
        <v>5000</v>
      </c>
      <c r="C372" s="107" t="s">
        <v>6799</v>
      </c>
      <c r="D372" s="108" t="s">
        <v>5001</v>
      </c>
      <c r="E372" s="109" t="s">
        <v>5002</v>
      </c>
      <c r="F372" s="110">
        <v>692978767</v>
      </c>
      <c r="G372" s="108" t="s">
        <v>1004</v>
      </c>
      <c r="H372" s="111" t="s">
        <v>1028</v>
      </c>
      <c r="I372" s="111" t="s">
        <v>180</v>
      </c>
      <c r="J372" s="111" t="s">
        <v>4649</v>
      </c>
      <c r="K372" s="111" t="s">
        <v>3159</v>
      </c>
      <c r="L372" s="112">
        <v>45852</v>
      </c>
      <c r="M372" s="111" t="s">
        <v>2665</v>
      </c>
      <c r="N372" s="113"/>
      <c r="O372" s="114" t="s">
        <v>3831</v>
      </c>
      <c r="P372" s="114" t="s">
        <v>183</v>
      </c>
      <c r="Q372" s="114" t="s">
        <v>585</v>
      </c>
      <c r="R372" s="114" t="s">
        <v>3831</v>
      </c>
      <c r="S372" s="114" t="s">
        <v>183</v>
      </c>
      <c r="T372" s="114" t="s">
        <v>3831</v>
      </c>
      <c r="U372" s="114" t="s">
        <v>3831</v>
      </c>
      <c r="V372" s="115"/>
      <c r="W372" s="116" t="s">
        <v>5003</v>
      </c>
      <c r="X372" s="116" t="s">
        <v>5004</v>
      </c>
      <c r="Y372" s="117">
        <v>3485504</v>
      </c>
      <c r="Z372" s="117">
        <v>3486327</v>
      </c>
      <c r="AA372" s="118"/>
      <c r="AB372" s="119" t="s">
        <v>5005</v>
      </c>
      <c r="AC372" s="119" t="s">
        <v>5006</v>
      </c>
      <c r="AD372" s="119">
        <v>5445</v>
      </c>
      <c r="AE372" s="119" t="s">
        <v>5007</v>
      </c>
      <c r="AF372" s="119">
        <v>0</v>
      </c>
      <c r="AG372" s="120"/>
      <c r="AH372" s="121">
        <v>45853</v>
      </c>
      <c r="AI372" s="121">
        <v>45853</v>
      </c>
      <c r="AJ372" s="121">
        <v>45853</v>
      </c>
      <c r="AK372" s="122">
        <v>45853</v>
      </c>
      <c r="AL372" s="122" t="e">
        <v>#N/A</v>
      </c>
      <c r="AM372" s="121" t="e">
        <v>#N/A</v>
      </c>
      <c r="AN372" s="121" t="e">
        <v>#N/A</v>
      </c>
      <c r="AO372" s="121" t="e">
        <v>#N/A</v>
      </c>
      <c r="AP372" s="122" t="e">
        <v>#N/A</v>
      </c>
      <c r="AQ372" s="122" t="e">
        <v>#N/A</v>
      </c>
      <c r="AR372" s="122" t="e">
        <v>#N/A</v>
      </c>
      <c r="AS372" s="122" t="e">
        <v>#N/A</v>
      </c>
      <c r="AT372" s="122" t="e">
        <v>#N/A</v>
      </c>
      <c r="AU372" s="121" t="e">
        <v>#N/A</v>
      </c>
      <c r="AV372" s="122" t="e">
        <v>#N/A</v>
      </c>
      <c r="AW372" s="122">
        <v>45853</v>
      </c>
      <c r="AX372" s="122" t="e">
        <v>#N/A</v>
      </c>
      <c r="AY372" s="122" t="e">
        <v>#N/A</v>
      </c>
      <c r="AZ372" s="122" t="e">
        <v>#N/A</v>
      </c>
      <c r="BA372" s="122" t="e">
        <v>#N/A</v>
      </c>
      <c r="BB372" s="122" t="e">
        <v>#N/A</v>
      </c>
      <c r="BC372" s="122" t="e">
        <v>#N/A</v>
      </c>
      <c r="BD372" s="122" t="e">
        <v>#N/A</v>
      </c>
      <c r="BE372" s="122" t="e">
        <v>#N/A</v>
      </c>
      <c r="BF372" s="122" t="e">
        <v>#N/A</v>
      </c>
      <c r="BG372" s="122" t="e">
        <v>#N/A</v>
      </c>
      <c r="BH372" s="122" t="e">
        <v>#N/A</v>
      </c>
      <c r="BI372" s="122" t="e">
        <v>#N/A</v>
      </c>
      <c r="BJ372" s="122" t="e">
        <v>#N/A</v>
      </c>
      <c r="BK372" s="122">
        <v>45965</v>
      </c>
      <c r="BL372" s="123"/>
      <c r="BM372" s="124" t="e">
        <v>#N/A</v>
      </c>
      <c r="BN372" s="124" t="e">
        <v>#N/A</v>
      </c>
      <c r="BO372" s="124" t="e">
        <v>#N/A</v>
      </c>
      <c r="BP372" s="124" t="e">
        <v>#N/A</v>
      </c>
      <c r="BQ372" s="124" t="e">
        <v>#N/A</v>
      </c>
      <c r="BR372" s="124" t="e">
        <v>#N/A</v>
      </c>
      <c r="BS372" s="124" t="e">
        <v>#N/A</v>
      </c>
      <c r="BT372" s="124" t="e">
        <v>#N/A</v>
      </c>
      <c r="BU372" s="124" t="e">
        <v>#N/A</v>
      </c>
      <c r="BV372" s="124" t="e">
        <v>#N/A</v>
      </c>
      <c r="BW372" s="124" t="e">
        <v>#N/A</v>
      </c>
      <c r="BX372" s="124" t="e">
        <v>#N/A</v>
      </c>
      <c r="BY372" s="124" t="e">
        <v>#N/A</v>
      </c>
      <c r="BZ372" s="124" t="e">
        <v>#N/A</v>
      </c>
      <c r="CA372" s="125"/>
      <c r="CB372" s="124">
        <v>45853</v>
      </c>
      <c r="CC372" s="126">
        <v>1</v>
      </c>
      <c r="CD372" s="127" t="s">
        <v>4981</v>
      </c>
      <c r="CE372" s="128"/>
      <c r="CF372" s="77" t="s">
        <v>4192</v>
      </c>
    </row>
    <row r="373" spans="1:84" ht="14.5" x14ac:dyDescent="0.35">
      <c r="A373" s="77">
        <v>372</v>
      </c>
      <c r="B373" s="106" t="s">
        <v>4870</v>
      </c>
      <c r="C373" s="107" t="s">
        <v>6809</v>
      </c>
      <c r="D373" s="108" t="s">
        <v>4871</v>
      </c>
      <c r="E373" s="109" t="s">
        <v>4872</v>
      </c>
      <c r="F373" s="110">
        <v>695749549</v>
      </c>
      <c r="G373" s="108" t="s">
        <v>1004</v>
      </c>
      <c r="H373" s="111" t="s">
        <v>1028</v>
      </c>
      <c r="I373" s="111" t="s">
        <v>180</v>
      </c>
      <c r="J373" s="111" t="s">
        <v>4649</v>
      </c>
      <c r="K373" s="111" t="s">
        <v>3159</v>
      </c>
      <c r="L373" s="112">
        <v>45852</v>
      </c>
      <c r="M373" s="111" t="s">
        <v>2665</v>
      </c>
      <c r="N373" s="113"/>
      <c r="O373" s="114" t="s">
        <v>585</v>
      </c>
      <c r="P373" s="114" t="s">
        <v>183</v>
      </c>
      <c r="Q373" s="114" t="s">
        <v>585</v>
      </c>
      <c r="R373" s="114" t="s">
        <v>7296</v>
      </c>
      <c r="S373" s="114" t="s">
        <v>183</v>
      </c>
      <c r="T373" s="114" t="s">
        <v>585</v>
      </c>
      <c r="U373" s="114" t="s">
        <v>585</v>
      </c>
      <c r="V373" s="115"/>
      <c r="W373" s="116" t="s">
        <v>4873</v>
      </c>
      <c r="X373" s="116" t="s">
        <v>4874</v>
      </c>
      <c r="Y373" s="117">
        <v>3487138</v>
      </c>
      <c r="Z373" s="117">
        <v>3486326</v>
      </c>
      <c r="AA373" s="118"/>
      <c r="AB373" s="119" t="s">
        <v>5737</v>
      </c>
      <c r="AC373" s="119" t="s">
        <v>4875</v>
      </c>
      <c r="AD373" s="119">
        <v>5103</v>
      </c>
      <c r="AE373" s="119" t="s">
        <v>4876</v>
      </c>
      <c r="AF373" s="119" t="s">
        <v>7227</v>
      </c>
      <c r="AG373" s="120"/>
      <c r="AH373" s="121">
        <v>45853</v>
      </c>
      <c r="AI373" s="121">
        <v>45853</v>
      </c>
      <c r="AJ373" s="121">
        <v>45853</v>
      </c>
      <c r="AK373" s="122">
        <v>45853</v>
      </c>
      <c r="AL373" s="122" t="e">
        <v>#N/A</v>
      </c>
      <c r="AM373" s="121" t="e">
        <v>#N/A</v>
      </c>
      <c r="AN373" s="121" t="e">
        <v>#N/A</v>
      </c>
      <c r="AO373" s="121" t="e">
        <v>#N/A</v>
      </c>
      <c r="AP373" s="122" t="e">
        <v>#N/A</v>
      </c>
      <c r="AQ373" s="122" t="e">
        <v>#N/A</v>
      </c>
      <c r="AR373" s="122" t="e">
        <v>#N/A</v>
      </c>
      <c r="AS373" s="122" t="e">
        <v>#N/A</v>
      </c>
      <c r="AT373" s="122" t="e">
        <v>#N/A</v>
      </c>
      <c r="AU373" s="121" t="e">
        <v>#N/A</v>
      </c>
      <c r="AV373" s="122" t="e">
        <v>#N/A</v>
      </c>
      <c r="AW373" s="122">
        <v>45853</v>
      </c>
      <c r="AX373" s="122" t="e">
        <v>#N/A</v>
      </c>
      <c r="AY373" s="122" t="e">
        <v>#N/A</v>
      </c>
      <c r="AZ373" s="122" t="e">
        <v>#N/A</v>
      </c>
      <c r="BA373" s="122" t="e">
        <v>#N/A</v>
      </c>
      <c r="BB373" s="122" t="e">
        <v>#N/A</v>
      </c>
      <c r="BC373" s="122" t="e">
        <v>#N/A</v>
      </c>
      <c r="BD373" s="122" t="e">
        <v>#N/A</v>
      </c>
      <c r="BE373" s="122" t="e">
        <v>#N/A</v>
      </c>
      <c r="BF373" s="122" t="e">
        <v>#N/A</v>
      </c>
      <c r="BG373" s="122" t="e">
        <v>#N/A</v>
      </c>
      <c r="BH373" s="122" t="e">
        <v>#N/A</v>
      </c>
      <c r="BI373" s="122" t="e">
        <v>#N/A</v>
      </c>
      <c r="BJ373" s="122" t="e">
        <v>#N/A</v>
      </c>
      <c r="BK373" s="122">
        <v>45960</v>
      </c>
      <c r="BL373" s="123"/>
      <c r="BM373" s="124" t="e">
        <v>#N/A</v>
      </c>
      <c r="BN373" s="124" t="e">
        <v>#N/A</v>
      </c>
      <c r="BO373" s="124" t="e">
        <v>#N/A</v>
      </c>
      <c r="BP373" s="124" t="e">
        <v>#N/A</v>
      </c>
      <c r="BQ373" s="124" t="e">
        <v>#N/A</v>
      </c>
      <c r="BR373" s="124" t="e">
        <v>#N/A</v>
      </c>
      <c r="BS373" s="124" t="e">
        <v>#N/A</v>
      </c>
      <c r="BT373" s="124" t="e">
        <v>#N/A</v>
      </c>
      <c r="BU373" s="124" t="e">
        <v>#N/A</v>
      </c>
      <c r="BV373" s="124" t="e">
        <v>#N/A</v>
      </c>
      <c r="BW373" s="124" t="e">
        <v>#N/A</v>
      </c>
      <c r="BX373" s="124" t="e">
        <v>#N/A</v>
      </c>
      <c r="BY373" s="124" t="e">
        <v>#N/A</v>
      </c>
      <c r="BZ373" s="124" t="e">
        <v>#N/A</v>
      </c>
      <c r="CA373" s="125"/>
      <c r="CB373" s="124">
        <v>45853</v>
      </c>
      <c r="CC373" s="126">
        <v>1</v>
      </c>
      <c r="CD373" s="127" t="s">
        <v>4981</v>
      </c>
      <c r="CE373" s="128"/>
      <c r="CF373" s="77" t="s">
        <v>4192</v>
      </c>
    </row>
    <row r="374" spans="1:84" ht="14.5" x14ac:dyDescent="0.35">
      <c r="A374" s="77">
        <v>373</v>
      </c>
      <c r="B374" s="106" t="s">
        <v>4862</v>
      </c>
      <c r="C374" s="107" t="s">
        <v>6808</v>
      </c>
      <c r="D374" s="108" t="s">
        <v>4863</v>
      </c>
      <c r="E374" s="109" t="s">
        <v>4864</v>
      </c>
      <c r="F374" s="110">
        <v>677075933</v>
      </c>
      <c r="G374" s="108" t="s">
        <v>1004</v>
      </c>
      <c r="H374" s="111" t="s">
        <v>1028</v>
      </c>
      <c r="I374" s="111" t="s">
        <v>180</v>
      </c>
      <c r="J374" s="111" t="s">
        <v>4649</v>
      </c>
      <c r="K374" s="111" t="s">
        <v>3159</v>
      </c>
      <c r="L374" s="112">
        <v>45852</v>
      </c>
      <c r="M374" s="111" t="s">
        <v>2665</v>
      </c>
      <c r="N374" s="113"/>
      <c r="O374" s="114" t="s">
        <v>3831</v>
      </c>
      <c r="P374" s="114" t="s">
        <v>3831</v>
      </c>
      <c r="Q374" s="114" t="s">
        <v>7278</v>
      </c>
      <c r="R374" s="114" t="s">
        <v>6924</v>
      </c>
      <c r="S374" s="114" t="s">
        <v>4356</v>
      </c>
      <c r="T374" s="114" t="s">
        <v>4356</v>
      </c>
      <c r="U374" s="114" t="s">
        <v>6924</v>
      </c>
      <c r="V374" s="115"/>
      <c r="W374" s="116" t="s">
        <v>4865</v>
      </c>
      <c r="X374" s="116" t="s">
        <v>4866</v>
      </c>
      <c r="Y374" s="117">
        <v>3486022</v>
      </c>
      <c r="Z374" s="117">
        <v>3481568</v>
      </c>
      <c r="AA374" s="118"/>
      <c r="AB374" s="119" t="s">
        <v>4867</v>
      </c>
      <c r="AC374" s="119" t="s">
        <v>4868</v>
      </c>
      <c r="AD374" s="119">
        <v>5580</v>
      </c>
      <c r="AE374" s="119" t="s">
        <v>4869</v>
      </c>
      <c r="AF374" s="119" t="s">
        <v>6140</v>
      </c>
      <c r="AG374" s="120"/>
      <c r="AH374" s="121">
        <v>45853</v>
      </c>
      <c r="AI374" s="121">
        <v>45853</v>
      </c>
      <c r="AJ374" s="121">
        <v>45853</v>
      </c>
      <c r="AK374" s="122">
        <v>45853</v>
      </c>
      <c r="AL374" s="122" t="e">
        <v>#N/A</v>
      </c>
      <c r="AM374" s="121" t="e">
        <v>#N/A</v>
      </c>
      <c r="AN374" s="121" t="e">
        <v>#N/A</v>
      </c>
      <c r="AO374" s="121" t="e">
        <v>#N/A</v>
      </c>
      <c r="AP374" s="122" t="e">
        <v>#N/A</v>
      </c>
      <c r="AQ374" s="122" t="e">
        <v>#N/A</v>
      </c>
      <c r="AR374" s="122" t="e">
        <v>#N/A</v>
      </c>
      <c r="AS374" s="122" t="e">
        <v>#N/A</v>
      </c>
      <c r="AT374" s="122" t="e">
        <v>#N/A</v>
      </c>
      <c r="AU374" s="121" t="e">
        <v>#N/A</v>
      </c>
      <c r="AV374" s="122" t="e">
        <v>#N/A</v>
      </c>
      <c r="AW374" s="122">
        <v>45853</v>
      </c>
      <c r="AX374" s="122" t="e">
        <v>#N/A</v>
      </c>
      <c r="AY374" s="122" t="e">
        <v>#N/A</v>
      </c>
      <c r="AZ374" s="122" t="e">
        <v>#N/A</v>
      </c>
      <c r="BA374" s="122" t="e">
        <v>#N/A</v>
      </c>
      <c r="BB374" s="122" t="e">
        <v>#N/A</v>
      </c>
      <c r="BC374" s="122" t="e">
        <v>#N/A</v>
      </c>
      <c r="BD374" s="122" t="e">
        <v>#N/A</v>
      </c>
      <c r="BE374" s="122" t="e">
        <v>#N/A</v>
      </c>
      <c r="BF374" s="122" t="e">
        <v>#N/A</v>
      </c>
      <c r="BG374" s="122" t="e">
        <v>#N/A</v>
      </c>
      <c r="BH374" s="122" t="e">
        <v>#N/A</v>
      </c>
      <c r="BI374" s="122" t="e">
        <v>#N/A</v>
      </c>
      <c r="BJ374" s="122" t="e">
        <v>#N/A</v>
      </c>
      <c r="BK374" s="122">
        <v>45952</v>
      </c>
      <c r="BL374" s="123"/>
      <c r="BM374" s="124" t="e">
        <v>#N/A</v>
      </c>
      <c r="BN374" s="124" t="e">
        <v>#N/A</v>
      </c>
      <c r="BO374" s="124" t="e">
        <v>#N/A</v>
      </c>
      <c r="BP374" s="124" t="e">
        <v>#N/A</v>
      </c>
      <c r="BQ374" s="124" t="e">
        <v>#N/A</v>
      </c>
      <c r="BR374" s="124" t="e">
        <v>#N/A</v>
      </c>
      <c r="BS374" s="124" t="e">
        <v>#N/A</v>
      </c>
      <c r="BT374" s="124" t="e">
        <v>#N/A</v>
      </c>
      <c r="BU374" s="124" t="e">
        <v>#N/A</v>
      </c>
      <c r="BV374" s="124" t="e">
        <v>#N/A</v>
      </c>
      <c r="BW374" s="124" t="e">
        <v>#N/A</v>
      </c>
      <c r="BX374" s="124" t="e">
        <v>#N/A</v>
      </c>
      <c r="BY374" s="124" t="e">
        <v>#N/A</v>
      </c>
      <c r="BZ374" s="124" t="e">
        <v>#N/A</v>
      </c>
      <c r="CA374" s="125"/>
      <c r="CB374" s="124">
        <v>45853</v>
      </c>
      <c r="CC374" s="126">
        <v>1</v>
      </c>
      <c r="CD374" s="127" t="s">
        <v>4981</v>
      </c>
      <c r="CE374" s="128"/>
      <c r="CF374" s="77" t="s">
        <v>4192</v>
      </c>
    </row>
    <row r="375" spans="1:84" ht="14.5" x14ac:dyDescent="0.35">
      <c r="A375" s="77">
        <v>374</v>
      </c>
      <c r="B375" s="106" t="s">
        <v>5044</v>
      </c>
      <c r="C375" s="107" t="s">
        <v>6806</v>
      </c>
      <c r="D375" s="108" t="s">
        <v>5045</v>
      </c>
      <c r="E375" s="109" t="s">
        <v>5046</v>
      </c>
      <c r="F375" s="110">
        <v>602886434</v>
      </c>
      <c r="G375" s="108" t="s">
        <v>1004</v>
      </c>
      <c r="H375" s="111" t="s">
        <v>1028</v>
      </c>
      <c r="I375" s="111" t="s">
        <v>180</v>
      </c>
      <c r="J375" s="111" t="s">
        <v>4649</v>
      </c>
      <c r="K375" s="111" t="s">
        <v>3159</v>
      </c>
      <c r="L375" s="112">
        <v>45852</v>
      </c>
      <c r="M375" s="111" t="s">
        <v>3335</v>
      </c>
      <c r="N375" s="113"/>
      <c r="O375" s="114" t="s">
        <v>6924</v>
      </c>
      <c r="P375" s="114" t="s">
        <v>6924</v>
      </c>
      <c r="Q375" s="114" t="s">
        <v>183</v>
      </c>
      <c r="R375" s="114" t="s">
        <v>7535</v>
      </c>
      <c r="S375" s="114" t="s">
        <v>5177</v>
      </c>
      <c r="T375" s="114" t="s">
        <v>5177</v>
      </c>
      <c r="U375" s="114" t="s">
        <v>5177</v>
      </c>
      <c r="V375" s="115"/>
      <c r="W375" s="116" t="s">
        <v>4880</v>
      </c>
      <c r="X375" s="116" t="s">
        <v>4881</v>
      </c>
      <c r="Y375" s="117">
        <v>3485997</v>
      </c>
      <c r="Z375" s="117">
        <v>3481474</v>
      </c>
      <c r="AA375" s="118"/>
      <c r="AB375" s="119" t="s">
        <v>5853</v>
      </c>
      <c r="AC375" s="119" t="s">
        <v>5047</v>
      </c>
      <c r="AD375" s="119">
        <v>26021</v>
      </c>
      <c r="AE375" s="119" t="s">
        <v>5048</v>
      </c>
      <c r="AF375" s="119" t="s">
        <v>7536</v>
      </c>
      <c r="AG375" s="120"/>
      <c r="AH375" s="121">
        <v>45853</v>
      </c>
      <c r="AI375" s="121">
        <v>45853</v>
      </c>
      <c r="AJ375" s="121">
        <v>45853</v>
      </c>
      <c r="AK375" s="122">
        <v>45853</v>
      </c>
      <c r="AL375" s="122" t="e">
        <v>#N/A</v>
      </c>
      <c r="AM375" s="121" t="e">
        <v>#N/A</v>
      </c>
      <c r="AN375" s="121" t="e">
        <v>#N/A</v>
      </c>
      <c r="AO375" s="121" t="e">
        <v>#N/A</v>
      </c>
      <c r="AP375" s="122" t="e">
        <v>#N/A</v>
      </c>
      <c r="AQ375" s="122" t="e">
        <v>#N/A</v>
      </c>
      <c r="AR375" s="122" t="e">
        <v>#N/A</v>
      </c>
      <c r="AS375" s="122" t="e">
        <v>#N/A</v>
      </c>
      <c r="AT375" s="122" t="e">
        <v>#N/A</v>
      </c>
      <c r="AU375" s="121" t="e">
        <v>#N/A</v>
      </c>
      <c r="AV375" s="122" t="e">
        <v>#N/A</v>
      </c>
      <c r="AW375" s="122">
        <v>45853</v>
      </c>
      <c r="AX375" s="122" t="e">
        <v>#N/A</v>
      </c>
      <c r="AY375" s="122" t="e">
        <v>#N/A</v>
      </c>
      <c r="AZ375" s="122" t="e">
        <v>#N/A</v>
      </c>
      <c r="BA375" s="122" t="e">
        <v>#N/A</v>
      </c>
      <c r="BB375" s="122" t="e">
        <v>#N/A</v>
      </c>
      <c r="BC375" s="122" t="e">
        <v>#N/A</v>
      </c>
      <c r="BD375" s="122" t="e">
        <v>#N/A</v>
      </c>
      <c r="BE375" s="122" t="e">
        <v>#N/A</v>
      </c>
      <c r="BF375" s="122" t="e">
        <v>#N/A</v>
      </c>
      <c r="BG375" s="122" t="e">
        <v>#N/A</v>
      </c>
      <c r="BH375" s="122" t="e">
        <v>#N/A</v>
      </c>
      <c r="BI375" s="122" t="e">
        <v>#N/A</v>
      </c>
      <c r="BJ375" s="122" t="e">
        <v>#N/A</v>
      </c>
      <c r="BK375" s="122">
        <v>45978</v>
      </c>
      <c r="BL375" s="123"/>
      <c r="BM375" s="124" t="e">
        <v>#N/A</v>
      </c>
      <c r="BN375" s="124" t="e">
        <v>#N/A</v>
      </c>
      <c r="BO375" s="124" t="e">
        <v>#N/A</v>
      </c>
      <c r="BP375" s="124" t="e">
        <v>#N/A</v>
      </c>
      <c r="BQ375" s="124" t="e">
        <v>#N/A</v>
      </c>
      <c r="BR375" s="124" t="e">
        <v>#N/A</v>
      </c>
      <c r="BS375" s="124" t="e">
        <v>#N/A</v>
      </c>
      <c r="BT375" s="124" t="e">
        <v>#N/A</v>
      </c>
      <c r="BU375" s="124" t="e">
        <v>#N/A</v>
      </c>
      <c r="BV375" s="124" t="e">
        <v>#N/A</v>
      </c>
      <c r="BW375" s="124" t="e">
        <v>#N/A</v>
      </c>
      <c r="BX375" s="124" t="e">
        <v>#N/A</v>
      </c>
      <c r="BY375" s="124" t="e">
        <v>#N/A</v>
      </c>
      <c r="BZ375" s="124" t="e">
        <v>#N/A</v>
      </c>
      <c r="CA375" s="125"/>
      <c r="CB375" s="124">
        <v>45853</v>
      </c>
      <c r="CC375" s="126">
        <v>1</v>
      </c>
      <c r="CD375" s="127" t="s">
        <v>4984</v>
      </c>
      <c r="CE375" s="128"/>
      <c r="CF375" s="77" t="s">
        <v>4167</v>
      </c>
    </row>
    <row r="376" spans="1:84" ht="14.5" x14ac:dyDescent="0.35">
      <c r="A376" s="77">
        <v>375</v>
      </c>
      <c r="B376" s="106" t="s">
        <v>4832</v>
      </c>
      <c r="C376" s="107" t="s">
        <v>6794</v>
      </c>
      <c r="D376" s="108" t="s">
        <v>4833</v>
      </c>
      <c r="E376" s="109" t="s">
        <v>4834</v>
      </c>
      <c r="F376" s="110">
        <v>692670936</v>
      </c>
      <c r="G376" s="108" t="s">
        <v>1004</v>
      </c>
      <c r="H376" s="111" t="s">
        <v>1028</v>
      </c>
      <c r="I376" s="111" t="s">
        <v>180</v>
      </c>
      <c r="J376" s="111" t="s">
        <v>4649</v>
      </c>
      <c r="K376" s="111" t="s">
        <v>3159</v>
      </c>
      <c r="L376" s="112">
        <v>45852</v>
      </c>
      <c r="M376" s="111" t="s">
        <v>2967</v>
      </c>
      <c r="N376" s="113"/>
      <c r="O376" s="114" t="s">
        <v>5992</v>
      </c>
      <c r="P376" s="114" t="s">
        <v>5992</v>
      </c>
      <c r="Q376" s="114" t="s">
        <v>183</v>
      </c>
      <c r="R376" s="114" t="s">
        <v>7386</v>
      </c>
      <c r="S376" s="114" t="s">
        <v>5992</v>
      </c>
      <c r="T376" s="114" t="s">
        <v>5992</v>
      </c>
      <c r="U376" s="114" t="s">
        <v>5992</v>
      </c>
      <c r="V376" s="115"/>
      <c r="W376" s="116" t="s">
        <v>4982</v>
      </c>
      <c r="X376" s="116" t="s">
        <v>4983</v>
      </c>
      <c r="Y376" s="117">
        <v>3485375</v>
      </c>
      <c r="Z376" s="117">
        <v>3481396</v>
      </c>
      <c r="AA376" s="118"/>
      <c r="AB376" s="119" t="s">
        <v>4837</v>
      </c>
      <c r="AC376" s="119" t="s">
        <v>4838</v>
      </c>
      <c r="AD376" s="119">
        <v>5901</v>
      </c>
      <c r="AE376" s="119" t="s">
        <v>4839</v>
      </c>
      <c r="AF376" s="119" t="s">
        <v>6136</v>
      </c>
      <c r="AG376" s="120"/>
      <c r="AH376" s="121">
        <v>45853</v>
      </c>
      <c r="AI376" s="121">
        <v>45853</v>
      </c>
      <c r="AJ376" s="121">
        <v>45853</v>
      </c>
      <c r="AK376" s="122">
        <v>45853</v>
      </c>
      <c r="AL376" s="122" t="e">
        <v>#N/A</v>
      </c>
      <c r="AM376" s="121" t="e">
        <v>#N/A</v>
      </c>
      <c r="AN376" s="121" t="e">
        <v>#N/A</v>
      </c>
      <c r="AO376" s="121" t="e">
        <v>#N/A</v>
      </c>
      <c r="AP376" s="122" t="e">
        <v>#N/A</v>
      </c>
      <c r="AQ376" s="122" t="e">
        <v>#N/A</v>
      </c>
      <c r="AR376" s="122" t="e">
        <v>#N/A</v>
      </c>
      <c r="AS376" s="122" t="e">
        <v>#N/A</v>
      </c>
      <c r="AT376" s="122" t="e">
        <v>#N/A</v>
      </c>
      <c r="AU376" s="121" t="e">
        <v>#N/A</v>
      </c>
      <c r="AV376" s="122" t="e">
        <v>#N/A</v>
      </c>
      <c r="AW376" s="122">
        <v>45853</v>
      </c>
      <c r="AX376" s="122" t="e">
        <v>#N/A</v>
      </c>
      <c r="AY376" s="122" t="e">
        <v>#N/A</v>
      </c>
      <c r="AZ376" s="122" t="e">
        <v>#N/A</v>
      </c>
      <c r="BA376" s="122" t="e">
        <v>#N/A</v>
      </c>
      <c r="BB376" s="122" t="e">
        <v>#N/A</v>
      </c>
      <c r="BC376" s="122" t="e">
        <v>#N/A</v>
      </c>
      <c r="BD376" s="122" t="e">
        <v>#N/A</v>
      </c>
      <c r="BE376" s="122" t="e">
        <v>#N/A</v>
      </c>
      <c r="BF376" s="122" t="e">
        <v>#N/A</v>
      </c>
      <c r="BG376" s="122" t="e">
        <v>#N/A</v>
      </c>
      <c r="BH376" s="122" t="e">
        <v>#N/A</v>
      </c>
      <c r="BI376" s="122" t="e">
        <v>#N/A</v>
      </c>
      <c r="BJ376" s="122" t="e">
        <v>#N/A</v>
      </c>
      <c r="BK376" s="122">
        <v>45953</v>
      </c>
      <c r="BL376" s="123"/>
      <c r="BM376" s="124" t="e">
        <v>#N/A</v>
      </c>
      <c r="BN376" s="124" t="e">
        <v>#N/A</v>
      </c>
      <c r="BO376" s="124" t="e">
        <v>#N/A</v>
      </c>
      <c r="BP376" s="124" t="e">
        <v>#N/A</v>
      </c>
      <c r="BQ376" s="124" t="e">
        <v>#N/A</v>
      </c>
      <c r="BR376" s="124" t="e">
        <v>#N/A</v>
      </c>
      <c r="BS376" s="124" t="e">
        <v>#N/A</v>
      </c>
      <c r="BT376" s="124" t="e">
        <v>#N/A</v>
      </c>
      <c r="BU376" s="124" t="e">
        <v>#N/A</v>
      </c>
      <c r="BV376" s="124" t="e">
        <v>#N/A</v>
      </c>
      <c r="BW376" s="124" t="e">
        <v>#N/A</v>
      </c>
      <c r="BX376" s="124" t="e">
        <v>#N/A</v>
      </c>
      <c r="BY376" s="124" t="e">
        <v>#N/A</v>
      </c>
      <c r="BZ376" s="124" t="e">
        <v>#N/A</v>
      </c>
      <c r="CA376" s="125"/>
      <c r="CB376" s="124">
        <v>45853</v>
      </c>
      <c r="CC376" s="126">
        <v>1</v>
      </c>
      <c r="CD376" s="127" t="s">
        <v>4984</v>
      </c>
      <c r="CE376" s="128"/>
      <c r="CF376" s="77" t="s">
        <v>4167</v>
      </c>
    </row>
    <row r="377" spans="1:84" ht="14.5" x14ac:dyDescent="0.35">
      <c r="A377" s="77">
        <v>376</v>
      </c>
      <c r="B377" s="106" t="s">
        <v>4877</v>
      </c>
      <c r="C377" s="107" t="s">
        <v>6810</v>
      </c>
      <c r="D377" s="108" t="s">
        <v>4878</v>
      </c>
      <c r="E377" s="109" t="s">
        <v>4879</v>
      </c>
      <c r="F377" s="110">
        <v>722226224</v>
      </c>
      <c r="G377" s="108" t="s">
        <v>1004</v>
      </c>
      <c r="H377" s="111" t="s">
        <v>1028</v>
      </c>
      <c r="I377" s="111" t="s">
        <v>180</v>
      </c>
      <c r="J377" s="111" t="s">
        <v>4649</v>
      </c>
      <c r="K377" s="111" t="s">
        <v>3159</v>
      </c>
      <c r="L377" s="112">
        <v>45852</v>
      </c>
      <c r="M377" s="111" t="s">
        <v>3335</v>
      </c>
      <c r="N377" s="113"/>
      <c r="O377" s="114" t="s">
        <v>367</v>
      </c>
      <c r="P377" s="114" t="s">
        <v>183</v>
      </c>
      <c r="Q377" s="114" t="s">
        <v>7319</v>
      </c>
      <c r="R377" s="114" t="s">
        <v>7296</v>
      </c>
      <c r="S377" s="114" t="s">
        <v>183</v>
      </c>
      <c r="T377" s="114" t="s">
        <v>4477</v>
      </c>
      <c r="U377" s="114" t="s">
        <v>4477</v>
      </c>
      <c r="V377" s="115"/>
      <c r="W377" s="116" t="s">
        <v>4835</v>
      </c>
      <c r="X377" s="116" t="s">
        <v>4836</v>
      </c>
      <c r="Y377" s="117">
        <v>3485999</v>
      </c>
      <c r="Z377" s="117">
        <v>3481418</v>
      </c>
      <c r="AA377" s="118"/>
      <c r="AB377" s="119" t="s">
        <v>5852</v>
      </c>
      <c r="AC377" s="119" t="s">
        <v>4882</v>
      </c>
      <c r="AD377" s="119">
        <v>5910</v>
      </c>
      <c r="AE377" s="119" t="s">
        <v>4883</v>
      </c>
      <c r="AF377" s="119" t="s">
        <v>6137</v>
      </c>
      <c r="AG377" s="120"/>
      <c r="AH377" s="121">
        <v>45853</v>
      </c>
      <c r="AI377" s="121">
        <v>45853</v>
      </c>
      <c r="AJ377" s="121">
        <v>45853</v>
      </c>
      <c r="AK377" s="122">
        <v>45853</v>
      </c>
      <c r="AL377" s="122" t="e">
        <v>#N/A</v>
      </c>
      <c r="AM377" s="121" t="e">
        <v>#N/A</v>
      </c>
      <c r="AN377" s="121" t="e">
        <v>#N/A</v>
      </c>
      <c r="AO377" s="121" t="e">
        <v>#N/A</v>
      </c>
      <c r="AP377" s="122" t="e">
        <v>#N/A</v>
      </c>
      <c r="AQ377" s="122" t="e">
        <v>#N/A</v>
      </c>
      <c r="AR377" s="122" t="e">
        <v>#N/A</v>
      </c>
      <c r="AS377" s="122" t="e">
        <v>#N/A</v>
      </c>
      <c r="AT377" s="122" t="e">
        <v>#N/A</v>
      </c>
      <c r="AU377" s="121" t="e">
        <v>#N/A</v>
      </c>
      <c r="AV377" s="122" t="e">
        <v>#N/A</v>
      </c>
      <c r="AW377" s="122">
        <v>45853</v>
      </c>
      <c r="AX377" s="122" t="e">
        <v>#N/A</v>
      </c>
      <c r="AY377" s="122" t="e">
        <v>#N/A</v>
      </c>
      <c r="AZ377" s="122" t="e">
        <v>#N/A</v>
      </c>
      <c r="BA377" s="122" t="e">
        <v>#N/A</v>
      </c>
      <c r="BB377" s="122" t="e">
        <v>#N/A</v>
      </c>
      <c r="BC377" s="122" t="e">
        <v>#N/A</v>
      </c>
      <c r="BD377" s="122" t="e">
        <v>#N/A</v>
      </c>
      <c r="BE377" s="122" t="e">
        <v>#N/A</v>
      </c>
      <c r="BF377" s="122" t="e">
        <v>#N/A</v>
      </c>
      <c r="BG377" s="122" t="e">
        <v>#N/A</v>
      </c>
      <c r="BH377" s="122" t="e">
        <v>#N/A</v>
      </c>
      <c r="BI377" s="122" t="e">
        <v>#N/A</v>
      </c>
      <c r="BJ377" s="122" t="e">
        <v>#N/A</v>
      </c>
      <c r="BK377" s="122" t="s">
        <v>6040</v>
      </c>
      <c r="BL377" s="123"/>
      <c r="BM377" s="124" t="e">
        <v>#N/A</v>
      </c>
      <c r="BN377" s="124" t="e">
        <v>#N/A</v>
      </c>
      <c r="BO377" s="124" t="e">
        <v>#N/A</v>
      </c>
      <c r="BP377" s="124" t="e">
        <v>#N/A</v>
      </c>
      <c r="BQ377" s="124" t="e">
        <v>#N/A</v>
      </c>
      <c r="BR377" s="124" t="e">
        <v>#N/A</v>
      </c>
      <c r="BS377" s="124" t="e">
        <v>#N/A</v>
      </c>
      <c r="BT377" s="124" t="e">
        <v>#N/A</v>
      </c>
      <c r="BU377" s="124" t="e">
        <v>#N/A</v>
      </c>
      <c r="BV377" s="124" t="e">
        <v>#N/A</v>
      </c>
      <c r="BW377" s="124" t="e">
        <v>#N/A</v>
      </c>
      <c r="BX377" s="124" t="e">
        <v>#N/A</v>
      </c>
      <c r="BY377" s="124" t="e">
        <v>#N/A</v>
      </c>
      <c r="BZ377" s="124" t="e">
        <v>#N/A</v>
      </c>
      <c r="CA377" s="125"/>
      <c r="CB377" s="124">
        <v>45853</v>
      </c>
      <c r="CC377" s="126">
        <v>1</v>
      </c>
      <c r="CD377" s="127" t="s">
        <v>4984</v>
      </c>
      <c r="CE377" s="128"/>
      <c r="CF377" s="77" t="s">
        <v>4163</v>
      </c>
    </row>
    <row r="378" spans="1:84" ht="14.5" x14ac:dyDescent="0.35">
      <c r="A378" s="77">
        <v>377</v>
      </c>
      <c r="B378" s="106" t="s">
        <v>4848</v>
      </c>
      <c r="C378" s="107" t="s">
        <v>6802</v>
      </c>
      <c r="D378" s="108" t="s">
        <v>4849</v>
      </c>
      <c r="E378" s="109" t="s">
        <v>4850</v>
      </c>
      <c r="F378" s="110">
        <v>630900079</v>
      </c>
      <c r="G378" s="108" t="s">
        <v>1004</v>
      </c>
      <c r="H378" s="111" t="s">
        <v>1028</v>
      </c>
      <c r="I378" s="111" t="s">
        <v>180</v>
      </c>
      <c r="J378" s="111" t="s">
        <v>4649</v>
      </c>
      <c r="K378" s="111" t="s">
        <v>4654</v>
      </c>
      <c r="L378" s="112">
        <v>45852</v>
      </c>
      <c r="M378" s="111" t="s">
        <v>2665</v>
      </c>
      <c r="N378" s="113"/>
      <c r="O378" s="114" t="s">
        <v>3831</v>
      </c>
      <c r="P378" s="114" t="s">
        <v>3831</v>
      </c>
      <c r="Q378" s="114" t="s">
        <v>585</v>
      </c>
      <c r="R378" s="114" t="s">
        <v>5177</v>
      </c>
      <c r="S378" s="114" t="s">
        <v>3831</v>
      </c>
      <c r="T378" s="114" t="s">
        <v>183</v>
      </c>
      <c r="U378" s="114" t="s">
        <v>183</v>
      </c>
      <c r="V378" s="115"/>
      <c r="W378" s="116" t="s">
        <v>4851</v>
      </c>
      <c r="X378" s="116" t="s">
        <v>4852</v>
      </c>
      <c r="Y378" s="117">
        <v>3485915</v>
      </c>
      <c r="Z378" s="117">
        <v>3486528</v>
      </c>
      <c r="AA378" s="118"/>
      <c r="AB378" s="119" t="s">
        <v>5850</v>
      </c>
      <c r="AC378" s="119" t="s">
        <v>4853</v>
      </c>
      <c r="AD378" s="119">
        <v>5601</v>
      </c>
      <c r="AE378" s="119" t="s">
        <v>4854</v>
      </c>
      <c r="AF378" s="119" t="s">
        <v>7225</v>
      </c>
      <c r="AG378" s="120"/>
      <c r="AH378" s="121">
        <v>45853</v>
      </c>
      <c r="AI378" s="121">
        <v>45853</v>
      </c>
      <c r="AJ378" s="121">
        <v>45853</v>
      </c>
      <c r="AK378" s="122">
        <v>45853</v>
      </c>
      <c r="AL378" s="122" t="e">
        <v>#N/A</v>
      </c>
      <c r="AM378" s="121" t="e">
        <v>#N/A</v>
      </c>
      <c r="AN378" s="121" t="e">
        <v>#N/A</v>
      </c>
      <c r="AO378" s="121" t="e">
        <v>#N/A</v>
      </c>
      <c r="AP378" s="122" t="e">
        <v>#N/A</v>
      </c>
      <c r="AQ378" s="122" t="e">
        <v>#N/A</v>
      </c>
      <c r="AR378" s="122" t="e">
        <v>#N/A</v>
      </c>
      <c r="AS378" s="122" t="e">
        <v>#N/A</v>
      </c>
      <c r="AT378" s="122" t="e">
        <v>#N/A</v>
      </c>
      <c r="AU378" s="121" t="e">
        <v>#N/A</v>
      </c>
      <c r="AV378" s="122" t="e">
        <v>#N/A</v>
      </c>
      <c r="AW378" s="122">
        <v>45853</v>
      </c>
      <c r="AX378" s="122" t="e">
        <v>#N/A</v>
      </c>
      <c r="AY378" s="122" t="e">
        <v>#N/A</v>
      </c>
      <c r="AZ378" s="122" t="e">
        <v>#N/A</v>
      </c>
      <c r="BA378" s="122" t="e">
        <v>#N/A</v>
      </c>
      <c r="BB378" s="122" t="e">
        <v>#N/A</v>
      </c>
      <c r="BC378" s="122" t="e">
        <v>#N/A</v>
      </c>
      <c r="BD378" s="122" t="e">
        <v>#N/A</v>
      </c>
      <c r="BE378" s="122" t="e">
        <v>#N/A</v>
      </c>
      <c r="BF378" s="122" t="e">
        <v>#N/A</v>
      </c>
      <c r="BG378" s="122" t="e">
        <v>#N/A</v>
      </c>
      <c r="BH378" s="122" t="e">
        <v>#N/A</v>
      </c>
      <c r="BI378" s="122" t="e">
        <v>#N/A</v>
      </c>
      <c r="BJ378" s="122" t="e">
        <v>#N/A</v>
      </c>
      <c r="BK378" s="122">
        <v>45960</v>
      </c>
      <c r="BL378" s="123"/>
      <c r="BM378" s="124" t="e">
        <v>#N/A</v>
      </c>
      <c r="BN378" s="124" t="e">
        <v>#N/A</v>
      </c>
      <c r="BO378" s="124" t="e">
        <v>#N/A</v>
      </c>
      <c r="BP378" s="124" t="e">
        <v>#N/A</v>
      </c>
      <c r="BQ378" s="124" t="e">
        <v>#N/A</v>
      </c>
      <c r="BR378" s="124" t="e">
        <v>#N/A</v>
      </c>
      <c r="BS378" s="124" t="e">
        <v>#N/A</v>
      </c>
      <c r="BT378" s="124" t="e">
        <v>#N/A</v>
      </c>
      <c r="BU378" s="124" t="e">
        <v>#N/A</v>
      </c>
      <c r="BV378" s="124" t="e">
        <v>#N/A</v>
      </c>
      <c r="BW378" s="124" t="e">
        <v>#N/A</v>
      </c>
      <c r="BX378" s="124" t="e">
        <v>#N/A</v>
      </c>
      <c r="BY378" s="124" t="e">
        <v>#N/A</v>
      </c>
      <c r="BZ378" s="124" t="e">
        <v>#N/A</v>
      </c>
      <c r="CA378" s="125"/>
      <c r="CB378" s="124">
        <v>45853</v>
      </c>
      <c r="CC378" s="126">
        <v>1</v>
      </c>
      <c r="CD378" s="127" t="s">
        <v>4981</v>
      </c>
      <c r="CE378" s="128"/>
      <c r="CF378" s="77" t="s">
        <v>4175</v>
      </c>
    </row>
    <row r="379" spans="1:84" ht="14.5" x14ac:dyDescent="0.35">
      <c r="A379" s="77">
        <v>378</v>
      </c>
      <c r="B379" s="106" t="s">
        <v>4825</v>
      </c>
      <c r="C379" s="107" t="s">
        <v>6793</v>
      </c>
      <c r="D379" s="108" t="s">
        <v>4826</v>
      </c>
      <c r="E379" s="109" t="s">
        <v>4827</v>
      </c>
      <c r="F379" s="110">
        <v>645241170</v>
      </c>
      <c r="G379" s="108" t="s">
        <v>1004</v>
      </c>
      <c r="H379" s="111" t="s">
        <v>1028</v>
      </c>
      <c r="I379" s="111" t="s">
        <v>180</v>
      </c>
      <c r="J379" s="111" t="s">
        <v>4649</v>
      </c>
      <c r="K379" s="111" t="s">
        <v>3159</v>
      </c>
      <c r="L379" s="112">
        <v>45852</v>
      </c>
      <c r="M379" s="111" t="s">
        <v>2665</v>
      </c>
      <c r="N379" s="113"/>
      <c r="O379" s="114" t="s">
        <v>5177</v>
      </c>
      <c r="P379" s="114" t="s">
        <v>5177</v>
      </c>
      <c r="Q379" s="114" t="s">
        <v>585</v>
      </c>
      <c r="R379" s="114" t="s">
        <v>7537</v>
      </c>
      <c r="S379" s="114" t="s">
        <v>5177</v>
      </c>
      <c r="T379" s="114" t="s">
        <v>183</v>
      </c>
      <c r="U379" s="114" t="s">
        <v>183</v>
      </c>
      <c r="V379" s="115"/>
      <c r="W379" s="116" t="s">
        <v>4828</v>
      </c>
      <c r="X379" s="116" t="s">
        <v>4829</v>
      </c>
      <c r="Y379" s="117">
        <v>3485472</v>
      </c>
      <c r="Z379" s="117">
        <v>3486666</v>
      </c>
      <c r="AA379" s="118"/>
      <c r="AB379" s="119" t="s">
        <v>5738</v>
      </c>
      <c r="AC379" s="119" t="s">
        <v>4830</v>
      </c>
      <c r="AD379" s="119">
        <v>5534</v>
      </c>
      <c r="AE379" s="119" t="s">
        <v>4831</v>
      </c>
      <c r="AF379" s="119" t="s">
        <v>6139</v>
      </c>
      <c r="AG379" s="120"/>
      <c r="AH379" s="121">
        <v>45853</v>
      </c>
      <c r="AI379" s="121">
        <v>45853</v>
      </c>
      <c r="AJ379" s="121">
        <v>45853</v>
      </c>
      <c r="AK379" s="122">
        <v>45853</v>
      </c>
      <c r="AL379" s="122" t="e">
        <v>#N/A</v>
      </c>
      <c r="AM379" s="122" t="e">
        <v>#N/A</v>
      </c>
      <c r="AN379" s="122" t="e">
        <v>#N/A</v>
      </c>
      <c r="AO379" s="121" t="e">
        <v>#N/A</v>
      </c>
      <c r="AP379" s="122" t="e">
        <v>#N/A</v>
      </c>
      <c r="AQ379" s="122" t="e">
        <v>#N/A</v>
      </c>
      <c r="AR379" s="122" t="e">
        <v>#N/A</v>
      </c>
      <c r="AS379" s="122" t="e">
        <v>#N/A</v>
      </c>
      <c r="AT379" s="122" t="e">
        <v>#N/A</v>
      </c>
      <c r="AU379" s="121" t="e">
        <v>#N/A</v>
      </c>
      <c r="AV379" s="122" t="e">
        <v>#N/A</v>
      </c>
      <c r="AW379" s="122">
        <v>45853</v>
      </c>
      <c r="AX379" s="122" t="e">
        <v>#N/A</v>
      </c>
      <c r="AY379" s="122" t="e">
        <v>#N/A</v>
      </c>
      <c r="AZ379" s="122" t="e">
        <v>#N/A</v>
      </c>
      <c r="BA379" s="122" t="e">
        <v>#N/A</v>
      </c>
      <c r="BB379" s="122" t="e">
        <v>#N/A</v>
      </c>
      <c r="BC379" s="122" t="e">
        <v>#N/A</v>
      </c>
      <c r="BD379" s="122" t="e">
        <v>#N/A</v>
      </c>
      <c r="BE379" s="122" t="e">
        <v>#N/A</v>
      </c>
      <c r="BF379" s="122" t="e">
        <v>#N/A</v>
      </c>
      <c r="BG379" s="122" t="e">
        <v>#N/A</v>
      </c>
      <c r="BH379" s="122" t="e">
        <v>#N/A</v>
      </c>
      <c r="BI379" s="122" t="e">
        <v>#N/A</v>
      </c>
      <c r="BJ379" s="122" t="e">
        <v>#N/A</v>
      </c>
      <c r="BK379" s="122">
        <v>45958</v>
      </c>
      <c r="BL379" s="123"/>
      <c r="BM379" s="124" t="e">
        <v>#N/A</v>
      </c>
      <c r="BN379" s="124" t="e">
        <v>#N/A</v>
      </c>
      <c r="BO379" s="124" t="e">
        <v>#N/A</v>
      </c>
      <c r="BP379" s="124" t="e">
        <v>#N/A</v>
      </c>
      <c r="BQ379" s="124" t="e">
        <v>#N/A</v>
      </c>
      <c r="BR379" s="124" t="e">
        <v>#N/A</v>
      </c>
      <c r="BS379" s="124" t="e">
        <v>#N/A</v>
      </c>
      <c r="BT379" s="124" t="e">
        <v>#N/A</v>
      </c>
      <c r="BU379" s="124" t="e">
        <v>#N/A</v>
      </c>
      <c r="BV379" s="124" t="e">
        <v>#N/A</v>
      </c>
      <c r="BW379" s="124" t="e">
        <v>#N/A</v>
      </c>
      <c r="BX379" s="124" t="e">
        <v>#N/A</v>
      </c>
      <c r="BY379" s="124" t="e">
        <v>#N/A</v>
      </c>
      <c r="BZ379" s="124" t="e">
        <v>#N/A</v>
      </c>
      <c r="CA379" s="125"/>
      <c r="CB379" s="124">
        <v>45853</v>
      </c>
      <c r="CC379" s="126">
        <v>1</v>
      </c>
      <c r="CD379" s="127" t="s">
        <v>4981</v>
      </c>
      <c r="CE379" s="128"/>
      <c r="CF379" s="77" t="s">
        <v>4163</v>
      </c>
    </row>
    <row r="380" spans="1:84" ht="14.5" x14ac:dyDescent="0.35">
      <c r="A380" s="77">
        <v>379</v>
      </c>
      <c r="B380" s="106" t="s">
        <v>5016</v>
      </c>
      <c r="C380" s="107" t="s">
        <v>6801</v>
      </c>
      <c r="D380" s="108" t="s">
        <v>5017</v>
      </c>
      <c r="E380" s="109" t="s">
        <v>5018</v>
      </c>
      <c r="F380" s="110">
        <v>610166181</v>
      </c>
      <c r="G380" s="108" t="s">
        <v>1004</v>
      </c>
      <c r="H380" s="111" t="s">
        <v>1028</v>
      </c>
      <c r="I380" s="111" t="s">
        <v>180</v>
      </c>
      <c r="J380" s="111" t="s">
        <v>4649</v>
      </c>
      <c r="K380" s="111" t="s">
        <v>3159</v>
      </c>
      <c r="L380" s="112">
        <v>45852</v>
      </c>
      <c r="M380" s="111" t="s">
        <v>2665</v>
      </c>
      <c r="N380" s="113"/>
      <c r="O380" s="114" t="s">
        <v>5177</v>
      </c>
      <c r="P380" s="114" t="s">
        <v>5177</v>
      </c>
      <c r="Q380" s="114" t="s">
        <v>585</v>
      </c>
      <c r="R380" s="114" t="s">
        <v>5177</v>
      </c>
      <c r="S380" s="114" t="s">
        <v>5177</v>
      </c>
      <c r="T380" s="114" t="s">
        <v>183</v>
      </c>
      <c r="U380" s="114" t="s">
        <v>183</v>
      </c>
      <c r="V380" s="115"/>
      <c r="W380" s="116" t="s">
        <v>5019</v>
      </c>
      <c r="X380" s="116" t="s">
        <v>5020</v>
      </c>
      <c r="Y380" s="117">
        <v>3485857</v>
      </c>
      <c r="Z380" s="117">
        <v>3486718</v>
      </c>
      <c r="AA380" s="118"/>
      <c r="AB380" s="119" t="s">
        <v>5651</v>
      </c>
      <c r="AC380" s="119" t="s">
        <v>5021</v>
      </c>
      <c r="AD380" s="119">
        <v>5590</v>
      </c>
      <c r="AE380" s="119" t="s">
        <v>5022</v>
      </c>
      <c r="AF380" s="119" t="s">
        <v>7224</v>
      </c>
      <c r="AG380" s="120"/>
      <c r="AH380" s="121">
        <v>45853</v>
      </c>
      <c r="AI380" s="121">
        <v>45853</v>
      </c>
      <c r="AJ380" s="121">
        <v>45853</v>
      </c>
      <c r="AK380" s="122">
        <v>45853</v>
      </c>
      <c r="AL380" s="122">
        <v>46007</v>
      </c>
      <c r="AM380" s="121" t="e">
        <v>#N/A</v>
      </c>
      <c r="AN380" s="121">
        <v>46007</v>
      </c>
      <c r="AO380" s="121">
        <v>46008</v>
      </c>
      <c r="AP380" s="122" t="e">
        <v>#N/A</v>
      </c>
      <c r="AQ380" s="122" t="e">
        <v>#N/A</v>
      </c>
      <c r="AR380" s="122">
        <v>46007</v>
      </c>
      <c r="AS380" s="122" t="e">
        <v>#N/A</v>
      </c>
      <c r="AT380" s="122" t="e">
        <v>#N/A</v>
      </c>
      <c r="AU380" s="121" t="e">
        <v>#N/A</v>
      </c>
      <c r="AV380" s="122" t="e">
        <v>#N/A</v>
      </c>
      <c r="AW380" s="122">
        <v>45853</v>
      </c>
      <c r="AX380" s="122" t="e">
        <v>#N/A</v>
      </c>
      <c r="AY380" s="122" t="e">
        <v>#N/A</v>
      </c>
      <c r="AZ380" s="122">
        <v>46007</v>
      </c>
      <c r="BA380" s="122" t="e">
        <v>#N/A</v>
      </c>
      <c r="BB380" s="122" t="e">
        <v>#N/A</v>
      </c>
      <c r="BC380" s="122" t="e">
        <v>#N/A</v>
      </c>
      <c r="BD380" s="122" t="e">
        <v>#N/A</v>
      </c>
      <c r="BE380" s="122" t="e">
        <v>#N/A</v>
      </c>
      <c r="BF380" s="122" t="e">
        <v>#N/A</v>
      </c>
      <c r="BG380" s="122" t="e">
        <v>#N/A</v>
      </c>
      <c r="BH380" s="122" t="e">
        <v>#N/A</v>
      </c>
      <c r="BI380" s="122" t="e">
        <v>#N/A</v>
      </c>
      <c r="BJ380" s="122" t="e">
        <v>#N/A</v>
      </c>
      <c r="BK380" s="122">
        <v>45960</v>
      </c>
      <c r="BL380" s="123"/>
      <c r="BM380" s="124" t="e">
        <v>#N/A</v>
      </c>
      <c r="BN380" s="124" t="e">
        <v>#N/A</v>
      </c>
      <c r="BO380" s="124" t="e">
        <v>#N/A</v>
      </c>
      <c r="BP380" s="124" t="e">
        <v>#N/A</v>
      </c>
      <c r="BQ380" s="124" t="e">
        <v>#N/A</v>
      </c>
      <c r="BR380" s="124" t="e">
        <v>#N/A</v>
      </c>
      <c r="BS380" s="124" t="e">
        <v>#N/A</v>
      </c>
      <c r="BT380" s="124" t="e">
        <v>#N/A</v>
      </c>
      <c r="BU380" s="124" t="e">
        <v>#N/A</v>
      </c>
      <c r="BV380" s="124" t="e">
        <v>#N/A</v>
      </c>
      <c r="BW380" s="124" t="e">
        <v>#N/A</v>
      </c>
      <c r="BX380" s="124" t="e">
        <v>#N/A</v>
      </c>
      <c r="BY380" s="124" t="e">
        <v>#N/A</v>
      </c>
      <c r="BZ380" s="124" t="e">
        <v>#N/A</v>
      </c>
      <c r="CA380" s="125"/>
      <c r="CB380" s="124">
        <v>45853</v>
      </c>
      <c r="CC380" s="126">
        <v>1</v>
      </c>
      <c r="CD380" s="127" t="s">
        <v>4981</v>
      </c>
      <c r="CE380" s="128"/>
      <c r="CF380" s="77" t="s">
        <v>4163</v>
      </c>
    </row>
    <row r="381" spans="1:84" ht="14.5" x14ac:dyDescent="0.35">
      <c r="A381" s="77">
        <v>380</v>
      </c>
      <c r="B381" s="106" t="s">
        <v>4993</v>
      </c>
      <c r="C381" s="107" t="s">
        <v>6797</v>
      </c>
      <c r="D381" s="108" t="s">
        <v>4994</v>
      </c>
      <c r="E381" s="109" t="s">
        <v>4995</v>
      </c>
      <c r="F381" s="110">
        <v>692639899</v>
      </c>
      <c r="G381" s="108" t="s">
        <v>1004</v>
      </c>
      <c r="H381" s="111" t="s">
        <v>1028</v>
      </c>
      <c r="I381" s="111" t="s">
        <v>180</v>
      </c>
      <c r="J381" s="111" t="s">
        <v>4649</v>
      </c>
      <c r="K381" s="111" t="s">
        <v>3159</v>
      </c>
      <c r="L381" s="112">
        <v>45852</v>
      </c>
      <c r="M381" s="111" t="s">
        <v>2665</v>
      </c>
      <c r="N381" s="113"/>
      <c r="O381" s="114" t="s">
        <v>5177</v>
      </c>
      <c r="P381" s="114" t="s">
        <v>5177</v>
      </c>
      <c r="Q381" s="114" t="s">
        <v>585</v>
      </c>
      <c r="R381" s="114" t="s">
        <v>7382</v>
      </c>
      <c r="S381" s="114" t="s">
        <v>5177</v>
      </c>
      <c r="T381" s="114" t="s">
        <v>183</v>
      </c>
      <c r="U381" s="114" t="s">
        <v>183</v>
      </c>
      <c r="V381" s="115"/>
      <c r="W381" s="116" t="s">
        <v>4996</v>
      </c>
      <c r="X381" s="116" t="s">
        <v>4997</v>
      </c>
      <c r="Y381" s="117">
        <v>3487139</v>
      </c>
      <c r="Z381" s="117">
        <v>3486207</v>
      </c>
      <c r="AA381" s="118"/>
      <c r="AB381" s="119" t="s">
        <v>5561</v>
      </c>
      <c r="AC381" s="119" t="s">
        <v>4998</v>
      </c>
      <c r="AD381" s="119">
        <v>5140</v>
      </c>
      <c r="AE381" s="119" t="s">
        <v>4999</v>
      </c>
      <c r="AF381" s="119" t="s">
        <v>7223</v>
      </c>
      <c r="AG381" s="120"/>
      <c r="AH381" s="121">
        <v>45853</v>
      </c>
      <c r="AI381" s="121">
        <v>45853</v>
      </c>
      <c r="AJ381" s="121">
        <v>45853</v>
      </c>
      <c r="AK381" s="122">
        <v>45853</v>
      </c>
      <c r="AL381" s="122" t="e">
        <v>#N/A</v>
      </c>
      <c r="AM381" s="122" t="e">
        <v>#N/A</v>
      </c>
      <c r="AN381" s="122" t="e">
        <v>#N/A</v>
      </c>
      <c r="AO381" s="121" t="e">
        <v>#N/A</v>
      </c>
      <c r="AP381" s="122" t="e">
        <v>#N/A</v>
      </c>
      <c r="AQ381" s="122" t="e">
        <v>#N/A</v>
      </c>
      <c r="AR381" s="122" t="e">
        <v>#N/A</v>
      </c>
      <c r="AS381" s="122" t="e">
        <v>#N/A</v>
      </c>
      <c r="AT381" s="122" t="e">
        <v>#N/A</v>
      </c>
      <c r="AU381" s="121" t="e">
        <v>#N/A</v>
      </c>
      <c r="AV381" s="122" t="e">
        <v>#N/A</v>
      </c>
      <c r="AW381" s="122">
        <v>45853</v>
      </c>
      <c r="AX381" s="122" t="e">
        <v>#N/A</v>
      </c>
      <c r="AY381" s="122" t="e">
        <v>#N/A</v>
      </c>
      <c r="AZ381" s="122" t="e">
        <v>#N/A</v>
      </c>
      <c r="BA381" s="122" t="e">
        <v>#N/A</v>
      </c>
      <c r="BB381" s="122" t="e">
        <v>#N/A</v>
      </c>
      <c r="BC381" s="122" t="e">
        <v>#N/A</v>
      </c>
      <c r="BD381" s="122" t="e">
        <v>#N/A</v>
      </c>
      <c r="BE381" s="122" t="e">
        <v>#N/A</v>
      </c>
      <c r="BF381" s="122" t="e">
        <v>#N/A</v>
      </c>
      <c r="BG381" s="122" t="e">
        <v>#N/A</v>
      </c>
      <c r="BH381" s="122" t="e">
        <v>#N/A</v>
      </c>
      <c r="BI381" s="122" t="e">
        <v>#N/A</v>
      </c>
      <c r="BJ381" s="122" t="e">
        <v>#N/A</v>
      </c>
      <c r="BK381" s="122">
        <v>45960</v>
      </c>
      <c r="BL381" s="123"/>
      <c r="BM381" s="124" t="e">
        <v>#N/A</v>
      </c>
      <c r="BN381" s="124" t="e">
        <v>#N/A</v>
      </c>
      <c r="BO381" s="124" t="e">
        <v>#N/A</v>
      </c>
      <c r="BP381" s="124" t="e">
        <v>#N/A</v>
      </c>
      <c r="BQ381" s="124" t="e">
        <v>#N/A</v>
      </c>
      <c r="BR381" s="124" t="e">
        <v>#N/A</v>
      </c>
      <c r="BS381" s="124" t="e">
        <v>#N/A</v>
      </c>
      <c r="BT381" s="124" t="e">
        <v>#N/A</v>
      </c>
      <c r="BU381" s="124" t="e">
        <v>#N/A</v>
      </c>
      <c r="BV381" s="124" t="e">
        <v>#N/A</v>
      </c>
      <c r="BW381" s="124" t="e">
        <v>#N/A</v>
      </c>
      <c r="BX381" s="124" t="e">
        <v>#N/A</v>
      </c>
      <c r="BY381" s="124" t="e">
        <v>#N/A</v>
      </c>
      <c r="BZ381" s="124" t="e">
        <v>#N/A</v>
      </c>
      <c r="CA381" s="125"/>
      <c r="CB381" s="124">
        <v>45853</v>
      </c>
      <c r="CC381" s="126">
        <v>1</v>
      </c>
      <c r="CD381" s="127" t="s">
        <v>4981</v>
      </c>
      <c r="CE381" s="128"/>
      <c r="CF381" s="77" t="s">
        <v>4163</v>
      </c>
    </row>
    <row r="382" spans="1:84" ht="14.5" x14ac:dyDescent="0.35">
      <c r="A382" s="77">
        <v>381</v>
      </c>
      <c r="B382" s="106" t="s">
        <v>4986</v>
      </c>
      <c r="C382" s="107" t="s">
        <v>6796</v>
      </c>
      <c r="D382" s="108" t="s">
        <v>4987</v>
      </c>
      <c r="E382" s="109" t="s">
        <v>4988</v>
      </c>
      <c r="F382" s="110">
        <v>643004606</v>
      </c>
      <c r="G382" s="108" t="s">
        <v>1004</v>
      </c>
      <c r="H382" s="111" t="s">
        <v>1028</v>
      </c>
      <c r="I382" s="111" t="s">
        <v>180</v>
      </c>
      <c r="J382" s="111" t="s">
        <v>4649</v>
      </c>
      <c r="K382" s="111" t="s">
        <v>3159</v>
      </c>
      <c r="L382" s="112">
        <v>45852</v>
      </c>
      <c r="M382" s="111" t="s">
        <v>2665</v>
      </c>
      <c r="N382" s="113"/>
      <c r="O382" s="114" t="s">
        <v>182</v>
      </c>
      <c r="P382" s="114" t="s">
        <v>183</v>
      </c>
      <c r="Q382" s="114" t="s">
        <v>184</v>
      </c>
      <c r="R382" s="114" t="s">
        <v>7316</v>
      </c>
      <c r="S382" s="114" t="s">
        <v>183</v>
      </c>
      <c r="T382" s="114" t="s">
        <v>182</v>
      </c>
      <c r="U382" s="114" t="s">
        <v>182</v>
      </c>
      <c r="V382" s="115"/>
      <c r="W382" s="116" t="s">
        <v>4989</v>
      </c>
      <c r="X382" s="116" t="s">
        <v>4990</v>
      </c>
      <c r="Y382" s="117">
        <v>3485487</v>
      </c>
      <c r="Z382" s="117">
        <v>3486255</v>
      </c>
      <c r="AA382" s="118"/>
      <c r="AB382" s="119" t="s">
        <v>5736</v>
      </c>
      <c r="AC382" s="119" t="s">
        <v>4991</v>
      </c>
      <c r="AD382" s="119">
        <v>5486</v>
      </c>
      <c r="AE382" s="119" t="s">
        <v>4992</v>
      </c>
      <c r="AF382" s="119" t="s">
        <v>6141</v>
      </c>
      <c r="AG382" s="120"/>
      <c r="AH382" s="121">
        <v>45853</v>
      </c>
      <c r="AI382" s="121">
        <v>45853</v>
      </c>
      <c r="AJ382" s="121">
        <v>45853</v>
      </c>
      <c r="AK382" s="122">
        <v>45853</v>
      </c>
      <c r="AL382" s="122" t="e">
        <v>#N/A</v>
      </c>
      <c r="AM382" s="122" t="e">
        <v>#N/A</v>
      </c>
      <c r="AN382" s="122" t="e">
        <v>#N/A</v>
      </c>
      <c r="AO382" s="121" t="e">
        <v>#N/A</v>
      </c>
      <c r="AP382" s="122" t="e">
        <v>#N/A</v>
      </c>
      <c r="AQ382" s="122" t="e">
        <v>#N/A</v>
      </c>
      <c r="AR382" s="122" t="e">
        <v>#N/A</v>
      </c>
      <c r="AS382" s="122" t="e">
        <v>#N/A</v>
      </c>
      <c r="AT382" s="122" t="e">
        <v>#N/A</v>
      </c>
      <c r="AU382" s="121" t="e">
        <v>#N/A</v>
      </c>
      <c r="AV382" s="122" t="e">
        <v>#N/A</v>
      </c>
      <c r="AW382" s="122">
        <v>45853</v>
      </c>
      <c r="AX382" s="122" t="e">
        <v>#N/A</v>
      </c>
      <c r="AY382" s="122" t="e">
        <v>#N/A</v>
      </c>
      <c r="AZ382" s="122" t="e">
        <v>#N/A</v>
      </c>
      <c r="BA382" s="122" t="e">
        <v>#N/A</v>
      </c>
      <c r="BB382" s="122" t="e">
        <v>#N/A</v>
      </c>
      <c r="BC382" s="122" t="e">
        <v>#N/A</v>
      </c>
      <c r="BD382" s="122" t="e">
        <v>#N/A</v>
      </c>
      <c r="BE382" s="122" t="e">
        <v>#N/A</v>
      </c>
      <c r="BF382" s="122" t="e">
        <v>#N/A</v>
      </c>
      <c r="BG382" s="122" t="e">
        <v>#N/A</v>
      </c>
      <c r="BH382" s="122" t="e">
        <v>#N/A</v>
      </c>
      <c r="BI382" s="122" t="e">
        <v>#N/A</v>
      </c>
      <c r="BJ382" s="122" t="e">
        <v>#N/A</v>
      </c>
      <c r="BK382" s="122">
        <v>45952</v>
      </c>
      <c r="BL382" s="123"/>
      <c r="BM382" s="124" t="e">
        <v>#N/A</v>
      </c>
      <c r="BN382" s="124" t="e">
        <v>#N/A</v>
      </c>
      <c r="BO382" s="124" t="e">
        <v>#N/A</v>
      </c>
      <c r="BP382" s="124" t="e">
        <v>#N/A</v>
      </c>
      <c r="BQ382" s="124" t="e">
        <v>#N/A</v>
      </c>
      <c r="BR382" s="124" t="e">
        <v>#N/A</v>
      </c>
      <c r="BS382" s="124" t="e">
        <v>#N/A</v>
      </c>
      <c r="BT382" s="124" t="e">
        <v>#N/A</v>
      </c>
      <c r="BU382" s="124" t="e">
        <v>#N/A</v>
      </c>
      <c r="BV382" s="124" t="e">
        <v>#N/A</v>
      </c>
      <c r="BW382" s="124" t="e">
        <v>#N/A</v>
      </c>
      <c r="BX382" s="124" t="e">
        <v>#N/A</v>
      </c>
      <c r="BY382" s="124" t="e">
        <v>#N/A</v>
      </c>
      <c r="BZ382" s="124" t="e">
        <v>#N/A</v>
      </c>
      <c r="CA382" s="125"/>
      <c r="CB382" s="124">
        <v>45853</v>
      </c>
      <c r="CC382" s="126">
        <v>1</v>
      </c>
      <c r="CD382" s="127" t="s">
        <v>4981</v>
      </c>
      <c r="CE382" s="128"/>
      <c r="CF382" s="77" t="s">
        <v>4163</v>
      </c>
    </row>
    <row r="383" spans="1:84" ht="14.5" x14ac:dyDescent="0.35">
      <c r="A383" s="77">
        <v>382</v>
      </c>
      <c r="B383" s="106" t="s">
        <v>5030</v>
      </c>
      <c r="C383" s="107" t="s">
        <v>6804</v>
      </c>
      <c r="D383" s="108" t="s">
        <v>5031</v>
      </c>
      <c r="E383" s="109" t="s">
        <v>5032</v>
      </c>
      <c r="F383" s="110">
        <v>610693771</v>
      </c>
      <c r="G383" s="108" t="s">
        <v>1004</v>
      </c>
      <c r="H383" s="111" t="s">
        <v>1028</v>
      </c>
      <c r="I383" s="111" t="s">
        <v>180</v>
      </c>
      <c r="J383" s="111" t="s">
        <v>4649</v>
      </c>
      <c r="K383" s="111" t="s">
        <v>3159</v>
      </c>
      <c r="L383" s="112">
        <v>45852</v>
      </c>
      <c r="M383" s="111" t="s">
        <v>4035</v>
      </c>
      <c r="N383" s="113"/>
      <c r="O383" s="114" t="s">
        <v>4477</v>
      </c>
      <c r="P383" s="114" t="s">
        <v>4477</v>
      </c>
      <c r="Q383" s="114" t="s">
        <v>4477</v>
      </c>
      <c r="R383" s="114" t="s">
        <v>7386</v>
      </c>
      <c r="S383" s="114" t="s">
        <v>183</v>
      </c>
      <c r="T383" s="114" t="s">
        <v>585</v>
      </c>
      <c r="U383" s="114" t="s">
        <v>585</v>
      </c>
      <c r="V383" s="115"/>
      <c r="W383" s="116" t="s">
        <v>5033</v>
      </c>
      <c r="X383" s="116" t="s">
        <v>5034</v>
      </c>
      <c r="Y383" s="117">
        <v>3485919</v>
      </c>
      <c r="Z383" s="117">
        <v>3486868</v>
      </c>
      <c r="AA383" s="118"/>
      <c r="AB383" s="119" t="s">
        <v>5650</v>
      </c>
      <c r="AC383" s="119" t="s">
        <v>5035</v>
      </c>
      <c r="AD383" s="119">
        <v>5871</v>
      </c>
      <c r="AE383" s="119" t="s">
        <v>5036</v>
      </c>
      <c r="AF383" s="119" t="s">
        <v>6135</v>
      </c>
      <c r="AG383" s="120"/>
      <c r="AH383" s="121">
        <v>45853</v>
      </c>
      <c r="AI383" s="121">
        <v>45853</v>
      </c>
      <c r="AJ383" s="121">
        <v>45853</v>
      </c>
      <c r="AK383" s="122">
        <v>45853</v>
      </c>
      <c r="AL383" s="122">
        <v>46000</v>
      </c>
      <c r="AM383" s="121" t="e">
        <v>#N/A</v>
      </c>
      <c r="AN383" s="121">
        <v>46000</v>
      </c>
      <c r="AO383" s="121">
        <v>46000</v>
      </c>
      <c r="AP383" s="122" t="e">
        <v>#N/A</v>
      </c>
      <c r="AQ383" s="122" t="e">
        <v>#N/A</v>
      </c>
      <c r="AR383" s="122">
        <v>46000</v>
      </c>
      <c r="AS383" s="122" t="e">
        <v>#N/A</v>
      </c>
      <c r="AT383" s="122" t="e">
        <v>#N/A</v>
      </c>
      <c r="AU383" s="121" t="e">
        <v>#N/A</v>
      </c>
      <c r="AV383" s="122" t="e">
        <v>#N/A</v>
      </c>
      <c r="AW383" s="122">
        <v>45853</v>
      </c>
      <c r="AX383" s="122" t="e">
        <v>#N/A</v>
      </c>
      <c r="AY383" s="122" t="e">
        <v>#N/A</v>
      </c>
      <c r="AZ383" s="122">
        <v>46000</v>
      </c>
      <c r="BA383" s="122" t="e">
        <v>#N/A</v>
      </c>
      <c r="BB383" s="122" t="e">
        <v>#N/A</v>
      </c>
      <c r="BC383" s="122" t="e">
        <v>#N/A</v>
      </c>
      <c r="BD383" s="122" t="e">
        <v>#N/A</v>
      </c>
      <c r="BE383" s="122" t="e">
        <v>#N/A</v>
      </c>
      <c r="BF383" s="122" t="e">
        <v>#N/A</v>
      </c>
      <c r="BG383" s="122" t="e">
        <v>#N/A</v>
      </c>
      <c r="BH383" s="122" t="e">
        <v>#N/A</v>
      </c>
      <c r="BI383" s="122" t="e">
        <v>#N/A</v>
      </c>
      <c r="BJ383" s="122" t="e">
        <v>#N/A</v>
      </c>
      <c r="BK383" s="122">
        <v>45953</v>
      </c>
      <c r="BL383" s="123"/>
      <c r="BM383" s="124" t="e">
        <v>#N/A</v>
      </c>
      <c r="BN383" s="124" t="e">
        <v>#N/A</v>
      </c>
      <c r="BO383" s="124" t="e">
        <v>#N/A</v>
      </c>
      <c r="BP383" s="124" t="e">
        <v>#N/A</v>
      </c>
      <c r="BQ383" s="124" t="e">
        <v>#N/A</v>
      </c>
      <c r="BR383" s="124" t="e">
        <v>#N/A</v>
      </c>
      <c r="BS383" s="124" t="e">
        <v>#N/A</v>
      </c>
      <c r="BT383" s="124" t="e">
        <v>#N/A</v>
      </c>
      <c r="BU383" s="124" t="e">
        <v>#N/A</v>
      </c>
      <c r="BV383" s="124" t="e">
        <v>#N/A</v>
      </c>
      <c r="BW383" s="124" t="e">
        <v>#N/A</v>
      </c>
      <c r="BX383" s="124" t="e">
        <v>#N/A</v>
      </c>
      <c r="BY383" s="124" t="e">
        <v>#N/A</v>
      </c>
      <c r="BZ383" s="124" t="e">
        <v>#N/A</v>
      </c>
      <c r="CA383" s="125"/>
      <c r="CB383" s="124">
        <v>45853</v>
      </c>
      <c r="CC383" s="126">
        <v>1</v>
      </c>
      <c r="CD383" s="127" t="s">
        <v>4984</v>
      </c>
      <c r="CE383" s="128"/>
      <c r="CF383" s="77" t="s">
        <v>4164</v>
      </c>
    </row>
    <row r="384" spans="1:84" ht="14.5" x14ac:dyDescent="0.35">
      <c r="A384" s="77">
        <v>383</v>
      </c>
      <c r="B384" s="106" t="s">
        <v>4884</v>
      </c>
      <c r="C384" s="107" t="s">
        <v>6811</v>
      </c>
      <c r="D384" s="108" t="s">
        <v>4885</v>
      </c>
      <c r="E384" s="109" t="s">
        <v>4886</v>
      </c>
      <c r="F384" s="110">
        <v>661241420</v>
      </c>
      <c r="G384" s="108" t="s">
        <v>1004</v>
      </c>
      <c r="H384" s="111" t="s">
        <v>1028</v>
      </c>
      <c r="I384" s="111" t="s">
        <v>180</v>
      </c>
      <c r="J384" s="111" t="s">
        <v>4649</v>
      </c>
      <c r="K384" s="111" t="s">
        <v>3159</v>
      </c>
      <c r="L384" s="112">
        <v>45852</v>
      </c>
      <c r="M384" s="111" t="s">
        <v>2665</v>
      </c>
      <c r="N384" s="113"/>
      <c r="O384" s="114" t="s">
        <v>225</v>
      </c>
      <c r="P384" s="114" t="s">
        <v>225</v>
      </c>
      <c r="Q384" s="114" t="s">
        <v>225</v>
      </c>
      <c r="R384" s="114" t="s">
        <v>6925</v>
      </c>
      <c r="S384" s="114" t="s">
        <v>6925</v>
      </c>
      <c r="T384" s="114" t="s">
        <v>4356</v>
      </c>
      <c r="U384" s="114" t="s">
        <v>4356</v>
      </c>
      <c r="V384" s="115"/>
      <c r="W384" s="116" t="s">
        <v>4887</v>
      </c>
      <c r="X384" s="116" t="s">
        <v>4888</v>
      </c>
      <c r="Y384" s="117">
        <v>3487140</v>
      </c>
      <c r="Z384" s="117">
        <v>3486309</v>
      </c>
      <c r="AA384" s="118"/>
      <c r="AB384" s="119" t="s">
        <v>4889</v>
      </c>
      <c r="AC384" s="119" t="s">
        <v>4890</v>
      </c>
      <c r="AD384" s="119">
        <v>5259</v>
      </c>
      <c r="AE384" s="119" t="s">
        <v>4891</v>
      </c>
      <c r="AF384" s="119" t="s">
        <v>7228</v>
      </c>
      <c r="AG384" s="120"/>
      <c r="AH384" s="121">
        <v>45853</v>
      </c>
      <c r="AI384" s="121">
        <v>45853</v>
      </c>
      <c r="AJ384" s="121">
        <v>45853</v>
      </c>
      <c r="AK384" s="122">
        <v>45853</v>
      </c>
      <c r="AL384" s="122">
        <v>46007</v>
      </c>
      <c r="AM384" s="121" t="e">
        <v>#N/A</v>
      </c>
      <c r="AN384" s="121">
        <v>46007</v>
      </c>
      <c r="AO384" s="121" t="e">
        <v>#N/A</v>
      </c>
      <c r="AP384" s="122" t="e">
        <v>#N/A</v>
      </c>
      <c r="AQ384" s="122" t="e">
        <v>#N/A</v>
      </c>
      <c r="AR384" s="122">
        <v>46007</v>
      </c>
      <c r="AS384" s="122" t="e">
        <v>#N/A</v>
      </c>
      <c r="AT384" s="122" t="e">
        <v>#N/A</v>
      </c>
      <c r="AU384" s="121" t="e">
        <v>#N/A</v>
      </c>
      <c r="AV384" s="122" t="e">
        <v>#N/A</v>
      </c>
      <c r="AW384" s="122">
        <v>45853</v>
      </c>
      <c r="AX384" s="122" t="e">
        <v>#N/A</v>
      </c>
      <c r="AY384" s="122" t="e">
        <v>#N/A</v>
      </c>
      <c r="AZ384" s="122">
        <v>46007</v>
      </c>
      <c r="BA384" s="122" t="e">
        <v>#N/A</v>
      </c>
      <c r="BB384" s="122" t="e">
        <v>#N/A</v>
      </c>
      <c r="BC384" s="122" t="e">
        <v>#N/A</v>
      </c>
      <c r="BD384" s="122" t="e">
        <v>#N/A</v>
      </c>
      <c r="BE384" s="122" t="e">
        <v>#N/A</v>
      </c>
      <c r="BF384" s="122" t="e">
        <v>#N/A</v>
      </c>
      <c r="BG384" s="122" t="e">
        <v>#N/A</v>
      </c>
      <c r="BH384" s="122" t="e">
        <v>#N/A</v>
      </c>
      <c r="BI384" s="122" t="e">
        <v>#N/A</v>
      </c>
      <c r="BJ384" s="122" t="e">
        <v>#N/A</v>
      </c>
      <c r="BK384" s="122">
        <v>45960</v>
      </c>
      <c r="BL384" s="123"/>
      <c r="BM384" s="124" t="e">
        <v>#N/A</v>
      </c>
      <c r="BN384" s="124" t="e">
        <v>#N/A</v>
      </c>
      <c r="BO384" s="124" t="e">
        <v>#N/A</v>
      </c>
      <c r="BP384" s="124" t="e">
        <v>#N/A</v>
      </c>
      <c r="BQ384" s="124" t="e">
        <v>#N/A</v>
      </c>
      <c r="BR384" s="124" t="e">
        <v>#N/A</v>
      </c>
      <c r="BS384" s="124" t="e">
        <v>#N/A</v>
      </c>
      <c r="BT384" s="124" t="e">
        <v>#N/A</v>
      </c>
      <c r="BU384" s="124" t="e">
        <v>#N/A</v>
      </c>
      <c r="BV384" s="124" t="e">
        <v>#N/A</v>
      </c>
      <c r="BW384" s="124" t="e">
        <v>#N/A</v>
      </c>
      <c r="BX384" s="124" t="e">
        <v>#N/A</v>
      </c>
      <c r="BY384" s="124" t="e">
        <v>#N/A</v>
      </c>
      <c r="BZ384" s="124" t="e">
        <v>#N/A</v>
      </c>
      <c r="CA384" s="125"/>
      <c r="CB384" s="124">
        <v>45853</v>
      </c>
      <c r="CC384" s="126">
        <v>1</v>
      </c>
      <c r="CD384" s="127" t="s">
        <v>4981</v>
      </c>
      <c r="CE384" s="128"/>
      <c r="CF384" s="77" t="s">
        <v>4164</v>
      </c>
    </row>
    <row r="385" spans="1:85" ht="14.5" x14ac:dyDescent="0.35">
      <c r="A385" s="77">
        <v>384</v>
      </c>
      <c r="B385" s="106" t="s">
        <v>4651</v>
      </c>
      <c r="C385" s="107" t="s">
        <v>6642</v>
      </c>
      <c r="D385" s="108" t="s">
        <v>4652</v>
      </c>
      <c r="E385" s="109" t="s">
        <v>4653</v>
      </c>
      <c r="F385" s="110">
        <v>657391402</v>
      </c>
      <c r="G385" s="108" t="s">
        <v>1004</v>
      </c>
      <c r="H385" s="111" t="s">
        <v>1028</v>
      </c>
      <c r="I385" s="111" t="s">
        <v>180</v>
      </c>
      <c r="J385" s="111" t="s">
        <v>4649</v>
      </c>
      <c r="K385" s="111" t="s">
        <v>3159</v>
      </c>
      <c r="L385" s="112">
        <v>45852</v>
      </c>
      <c r="M385" s="111" t="s">
        <v>2948</v>
      </c>
      <c r="N385" s="113"/>
      <c r="O385" s="114" t="s">
        <v>4477</v>
      </c>
      <c r="P385" s="114" t="s">
        <v>4477</v>
      </c>
      <c r="Q385" s="114" t="s">
        <v>4477</v>
      </c>
      <c r="R385" s="114" t="s">
        <v>4477</v>
      </c>
      <c r="S385" s="114" t="s">
        <v>4477</v>
      </c>
      <c r="T385" s="114" t="s">
        <v>4356</v>
      </c>
      <c r="U385" s="114" t="s">
        <v>4356</v>
      </c>
      <c r="V385" s="115"/>
      <c r="W385" s="116" t="s">
        <v>5335</v>
      </c>
      <c r="X385" s="116" t="s">
        <v>5336</v>
      </c>
      <c r="Y385" s="117">
        <v>3485810</v>
      </c>
      <c r="Z385" s="117">
        <v>3481159</v>
      </c>
      <c r="AA385" s="118"/>
      <c r="AB385" s="119" t="s">
        <v>5851</v>
      </c>
      <c r="AC385" s="119" t="s">
        <v>5337</v>
      </c>
      <c r="AD385" s="119">
        <v>5719</v>
      </c>
      <c r="AE385" s="119" t="s">
        <v>5338</v>
      </c>
      <c r="AF385" s="119" t="s">
        <v>6643</v>
      </c>
      <c r="AG385" s="120"/>
      <c r="AH385" s="121">
        <v>45497</v>
      </c>
      <c r="AI385" s="121">
        <v>45853</v>
      </c>
      <c r="AJ385" s="121">
        <v>45853</v>
      </c>
      <c r="AK385" s="122">
        <v>45853</v>
      </c>
      <c r="AL385" s="122" t="e">
        <v>#N/A</v>
      </c>
      <c r="AM385" s="122" t="e">
        <v>#N/A</v>
      </c>
      <c r="AN385" s="122" t="e">
        <v>#N/A</v>
      </c>
      <c r="AO385" s="121" t="e">
        <v>#N/A</v>
      </c>
      <c r="AP385" s="122" t="e">
        <v>#N/A</v>
      </c>
      <c r="AQ385" s="122" t="e">
        <v>#N/A</v>
      </c>
      <c r="AR385" s="122" t="e">
        <v>#N/A</v>
      </c>
      <c r="AS385" s="122" t="e">
        <v>#N/A</v>
      </c>
      <c r="AT385" s="122" t="e">
        <v>#N/A</v>
      </c>
      <c r="AU385" s="121" t="e">
        <v>#N/A</v>
      </c>
      <c r="AV385" s="122" t="e">
        <v>#N/A</v>
      </c>
      <c r="AW385" s="122">
        <v>45853</v>
      </c>
      <c r="AX385" s="122" t="e">
        <v>#N/A</v>
      </c>
      <c r="AY385" s="122" t="e">
        <v>#N/A</v>
      </c>
      <c r="AZ385" s="122" t="e">
        <v>#N/A</v>
      </c>
      <c r="BA385" s="122" t="e">
        <v>#N/A</v>
      </c>
      <c r="BB385" s="122" t="e">
        <v>#N/A</v>
      </c>
      <c r="BC385" s="122" t="e">
        <v>#N/A</v>
      </c>
      <c r="BD385" s="122" t="e">
        <v>#N/A</v>
      </c>
      <c r="BE385" s="122" t="e">
        <v>#N/A</v>
      </c>
      <c r="BF385" s="122" t="e">
        <v>#N/A</v>
      </c>
      <c r="BG385" s="122" t="e">
        <v>#N/A</v>
      </c>
      <c r="BH385" s="122" t="e">
        <v>#N/A</v>
      </c>
      <c r="BI385" s="122" t="e">
        <v>#N/A</v>
      </c>
      <c r="BJ385" s="122" t="e">
        <v>#N/A</v>
      </c>
      <c r="BK385" s="122">
        <v>45957</v>
      </c>
      <c r="BL385" s="123"/>
      <c r="BM385" s="124" t="e">
        <v>#N/A</v>
      </c>
      <c r="BN385" s="124" t="e">
        <v>#N/A</v>
      </c>
      <c r="BO385" s="124" t="e">
        <v>#N/A</v>
      </c>
      <c r="BP385" s="124" t="e">
        <v>#N/A</v>
      </c>
      <c r="BQ385" s="124" t="e">
        <v>#N/A</v>
      </c>
      <c r="BR385" s="124" t="e">
        <v>#N/A</v>
      </c>
      <c r="BS385" s="124" t="e">
        <v>#N/A</v>
      </c>
      <c r="BT385" s="124" t="e">
        <v>#N/A</v>
      </c>
      <c r="BU385" s="124" t="e">
        <v>#N/A</v>
      </c>
      <c r="BV385" s="124" t="e">
        <v>#N/A</v>
      </c>
      <c r="BW385" s="124" t="e">
        <v>#N/A</v>
      </c>
      <c r="BX385" s="124" t="e">
        <v>#N/A</v>
      </c>
      <c r="BY385" s="124" t="e">
        <v>#N/A</v>
      </c>
      <c r="BZ385" s="124" t="e">
        <v>#N/A</v>
      </c>
      <c r="CA385" s="125"/>
      <c r="CB385" s="124" t="e">
        <v>#N/A</v>
      </c>
      <c r="CC385" s="126">
        <v>1</v>
      </c>
      <c r="CD385" s="127" t="s">
        <v>4984</v>
      </c>
      <c r="CE385" s="128"/>
      <c r="CF385" s="77" t="s">
        <v>4164</v>
      </c>
    </row>
    <row r="386" spans="1:85" ht="14.5" x14ac:dyDescent="0.35">
      <c r="A386" s="77">
        <v>385</v>
      </c>
      <c r="B386" s="106" t="s">
        <v>5037</v>
      </c>
      <c r="C386" s="107" t="s">
        <v>6805</v>
      </c>
      <c r="D386" s="108" t="s">
        <v>5038</v>
      </c>
      <c r="E386" s="109" t="s">
        <v>5039</v>
      </c>
      <c r="F386" s="110">
        <v>604922014</v>
      </c>
      <c r="G386" s="108" t="s">
        <v>1004</v>
      </c>
      <c r="H386" s="111" t="s">
        <v>1028</v>
      </c>
      <c r="I386" s="111" t="s">
        <v>180</v>
      </c>
      <c r="J386" s="111" t="s">
        <v>4649</v>
      </c>
      <c r="K386" s="111" t="s">
        <v>3159</v>
      </c>
      <c r="L386" s="112">
        <v>45852</v>
      </c>
      <c r="M386" s="111" t="s">
        <v>3335</v>
      </c>
      <c r="N386" s="113"/>
      <c r="O386" s="114" t="s">
        <v>459</v>
      </c>
      <c r="P386" s="114" t="s">
        <v>6925</v>
      </c>
      <c r="Q386" s="114" t="s">
        <v>6925</v>
      </c>
      <c r="R386" s="114" t="s">
        <v>6925</v>
      </c>
      <c r="S386" s="114" t="s">
        <v>6925</v>
      </c>
      <c r="T386" s="114" t="s">
        <v>4356</v>
      </c>
      <c r="U386" s="114" t="s">
        <v>4356</v>
      </c>
      <c r="V386" s="115"/>
      <c r="W386" s="116" t="s">
        <v>5040</v>
      </c>
      <c r="X386" s="116" t="s">
        <v>5041</v>
      </c>
      <c r="Y386" s="117">
        <v>3485826</v>
      </c>
      <c r="Z386" s="117">
        <v>3481519</v>
      </c>
      <c r="AA386" s="118"/>
      <c r="AB386" s="119" t="s">
        <v>5735</v>
      </c>
      <c r="AC386" s="119" t="s">
        <v>5042</v>
      </c>
      <c r="AD386" s="119">
        <v>26092</v>
      </c>
      <c r="AE386" s="119" t="s">
        <v>5043</v>
      </c>
      <c r="AF386" s="119" t="s">
        <v>6138</v>
      </c>
      <c r="AG386" s="120"/>
      <c r="AH386" s="121">
        <v>45853</v>
      </c>
      <c r="AI386" s="121">
        <v>45853</v>
      </c>
      <c r="AJ386" s="121">
        <v>45853</v>
      </c>
      <c r="AK386" s="122">
        <v>45853</v>
      </c>
      <c r="AL386" s="122" t="e">
        <v>#N/A</v>
      </c>
      <c r="AM386" s="122" t="e">
        <v>#N/A</v>
      </c>
      <c r="AN386" s="122" t="e">
        <v>#N/A</v>
      </c>
      <c r="AO386" s="121" t="e">
        <v>#N/A</v>
      </c>
      <c r="AP386" s="122" t="e">
        <v>#N/A</v>
      </c>
      <c r="AQ386" s="122" t="e">
        <v>#N/A</v>
      </c>
      <c r="AR386" s="122" t="e">
        <v>#N/A</v>
      </c>
      <c r="AS386" s="122" t="e">
        <v>#N/A</v>
      </c>
      <c r="AT386" s="122" t="e">
        <v>#N/A</v>
      </c>
      <c r="AU386" s="121" t="e">
        <v>#N/A</v>
      </c>
      <c r="AV386" s="122" t="e">
        <v>#N/A</v>
      </c>
      <c r="AW386" s="122">
        <v>45853</v>
      </c>
      <c r="AX386" s="122" t="e">
        <v>#N/A</v>
      </c>
      <c r="AY386" s="122" t="e">
        <v>#N/A</v>
      </c>
      <c r="AZ386" s="122" t="e">
        <v>#N/A</v>
      </c>
      <c r="BA386" s="122" t="e">
        <v>#N/A</v>
      </c>
      <c r="BB386" s="122" t="e">
        <v>#N/A</v>
      </c>
      <c r="BC386" s="122" t="e">
        <v>#N/A</v>
      </c>
      <c r="BD386" s="122" t="e">
        <v>#N/A</v>
      </c>
      <c r="BE386" s="122" t="e">
        <v>#N/A</v>
      </c>
      <c r="BF386" s="122" t="e">
        <v>#N/A</v>
      </c>
      <c r="BG386" s="122" t="e">
        <v>#N/A</v>
      </c>
      <c r="BH386" s="122" t="e">
        <v>#N/A</v>
      </c>
      <c r="BI386" s="122" t="e">
        <v>#N/A</v>
      </c>
      <c r="BJ386" s="122" t="e">
        <v>#N/A</v>
      </c>
      <c r="BK386" s="122">
        <v>45957</v>
      </c>
      <c r="BL386" s="123"/>
      <c r="BM386" s="124" t="e">
        <v>#N/A</v>
      </c>
      <c r="BN386" s="124" t="e">
        <v>#N/A</v>
      </c>
      <c r="BO386" s="124" t="e">
        <v>#N/A</v>
      </c>
      <c r="BP386" s="124" t="e">
        <v>#N/A</v>
      </c>
      <c r="BQ386" s="124" t="e">
        <v>#N/A</v>
      </c>
      <c r="BR386" s="124" t="e">
        <v>#N/A</v>
      </c>
      <c r="BS386" s="124" t="e">
        <v>#N/A</v>
      </c>
      <c r="BT386" s="124" t="e">
        <v>#N/A</v>
      </c>
      <c r="BU386" s="124" t="e">
        <v>#N/A</v>
      </c>
      <c r="BV386" s="124" t="e">
        <v>#N/A</v>
      </c>
      <c r="BW386" s="124" t="e">
        <v>#N/A</v>
      </c>
      <c r="BX386" s="124" t="e">
        <v>#N/A</v>
      </c>
      <c r="BY386" s="124" t="e">
        <v>#N/A</v>
      </c>
      <c r="BZ386" s="124" t="e">
        <v>#N/A</v>
      </c>
      <c r="CA386" s="125"/>
      <c r="CB386" s="124">
        <v>45853</v>
      </c>
      <c r="CC386" s="126">
        <v>1</v>
      </c>
      <c r="CD386" s="127" t="s">
        <v>4984</v>
      </c>
      <c r="CE386" s="128"/>
      <c r="CF386" s="77" t="s">
        <v>4164</v>
      </c>
    </row>
    <row r="387" spans="1:85" ht="14.5" x14ac:dyDescent="0.35">
      <c r="A387" s="77">
        <v>386</v>
      </c>
      <c r="B387" s="106" t="s">
        <v>4855</v>
      </c>
      <c r="C387" s="107" t="s">
        <v>6807</v>
      </c>
      <c r="D387" s="108" t="s">
        <v>4856</v>
      </c>
      <c r="E387" s="109" t="s">
        <v>4857</v>
      </c>
      <c r="F387" s="110">
        <v>600465041</v>
      </c>
      <c r="G387" s="108" t="s">
        <v>1004</v>
      </c>
      <c r="H387" s="111" t="s">
        <v>1028</v>
      </c>
      <c r="I387" s="111" t="s">
        <v>180</v>
      </c>
      <c r="J387" s="111" t="s">
        <v>4649</v>
      </c>
      <c r="K387" s="111" t="s">
        <v>3159</v>
      </c>
      <c r="L387" s="112">
        <v>45852</v>
      </c>
      <c r="M387" s="111" t="s">
        <v>4022</v>
      </c>
      <c r="N387" s="113"/>
      <c r="O387" s="114" t="s">
        <v>285</v>
      </c>
      <c r="P387" s="114" t="s">
        <v>285</v>
      </c>
      <c r="Q387" s="114" t="s">
        <v>286</v>
      </c>
      <c r="R387" s="114" t="s">
        <v>285</v>
      </c>
      <c r="S387" s="114" t="s">
        <v>285</v>
      </c>
      <c r="T387" s="114" t="s">
        <v>183</v>
      </c>
      <c r="U387" s="114" t="s">
        <v>183</v>
      </c>
      <c r="V387" s="115"/>
      <c r="W387" s="116" t="s">
        <v>4858</v>
      </c>
      <c r="X387" s="116" t="s">
        <v>4859</v>
      </c>
      <c r="Y387" s="117">
        <v>3485817</v>
      </c>
      <c r="Z387" s="117">
        <v>3481237</v>
      </c>
      <c r="AA387" s="118"/>
      <c r="AB387" s="119" t="s">
        <v>5734</v>
      </c>
      <c r="AC387" s="119" t="s">
        <v>4860</v>
      </c>
      <c r="AD387" s="119">
        <v>5786</v>
      </c>
      <c r="AE387" s="119" t="s">
        <v>4861</v>
      </c>
      <c r="AF387" s="119" t="s">
        <v>6134</v>
      </c>
      <c r="AG387" s="120"/>
      <c r="AH387" s="121">
        <v>45853</v>
      </c>
      <c r="AI387" s="121">
        <v>45853</v>
      </c>
      <c r="AJ387" s="121">
        <v>45853</v>
      </c>
      <c r="AK387" s="122">
        <v>45853</v>
      </c>
      <c r="AL387" s="122" t="e">
        <v>#N/A</v>
      </c>
      <c r="AM387" s="122" t="e">
        <v>#N/A</v>
      </c>
      <c r="AN387" s="122" t="e">
        <v>#N/A</v>
      </c>
      <c r="AO387" s="121" t="e">
        <v>#N/A</v>
      </c>
      <c r="AP387" s="122" t="e">
        <v>#N/A</v>
      </c>
      <c r="AQ387" s="122" t="e">
        <v>#N/A</v>
      </c>
      <c r="AR387" s="122" t="e">
        <v>#N/A</v>
      </c>
      <c r="AS387" s="122" t="e">
        <v>#N/A</v>
      </c>
      <c r="AT387" s="122" t="e">
        <v>#N/A</v>
      </c>
      <c r="AU387" s="121" t="e">
        <v>#N/A</v>
      </c>
      <c r="AV387" s="122" t="e">
        <v>#N/A</v>
      </c>
      <c r="AW387" s="122">
        <v>45853</v>
      </c>
      <c r="AX387" s="122" t="e">
        <v>#N/A</v>
      </c>
      <c r="AY387" s="122" t="e">
        <v>#N/A</v>
      </c>
      <c r="AZ387" s="122" t="e">
        <v>#N/A</v>
      </c>
      <c r="BA387" s="122" t="e">
        <v>#N/A</v>
      </c>
      <c r="BB387" s="122" t="e">
        <v>#N/A</v>
      </c>
      <c r="BC387" s="122" t="e">
        <v>#N/A</v>
      </c>
      <c r="BD387" s="122" t="e">
        <v>#N/A</v>
      </c>
      <c r="BE387" s="122" t="e">
        <v>#N/A</v>
      </c>
      <c r="BF387" s="122" t="e">
        <v>#N/A</v>
      </c>
      <c r="BG387" s="122" t="e">
        <v>#N/A</v>
      </c>
      <c r="BH387" s="122" t="e">
        <v>#N/A</v>
      </c>
      <c r="BI387" s="122" t="e">
        <v>#N/A</v>
      </c>
      <c r="BJ387" s="122" t="e">
        <v>#N/A</v>
      </c>
      <c r="BK387" s="122">
        <v>45957</v>
      </c>
      <c r="BL387" s="123"/>
      <c r="BM387" s="124" t="e">
        <v>#N/A</v>
      </c>
      <c r="BN387" s="124" t="e">
        <v>#N/A</v>
      </c>
      <c r="BO387" s="124" t="e">
        <v>#N/A</v>
      </c>
      <c r="BP387" s="124" t="e">
        <v>#N/A</v>
      </c>
      <c r="BQ387" s="124" t="e">
        <v>#N/A</v>
      </c>
      <c r="BR387" s="124" t="e">
        <v>#N/A</v>
      </c>
      <c r="BS387" s="124" t="e">
        <v>#N/A</v>
      </c>
      <c r="BT387" s="124" t="e">
        <v>#N/A</v>
      </c>
      <c r="BU387" s="124" t="e">
        <v>#N/A</v>
      </c>
      <c r="BV387" s="124" t="e">
        <v>#N/A</v>
      </c>
      <c r="BW387" s="124" t="e">
        <v>#N/A</v>
      </c>
      <c r="BX387" s="124" t="e">
        <v>#N/A</v>
      </c>
      <c r="BY387" s="124" t="e">
        <v>#N/A</v>
      </c>
      <c r="BZ387" s="124" t="e">
        <v>#N/A</v>
      </c>
      <c r="CA387" s="125"/>
      <c r="CB387" s="124">
        <v>45853</v>
      </c>
      <c r="CC387" s="126">
        <v>1</v>
      </c>
      <c r="CD387" s="127" t="s">
        <v>4984</v>
      </c>
      <c r="CE387" s="128"/>
      <c r="CF387" s="77" t="s">
        <v>4164</v>
      </c>
    </row>
    <row r="388" spans="1:85" ht="14.5" x14ac:dyDescent="0.35">
      <c r="A388" s="77">
        <v>387</v>
      </c>
      <c r="B388" s="106" t="s">
        <v>5168</v>
      </c>
      <c r="C388" s="107" t="s">
        <v>6830</v>
      </c>
      <c r="D388" s="108" t="s">
        <v>5297</v>
      </c>
      <c r="E388" s="109" t="s">
        <v>5169</v>
      </c>
      <c r="F388" s="110">
        <v>640658099</v>
      </c>
      <c r="G388" s="108" t="s">
        <v>1004</v>
      </c>
      <c r="H388" s="111" t="s">
        <v>1028</v>
      </c>
      <c r="I388" s="111" t="s">
        <v>180</v>
      </c>
      <c r="J388" s="111" t="s">
        <v>4649</v>
      </c>
      <c r="K388" s="111" t="s">
        <v>3159</v>
      </c>
      <c r="L388" s="112">
        <v>45880</v>
      </c>
      <c r="M388" s="111" t="s">
        <v>3381</v>
      </c>
      <c r="N388" s="113"/>
      <c r="O388" s="114" t="s">
        <v>3122</v>
      </c>
      <c r="P388" s="114" t="s">
        <v>3122</v>
      </c>
      <c r="Q388" s="114" t="s">
        <v>183</v>
      </c>
      <c r="R388" s="114" t="s">
        <v>7393</v>
      </c>
      <c r="S388" s="114" t="s">
        <v>3122</v>
      </c>
      <c r="T388" s="114" t="s">
        <v>3122</v>
      </c>
      <c r="U388" s="114" t="s">
        <v>3122</v>
      </c>
      <c r="V388" s="115"/>
      <c r="W388" s="116" t="s">
        <v>5170</v>
      </c>
      <c r="X388" s="116" t="s">
        <v>5171</v>
      </c>
      <c r="Y388" s="117">
        <v>3487108</v>
      </c>
      <c r="Z388" s="117">
        <v>3486864</v>
      </c>
      <c r="AA388" s="118"/>
      <c r="AB388" s="119" t="s">
        <v>5330</v>
      </c>
      <c r="AC388" s="119" t="s">
        <v>5172</v>
      </c>
      <c r="AD388" s="119" t="s">
        <v>5173</v>
      </c>
      <c r="AE388" s="119" t="s">
        <v>5174</v>
      </c>
      <c r="AF388" s="119" t="s">
        <v>7237</v>
      </c>
      <c r="AG388" s="120"/>
      <c r="AH388" s="121">
        <v>45880</v>
      </c>
      <c r="AI388" s="121">
        <v>45880</v>
      </c>
      <c r="AJ388" s="121">
        <v>45880</v>
      </c>
      <c r="AK388" s="122">
        <v>45880</v>
      </c>
      <c r="AL388" s="122">
        <v>46010</v>
      </c>
      <c r="AM388" s="121" t="e">
        <v>#N/A</v>
      </c>
      <c r="AN388" s="121">
        <v>46010</v>
      </c>
      <c r="AO388" s="121">
        <v>46010</v>
      </c>
      <c r="AP388" s="122" t="e">
        <v>#N/A</v>
      </c>
      <c r="AQ388" s="122" t="e">
        <v>#N/A</v>
      </c>
      <c r="AR388" s="122">
        <v>46010</v>
      </c>
      <c r="AS388" s="122" t="e">
        <v>#N/A</v>
      </c>
      <c r="AT388" s="122" t="e">
        <v>#N/A</v>
      </c>
      <c r="AU388" s="121" t="e">
        <v>#N/A</v>
      </c>
      <c r="AV388" s="122" t="e">
        <v>#N/A</v>
      </c>
      <c r="AW388" s="122">
        <v>45880</v>
      </c>
      <c r="AX388" s="122" t="e">
        <v>#N/A</v>
      </c>
      <c r="AY388" s="122" t="e">
        <v>#N/A</v>
      </c>
      <c r="AZ388" s="122" t="e">
        <v>#N/A</v>
      </c>
      <c r="BA388" s="122" t="e">
        <v>#N/A</v>
      </c>
      <c r="BB388" s="122" t="e">
        <v>#N/A</v>
      </c>
      <c r="BC388" s="122" t="e">
        <v>#N/A</v>
      </c>
      <c r="BD388" s="122" t="e">
        <v>#N/A</v>
      </c>
      <c r="BE388" s="122" t="e">
        <v>#N/A</v>
      </c>
      <c r="BF388" s="122" t="e">
        <v>#N/A</v>
      </c>
      <c r="BG388" s="122" t="e">
        <v>#N/A</v>
      </c>
      <c r="BH388" s="122" t="e">
        <v>#N/A</v>
      </c>
      <c r="BI388" s="122" t="e">
        <v>#N/A</v>
      </c>
      <c r="BJ388" s="122" t="e">
        <v>#N/A</v>
      </c>
      <c r="BK388" s="122">
        <v>45961</v>
      </c>
      <c r="BL388" s="123"/>
      <c r="BM388" s="124" t="e">
        <v>#N/A</v>
      </c>
      <c r="BN388" s="124" t="e">
        <v>#N/A</v>
      </c>
      <c r="BO388" s="124" t="e">
        <v>#N/A</v>
      </c>
      <c r="BP388" s="124" t="e">
        <v>#N/A</v>
      </c>
      <c r="BQ388" s="124" t="e">
        <v>#N/A</v>
      </c>
      <c r="BR388" s="124" t="e">
        <v>#N/A</v>
      </c>
      <c r="BS388" s="124" t="e">
        <v>#N/A</v>
      </c>
      <c r="BT388" s="124" t="e">
        <v>#N/A</v>
      </c>
      <c r="BU388" s="124" t="e">
        <v>#N/A</v>
      </c>
      <c r="BV388" s="124" t="e">
        <v>#N/A</v>
      </c>
      <c r="BW388" s="124" t="e">
        <v>#N/A</v>
      </c>
      <c r="BX388" s="124" t="e">
        <v>#N/A</v>
      </c>
      <c r="BY388" s="124" t="e">
        <v>#N/A</v>
      </c>
      <c r="BZ388" s="124" t="e">
        <v>#N/A</v>
      </c>
      <c r="CA388" s="125"/>
      <c r="CB388" s="124" t="e">
        <v>#N/A</v>
      </c>
      <c r="CC388" s="126">
        <v>1</v>
      </c>
      <c r="CD388" s="127" t="s">
        <v>5329</v>
      </c>
      <c r="CE388" s="128"/>
      <c r="CF388" s="77" t="s">
        <v>4164</v>
      </c>
    </row>
    <row r="389" spans="1:85" ht="14.5" x14ac:dyDescent="0.35">
      <c r="A389" s="77">
        <v>388</v>
      </c>
      <c r="B389" s="106" t="s">
        <v>5249</v>
      </c>
      <c r="C389" s="107" t="s">
        <v>6832</v>
      </c>
      <c r="D389" s="108" t="s">
        <v>5303</v>
      </c>
      <c r="E389" s="109" t="s">
        <v>5250</v>
      </c>
      <c r="F389" s="110">
        <v>616142971</v>
      </c>
      <c r="G389" s="108" t="s">
        <v>1004</v>
      </c>
      <c r="H389" s="111" t="s">
        <v>1028</v>
      </c>
      <c r="I389" s="111" t="s">
        <v>180</v>
      </c>
      <c r="J389" s="111" t="s">
        <v>4649</v>
      </c>
      <c r="K389" s="111" t="s">
        <v>3159</v>
      </c>
      <c r="L389" s="112">
        <v>45880</v>
      </c>
      <c r="M389" s="111" t="s">
        <v>3381</v>
      </c>
      <c r="N389" s="113"/>
      <c r="O389" s="114" t="s">
        <v>5177</v>
      </c>
      <c r="P389" s="114" t="s">
        <v>5177</v>
      </c>
      <c r="Q389" s="114" t="s">
        <v>183</v>
      </c>
      <c r="R389" s="114" t="s">
        <v>7464</v>
      </c>
      <c r="S389" s="114" t="s">
        <v>3831</v>
      </c>
      <c r="T389" s="114" t="s">
        <v>3831</v>
      </c>
      <c r="U389" s="114" t="s">
        <v>3831</v>
      </c>
      <c r="V389" s="115"/>
      <c r="W389" s="116" t="s">
        <v>5251</v>
      </c>
      <c r="X389" s="116" t="s">
        <v>5252</v>
      </c>
      <c r="Y389" s="117">
        <v>3487155</v>
      </c>
      <c r="Z389" s="117">
        <v>3486268</v>
      </c>
      <c r="AA389" s="118"/>
      <c r="AB389" s="119" t="s">
        <v>5253</v>
      </c>
      <c r="AC389" s="119" t="s">
        <v>5254</v>
      </c>
      <c r="AD389" s="119" t="s">
        <v>5255</v>
      </c>
      <c r="AE389" s="119" t="s">
        <v>5256</v>
      </c>
      <c r="AF389" s="119" t="s">
        <v>7239</v>
      </c>
      <c r="AG389" s="120"/>
      <c r="AH389" s="121">
        <v>45880</v>
      </c>
      <c r="AI389" s="121">
        <v>45880</v>
      </c>
      <c r="AJ389" s="121">
        <v>45880</v>
      </c>
      <c r="AK389" s="122">
        <v>45880</v>
      </c>
      <c r="AL389" s="122" t="e">
        <v>#N/A</v>
      </c>
      <c r="AM389" s="121" t="e">
        <v>#N/A</v>
      </c>
      <c r="AN389" s="121" t="e">
        <v>#N/A</v>
      </c>
      <c r="AO389" s="121" t="e">
        <v>#N/A</v>
      </c>
      <c r="AP389" s="122" t="e">
        <v>#N/A</v>
      </c>
      <c r="AQ389" s="122" t="e">
        <v>#N/A</v>
      </c>
      <c r="AR389" s="122" t="e">
        <v>#N/A</v>
      </c>
      <c r="AS389" s="122" t="e">
        <v>#N/A</v>
      </c>
      <c r="AT389" s="122" t="e">
        <v>#N/A</v>
      </c>
      <c r="AU389" s="121" t="e">
        <v>#N/A</v>
      </c>
      <c r="AV389" s="122" t="e">
        <v>#N/A</v>
      </c>
      <c r="AW389" s="122">
        <v>45880</v>
      </c>
      <c r="AX389" s="122" t="e">
        <v>#N/A</v>
      </c>
      <c r="AY389" s="122" t="e">
        <v>#N/A</v>
      </c>
      <c r="AZ389" s="122" t="e">
        <v>#N/A</v>
      </c>
      <c r="BA389" s="122" t="e">
        <v>#N/A</v>
      </c>
      <c r="BB389" s="122" t="e">
        <v>#N/A</v>
      </c>
      <c r="BC389" s="122" t="e">
        <v>#N/A</v>
      </c>
      <c r="BD389" s="122" t="e">
        <v>#N/A</v>
      </c>
      <c r="BE389" s="122" t="e">
        <v>#N/A</v>
      </c>
      <c r="BF389" s="122" t="e">
        <v>#N/A</v>
      </c>
      <c r="BG389" s="122" t="e">
        <v>#N/A</v>
      </c>
      <c r="BH389" s="122" t="e">
        <v>#N/A</v>
      </c>
      <c r="BI389" s="122" t="e">
        <v>#N/A</v>
      </c>
      <c r="BJ389" s="122" t="e">
        <v>#N/A</v>
      </c>
      <c r="BK389" s="122">
        <v>45961</v>
      </c>
      <c r="BL389" s="123"/>
      <c r="BM389" s="124" t="e">
        <v>#N/A</v>
      </c>
      <c r="BN389" s="124" t="e">
        <v>#N/A</v>
      </c>
      <c r="BO389" s="124" t="e">
        <v>#N/A</v>
      </c>
      <c r="BP389" s="124" t="e">
        <v>#N/A</v>
      </c>
      <c r="BQ389" s="124" t="e">
        <v>#N/A</v>
      </c>
      <c r="BR389" s="124" t="e">
        <v>#N/A</v>
      </c>
      <c r="BS389" s="124" t="e">
        <v>#N/A</v>
      </c>
      <c r="BT389" s="124" t="e">
        <v>#N/A</v>
      </c>
      <c r="BU389" s="124" t="e">
        <v>#N/A</v>
      </c>
      <c r="BV389" s="124" t="e">
        <v>#N/A</v>
      </c>
      <c r="BW389" s="124" t="e">
        <v>#N/A</v>
      </c>
      <c r="BX389" s="124" t="e">
        <v>#N/A</v>
      </c>
      <c r="BY389" s="124" t="e">
        <v>#N/A</v>
      </c>
      <c r="BZ389" s="124" t="e">
        <v>#N/A</v>
      </c>
      <c r="CA389" s="125"/>
      <c r="CB389" s="124" t="e">
        <v>#N/A</v>
      </c>
      <c r="CC389" s="126">
        <v>1</v>
      </c>
      <c r="CD389" s="127" t="s">
        <v>5329</v>
      </c>
      <c r="CE389" s="128"/>
      <c r="CF389" s="77" t="s">
        <v>4175</v>
      </c>
    </row>
    <row r="390" spans="1:85" ht="14.5" x14ac:dyDescent="0.35">
      <c r="A390" s="77">
        <v>389</v>
      </c>
      <c r="B390" s="106" t="s">
        <v>5436</v>
      </c>
      <c r="C390" s="107" t="s">
        <v>6838</v>
      </c>
      <c r="D390" s="108" t="s">
        <v>5437</v>
      </c>
      <c r="E390" s="109" t="s">
        <v>5438</v>
      </c>
      <c r="F390" s="110">
        <v>666031903</v>
      </c>
      <c r="G390" s="108" t="s">
        <v>1004</v>
      </c>
      <c r="H390" s="111" t="s">
        <v>1028</v>
      </c>
      <c r="I390" s="111" t="s">
        <v>180</v>
      </c>
      <c r="J390" s="111" t="s">
        <v>4649</v>
      </c>
      <c r="K390" s="111" t="s">
        <v>4654</v>
      </c>
      <c r="L390" s="112">
        <v>45887</v>
      </c>
      <c r="M390" s="111" t="s">
        <v>4035</v>
      </c>
      <c r="N390" s="113"/>
      <c r="O390" s="114" t="s">
        <v>585</v>
      </c>
      <c r="P390" s="114" t="s">
        <v>585</v>
      </c>
      <c r="Q390" s="114" t="s">
        <v>585</v>
      </c>
      <c r="R390" s="114" t="s">
        <v>7296</v>
      </c>
      <c r="S390" s="114" t="s">
        <v>585</v>
      </c>
      <c r="T390" s="114" t="s">
        <v>183</v>
      </c>
      <c r="U390" s="114" t="s">
        <v>183</v>
      </c>
      <c r="V390" s="115"/>
      <c r="W390" s="116" t="s">
        <v>5439</v>
      </c>
      <c r="X390" s="116" t="s">
        <v>5440</v>
      </c>
      <c r="Y390" s="117">
        <v>3487015</v>
      </c>
      <c r="Z390" s="117">
        <v>3486834</v>
      </c>
      <c r="AA390" s="118"/>
      <c r="AB390" s="119" t="s">
        <v>5441</v>
      </c>
      <c r="AC390" s="119" t="s">
        <v>5442</v>
      </c>
      <c r="AD390" s="119" t="s">
        <v>5443</v>
      </c>
      <c r="AE390" s="119" t="s">
        <v>5444</v>
      </c>
      <c r="AF390" s="119" t="s">
        <v>6142</v>
      </c>
      <c r="AG390" s="120"/>
      <c r="AH390" s="121">
        <v>45887</v>
      </c>
      <c r="AI390" s="121">
        <v>45887</v>
      </c>
      <c r="AJ390" s="121">
        <v>45887</v>
      </c>
      <c r="AK390" s="122">
        <v>45887</v>
      </c>
      <c r="AL390" s="122">
        <v>46000</v>
      </c>
      <c r="AM390" s="121" t="e">
        <v>#N/A</v>
      </c>
      <c r="AN390" s="121">
        <v>46000</v>
      </c>
      <c r="AO390" s="121">
        <v>46000</v>
      </c>
      <c r="AP390" s="122" t="e">
        <v>#N/A</v>
      </c>
      <c r="AQ390" s="122" t="e">
        <v>#N/A</v>
      </c>
      <c r="AR390" s="122">
        <v>46000</v>
      </c>
      <c r="AS390" s="122" t="e">
        <v>#N/A</v>
      </c>
      <c r="AT390" s="122" t="e">
        <v>#N/A</v>
      </c>
      <c r="AU390" s="121" t="e">
        <v>#N/A</v>
      </c>
      <c r="AV390" s="122" t="e">
        <v>#N/A</v>
      </c>
      <c r="AW390" s="122">
        <v>45887</v>
      </c>
      <c r="AX390" s="122" t="e">
        <v>#N/A</v>
      </c>
      <c r="AY390" s="122" t="e">
        <v>#N/A</v>
      </c>
      <c r="AZ390" s="122">
        <v>46000</v>
      </c>
      <c r="BA390" s="122" t="e">
        <v>#N/A</v>
      </c>
      <c r="BB390" s="122" t="e">
        <v>#N/A</v>
      </c>
      <c r="BC390" s="122" t="e">
        <v>#N/A</v>
      </c>
      <c r="BD390" s="122" t="e">
        <v>#N/A</v>
      </c>
      <c r="BE390" s="122" t="e">
        <v>#N/A</v>
      </c>
      <c r="BF390" s="122" t="e">
        <v>#N/A</v>
      </c>
      <c r="BG390" s="122" t="e">
        <v>#N/A</v>
      </c>
      <c r="BH390" s="122" t="e">
        <v>#N/A</v>
      </c>
      <c r="BI390" s="122" t="e">
        <v>#N/A</v>
      </c>
      <c r="BJ390" s="122" t="e">
        <v>#N/A</v>
      </c>
      <c r="BK390" s="122">
        <v>45957</v>
      </c>
      <c r="BL390" s="123"/>
      <c r="BM390" s="124" t="e">
        <v>#N/A</v>
      </c>
      <c r="BN390" s="124" t="e">
        <v>#N/A</v>
      </c>
      <c r="BO390" s="124" t="e">
        <v>#N/A</v>
      </c>
      <c r="BP390" s="124" t="e">
        <v>#N/A</v>
      </c>
      <c r="BQ390" s="124" t="e">
        <v>#N/A</v>
      </c>
      <c r="BR390" s="124" t="e">
        <v>#N/A</v>
      </c>
      <c r="BS390" s="124" t="e">
        <v>#N/A</v>
      </c>
      <c r="BT390" s="124" t="e">
        <v>#N/A</v>
      </c>
      <c r="BU390" s="124" t="e">
        <v>#N/A</v>
      </c>
      <c r="BV390" s="124" t="e">
        <v>#N/A</v>
      </c>
      <c r="BW390" s="124" t="e">
        <v>#N/A</v>
      </c>
      <c r="BX390" s="124" t="e">
        <v>#N/A</v>
      </c>
      <c r="BY390" s="124" t="e">
        <v>#N/A</v>
      </c>
      <c r="BZ390" s="124" t="e">
        <v>#N/A</v>
      </c>
      <c r="CA390" s="125"/>
      <c r="CB390" s="124" t="e">
        <v>#N/A</v>
      </c>
      <c r="CC390" s="126">
        <v>1</v>
      </c>
      <c r="CD390" s="127" t="s">
        <v>5355</v>
      </c>
      <c r="CE390" s="128"/>
      <c r="CF390" s="77" t="s">
        <v>4175</v>
      </c>
    </row>
    <row r="391" spans="1:85" ht="14.5" x14ac:dyDescent="0.35">
      <c r="A391" s="77">
        <v>390</v>
      </c>
      <c r="B391" s="106" t="s">
        <v>5346</v>
      </c>
      <c r="C391" s="107" t="s">
        <v>6835</v>
      </c>
      <c r="D391" s="108" t="s">
        <v>5347</v>
      </c>
      <c r="E391" s="109" t="s">
        <v>5348</v>
      </c>
      <c r="F391" s="110">
        <v>640216735</v>
      </c>
      <c r="G391" s="108" t="s">
        <v>1004</v>
      </c>
      <c r="H391" s="111" t="s">
        <v>1028</v>
      </c>
      <c r="I391" s="111" t="s">
        <v>180</v>
      </c>
      <c r="J391" s="111" t="s">
        <v>4649</v>
      </c>
      <c r="K391" s="111" t="s">
        <v>4654</v>
      </c>
      <c r="L391" s="112">
        <v>45887</v>
      </c>
      <c r="M391" s="111" t="s">
        <v>4035</v>
      </c>
      <c r="N391" s="113"/>
      <c r="O391" s="114" t="s">
        <v>285</v>
      </c>
      <c r="P391" s="114" t="s">
        <v>285</v>
      </c>
      <c r="Q391" s="114" t="s">
        <v>183</v>
      </c>
      <c r="R391" s="114" t="s">
        <v>7444</v>
      </c>
      <c r="S391" s="114" t="s">
        <v>285</v>
      </c>
      <c r="T391" s="114" t="s">
        <v>285</v>
      </c>
      <c r="U391" s="114" t="s">
        <v>285</v>
      </c>
      <c r="V391" s="115"/>
      <c r="W391" s="116" t="s">
        <v>5349</v>
      </c>
      <c r="X391" s="116" t="s">
        <v>5350</v>
      </c>
      <c r="Y391" s="117">
        <v>3487114</v>
      </c>
      <c r="Z391" s="117">
        <v>3486701</v>
      </c>
      <c r="AA391" s="118"/>
      <c r="AB391" s="119" t="s">
        <v>5351</v>
      </c>
      <c r="AC391" s="119" t="s">
        <v>5352</v>
      </c>
      <c r="AD391" s="119" t="s">
        <v>5353</v>
      </c>
      <c r="AE391" s="119" t="s">
        <v>5354</v>
      </c>
      <c r="AF391" s="119" t="s">
        <v>6143</v>
      </c>
      <c r="AG391" s="120"/>
      <c r="AH391" s="121">
        <v>45887</v>
      </c>
      <c r="AI391" s="121">
        <v>45887</v>
      </c>
      <c r="AJ391" s="121">
        <v>45887</v>
      </c>
      <c r="AK391" s="122">
        <v>45887</v>
      </c>
      <c r="AL391" s="122" t="e">
        <v>#N/A</v>
      </c>
      <c r="AM391" s="122" t="e">
        <v>#N/A</v>
      </c>
      <c r="AN391" s="122" t="e">
        <v>#N/A</v>
      </c>
      <c r="AO391" s="121" t="e">
        <v>#N/A</v>
      </c>
      <c r="AP391" s="122" t="e">
        <v>#N/A</v>
      </c>
      <c r="AQ391" s="122" t="e">
        <v>#N/A</v>
      </c>
      <c r="AR391" s="122" t="e">
        <v>#N/A</v>
      </c>
      <c r="AS391" s="122" t="e">
        <v>#N/A</v>
      </c>
      <c r="AT391" s="122" t="e">
        <v>#N/A</v>
      </c>
      <c r="AU391" s="121" t="e">
        <v>#N/A</v>
      </c>
      <c r="AV391" s="122" t="e">
        <v>#N/A</v>
      </c>
      <c r="AW391" s="122">
        <v>45887</v>
      </c>
      <c r="AX391" s="122" t="e">
        <v>#N/A</v>
      </c>
      <c r="AY391" s="122" t="e">
        <v>#N/A</v>
      </c>
      <c r="AZ391" s="122" t="e">
        <v>#N/A</v>
      </c>
      <c r="BA391" s="122" t="e">
        <v>#N/A</v>
      </c>
      <c r="BB391" s="122" t="e">
        <v>#N/A</v>
      </c>
      <c r="BC391" s="122" t="e">
        <v>#N/A</v>
      </c>
      <c r="BD391" s="122" t="e">
        <v>#N/A</v>
      </c>
      <c r="BE391" s="122" t="e">
        <v>#N/A</v>
      </c>
      <c r="BF391" s="122" t="e">
        <v>#N/A</v>
      </c>
      <c r="BG391" s="122" t="e">
        <v>#N/A</v>
      </c>
      <c r="BH391" s="122" t="e">
        <v>#N/A</v>
      </c>
      <c r="BI391" s="122" t="e">
        <v>#N/A</v>
      </c>
      <c r="BJ391" s="122" t="e">
        <v>#N/A</v>
      </c>
      <c r="BK391" s="122">
        <v>45957</v>
      </c>
      <c r="BL391" s="123"/>
      <c r="BM391" s="124" t="e">
        <v>#N/A</v>
      </c>
      <c r="BN391" s="124" t="e">
        <v>#N/A</v>
      </c>
      <c r="BO391" s="124" t="e">
        <v>#N/A</v>
      </c>
      <c r="BP391" s="124" t="e">
        <v>#N/A</v>
      </c>
      <c r="BQ391" s="124" t="e">
        <v>#N/A</v>
      </c>
      <c r="BR391" s="124" t="e">
        <v>#N/A</v>
      </c>
      <c r="BS391" s="124" t="e">
        <v>#N/A</v>
      </c>
      <c r="BT391" s="124" t="e">
        <v>#N/A</v>
      </c>
      <c r="BU391" s="124" t="e">
        <v>#N/A</v>
      </c>
      <c r="BV391" s="124" t="e">
        <v>#N/A</v>
      </c>
      <c r="BW391" s="124" t="e">
        <v>#N/A</v>
      </c>
      <c r="BX391" s="124" t="e">
        <v>#N/A</v>
      </c>
      <c r="BY391" s="124" t="e">
        <v>#N/A</v>
      </c>
      <c r="BZ391" s="124" t="e">
        <v>#N/A</v>
      </c>
      <c r="CA391" s="125"/>
      <c r="CB391" s="124" t="e">
        <v>#N/A</v>
      </c>
      <c r="CC391" s="126">
        <v>1</v>
      </c>
      <c r="CD391" s="127" t="s">
        <v>5355</v>
      </c>
      <c r="CE391" s="128"/>
      <c r="CF391" s="77" t="s">
        <v>4450</v>
      </c>
    </row>
    <row r="392" spans="1:85" ht="14.5" x14ac:dyDescent="0.35">
      <c r="A392" s="77">
        <v>391</v>
      </c>
      <c r="B392" s="106" t="s">
        <v>5374</v>
      </c>
      <c r="C392" s="107" t="s">
        <v>6841</v>
      </c>
      <c r="D392" s="108" t="s">
        <v>5375</v>
      </c>
      <c r="E392" s="109" t="s">
        <v>5376</v>
      </c>
      <c r="F392" s="110">
        <v>636673529</v>
      </c>
      <c r="G392" s="108" t="s">
        <v>1004</v>
      </c>
      <c r="H392" s="111" t="s">
        <v>1028</v>
      </c>
      <c r="I392" s="111" t="s">
        <v>180</v>
      </c>
      <c r="J392" s="111" t="s">
        <v>4649</v>
      </c>
      <c r="K392" s="111" t="s">
        <v>4654</v>
      </c>
      <c r="L392" s="112">
        <v>45887</v>
      </c>
      <c r="M392" s="111" t="s">
        <v>3381</v>
      </c>
      <c r="N392" s="113"/>
      <c r="O392" s="114" t="s">
        <v>585</v>
      </c>
      <c r="P392" s="114" t="s">
        <v>585</v>
      </c>
      <c r="Q392" s="114" t="s">
        <v>183</v>
      </c>
      <c r="R392" s="114" t="s">
        <v>7386</v>
      </c>
      <c r="S392" s="114" t="s">
        <v>7278</v>
      </c>
      <c r="T392" s="114" t="s">
        <v>585</v>
      </c>
      <c r="U392" s="114" t="s">
        <v>585</v>
      </c>
      <c r="V392" s="115"/>
      <c r="W392" s="116" t="s">
        <v>5377</v>
      </c>
      <c r="X392" s="116" t="s">
        <v>5378</v>
      </c>
      <c r="Y392" s="117">
        <v>3485987</v>
      </c>
      <c r="Z392" s="117">
        <v>3486314</v>
      </c>
      <c r="AA392" s="118"/>
      <c r="AB392" s="119" t="s">
        <v>5379</v>
      </c>
      <c r="AC392" s="119" t="s">
        <v>5380</v>
      </c>
      <c r="AD392" s="119" t="s">
        <v>5381</v>
      </c>
      <c r="AE392" s="119" t="s">
        <v>5382</v>
      </c>
      <c r="AF392" s="119" t="s">
        <v>6144</v>
      </c>
      <c r="AG392" s="120"/>
      <c r="AH392" s="121">
        <v>45887</v>
      </c>
      <c r="AI392" s="121">
        <v>45887</v>
      </c>
      <c r="AJ392" s="121">
        <v>45887</v>
      </c>
      <c r="AK392" s="122">
        <v>45887</v>
      </c>
      <c r="AL392" s="122" t="e">
        <v>#N/A</v>
      </c>
      <c r="AM392" s="121" t="e">
        <v>#N/A</v>
      </c>
      <c r="AN392" s="121" t="e">
        <v>#N/A</v>
      </c>
      <c r="AO392" s="121" t="e">
        <v>#N/A</v>
      </c>
      <c r="AP392" s="122" t="e">
        <v>#N/A</v>
      </c>
      <c r="AQ392" s="122" t="e">
        <v>#N/A</v>
      </c>
      <c r="AR392" s="122" t="e">
        <v>#N/A</v>
      </c>
      <c r="AS392" s="122" t="e">
        <v>#N/A</v>
      </c>
      <c r="AT392" s="122" t="e">
        <v>#N/A</v>
      </c>
      <c r="AU392" s="121" t="e">
        <v>#N/A</v>
      </c>
      <c r="AV392" s="122" t="e">
        <v>#N/A</v>
      </c>
      <c r="AW392" s="122">
        <v>45887</v>
      </c>
      <c r="AX392" s="122" t="e">
        <v>#N/A</v>
      </c>
      <c r="AY392" s="122" t="e">
        <v>#N/A</v>
      </c>
      <c r="AZ392" s="122" t="e">
        <v>#N/A</v>
      </c>
      <c r="BA392" s="122" t="e">
        <v>#N/A</v>
      </c>
      <c r="BB392" s="122" t="e">
        <v>#N/A</v>
      </c>
      <c r="BC392" s="122" t="e">
        <v>#N/A</v>
      </c>
      <c r="BD392" s="122" t="e">
        <v>#N/A</v>
      </c>
      <c r="BE392" s="122" t="e">
        <v>#N/A</v>
      </c>
      <c r="BF392" s="122" t="e">
        <v>#N/A</v>
      </c>
      <c r="BG392" s="122" t="e">
        <v>#N/A</v>
      </c>
      <c r="BH392" s="122" t="e">
        <v>#N/A</v>
      </c>
      <c r="BI392" s="122" t="e">
        <v>#N/A</v>
      </c>
      <c r="BJ392" s="122" t="e">
        <v>#N/A</v>
      </c>
      <c r="BK392" s="122">
        <v>45957</v>
      </c>
      <c r="BL392" s="123"/>
      <c r="BM392" s="124" t="e">
        <v>#N/A</v>
      </c>
      <c r="BN392" s="124" t="e">
        <v>#N/A</v>
      </c>
      <c r="BO392" s="124" t="e">
        <v>#N/A</v>
      </c>
      <c r="BP392" s="124" t="e">
        <v>#N/A</v>
      </c>
      <c r="BQ392" s="124" t="e">
        <v>#N/A</v>
      </c>
      <c r="BR392" s="124" t="e">
        <v>#N/A</v>
      </c>
      <c r="BS392" s="124" t="e">
        <v>#N/A</v>
      </c>
      <c r="BT392" s="124" t="e">
        <v>#N/A</v>
      </c>
      <c r="BU392" s="124" t="e">
        <v>#N/A</v>
      </c>
      <c r="BV392" s="124" t="e">
        <v>#N/A</v>
      </c>
      <c r="BW392" s="124" t="e">
        <v>#N/A</v>
      </c>
      <c r="BX392" s="124" t="e">
        <v>#N/A</v>
      </c>
      <c r="BY392" s="124" t="e">
        <v>#N/A</v>
      </c>
      <c r="BZ392" s="124" t="e">
        <v>#N/A</v>
      </c>
      <c r="CA392" s="125"/>
      <c r="CB392" s="124" t="e">
        <v>#N/A</v>
      </c>
      <c r="CC392" s="126">
        <v>1</v>
      </c>
      <c r="CD392" s="127" t="s">
        <v>5355</v>
      </c>
      <c r="CE392" s="128"/>
      <c r="CF392" s="77" t="s">
        <v>4175</v>
      </c>
    </row>
    <row r="393" spans="1:85" ht="14.5" x14ac:dyDescent="0.35">
      <c r="A393" s="77">
        <v>392</v>
      </c>
      <c r="B393" s="106" t="s">
        <v>5383</v>
      </c>
      <c r="C393" s="107" t="s">
        <v>6836</v>
      </c>
      <c r="D393" s="108" t="s">
        <v>5384</v>
      </c>
      <c r="E393" s="109" t="s">
        <v>5385</v>
      </c>
      <c r="F393" s="110">
        <v>681291374</v>
      </c>
      <c r="G393" s="108" t="s">
        <v>1004</v>
      </c>
      <c r="H393" s="111" t="s">
        <v>1028</v>
      </c>
      <c r="I393" s="111" t="s">
        <v>180</v>
      </c>
      <c r="J393" s="111" t="s">
        <v>4649</v>
      </c>
      <c r="K393" s="111" t="s">
        <v>4654</v>
      </c>
      <c r="L393" s="112">
        <v>45887</v>
      </c>
      <c r="M393" s="111" t="s">
        <v>3381</v>
      </c>
      <c r="N393" s="113"/>
      <c r="O393" s="114" t="s">
        <v>4477</v>
      </c>
      <c r="P393" s="114" t="s">
        <v>4356</v>
      </c>
      <c r="Q393" s="114" t="s">
        <v>4477</v>
      </c>
      <c r="R393" s="114" t="s">
        <v>4477</v>
      </c>
      <c r="S393" s="114" t="s">
        <v>4356</v>
      </c>
      <c r="T393" s="114" t="s">
        <v>4477</v>
      </c>
      <c r="U393" s="114" t="s">
        <v>4477</v>
      </c>
      <c r="V393" s="115"/>
      <c r="W393" s="116" t="s">
        <v>5386</v>
      </c>
      <c r="X393" s="116" t="s">
        <v>5387</v>
      </c>
      <c r="Y393" s="117">
        <v>3487119</v>
      </c>
      <c r="Z393" s="117">
        <v>3481456</v>
      </c>
      <c r="AA393" s="118"/>
      <c r="AB393" s="119" t="s">
        <v>5857</v>
      </c>
      <c r="AC393" s="119" t="s">
        <v>5388</v>
      </c>
      <c r="AD393" s="119" t="s">
        <v>5389</v>
      </c>
      <c r="AE393" s="119" t="s">
        <v>5390</v>
      </c>
      <c r="AF393" s="119" t="s">
        <v>6145</v>
      </c>
      <c r="AG393" s="120"/>
      <c r="AH393" s="121">
        <v>45887</v>
      </c>
      <c r="AI393" s="121">
        <v>45887</v>
      </c>
      <c r="AJ393" s="121">
        <v>45887</v>
      </c>
      <c r="AK393" s="122">
        <v>45887</v>
      </c>
      <c r="AL393" s="122" t="e">
        <v>#N/A</v>
      </c>
      <c r="AM393" s="121" t="e">
        <v>#N/A</v>
      </c>
      <c r="AN393" s="121" t="e">
        <v>#N/A</v>
      </c>
      <c r="AO393" s="121" t="e">
        <v>#N/A</v>
      </c>
      <c r="AP393" s="122" t="e">
        <v>#N/A</v>
      </c>
      <c r="AQ393" s="122" t="e">
        <v>#N/A</v>
      </c>
      <c r="AR393" s="122" t="e">
        <v>#N/A</v>
      </c>
      <c r="AS393" s="122" t="e">
        <v>#N/A</v>
      </c>
      <c r="AT393" s="122" t="e">
        <v>#N/A</v>
      </c>
      <c r="AU393" s="121" t="e">
        <v>#N/A</v>
      </c>
      <c r="AV393" s="122" t="e">
        <v>#N/A</v>
      </c>
      <c r="AW393" s="122">
        <v>45887</v>
      </c>
      <c r="AX393" s="122" t="e">
        <v>#N/A</v>
      </c>
      <c r="AY393" s="122" t="e">
        <v>#N/A</v>
      </c>
      <c r="AZ393" s="122" t="e">
        <v>#N/A</v>
      </c>
      <c r="BA393" s="122" t="e">
        <v>#N/A</v>
      </c>
      <c r="BB393" s="122" t="e">
        <v>#N/A</v>
      </c>
      <c r="BC393" s="122" t="e">
        <v>#N/A</v>
      </c>
      <c r="BD393" s="122" t="e">
        <v>#N/A</v>
      </c>
      <c r="BE393" s="122" t="e">
        <v>#N/A</v>
      </c>
      <c r="BF393" s="122" t="e">
        <v>#N/A</v>
      </c>
      <c r="BG393" s="122" t="e">
        <v>#N/A</v>
      </c>
      <c r="BH393" s="122" t="e">
        <v>#N/A</v>
      </c>
      <c r="BI393" s="122" t="e">
        <v>#N/A</v>
      </c>
      <c r="BJ393" s="122" t="e">
        <v>#N/A</v>
      </c>
      <c r="BK393" s="122">
        <v>45951</v>
      </c>
      <c r="BL393" s="123"/>
      <c r="BM393" s="124" t="e">
        <v>#N/A</v>
      </c>
      <c r="BN393" s="124" t="e">
        <v>#N/A</v>
      </c>
      <c r="BO393" s="124" t="e">
        <v>#N/A</v>
      </c>
      <c r="BP393" s="124" t="e">
        <v>#N/A</v>
      </c>
      <c r="BQ393" s="124" t="e">
        <v>#N/A</v>
      </c>
      <c r="BR393" s="124" t="e">
        <v>#N/A</v>
      </c>
      <c r="BS393" s="124" t="e">
        <v>#N/A</v>
      </c>
      <c r="BT393" s="124" t="e">
        <v>#N/A</v>
      </c>
      <c r="BU393" s="124" t="e">
        <v>#N/A</v>
      </c>
      <c r="BV393" s="124" t="e">
        <v>#N/A</v>
      </c>
      <c r="BW393" s="124" t="e">
        <v>#N/A</v>
      </c>
      <c r="BX393" s="124" t="e">
        <v>#N/A</v>
      </c>
      <c r="BY393" s="124" t="e">
        <v>#N/A</v>
      </c>
      <c r="BZ393" s="124" t="e">
        <v>#N/A</v>
      </c>
      <c r="CA393" s="125"/>
      <c r="CB393" s="124" t="e">
        <v>#N/A</v>
      </c>
      <c r="CC393" s="126">
        <v>1</v>
      </c>
      <c r="CD393" s="127" t="s">
        <v>5355</v>
      </c>
      <c r="CE393" s="128" t="e">
        <v>#REF!</v>
      </c>
      <c r="CF393" s="77" t="s">
        <v>4166</v>
      </c>
      <c r="CG393" s="77" t="e">
        <v>#REF!</v>
      </c>
    </row>
    <row r="394" spans="1:85" ht="14.5" x14ac:dyDescent="0.35">
      <c r="A394" s="77">
        <v>393</v>
      </c>
      <c r="B394" s="106" t="s">
        <v>5391</v>
      </c>
      <c r="C394" s="107" t="s">
        <v>6837</v>
      </c>
      <c r="D394" s="108" t="s">
        <v>5392</v>
      </c>
      <c r="E394" s="109" t="s">
        <v>5393</v>
      </c>
      <c r="F394" s="110">
        <v>717706629</v>
      </c>
      <c r="G394" s="108" t="s">
        <v>1004</v>
      </c>
      <c r="H394" s="111" t="s">
        <v>1028</v>
      </c>
      <c r="I394" s="111" t="s">
        <v>180</v>
      </c>
      <c r="J394" s="111" t="s">
        <v>4649</v>
      </c>
      <c r="K394" s="111" t="s">
        <v>4654</v>
      </c>
      <c r="L394" s="112">
        <v>45887</v>
      </c>
      <c r="M394" s="111" t="s">
        <v>3381</v>
      </c>
      <c r="N394" s="113"/>
      <c r="O394" s="114" t="s">
        <v>585</v>
      </c>
      <c r="P394" s="114" t="s">
        <v>4477</v>
      </c>
      <c r="Q394" s="114" t="s">
        <v>4356</v>
      </c>
      <c r="R394" s="114" t="s">
        <v>4356</v>
      </c>
      <c r="S394" s="114" t="s">
        <v>4477</v>
      </c>
      <c r="T394" s="114" t="s">
        <v>4477</v>
      </c>
      <c r="U394" s="114" t="s">
        <v>4477</v>
      </c>
      <c r="V394" s="115"/>
      <c r="W394" s="116" t="s">
        <v>5394</v>
      </c>
      <c r="X394" s="116" t="s">
        <v>5395</v>
      </c>
      <c r="Y394" s="117">
        <v>3486024</v>
      </c>
      <c r="Z394" s="117">
        <v>3486484</v>
      </c>
      <c r="AA394" s="118"/>
      <c r="AB394" s="119" t="s">
        <v>5396</v>
      </c>
      <c r="AC394" s="119" t="s">
        <v>5397</v>
      </c>
      <c r="AD394" s="119" t="s">
        <v>5398</v>
      </c>
      <c r="AE394" s="119" t="s">
        <v>5399</v>
      </c>
      <c r="AF394" s="119" t="s">
        <v>6146</v>
      </c>
      <c r="AG394" s="120"/>
      <c r="AH394" s="121">
        <v>45887</v>
      </c>
      <c r="AI394" s="121">
        <v>45887</v>
      </c>
      <c r="AJ394" s="121">
        <v>45887</v>
      </c>
      <c r="AK394" s="122">
        <v>45887</v>
      </c>
      <c r="AL394" s="122" t="e">
        <v>#N/A</v>
      </c>
      <c r="AM394" s="121" t="e">
        <v>#N/A</v>
      </c>
      <c r="AN394" s="121" t="e">
        <v>#N/A</v>
      </c>
      <c r="AO394" s="121" t="e">
        <v>#N/A</v>
      </c>
      <c r="AP394" s="122" t="e">
        <v>#N/A</v>
      </c>
      <c r="AQ394" s="122" t="e">
        <v>#N/A</v>
      </c>
      <c r="AR394" s="122" t="e">
        <v>#N/A</v>
      </c>
      <c r="AS394" s="122" t="e">
        <v>#N/A</v>
      </c>
      <c r="AT394" s="122" t="e">
        <v>#N/A</v>
      </c>
      <c r="AU394" s="121" t="e">
        <v>#N/A</v>
      </c>
      <c r="AV394" s="122" t="e">
        <v>#N/A</v>
      </c>
      <c r="AW394" s="122">
        <v>45887</v>
      </c>
      <c r="AX394" s="122" t="e">
        <v>#N/A</v>
      </c>
      <c r="AY394" s="122" t="e">
        <v>#N/A</v>
      </c>
      <c r="AZ394" s="122" t="e">
        <v>#N/A</v>
      </c>
      <c r="BA394" s="122" t="e">
        <v>#N/A</v>
      </c>
      <c r="BB394" s="122" t="e">
        <v>#N/A</v>
      </c>
      <c r="BC394" s="122" t="e">
        <v>#N/A</v>
      </c>
      <c r="BD394" s="122" t="e">
        <v>#N/A</v>
      </c>
      <c r="BE394" s="122" t="e">
        <v>#N/A</v>
      </c>
      <c r="BF394" s="122" t="e">
        <v>#N/A</v>
      </c>
      <c r="BG394" s="122" t="e">
        <v>#N/A</v>
      </c>
      <c r="BH394" s="122" t="e">
        <v>#N/A</v>
      </c>
      <c r="BI394" s="122" t="e">
        <v>#N/A</v>
      </c>
      <c r="BJ394" s="122" t="e">
        <v>#N/A</v>
      </c>
      <c r="BK394" s="122">
        <v>45957</v>
      </c>
      <c r="BL394" s="123"/>
      <c r="BM394" s="124" t="e">
        <v>#N/A</v>
      </c>
      <c r="BN394" s="124" t="e">
        <v>#N/A</v>
      </c>
      <c r="BO394" s="124" t="e">
        <v>#N/A</v>
      </c>
      <c r="BP394" s="124" t="e">
        <v>#N/A</v>
      </c>
      <c r="BQ394" s="124" t="e">
        <v>#N/A</v>
      </c>
      <c r="BR394" s="124" t="e">
        <v>#N/A</v>
      </c>
      <c r="BS394" s="124" t="e">
        <v>#N/A</v>
      </c>
      <c r="BT394" s="124" t="e">
        <v>#N/A</v>
      </c>
      <c r="BU394" s="124" t="e">
        <v>#N/A</v>
      </c>
      <c r="BV394" s="124" t="e">
        <v>#N/A</v>
      </c>
      <c r="BW394" s="124" t="e">
        <v>#N/A</v>
      </c>
      <c r="BX394" s="124" t="e">
        <v>#N/A</v>
      </c>
      <c r="BY394" s="124" t="e">
        <v>#N/A</v>
      </c>
      <c r="BZ394" s="124" t="e">
        <v>#N/A</v>
      </c>
      <c r="CA394" s="125"/>
      <c r="CB394" s="124" t="e">
        <v>#N/A</v>
      </c>
      <c r="CC394" s="126">
        <v>1</v>
      </c>
      <c r="CD394" s="127" t="s">
        <v>5355</v>
      </c>
      <c r="CE394" s="128"/>
      <c r="CF394" s="77" t="s">
        <v>4166</v>
      </c>
    </row>
    <row r="395" spans="1:85" ht="14.5" x14ac:dyDescent="0.35">
      <c r="A395" s="77">
        <v>394</v>
      </c>
      <c r="B395" s="106" t="s">
        <v>5400</v>
      </c>
      <c r="C395" s="107" t="s">
        <v>6842</v>
      </c>
      <c r="D395" s="108" t="s">
        <v>5401</v>
      </c>
      <c r="E395" s="109" t="s">
        <v>5402</v>
      </c>
      <c r="F395" s="110">
        <v>627032893</v>
      </c>
      <c r="G395" s="108" t="s">
        <v>1004</v>
      </c>
      <c r="H395" s="111" t="s">
        <v>1028</v>
      </c>
      <c r="I395" s="111" t="s">
        <v>180</v>
      </c>
      <c r="J395" s="111" t="s">
        <v>4649</v>
      </c>
      <c r="K395" s="111" t="s">
        <v>4654</v>
      </c>
      <c r="L395" s="112">
        <v>45887</v>
      </c>
      <c r="M395" s="111" t="s">
        <v>3381</v>
      </c>
      <c r="N395" s="113"/>
      <c r="O395" s="114" t="s">
        <v>330</v>
      </c>
      <c r="P395" s="114" t="s">
        <v>330</v>
      </c>
      <c r="Q395" s="114" t="s">
        <v>183</v>
      </c>
      <c r="R395" s="114" t="s">
        <v>7406</v>
      </c>
      <c r="S395" s="114" t="s">
        <v>330</v>
      </c>
      <c r="T395" s="114" t="s">
        <v>585</v>
      </c>
      <c r="U395" s="114" t="s">
        <v>585</v>
      </c>
      <c r="V395" s="115"/>
      <c r="W395" s="116" t="s">
        <v>5403</v>
      </c>
      <c r="X395" s="116" t="s">
        <v>5404</v>
      </c>
      <c r="Y395" s="117">
        <v>3485626</v>
      </c>
      <c r="Z395" s="117">
        <v>3486366</v>
      </c>
      <c r="AA395" s="118"/>
      <c r="AB395" s="119" t="s">
        <v>5405</v>
      </c>
      <c r="AC395" s="119" t="s">
        <v>5406</v>
      </c>
      <c r="AD395" s="119" t="s">
        <v>5407</v>
      </c>
      <c r="AE395" s="119" t="s">
        <v>5408</v>
      </c>
      <c r="AF395" s="119" t="s">
        <v>6147</v>
      </c>
      <c r="AG395" s="120"/>
      <c r="AH395" s="121">
        <v>45887</v>
      </c>
      <c r="AI395" s="121">
        <v>45887</v>
      </c>
      <c r="AJ395" s="121">
        <v>45887</v>
      </c>
      <c r="AK395" s="122">
        <v>45887</v>
      </c>
      <c r="AL395" s="122" t="e">
        <v>#N/A</v>
      </c>
      <c r="AM395" s="122" t="e">
        <v>#N/A</v>
      </c>
      <c r="AN395" s="122" t="e">
        <v>#N/A</v>
      </c>
      <c r="AO395" s="121" t="e">
        <v>#N/A</v>
      </c>
      <c r="AP395" s="122" t="e">
        <v>#N/A</v>
      </c>
      <c r="AQ395" s="122" t="e">
        <v>#N/A</v>
      </c>
      <c r="AR395" s="122" t="e">
        <v>#N/A</v>
      </c>
      <c r="AS395" s="122" t="e">
        <v>#N/A</v>
      </c>
      <c r="AT395" s="122" t="e">
        <v>#N/A</v>
      </c>
      <c r="AU395" s="121" t="e">
        <v>#N/A</v>
      </c>
      <c r="AV395" s="122" t="e">
        <v>#N/A</v>
      </c>
      <c r="AW395" s="122">
        <v>45887</v>
      </c>
      <c r="AX395" s="122" t="e">
        <v>#N/A</v>
      </c>
      <c r="AY395" s="122" t="e">
        <v>#N/A</v>
      </c>
      <c r="AZ395" s="122" t="e">
        <v>#N/A</v>
      </c>
      <c r="BA395" s="122" t="e">
        <v>#N/A</v>
      </c>
      <c r="BB395" s="122" t="e">
        <v>#N/A</v>
      </c>
      <c r="BC395" s="122" t="e">
        <v>#N/A</v>
      </c>
      <c r="BD395" s="122" t="e">
        <v>#N/A</v>
      </c>
      <c r="BE395" s="122" t="e">
        <v>#N/A</v>
      </c>
      <c r="BF395" s="122" t="e">
        <v>#N/A</v>
      </c>
      <c r="BG395" s="122" t="e">
        <v>#N/A</v>
      </c>
      <c r="BH395" s="122" t="e">
        <v>#N/A</v>
      </c>
      <c r="BI395" s="122" t="e">
        <v>#N/A</v>
      </c>
      <c r="BJ395" s="122" t="e">
        <v>#N/A</v>
      </c>
      <c r="BK395" s="122">
        <v>45958</v>
      </c>
      <c r="BL395" s="123"/>
      <c r="BM395" s="124" t="e">
        <v>#N/A</v>
      </c>
      <c r="BN395" s="124" t="e">
        <v>#N/A</v>
      </c>
      <c r="BO395" s="124" t="e">
        <v>#N/A</v>
      </c>
      <c r="BP395" s="124" t="e">
        <v>#N/A</v>
      </c>
      <c r="BQ395" s="124" t="e">
        <v>#N/A</v>
      </c>
      <c r="BR395" s="124" t="e">
        <v>#N/A</v>
      </c>
      <c r="BS395" s="124" t="e">
        <v>#N/A</v>
      </c>
      <c r="BT395" s="124" t="e">
        <v>#N/A</v>
      </c>
      <c r="BU395" s="124" t="e">
        <v>#N/A</v>
      </c>
      <c r="BV395" s="124" t="e">
        <v>#N/A</v>
      </c>
      <c r="BW395" s="124" t="e">
        <v>#N/A</v>
      </c>
      <c r="BX395" s="124" t="e">
        <v>#N/A</v>
      </c>
      <c r="BY395" s="124" t="e">
        <v>#N/A</v>
      </c>
      <c r="BZ395" s="124" t="e">
        <v>#N/A</v>
      </c>
      <c r="CA395" s="125"/>
      <c r="CB395" s="124" t="e">
        <v>#N/A</v>
      </c>
      <c r="CC395" s="126">
        <v>1</v>
      </c>
      <c r="CD395" s="127" t="s">
        <v>5355</v>
      </c>
      <c r="CE395" s="128" t="e">
        <v>#REF!</v>
      </c>
      <c r="CF395" s="77" t="s">
        <v>4166</v>
      </c>
      <c r="CG395" s="77" t="e">
        <v>#REF!</v>
      </c>
    </row>
    <row r="396" spans="1:85" ht="14.5" x14ac:dyDescent="0.35">
      <c r="A396" s="77">
        <v>395</v>
      </c>
      <c r="B396" s="106" t="s">
        <v>3040</v>
      </c>
      <c r="C396" s="107" t="s">
        <v>6581</v>
      </c>
      <c r="D396" s="108" t="s">
        <v>3041</v>
      </c>
      <c r="E396" s="109" t="s">
        <v>3042</v>
      </c>
      <c r="F396" s="110">
        <v>625551945</v>
      </c>
      <c r="G396" s="108" t="s">
        <v>190</v>
      </c>
      <c r="H396" s="111" t="s">
        <v>1028</v>
      </c>
      <c r="I396" s="111" t="s">
        <v>180</v>
      </c>
      <c r="J396" s="111" t="s">
        <v>4649</v>
      </c>
      <c r="K396" s="111" t="s">
        <v>3159</v>
      </c>
      <c r="L396" s="112">
        <v>45217</v>
      </c>
      <c r="M396" s="111" t="s">
        <v>2628</v>
      </c>
      <c r="N396" s="113"/>
      <c r="O396" s="114" t="s">
        <v>4902</v>
      </c>
      <c r="P396" s="114" t="s">
        <v>4902</v>
      </c>
      <c r="Q396" s="114" t="s">
        <v>183</v>
      </c>
      <c r="R396" s="114" t="s">
        <v>7337</v>
      </c>
      <c r="S396" s="114" t="s">
        <v>183</v>
      </c>
      <c r="T396" s="114" t="s">
        <v>4901</v>
      </c>
      <c r="U396" s="114" t="s">
        <v>4901</v>
      </c>
      <c r="V396" s="115"/>
      <c r="W396" s="116" t="s">
        <v>3043</v>
      </c>
      <c r="X396" s="116" t="s">
        <v>3044</v>
      </c>
      <c r="Y396" s="117">
        <v>3485852</v>
      </c>
      <c r="Z396" s="117">
        <v>3486378</v>
      </c>
      <c r="AA396" s="118"/>
      <c r="AB396" s="119" t="s">
        <v>5858</v>
      </c>
      <c r="AC396" s="119" t="s">
        <v>3045</v>
      </c>
      <c r="AD396" s="119">
        <v>4467</v>
      </c>
      <c r="AE396" s="119" t="s">
        <v>3046</v>
      </c>
      <c r="AF396" s="119">
        <v>0</v>
      </c>
      <c r="AG396" s="120"/>
      <c r="AH396" s="121">
        <v>45217</v>
      </c>
      <c r="AI396" s="121">
        <v>45376</v>
      </c>
      <c r="AJ396" s="121">
        <v>45217</v>
      </c>
      <c r="AK396" s="122">
        <v>45376</v>
      </c>
      <c r="AL396" s="122" t="e">
        <v>#N/A</v>
      </c>
      <c r="AM396" s="122" t="e">
        <v>#N/A</v>
      </c>
      <c r="AN396" s="122" t="e">
        <v>#N/A</v>
      </c>
      <c r="AO396" s="121" t="e">
        <v>#N/A</v>
      </c>
      <c r="AP396" s="122" t="e">
        <v>#N/A</v>
      </c>
      <c r="AQ396" s="122" t="e">
        <v>#N/A</v>
      </c>
      <c r="AR396" s="122" t="e">
        <v>#N/A</v>
      </c>
      <c r="AS396" s="122" t="e">
        <v>#N/A</v>
      </c>
      <c r="AT396" s="122" t="e">
        <v>#N/A</v>
      </c>
      <c r="AU396" s="121" t="e">
        <v>#N/A</v>
      </c>
      <c r="AV396" s="122" t="e">
        <v>#N/A</v>
      </c>
      <c r="AW396" s="122">
        <v>45742</v>
      </c>
      <c r="AX396" s="122" t="e">
        <v>#N/A</v>
      </c>
      <c r="AY396" s="122" t="e">
        <v>#N/A</v>
      </c>
      <c r="AZ396" s="122" t="e">
        <v>#N/A</v>
      </c>
      <c r="BA396" s="122" t="e">
        <v>#N/A</v>
      </c>
      <c r="BB396" s="122" t="e">
        <v>#N/A</v>
      </c>
      <c r="BC396" s="122" t="e">
        <v>#N/A</v>
      </c>
      <c r="BD396" s="122" t="e">
        <v>#N/A</v>
      </c>
      <c r="BE396" s="122" t="e">
        <v>#N/A</v>
      </c>
      <c r="BF396" s="122" t="e">
        <v>#N/A</v>
      </c>
      <c r="BG396" s="122" t="e">
        <v>#N/A</v>
      </c>
      <c r="BH396" s="122" t="e">
        <v>#N/A</v>
      </c>
      <c r="BI396" s="122" t="e">
        <v>#N/A</v>
      </c>
      <c r="BJ396" s="122" t="e">
        <v>#N/A</v>
      </c>
      <c r="BK396" s="122" t="e">
        <v>#N/A</v>
      </c>
      <c r="BL396" s="123"/>
      <c r="BM396" s="124" t="e">
        <v>#N/A</v>
      </c>
      <c r="BN396" s="124" t="e">
        <v>#N/A</v>
      </c>
      <c r="BO396" s="124" t="e">
        <v>#N/A</v>
      </c>
      <c r="BP396" s="124" t="e">
        <v>#N/A</v>
      </c>
      <c r="BQ396" s="124" t="e">
        <v>#N/A</v>
      </c>
      <c r="BR396" s="124" t="e">
        <v>#N/A</v>
      </c>
      <c r="BS396" s="124" t="e">
        <v>#N/A</v>
      </c>
      <c r="BT396" s="124" t="e">
        <v>#N/A</v>
      </c>
      <c r="BU396" s="124" t="e">
        <v>#N/A</v>
      </c>
      <c r="BV396" s="124" t="e">
        <v>#N/A</v>
      </c>
      <c r="BW396" s="124" t="e">
        <v>#N/A</v>
      </c>
      <c r="BX396" s="124" t="e">
        <v>#N/A</v>
      </c>
      <c r="BY396" s="124" t="e">
        <v>#N/A</v>
      </c>
      <c r="BZ396" s="124" t="e">
        <v>#N/A</v>
      </c>
      <c r="CA396" s="125"/>
      <c r="CB396" s="124" t="e">
        <v>#N/A</v>
      </c>
      <c r="CC396" s="126">
        <v>1</v>
      </c>
      <c r="CD396" s="127" t="s">
        <v>4194</v>
      </c>
      <c r="CE396" s="128" t="e">
        <v>#REF!</v>
      </c>
      <c r="CF396" s="77" t="s">
        <v>4166</v>
      </c>
      <c r="CG396" s="77" t="e">
        <v>#REF!</v>
      </c>
    </row>
    <row r="397" spans="1:85" ht="14.5" x14ac:dyDescent="0.35">
      <c r="A397" s="77">
        <v>396</v>
      </c>
      <c r="B397" s="106" t="s">
        <v>3025</v>
      </c>
      <c r="C397" s="107" t="s">
        <v>6580</v>
      </c>
      <c r="D397" s="108" t="s">
        <v>3026</v>
      </c>
      <c r="E397" s="109" t="s">
        <v>3027</v>
      </c>
      <c r="F397" s="110">
        <v>666679796</v>
      </c>
      <c r="G397" s="108" t="s">
        <v>1004</v>
      </c>
      <c r="H397" s="111" t="s">
        <v>1028</v>
      </c>
      <c r="I397" s="111" t="s">
        <v>180</v>
      </c>
      <c r="J397" s="111" t="s">
        <v>4649</v>
      </c>
      <c r="K397" s="111" t="s">
        <v>3159</v>
      </c>
      <c r="L397" s="112">
        <v>45217</v>
      </c>
      <c r="M397" s="111" t="s">
        <v>3335</v>
      </c>
      <c r="N397" s="113"/>
      <c r="O397" s="114" t="s">
        <v>501</v>
      </c>
      <c r="P397" s="114" t="s">
        <v>501</v>
      </c>
      <c r="Q397" s="114" t="s">
        <v>501</v>
      </c>
      <c r="R397" s="114" t="s">
        <v>7321</v>
      </c>
      <c r="S397" s="114" t="s">
        <v>501</v>
      </c>
      <c r="T397" s="114" t="s">
        <v>183</v>
      </c>
      <c r="U397" s="114" t="s">
        <v>183</v>
      </c>
      <c r="V397" s="115"/>
      <c r="W397" s="116" t="s">
        <v>3028</v>
      </c>
      <c r="X397" s="116" t="s">
        <v>3029</v>
      </c>
      <c r="Y397" s="117">
        <v>3485814</v>
      </c>
      <c r="Z397" s="117">
        <v>3486345</v>
      </c>
      <c r="AA397" s="118"/>
      <c r="AB397" s="119" t="s">
        <v>5739</v>
      </c>
      <c r="AC397" s="119" t="s">
        <v>3030</v>
      </c>
      <c r="AD397" s="119">
        <v>4450</v>
      </c>
      <c r="AE397" s="119" t="s">
        <v>3031</v>
      </c>
      <c r="AF397" s="119">
        <v>0</v>
      </c>
      <c r="AG397" s="120"/>
      <c r="AH397" s="121">
        <v>45217</v>
      </c>
      <c r="AI397" s="121">
        <v>45260</v>
      </c>
      <c r="AJ397" s="121">
        <v>45217</v>
      </c>
      <c r="AK397" s="122">
        <v>45260</v>
      </c>
      <c r="AL397" s="122" t="e">
        <v>#N/A</v>
      </c>
      <c r="AM397" s="121" t="e">
        <v>#N/A</v>
      </c>
      <c r="AN397" s="121" t="e">
        <v>#N/A</v>
      </c>
      <c r="AO397" s="121" t="e">
        <v>#N/A</v>
      </c>
      <c r="AP397" s="122" t="e">
        <v>#N/A</v>
      </c>
      <c r="AQ397" s="122" t="e">
        <v>#N/A</v>
      </c>
      <c r="AR397" s="122" t="e">
        <v>#N/A</v>
      </c>
      <c r="AS397" s="122" t="e">
        <v>#N/A</v>
      </c>
      <c r="AT397" s="122" t="e">
        <v>#N/A</v>
      </c>
      <c r="AU397" s="121" t="e">
        <v>#N/A</v>
      </c>
      <c r="AV397" s="122" t="e">
        <v>#N/A</v>
      </c>
      <c r="AW397" s="122">
        <v>45849</v>
      </c>
      <c r="AX397" s="122" t="e">
        <v>#N/A</v>
      </c>
      <c r="AY397" s="122" t="e">
        <v>#N/A</v>
      </c>
      <c r="AZ397" s="122" t="e">
        <v>#N/A</v>
      </c>
      <c r="BA397" s="122" t="e">
        <v>#N/A</v>
      </c>
      <c r="BB397" s="122" t="e">
        <v>#N/A</v>
      </c>
      <c r="BC397" s="122" t="e">
        <v>#N/A</v>
      </c>
      <c r="BD397" s="122" t="e">
        <v>#N/A</v>
      </c>
      <c r="BE397" s="122" t="e">
        <v>#N/A</v>
      </c>
      <c r="BF397" s="122" t="e">
        <v>#N/A</v>
      </c>
      <c r="BG397" s="122" t="e">
        <v>#N/A</v>
      </c>
      <c r="BH397" s="122" t="e">
        <v>#N/A</v>
      </c>
      <c r="BI397" s="122" t="e">
        <v>#N/A</v>
      </c>
      <c r="BJ397" s="122" t="e">
        <v>#N/A</v>
      </c>
      <c r="BK397" s="122" t="e">
        <v>#N/A</v>
      </c>
      <c r="BL397" s="123"/>
      <c r="BM397" s="124" t="e">
        <v>#N/A</v>
      </c>
      <c r="BN397" s="124" t="e">
        <v>#N/A</v>
      </c>
      <c r="BO397" s="124" t="e">
        <v>#N/A</v>
      </c>
      <c r="BP397" s="124" t="e">
        <v>#N/A</v>
      </c>
      <c r="BQ397" s="124" t="e">
        <v>#N/A</v>
      </c>
      <c r="BR397" s="124" t="e">
        <v>#N/A</v>
      </c>
      <c r="BS397" s="124" t="e">
        <v>#N/A</v>
      </c>
      <c r="BT397" s="124" t="e">
        <v>#N/A</v>
      </c>
      <c r="BU397" s="124" t="e">
        <v>#N/A</v>
      </c>
      <c r="BV397" s="124" t="e">
        <v>#N/A</v>
      </c>
      <c r="BW397" s="124" t="e">
        <v>#N/A</v>
      </c>
      <c r="BX397" s="124" t="e">
        <v>#N/A</v>
      </c>
      <c r="BY397" s="124" t="e">
        <v>#N/A</v>
      </c>
      <c r="BZ397" s="124" t="e">
        <v>#N/A</v>
      </c>
      <c r="CA397" s="125"/>
      <c r="CB397" s="124" t="e">
        <v>#N/A</v>
      </c>
      <c r="CC397" s="126">
        <v>1</v>
      </c>
      <c r="CD397" s="127" t="s">
        <v>4194</v>
      </c>
      <c r="CE397" s="128"/>
      <c r="CF397" s="77" t="s">
        <v>4166</v>
      </c>
    </row>
    <row r="398" spans="1:85" ht="14.5" x14ac:dyDescent="0.35">
      <c r="A398" s="77">
        <v>397</v>
      </c>
      <c r="B398" s="106" t="s">
        <v>6004</v>
      </c>
      <c r="C398" s="107" t="s">
        <v>6859</v>
      </c>
      <c r="D398" s="108" t="s">
        <v>5936</v>
      </c>
      <c r="E398" s="109" t="s">
        <v>5937</v>
      </c>
      <c r="F398" s="110">
        <v>663070895</v>
      </c>
      <c r="G398" s="108" t="s">
        <v>1004</v>
      </c>
      <c r="H398" s="111" t="s">
        <v>1028</v>
      </c>
      <c r="I398" s="111" t="s">
        <v>180</v>
      </c>
      <c r="J398" s="111" t="s">
        <v>4649</v>
      </c>
      <c r="K398" s="111" t="s">
        <v>3159</v>
      </c>
      <c r="L398" s="112">
        <v>45922</v>
      </c>
      <c r="M398" s="111" t="s">
        <v>3381</v>
      </c>
      <c r="N398" s="113"/>
      <c r="O398" s="114" t="s">
        <v>3831</v>
      </c>
      <c r="P398" s="114" t="s">
        <v>3831</v>
      </c>
      <c r="Q398" s="114" t="s">
        <v>585</v>
      </c>
      <c r="R398" s="114" t="s">
        <v>7382</v>
      </c>
      <c r="S398" s="114" t="s">
        <v>3831</v>
      </c>
      <c r="T398" s="114" t="s">
        <v>183</v>
      </c>
      <c r="U398" s="114" t="s">
        <v>183</v>
      </c>
      <c r="V398" s="115"/>
      <c r="W398" s="116" t="s">
        <v>5938</v>
      </c>
      <c r="X398" s="116" t="s">
        <v>5939</v>
      </c>
      <c r="Y398" s="117">
        <v>3485355</v>
      </c>
      <c r="Z398" s="117">
        <v>3481465</v>
      </c>
      <c r="AA398" s="118"/>
      <c r="AB398" s="119" t="s">
        <v>5940</v>
      </c>
      <c r="AC398" s="119" t="s">
        <v>5941</v>
      </c>
      <c r="AD398" s="119" t="s">
        <v>6860</v>
      </c>
      <c r="AE398" s="119" t="s">
        <v>6861</v>
      </c>
      <c r="AF398" s="119" t="s">
        <v>7241</v>
      </c>
      <c r="AG398" s="120"/>
      <c r="AH398" s="121">
        <v>45922</v>
      </c>
      <c r="AI398" s="121">
        <v>45922</v>
      </c>
      <c r="AJ398" s="121">
        <v>45922</v>
      </c>
      <c r="AK398" s="122">
        <v>45922</v>
      </c>
      <c r="AL398" s="122" t="e">
        <v>#N/A</v>
      </c>
      <c r="AM398" s="122" t="e">
        <v>#N/A</v>
      </c>
      <c r="AN398" s="122" t="e">
        <v>#N/A</v>
      </c>
      <c r="AO398" s="121" t="e">
        <v>#N/A</v>
      </c>
      <c r="AP398" s="122" t="e">
        <v>#N/A</v>
      </c>
      <c r="AQ398" s="122" t="e">
        <v>#N/A</v>
      </c>
      <c r="AR398" s="122" t="e">
        <v>#N/A</v>
      </c>
      <c r="AS398" s="122" t="e">
        <v>#N/A</v>
      </c>
      <c r="AT398" s="122" t="e">
        <v>#N/A</v>
      </c>
      <c r="AU398" s="121" t="e">
        <v>#N/A</v>
      </c>
      <c r="AV398" s="122" t="e">
        <v>#N/A</v>
      </c>
      <c r="AW398" s="122">
        <v>45919</v>
      </c>
      <c r="AX398" s="122" t="e">
        <v>#N/A</v>
      </c>
      <c r="AY398" s="122" t="e">
        <v>#N/A</v>
      </c>
      <c r="AZ398" s="122" t="e">
        <v>#N/A</v>
      </c>
      <c r="BA398" s="122" t="e">
        <v>#N/A</v>
      </c>
      <c r="BB398" s="122" t="e">
        <v>#N/A</v>
      </c>
      <c r="BC398" s="122" t="e">
        <v>#N/A</v>
      </c>
      <c r="BD398" s="122" t="e">
        <v>#N/A</v>
      </c>
      <c r="BE398" s="122" t="e">
        <v>#N/A</v>
      </c>
      <c r="BF398" s="122" t="e">
        <v>#N/A</v>
      </c>
      <c r="BG398" s="122" t="e">
        <v>#N/A</v>
      </c>
      <c r="BH398" s="122" t="e">
        <v>#N/A</v>
      </c>
      <c r="BI398" s="122" t="e">
        <v>#N/A</v>
      </c>
      <c r="BJ398" s="122" t="e">
        <v>#N/A</v>
      </c>
      <c r="BK398" s="122">
        <v>45965</v>
      </c>
      <c r="BL398" s="123"/>
      <c r="BM398" s="124" t="e">
        <v>#N/A</v>
      </c>
      <c r="BN398" s="124" t="e">
        <v>#N/A</v>
      </c>
      <c r="BO398" s="124" t="e">
        <v>#N/A</v>
      </c>
      <c r="BP398" s="124" t="e">
        <v>#N/A</v>
      </c>
      <c r="BQ398" s="124" t="e">
        <v>#N/A</v>
      </c>
      <c r="BR398" s="124" t="e">
        <v>#N/A</v>
      </c>
      <c r="BS398" s="124" t="e">
        <v>#N/A</v>
      </c>
      <c r="BT398" s="124" t="e">
        <v>#N/A</v>
      </c>
      <c r="BU398" s="124" t="e">
        <v>#N/A</v>
      </c>
      <c r="BV398" s="124" t="e">
        <v>#N/A</v>
      </c>
      <c r="BW398" s="124" t="e">
        <v>#N/A</v>
      </c>
      <c r="BX398" s="124" t="e">
        <v>#N/A</v>
      </c>
      <c r="BY398" s="124" t="e">
        <v>#N/A</v>
      </c>
      <c r="BZ398" s="124" t="e">
        <v>#N/A</v>
      </c>
      <c r="CA398" s="125"/>
      <c r="CB398" s="124" t="e">
        <v>#N/A</v>
      </c>
      <c r="CC398" s="126">
        <v>1</v>
      </c>
      <c r="CD398" s="127" t="s">
        <v>5994</v>
      </c>
      <c r="CE398" s="128"/>
      <c r="CF398" s="77" t="s">
        <v>4168</v>
      </c>
    </row>
    <row r="399" spans="1:85" ht="14.5" x14ac:dyDescent="0.35">
      <c r="A399" s="77">
        <v>398</v>
      </c>
      <c r="B399" s="106" t="s">
        <v>6006</v>
      </c>
      <c r="C399" s="107" t="s">
        <v>6856</v>
      </c>
      <c r="D399" s="108" t="s">
        <v>5948</v>
      </c>
      <c r="E399" s="109" t="s">
        <v>5949</v>
      </c>
      <c r="F399" s="110">
        <v>34628850171</v>
      </c>
      <c r="G399" s="108" t="s">
        <v>1004</v>
      </c>
      <c r="H399" s="111" t="s">
        <v>1028</v>
      </c>
      <c r="I399" s="111" t="s">
        <v>180</v>
      </c>
      <c r="J399" s="111" t="s">
        <v>4649</v>
      </c>
      <c r="K399" s="111" t="s">
        <v>3159</v>
      </c>
      <c r="L399" s="112">
        <v>45922</v>
      </c>
      <c r="M399" s="111" t="s">
        <v>3381</v>
      </c>
      <c r="N399" s="113"/>
      <c r="O399" s="114" t="s">
        <v>286</v>
      </c>
      <c r="P399" s="114" t="s">
        <v>286</v>
      </c>
      <c r="Q399" s="114" t="s">
        <v>286</v>
      </c>
      <c r="R399" s="114" t="s">
        <v>7301</v>
      </c>
      <c r="S399" s="114" t="s">
        <v>286</v>
      </c>
      <c r="T399" s="114" t="s">
        <v>183</v>
      </c>
      <c r="U399" s="114" t="s">
        <v>183</v>
      </c>
      <c r="V399" s="115"/>
      <c r="W399" s="116" t="s">
        <v>5950</v>
      </c>
      <c r="X399" s="116" t="s">
        <v>5951</v>
      </c>
      <c r="Y399" s="117">
        <v>3485515</v>
      </c>
      <c r="Z399" s="117">
        <v>3481531</v>
      </c>
      <c r="AA399" s="118"/>
      <c r="AB399" s="119" t="s">
        <v>5952</v>
      </c>
      <c r="AC399" s="119" t="s">
        <v>5953</v>
      </c>
      <c r="AD399" s="119" t="s">
        <v>6857</v>
      </c>
      <c r="AE399" s="119" t="s">
        <v>6858</v>
      </c>
      <c r="AF399" s="119" t="s">
        <v>7240</v>
      </c>
      <c r="AG399" s="120"/>
      <c r="AH399" s="121">
        <v>45922</v>
      </c>
      <c r="AI399" s="121">
        <v>45922</v>
      </c>
      <c r="AJ399" s="121">
        <v>45922</v>
      </c>
      <c r="AK399" s="122">
        <v>45922</v>
      </c>
      <c r="AL399" s="122" t="e">
        <v>#N/A</v>
      </c>
      <c r="AM399" s="121" t="e">
        <v>#N/A</v>
      </c>
      <c r="AN399" s="121" t="e">
        <v>#N/A</v>
      </c>
      <c r="AO399" s="121" t="e">
        <v>#N/A</v>
      </c>
      <c r="AP399" s="122" t="e">
        <v>#N/A</v>
      </c>
      <c r="AQ399" s="122" t="e">
        <v>#N/A</v>
      </c>
      <c r="AR399" s="122" t="e">
        <v>#N/A</v>
      </c>
      <c r="AS399" s="122" t="e">
        <v>#N/A</v>
      </c>
      <c r="AT399" s="122" t="e">
        <v>#N/A</v>
      </c>
      <c r="AU399" s="121" t="e">
        <v>#N/A</v>
      </c>
      <c r="AV399" s="122" t="e">
        <v>#N/A</v>
      </c>
      <c r="AW399" s="122">
        <v>45919</v>
      </c>
      <c r="AX399" s="122" t="e">
        <v>#N/A</v>
      </c>
      <c r="AY399" s="122" t="e">
        <v>#N/A</v>
      </c>
      <c r="AZ399" s="122" t="e">
        <v>#N/A</v>
      </c>
      <c r="BA399" s="122" t="e">
        <v>#N/A</v>
      </c>
      <c r="BB399" s="122" t="e">
        <v>#N/A</v>
      </c>
      <c r="BC399" s="122" t="e">
        <v>#N/A</v>
      </c>
      <c r="BD399" s="122" t="e">
        <v>#N/A</v>
      </c>
      <c r="BE399" s="122" t="e">
        <v>#N/A</v>
      </c>
      <c r="BF399" s="122" t="e">
        <v>#N/A</v>
      </c>
      <c r="BG399" s="122" t="e">
        <v>#N/A</v>
      </c>
      <c r="BH399" s="122" t="e">
        <v>#N/A</v>
      </c>
      <c r="BI399" s="122" t="e">
        <v>#N/A</v>
      </c>
      <c r="BJ399" s="122" t="e">
        <v>#N/A</v>
      </c>
      <c r="BK399" s="122">
        <v>45960</v>
      </c>
      <c r="BL399" s="123"/>
      <c r="BM399" s="124" t="e">
        <v>#N/A</v>
      </c>
      <c r="BN399" s="124" t="e">
        <v>#N/A</v>
      </c>
      <c r="BO399" s="124" t="e">
        <v>#N/A</v>
      </c>
      <c r="BP399" s="124" t="e">
        <v>#N/A</v>
      </c>
      <c r="BQ399" s="124" t="e">
        <v>#N/A</v>
      </c>
      <c r="BR399" s="124" t="e">
        <v>#N/A</v>
      </c>
      <c r="BS399" s="124" t="e">
        <v>#N/A</v>
      </c>
      <c r="BT399" s="124" t="e">
        <v>#N/A</v>
      </c>
      <c r="BU399" s="124" t="e">
        <v>#N/A</v>
      </c>
      <c r="BV399" s="124" t="e">
        <v>#N/A</v>
      </c>
      <c r="BW399" s="124" t="e">
        <v>#N/A</v>
      </c>
      <c r="BX399" s="124" t="e">
        <v>#N/A</v>
      </c>
      <c r="BY399" s="124" t="e">
        <v>#N/A</v>
      </c>
      <c r="BZ399" s="124" t="e">
        <v>#N/A</v>
      </c>
      <c r="CA399" s="125"/>
      <c r="CB399" s="124" t="e">
        <v>#N/A</v>
      </c>
      <c r="CC399" s="126">
        <v>1</v>
      </c>
      <c r="CD399" s="127" t="s">
        <v>5994</v>
      </c>
      <c r="CE399" s="128"/>
      <c r="CF399" s="77" t="s">
        <v>4168</v>
      </c>
    </row>
    <row r="400" spans="1:85" ht="14.5" x14ac:dyDescent="0.35">
      <c r="A400" s="77">
        <v>399</v>
      </c>
      <c r="B400" s="106" t="s">
        <v>4657</v>
      </c>
      <c r="C400" s="107" t="s">
        <v>6771</v>
      </c>
      <c r="D400" s="108" t="s">
        <v>4658</v>
      </c>
      <c r="E400" s="109" t="s">
        <v>4659</v>
      </c>
      <c r="F400" s="110">
        <v>684373589</v>
      </c>
      <c r="G400" s="108" t="s">
        <v>1004</v>
      </c>
      <c r="H400" s="111" t="s">
        <v>1028</v>
      </c>
      <c r="I400" s="111" t="s">
        <v>180</v>
      </c>
      <c r="J400" s="111" t="s">
        <v>4649</v>
      </c>
      <c r="K400" s="111" t="s">
        <v>3159</v>
      </c>
      <c r="L400" s="112">
        <v>45824</v>
      </c>
      <c r="M400" s="111" t="s">
        <v>2948</v>
      </c>
      <c r="N400" s="113"/>
      <c r="O400" s="114" t="s">
        <v>225</v>
      </c>
      <c r="P400" s="114" t="s">
        <v>183</v>
      </c>
      <c r="Q400" s="114" t="s">
        <v>183</v>
      </c>
      <c r="R400" s="114" t="s">
        <v>7358</v>
      </c>
      <c r="S400" s="114" t="s">
        <v>225</v>
      </c>
      <c r="T400" s="114" t="s">
        <v>225</v>
      </c>
      <c r="U400" s="114" t="s">
        <v>225</v>
      </c>
      <c r="V400" s="115"/>
      <c r="W400" s="116" t="s">
        <v>4660</v>
      </c>
      <c r="X400" s="116" t="s">
        <v>4661</v>
      </c>
      <c r="Y400" s="117">
        <v>3485765</v>
      </c>
      <c r="Z400" s="117">
        <v>3481398</v>
      </c>
      <c r="AA400" s="118"/>
      <c r="AB400" s="119" t="s">
        <v>4662</v>
      </c>
      <c r="AC400" s="119" t="s">
        <v>4663</v>
      </c>
      <c r="AD400" s="119">
        <v>5069</v>
      </c>
      <c r="AE400" s="119" t="s">
        <v>4664</v>
      </c>
      <c r="AF400" s="119" t="s">
        <v>7221</v>
      </c>
      <c r="AG400" s="120"/>
      <c r="AH400" s="121">
        <v>45824</v>
      </c>
      <c r="AI400" s="121">
        <v>45824</v>
      </c>
      <c r="AJ400" s="121">
        <v>45824</v>
      </c>
      <c r="AK400" s="122">
        <v>45824</v>
      </c>
      <c r="AL400" s="122">
        <v>46007</v>
      </c>
      <c r="AM400" s="122" t="e">
        <v>#N/A</v>
      </c>
      <c r="AN400" s="122">
        <v>46007</v>
      </c>
      <c r="AO400" s="121">
        <v>46008</v>
      </c>
      <c r="AP400" s="122" t="e">
        <v>#N/A</v>
      </c>
      <c r="AQ400" s="122" t="e">
        <v>#N/A</v>
      </c>
      <c r="AR400" s="122">
        <v>46007</v>
      </c>
      <c r="AS400" s="122" t="e">
        <v>#N/A</v>
      </c>
      <c r="AT400" s="122" t="e">
        <v>#N/A</v>
      </c>
      <c r="AU400" s="121" t="e">
        <v>#N/A</v>
      </c>
      <c r="AV400" s="122" t="e">
        <v>#N/A</v>
      </c>
      <c r="AW400" s="122">
        <v>45819</v>
      </c>
      <c r="AX400" s="122" t="e">
        <v>#N/A</v>
      </c>
      <c r="AY400" s="122" t="e">
        <v>#N/A</v>
      </c>
      <c r="AZ400" s="122">
        <v>46007</v>
      </c>
      <c r="BA400" s="122" t="e">
        <v>#N/A</v>
      </c>
      <c r="BB400" s="122" t="e">
        <v>#N/A</v>
      </c>
      <c r="BC400" s="122" t="e">
        <v>#N/A</v>
      </c>
      <c r="BD400" s="122" t="e">
        <v>#N/A</v>
      </c>
      <c r="BE400" s="122" t="e">
        <v>#N/A</v>
      </c>
      <c r="BF400" s="122" t="e">
        <v>#N/A</v>
      </c>
      <c r="BG400" s="122" t="e">
        <v>#N/A</v>
      </c>
      <c r="BH400" s="122" t="e">
        <v>#N/A</v>
      </c>
      <c r="BI400" s="122" t="e">
        <v>#N/A</v>
      </c>
      <c r="BJ400" s="122" t="e">
        <v>#N/A</v>
      </c>
      <c r="BK400" s="122">
        <v>45981</v>
      </c>
      <c r="BL400" s="123"/>
      <c r="BM400" s="124" t="e">
        <v>#N/A</v>
      </c>
      <c r="BN400" s="124" t="e">
        <v>#N/A</v>
      </c>
      <c r="BO400" s="124" t="e">
        <v>#N/A</v>
      </c>
      <c r="BP400" s="124" t="e">
        <v>#N/A</v>
      </c>
      <c r="BQ400" s="124" t="e">
        <v>#N/A</v>
      </c>
      <c r="BR400" s="124" t="e">
        <v>#N/A</v>
      </c>
      <c r="BS400" s="124" t="e">
        <v>#N/A</v>
      </c>
      <c r="BT400" s="124" t="e">
        <v>#N/A</v>
      </c>
      <c r="BU400" s="124" t="e">
        <v>#N/A</v>
      </c>
      <c r="BV400" s="124" t="e">
        <v>#N/A</v>
      </c>
      <c r="BW400" s="124" t="e">
        <v>#N/A</v>
      </c>
      <c r="BX400" s="124" t="e">
        <v>#N/A</v>
      </c>
      <c r="BY400" s="124" t="e">
        <v>#N/A</v>
      </c>
      <c r="BZ400" s="124" t="e">
        <v>#N/A</v>
      </c>
      <c r="CA400" s="125"/>
      <c r="CB400" s="124">
        <v>45820</v>
      </c>
      <c r="CC400" s="126">
        <v>1</v>
      </c>
      <c r="CD400" s="127" t="s">
        <v>4617</v>
      </c>
      <c r="CE400" s="128"/>
      <c r="CF400" s="77" t="s">
        <v>4168</v>
      </c>
    </row>
    <row r="401" spans="1:84" ht="14.5" x14ac:dyDescent="0.35">
      <c r="A401" s="77">
        <v>400</v>
      </c>
      <c r="B401" s="106" t="s">
        <v>6149</v>
      </c>
      <c r="C401" s="107" t="s">
        <v>6741</v>
      </c>
      <c r="D401" s="108" t="s">
        <v>6150</v>
      </c>
      <c r="E401" s="109" t="s">
        <v>6151</v>
      </c>
      <c r="F401" s="110">
        <v>624390683</v>
      </c>
      <c r="G401" s="108" t="s">
        <v>1004</v>
      </c>
      <c r="H401" s="111" t="s">
        <v>1028</v>
      </c>
      <c r="I401" s="111" t="s">
        <v>180</v>
      </c>
      <c r="J401" s="111" t="s">
        <v>4649</v>
      </c>
      <c r="K401" s="111" t="s">
        <v>3159</v>
      </c>
      <c r="L401" s="112">
        <v>45684</v>
      </c>
      <c r="M401" s="111" t="s">
        <v>2933</v>
      </c>
      <c r="N401" s="113"/>
      <c r="O401" s="114" t="s">
        <v>7275</v>
      </c>
      <c r="P401" s="114" t="s">
        <v>4356</v>
      </c>
      <c r="Q401" s="114" t="s">
        <v>4356</v>
      </c>
      <c r="R401" s="114" t="s">
        <v>7321</v>
      </c>
      <c r="S401" s="114" t="s">
        <v>501</v>
      </c>
      <c r="T401" s="114" t="s">
        <v>501</v>
      </c>
      <c r="U401" s="114" t="s">
        <v>501</v>
      </c>
      <c r="V401" s="115"/>
      <c r="W401" s="116" t="s">
        <v>6152</v>
      </c>
      <c r="X401" s="116" t="s">
        <v>6153</v>
      </c>
      <c r="Y401" s="117">
        <v>3485979</v>
      </c>
      <c r="Z401" s="117">
        <v>3486719</v>
      </c>
      <c r="AA401" s="118"/>
      <c r="AB401" s="119" t="s">
        <v>6154</v>
      </c>
      <c r="AC401" s="119" t="s">
        <v>6155</v>
      </c>
      <c r="AD401" s="119" t="s">
        <v>6156</v>
      </c>
      <c r="AE401" s="119" t="s">
        <v>6157</v>
      </c>
      <c r="AF401" s="119" t="s">
        <v>7207</v>
      </c>
      <c r="AG401" s="120"/>
      <c r="AH401" s="121">
        <v>45684</v>
      </c>
      <c r="AI401" s="121">
        <v>45684</v>
      </c>
      <c r="AJ401" s="121">
        <v>45684</v>
      </c>
      <c r="AK401" s="122">
        <v>45684</v>
      </c>
      <c r="AL401" s="122" t="e">
        <v>#N/A</v>
      </c>
      <c r="AM401" s="121" t="e">
        <v>#N/A</v>
      </c>
      <c r="AN401" s="121" t="e">
        <v>#N/A</v>
      </c>
      <c r="AO401" s="121" t="e">
        <v>#N/A</v>
      </c>
      <c r="AP401" s="122" t="e">
        <v>#N/A</v>
      </c>
      <c r="AQ401" s="122" t="e">
        <v>#N/A</v>
      </c>
      <c r="AR401" s="122" t="e">
        <v>#N/A</v>
      </c>
      <c r="AS401" s="122" t="e">
        <v>#N/A</v>
      </c>
      <c r="AT401" s="122" t="e">
        <v>#N/A</v>
      </c>
      <c r="AU401" s="121" t="e">
        <v>#N/A</v>
      </c>
      <c r="AV401" s="122" t="e">
        <v>#N/A</v>
      </c>
      <c r="AW401" s="122">
        <v>45736</v>
      </c>
      <c r="AX401" s="122" t="e">
        <v>#N/A</v>
      </c>
      <c r="AY401" s="122" t="e">
        <v>#N/A</v>
      </c>
      <c r="AZ401" s="122" t="e">
        <v>#N/A</v>
      </c>
      <c r="BA401" s="122" t="e">
        <v>#N/A</v>
      </c>
      <c r="BB401" s="122" t="e">
        <v>#N/A</v>
      </c>
      <c r="BC401" s="122" t="e">
        <v>#N/A</v>
      </c>
      <c r="BD401" s="122" t="e">
        <v>#N/A</v>
      </c>
      <c r="BE401" s="122" t="e">
        <v>#N/A</v>
      </c>
      <c r="BF401" s="122" t="e">
        <v>#N/A</v>
      </c>
      <c r="BG401" s="122" t="e">
        <v>#N/A</v>
      </c>
      <c r="BH401" s="122" t="e">
        <v>#N/A</v>
      </c>
      <c r="BI401" s="122" t="e">
        <v>#N/A</v>
      </c>
      <c r="BJ401" s="122" t="e">
        <v>#N/A</v>
      </c>
      <c r="BK401" s="122">
        <v>45967</v>
      </c>
      <c r="BL401" s="123"/>
      <c r="BM401" s="124" t="e">
        <v>#N/A</v>
      </c>
      <c r="BN401" s="124" t="e">
        <v>#N/A</v>
      </c>
      <c r="BO401" s="124" t="e">
        <v>#N/A</v>
      </c>
      <c r="BP401" s="124" t="e">
        <v>#N/A</v>
      </c>
      <c r="BQ401" s="124" t="e">
        <v>#N/A</v>
      </c>
      <c r="BR401" s="124" t="e">
        <v>#N/A</v>
      </c>
      <c r="BS401" s="124" t="e">
        <v>#N/A</v>
      </c>
      <c r="BT401" s="124" t="e">
        <v>#N/A</v>
      </c>
      <c r="BU401" s="124" t="e">
        <v>#N/A</v>
      </c>
      <c r="BV401" s="124" t="e">
        <v>#N/A</v>
      </c>
      <c r="BW401" s="124" t="e">
        <v>#N/A</v>
      </c>
      <c r="BX401" s="124" t="e">
        <v>#N/A</v>
      </c>
      <c r="BY401" s="124" t="e">
        <v>#N/A</v>
      </c>
      <c r="BZ401" s="124" t="e">
        <v>#N/A</v>
      </c>
      <c r="CA401" s="125"/>
      <c r="CB401" s="124">
        <v>45734</v>
      </c>
      <c r="CC401" s="126">
        <v>1</v>
      </c>
      <c r="CD401" s="127" t="s">
        <v>4211</v>
      </c>
      <c r="CE401" s="128"/>
      <c r="CF401" s="77" t="s">
        <v>4168</v>
      </c>
    </row>
    <row r="402" spans="1:84" ht="14.5" x14ac:dyDescent="0.35">
      <c r="A402" s="77">
        <v>401</v>
      </c>
      <c r="B402" s="106" t="s">
        <v>4341</v>
      </c>
      <c r="C402" s="107" t="s">
        <v>6735</v>
      </c>
      <c r="D402" s="108" t="s">
        <v>4342</v>
      </c>
      <c r="E402" s="109" t="s">
        <v>4343</v>
      </c>
      <c r="F402" s="110">
        <v>624117089</v>
      </c>
      <c r="G402" s="108" t="s">
        <v>1004</v>
      </c>
      <c r="H402" s="111" t="s">
        <v>1028</v>
      </c>
      <c r="I402" s="111" t="s">
        <v>180</v>
      </c>
      <c r="J402" s="111" t="s">
        <v>4649</v>
      </c>
      <c r="K402" s="111" t="s">
        <v>3159</v>
      </c>
      <c r="L402" s="112">
        <v>45684</v>
      </c>
      <c r="M402" s="111" t="s">
        <v>2967</v>
      </c>
      <c r="N402" s="113"/>
      <c r="O402" s="114" t="s">
        <v>4470</v>
      </c>
      <c r="P402" s="114" t="s">
        <v>4470</v>
      </c>
      <c r="Q402" s="114" t="s">
        <v>4470</v>
      </c>
      <c r="R402" s="114" t="s">
        <v>7318</v>
      </c>
      <c r="S402" s="114" t="s">
        <v>4470</v>
      </c>
      <c r="T402" s="114" t="s">
        <v>183</v>
      </c>
      <c r="U402" s="114" t="s">
        <v>183</v>
      </c>
      <c r="V402" s="115"/>
      <c r="W402" s="116" t="s">
        <v>4344</v>
      </c>
      <c r="X402" s="116" t="s">
        <v>4345</v>
      </c>
      <c r="Y402" s="117">
        <v>3485991</v>
      </c>
      <c r="Z402" s="117">
        <v>3481532</v>
      </c>
      <c r="AA402" s="118"/>
      <c r="AB402" s="119" t="s">
        <v>5829</v>
      </c>
      <c r="AC402" s="119" t="s">
        <v>4346</v>
      </c>
      <c r="AD402" s="119" t="s">
        <v>4347</v>
      </c>
      <c r="AE402" s="119" t="s">
        <v>4348</v>
      </c>
      <c r="AF402" s="119" t="s">
        <v>6158</v>
      </c>
      <c r="AG402" s="120"/>
      <c r="AH402" s="121">
        <v>45684</v>
      </c>
      <c r="AI402" s="121">
        <v>45684</v>
      </c>
      <c r="AJ402" s="121">
        <v>45684</v>
      </c>
      <c r="AK402" s="122">
        <v>45684</v>
      </c>
      <c r="AL402" s="122" t="e">
        <v>#N/A</v>
      </c>
      <c r="AM402" s="121" t="e">
        <v>#N/A</v>
      </c>
      <c r="AN402" s="121" t="e">
        <v>#N/A</v>
      </c>
      <c r="AO402" s="121" t="e">
        <v>#N/A</v>
      </c>
      <c r="AP402" s="122">
        <v>45863</v>
      </c>
      <c r="AQ402" s="122" t="e">
        <v>#N/A</v>
      </c>
      <c r="AR402" s="122" t="e">
        <v>#N/A</v>
      </c>
      <c r="AS402" s="122" t="e">
        <v>#N/A</v>
      </c>
      <c r="AT402" s="122" t="e">
        <v>#N/A</v>
      </c>
      <c r="AU402" s="121" t="e">
        <v>#N/A</v>
      </c>
      <c r="AV402" s="122" t="e">
        <v>#N/A</v>
      </c>
      <c r="AW402" s="122">
        <v>45749</v>
      </c>
      <c r="AX402" s="122" t="e">
        <v>#N/A</v>
      </c>
      <c r="AY402" s="122" t="e">
        <v>#N/A</v>
      </c>
      <c r="AZ402" s="122" t="e">
        <v>#N/A</v>
      </c>
      <c r="BA402" s="122" t="e">
        <v>#N/A</v>
      </c>
      <c r="BB402" s="122" t="e">
        <v>#N/A</v>
      </c>
      <c r="BC402" s="122" t="e">
        <v>#N/A</v>
      </c>
      <c r="BD402" s="122" t="e">
        <v>#N/A</v>
      </c>
      <c r="BE402" s="122" t="e">
        <v>#N/A</v>
      </c>
      <c r="BF402" s="122" t="e">
        <v>#N/A</v>
      </c>
      <c r="BG402" s="122" t="e">
        <v>#N/A</v>
      </c>
      <c r="BH402" s="122" t="e">
        <v>#N/A</v>
      </c>
      <c r="BI402" s="122" t="e">
        <v>#N/A</v>
      </c>
      <c r="BJ402" s="122" t="e">
        <v>#N/A</v>
      </c>
      <c r="BK402" s="122">
        <v>45958</v>
      </c>
      <c r="BL402" s="123"/>
      <c r="BM402" s="124" t="e">
        <v>#N/A</v>
      </c>
      <c r="BN402" s="124" t="e">
        <v>#N/A</v>
      </c>
      <c r="BO402" s="124" t="e">
        <v>#N/A</v>
      </c>
      <c r="BP402" s="124" t="e">
        <v>#N/A</v>
      </c>
      <c r="BQ402" s="124" t="e">
        <v>#N/A</v>
      </c>
      <c r="BR402" s="124" t="e">
        <v>#N/A</v>
      </c>
      <c r="BS402" s="124" t="e">
        <v>#N/A</v>
      </c>
      <c r="BT402" s="124" t="e">
        <v>#N/A</v>
      </c>
      <c r="BU402" s="124" t="e">
        <v>#N/A</v>
      </c>
      <c r="BV402" s="124" t="e">
        <v>#N/A</v>
      </c>
      <c r="BW402" s="124" t="e">
        <v>#N/A</v>
      </c>
      <c r="BX402" s="124" t="e">
        <v>#N/A</v>
      </c>
      <c r="BY402" s="124" t="e">
        <v>#N/A</v>
      </c>
      <c r="BZ402" s="124" t="e">
        <v>#N/A</v>
      </c>
      <c r="CA402" s="125"/>
      <c r="CB402" s="124" t="e">
        <v>#N/A</v>
      </c>
      <c r="CC402" s="126">
        <v>1</v>
      </c>
      <c r="CD402" s="127" t="s">
        <v>4211</v>
      </c>
      <c r="CE402" s="128"/>
      <c r="CF402" s="77" t="s">
        <v>4168</v>
      </c>
    </row>
    <row r="403" spans="1:84" ht="14.5" x14ac:dyDescent="0.35">
      <c r="A403" s="77">
        <v>402</v>
      </c>
      <c r="B403" s="106" t="s">
        <v>3813</v>
      </c>
      <c r="C403" s="107" t="s">
        <v>6688</v>
      </c>
      <c r="D403" s="108" t="s">
        <v>3814</v>
      </c>
      <c r="E403" s="109" t="s">
        <v>3815</v>
      </c>
      <c r="F403" s="110">
        <v>683596078</v>
      </c>
      <c r="G403" s="108" t="s">
        <v>190</v>
      </c>
      <c r="H403" s="111" t="s">
        <v>1028</v>
      </c>
      <c r="I403" s="111" t="s">
        <v>180</v>
      </c>
      <c r="J403" s="111" t="s">
        <v>4649</v>
      </c>
      <c r="K403" s="111" t="s">
        <v>3159</v>
      </c>
      <c r="L403" s="112">
        <v>45516</v>
      </c>
      <c r="M403" s="111" t="s">
        <v>4035</v>
      </c>
      <c r="N403" s="113"/>
      <c r="O403" s="114" t="s">
        <v>3064</v>
      </c>
      <c r="P403" s="114" t="s">
        <v>183</v>
      </c>
      <c r="Q403" s="114" t="s">
        <v>183</v>
      </c>
      <c r="R403" s="114" t="s">
        <v>7312</v>
      </c>
      <c r="S403" s="114" t="s">
        <v>3064</v>
      </c>
      <c r="T403" s="114" t="s">
        <v>3064</v>
      </c>
      <c r="U403" s="114" t="s">
        <v>3064</v>
      </c>
      <c r="V403" s="115"/>
      <c r="W403" s="116" t="s">
        <v>3816</v>
      </c>
      <c r="X403" s="116" t="s">
        <v>3817</v>
      </c>
      <c r="Y403" s="117">
        <v>3487058</v>
      </c>
      <c r="Z403" s="117">
        <v>3481562</v>
      </c>
      <c r="AA403" s="118"/>
      <c r="AB403" s="119" t="s">
        <v>3818</v>
      </c>
      <c r="AC403" s="119" t="s">
        <v>3834</v>
      </c>
      <c r="AD403" s="119">
        <v>5354</v>
      </c>
      <c r="AE403" s="119" t="s">
        <v>3819</v>
      </c>
      <c r="AF403" s="119">
        <v>0</v>
      </c>
      <c r="AG403" s="120"/>
      <c r="AH403" s="121">
        <v>45531</v>
      </c>
      <c r="AI403" s="121">
        <v>45531</v>
      </c>
      <c r="AJ403" s="121">
        <v>45531</v>
      </c>
      <c r="AK403" s="122">
        <v>45531</v>
      </c>
      <c r="AL403" s="122">
        <v>45600</v>
      </c>
      <c r="AM403" s="121">
        <v>45600</v>
      </c>
      <c r="AN403" s="121" t="s">
        <v>4656</v>
      </c>
      <c r="AO403" s="121" t="e">
        <v>#N/A</v>
      </c>
      <c r="AP403" s="122">
        <v>45809</v>
      </c>
      <c r="AQ403" s="122" t="e">
        <v>#N/A</v>
      </c>
      <c r="AR403" s="122" t="e">
        <v>#N/A</v>
      </c>
      <c r="AS403" s="122" t="e">
        <v>#N/A</v>
      </c>
      <c r="AT403" s="122" t="e">
        <v>#N/A</v>
      </c>
      <c r="AU403" s="121" t="e">
        <v>#N/A</v>
      </c>
      <c r="AV403" s="122" t="e">
        <v>#N/A</v>
      </c>
      <c r="AW403" s="122">
        <v>45748</v>
      </c>
      <c r="AX403" s="122" t="e">
        <v>#N/A</v>
      </c>
      <c r="AY403" s="122" t="e">
        <v>#N/A</v>
      </c>
      <c r="AZ403" s="122" t="e">
        <v>#N/A</v>
      </c>
      <c r="BA403" s="122" t="e">
        <v>#N/A</v>
      </c>
      <c r="BB403" s="122" t="e">
        <v>#N/A</v>
      </c>
      <c r="BC403" s="122" t="e">
        <v>#N/A</v>
      </c>
      <c r="BD403" s="122" t="e">
        <v>#N/A</v>
      </c>
      <c r="BE403" s="122" t="e">
        <v>#N/A</v>
      </c>
      <c r="BF403" s="122" t="e">
        <v>#N/A</v>
      </c>
      <c r="BG403" s="122" t="e">
        <v>#N/A</v>
      </c>
      <c r="BH403" s="122" t="e">
        <v>#N/A</v>
      </c>
      <c r="BI403" s="122" t="e">
        <v>#N/A</v>
      </c>
      <c r="BJ403" s="122" t="e">
        <v>#N/A</v>
      </c>
      <c r="BK403" s="122" t="e">
        <v>#N/A</v>
      </c>
      <c r="BL403" s="123"/>
      <c r="BM403" s="124" t="e">
        <v>#N/A</v>
      </c>
      <c r="BN403" s="124" t="e">
        <v>#N/A</v>
      </c>
      <c r="BO403" s="124" t="e">
        <v>#N/A</v>
      </c>
      <c r="BP403" s="124" t="e">
        <v>#N/A</v>
      </c>
      <c r="BQ403" s="124" t="e">
        <v>#N/A</v>
      </c>
      <c r="BR403" s="124" t="e">
        <v>#N/A</v>
      </c>
      <c r="BS403" s="124" t="e">
        <v>#N/A</v>
      </c>
      <c r="BT403" s="124" t="e">
        <v>#N/A</v>
      </c>
      <c r="BU403" s="124" t="e">
        <v>#N/A</v>
      </c>
      <c r="BV403" s="124" t="e">
        <v>#N/A</v>
      </c>
      <c r="BW403" s="124" t="e">
        <v>#N/A</v>
      </c>
      <c r="BX403" s="124" t="e">
        <v>#N/A</v>
      </c>
      <c r="BY403" s="124" t="e">
        <v>#N/A</v>
      </c>
      <c r="BZ403" s="124" t="e">
        <v>#N/A</v>
      </c>
      <c r="CA403" s="125"/>
      <c r="CB403" s="124" t="e">
        <v>#N/A</v>
      </c>
      <c r="CC403" s="126">
        <v>1</v>
      </c>
      <c r="CD403" s="127" t="s">
        <v>4207</v>
      </c>
      <c r="CE403" s="128"/>
      <c r="CF403" s="77" t="s">
        <v>4168</v>
      </c>
    </row>
    <row r="404" spans="1:84" ht="14.5" x14ac:dyDescent="0.35">
      <c r="A404" s="77">
        <v>403</v>
      </c>
      <c r="B404" s="106" t="s">
        <v>3713</v>
      </c>
      <c r="C404" s="107" t="s">
        <v>6676</v>
      </c>
      <c r="D404" s="108" t="s">
        <v>3714</v>
      </c>
      <c r="E404" s="109" t="s">
        <v>3715</v>
      </c>
      <c r="F404" s="110">
        <v>638554686</v>
      </c>
      <c r="G404" s="108" t="s">
        <v>190</v>
      </c>
      <c r="H404" s="111" t="s">
        <v>1028</v>
      </c>
      <c r="I404" s="111" t="s">
        <v>180</v>
      </c>
      <c r="J404" s="111" t="s">
        <v>4649</v>
      </c>
      <c r="K404" s="111" t="s">
        <v>199</v>
      </c>
      <c r="L404" s="112">
        <v>45502</v>
      </c>
      <c r="M404" s="111" t="s">
        <v>1920</v>
      </c>
      <c r="N404" s="113"/>
      <c r="O404" s="114" t="s">
        <v>4496</v>
      </c>
      <c r="P404" s="114" t="s">
        <v>4496</v>
      </c>
      <c r="Q404" s="114" t="s">
        <v>183</v>
      </c>
      <c r="R404" s="114" t="s">
        <v>7321</v>
      </c>
      <c r="S404" s="114" t="s">
        <v>183</v>
      </c>
      <c r="T404" s="114" t="s">
        <v>4496</v>
      </c>
      <c r="U404" s="114" t="s">
        <v>4496</v>
      </c>
      <c r="V404" s="115"/>
      <c r="W404" s="116" t="s">
        <v>3716</v>
      </c>
      <c r="X404" s="116" t="s">
        <v>3717</v>
      </c>
      <c r="Y404" s="117">
        <v>3487008</v>
      </c>
      <c r="Z404" s="117">
        <v>3481511</v>
      </c>
      <c r="AA404" s="118"/>
      <c r="AB404" s="119" t="s">
        <v>5645</v>
      </c>
      <c r="AC404" s="119" t="s">
        <v>3762</v>
      </c>
      <c r="AD404" s="119">
        <v>5932</v>
      </c>
      <c r="AE404" s="119" t="s">
        <v>3718</v>
      </c>
      <c r="AF404" s="119">
        <v>0</v>
      </c>
      <c r="AG404" s="120"/>
      <c r="AH404" s="121">
        <v>45514</v>
      </c>
      <c r="AI404" s="121">
        <v>45514</v>
      </c>
      <c r="AJ404" s="121">
        <v>45514</v>
      </c>
      <c r="AK404" s="122">
        <v>45514</v>
      </c>
      <c r="AL404" s="122" t="e">
        <v>#N/A</v>
      </c>
      <c r="AM404" s="121" t="e">
        <v>#N/A</v>
      </c>
      <c r="AN404" s="121" t="e">
        <v>#N/A</v>
      </c>
      <c r="AO404" s="121" t="e">
        <v>#N/A</v>
      </c>
      <c r="AP404" s="122" t="e">
        <v>#N/A</v>
      </c>
      <c r="AQ404" s="122" t="e">
        <v>#N/A</v>
      </c>
      <c r="AR404" s="122" t="e">
        <v>#N/A</v>
      </c>
      <c r="AS404" s="122" t="e">
        <v>#N/A</v>
      </c>
      <c r="AT404" s="122" t="e">
        <v>#N/A</v>
      </c>
      <c r="AU404" s="121" t="e">
        <v>#N/A</v>
      </c>
      <c r="AV404" s="122" t="e">
        <v>#N/A</v>
      </c>
      <c r="AW404" s="122">
        <v>45582</v>
      </c>
      <c r="AX404" s="122" t="e">
        <v>#N/A</v>
      </c>
      <c r="AY404" s="122" t="e">
        <v>#N/A</v>
      </c>
      <c r="AZ404" s="122" t="e">
        <v>#N/A</v>
      </c>
      <c r="BA404" s="122" t="e">
        <v>#N/A</v>
      </c>
      <c r="BB404" s="122" t="e">
        <v>#N/A</v>
      </c>
      <c r="BC404" s="122" t="e">
        <v>#N/A</v>
      </c>
      <c r="BD404" s="122" t="e">
        <v>#N/A</v>
      </c>
      <c r="BE404" s="122" t="e">
        <v>#N/A</v>
      </c>
      <c r="BF404" s="122" t="e">
        <v>#N/A</v>
      </c>
      <c r="BG404" s="122" t="e">
        <v>#N/A</v>
      </c>
      <c r="BH404" s="122" t="e">
        <v>#N/A</v>
      </c>
      <c r="BI404" s="122" t="e">
        <v>#N/A</v>
      </c>
      <c r="BJ404" s="122" t="e">
        <v>#N/A</v>
      </c>
      <c r="BK404" s="122" t="e">
        <v>#N/A</v>
      </c>
      <c r="BL404" s="123"/>
      <c r="BM404" s="124" t="e">
        <v>#N/A</v>
      </c>
      <c r="BN404" s="124" t="e">
        <v>#N/A</v>
      </c>
      <c r="BO404" s="124" t="e">
        <v>#N/A</v>
      </c>
      <c r="BP404" s="124" t="e">
        <v>#N/A</v>
      </c>
      <c r="BQ404" s="124" t="e">
        <v>#N/A</v>
      </c>
      <c r="BR404" s="124" t="e">
        <v>#N/A</v>
      </c>
      <c r="BS404" s="124" t="e">
        <v>#N/A</v>
      </c>
      <c r="BT404" s="124" t="e">
        <v>#N/A</v>
      </c>
      <c r="BU404" s="124" t="e">
        <v>#N/A</v>
      </c>
      <c r="BV404" s="124" t="e">
        <v>#N/A</v>
      </c>
      <c r="BW404" s="124" t="e">
        <v>#N/A</v>
      </c>
      <c r="BX404" s="124" t="e">
        <v>#N/A</v>
      </c>
      <c r="BY404" s="124" t="e">
        <v>#N/A</v>
      </c>
      <c r="BZ404" s="124" t="e">
        <v>#N/A</v>
      </c>
      <c r="CA404" s="125"/>
      <c r="CB404" s="124" t="e">
        <v>#N/A</v>
      </c>
      <c r="CC404" s="126">
        <v>1</v>
      </c>
      <c r="CD404" s="127" t="s">
        <v>4171</v>
      </c>
      <c r="CE404" s="128"/>
      <c r="CF404" s="77" t="s">
        <v>4173</v>
      </c>
    </row>
    <row r="405" spans="1:84" ht="14.5" x14ac:dyDescent="0.35">
      <c r="A405" s="77">
        <v>404</v>
      </c>
      <c r="B405" s="106" t="s">
        <v>4452</v>
      </c>
      <c r="C405" s="107" t="s">
        <v>6542</v>
      </c>
      <c r="D405" s="108" t="s">
        <v>4453</v>
      </c>
      <c r="E405" s="109" t="s">
        <v>4454</v>
      </c>
      <c r="F405" s="110">
        <v>695845981</v>
      </c>
      <c r="G405" s="108" t="s">
        <v>1004</v>
      </c>
      <c r="H405" s="111" t="s">
        <v>1028</v>
      </c>
      <c r="I405" s="111" t="s">
        <v>180</v>
      </c>
      <c r="J405" s="111" t="s">
        <v>4649</v>
      </c>
      <c r="K405" s="111" t="s">
        <v>3159</v>
      </c>
      <c r="L405" s="112">
        <v>45075</v>
      </c>
      <c r="M405" s="111" t="s">
        <v>2352</v>
      </c>
      <c r="N405" s="113"/>
      <c r="O405" s="114" t="s">
        <v>1169</v>
      </c>
      <c r="P405" s="114" t="s">
        <v>1169</v>
      </c>
      <c r="Q405" s="114" t="s">
        <v>367</v>
      </c>
      <c r="R405" s="114" t="s">
        <v>7483</v>
      </c>
      <c r="S405" s="114" t="s">
        <v>7483</v>
      </c>
      <c r="T405" s="114" t="s">
        <v>4356</v>
      </c>
      <c r="U405" s="114" t="s">
        <v>4356</v>
      </c>
      <c r="V405" s="115"/>
      <c r="W405" s="116" t="s">
        <v>4455</v>
      </c>
      <c r="X405" s="116" t="s">
        <v>4456</v>
      </c>
      <c r="Y405" s="117">
        <v>3487072</v>
      </c>
      <c r="Z405" s="117">
        <v>3486729</v>
      </c>
      <c r="AA405" s="118"/>
      <c r="AB405" s="119" t="s">
        <v>4472</v>
      </c>
      <c r="AC405" s="119">
        <v>0</v>
      </c>
      <c r="AD405" s="119">
        <v>5724</v>
      </c>
      <c r="AE405" s="119" t="s">
        <v>4481</v>
      </c>
      <c r="AF405" s="119" t="s">
        <v>6242</v>
      </c>
      <c r="AG405" s="120"/>
      <c r="AH405" s="121">
        <v>45818</v>
      </c>
      <c r="AI405" s="121">
        <v>45818</v>
      </c>
      <c r="AJ405" s="121">
        <v>45818</v>
      </c>
      <c r="AK405" s="122">
        <v>45818</v>
      </c>
      <c r="AL405" s="122" t="e">
        <v>#N/A</v>
      </c>
      <c r="AM405" s="121" t="e">
        <v>#N/A</v>
      </c>
      <c r="AN405" s="121" t="e">
        <v>#N/A</v>
      </c>
      <c r="AO405" s="121" t="e">
        <v>#N/A</v>
      </c>
      <c r="AP405" s="122" t="e">
        <v>#N/A</v>
      </c>
      <c r="AQ405" s="122" t="e">
        <v>#N/A</v>
      </c>
      <c r="AR405" s="122" t="e">
        <v>#N/A</v>
      </c>
      <c r="AS405" s="122" t="e">
        <v>#N/A</v>
      </c>
      <c r="AT405" s="122" t="e">
        <v>#N/A</v>
      </c>
      <c r="AU405" s="121" t="e">
        <v>#N/A</v>
      </c>
      <c r="AV405" s="122" t="e">
        <v>#N/A</v>
      </c>
      <c r="AW405" s="122">
        <v>45828</v>
      </c>
      <c r="AX405" s="122" t="e">
        <v>#N/A</v>
      </c>
      <c r="AY405" s="122" t="e">
        <v>#N/A</v>
      </c>
      <c r="AZ405" s="122" t="e">
        <v>#N/A</v>
      </c>
      <c r="BA405" s="122" t="e">
        <v>#N/A</v>
      </c>
      <c r="BB405" s="122" t="e">
        <v>#N/A</v>
      </c>
      <c r="BC405" s="122" t="e">
        <v>#N/A</v>
      </c>
      <c r="BD405" s="122" t="e">
        <v>#N/A</v>
      </c>
      <c r="BE405" s="122" t="e">
        <v>#N/A</v>
      </c>
      <c r="BF405" s="122" t="e">
        <v>#N/A</v>
      </c>
      <c r="BG405" s="122" t="e">
        <v>#N/A</v>
      </c>
      <c r="BH405" s="122" t="e">
        <v>#N/A</v>
      </c>
      <c r="BI405" s="122" t="e">
        <v>#N/A</v>
      </c>
      <c r="BJ405" s="122" t="e">
        <v>#N/A</v>
      </c>
      <c r="BK405" s="122">
        <v>45958</v>
      </c>
      <c r="BL405" s="123"/>
      <c r="BM405" s="124" t="e">
        <v>#N/A</v>
      </c>
      <c r="BN405" s="124" t="e">
        <v>#N/A</v>
      </c>
      <c r="BO405" s="124" t="e">
        <v>#N/A</v>
      </c>
      <c r="BP405" s="124" t="e">
        <v>#N/A</v>
      </c>
      <c r="BQ405" s="124" t="e">
        <v>#N/A</v>
      </c>
      <c r="BR405" s="124" t="e">
        <v>#N/A</v>
      </c>
      <c r="BS405" s="124" t="e">
        <v>#N/A</v>
      </c>
      <c r="BT405" s="124" t="e">
        <v>#N/A</v>
      </c>
      <c r="BU405" s="124" t="e">
        <v>#N/A</v>
      </c>
      <c r="BV405" s="124" t="e">
        <v>#N/A</v>
      </c>
      <c r="BW405" s="124" t="e">
        <v>#N/A</v>
      </c>
      <c r="BX405" s="124" t="e">
        <v>#N/A</v>
      </c>
      <c r="BY405" s="124" t="e">
        <v>#N/A</v>
      </c>
      <c r="BZ405" s="124" t="e">
        <v>#N/A</v>
      </c>
      <c r="CA405" s="125"/>
      <c r="CB405" s="124">
        <v>45818</v>
      </c>
      <c r="CC405" s="126">
        <v>1</v>
      </c>
      <c r="CD405" s="127" t="s">
        <v>4450</v>
      </c>
      <c r="CE405" s="128"/>
      <c r="CF405" s="77" t="s">
        <v>4173</v>
      </c>
    </row>
    <row r="406" spans="1:84" ht="14.5" x14ac:dyDescent="0.35">
      <c r="A406" s="77">
        <v>405</v>
      </c>
      <c r="B406" s="106" t="s">
        <v>27</v>
      </c>
      <c r="C406" s="107" t="s">
        <v>1278</v>
      </c>
      <c r="D406" s="108" t="s">
        <v>188</v>
      </c>
      <c r="E406" s="109" t="s">
        <v>189</v>
      </c>
      <c r="F406" s="110">
        <v>651366196</v>
      </c>
      <c r="G406" s="108" t="s">
        <v>1004</v>
      </c>
      <c r="H406" s="111" t="s">
        <v>1028</v>
      </c>
      <c r="I406" s="111" t="s">
        <v>180</v>
      </c>
      <c r="J406" s="111" t="s">
        <v>4649</v>
      </c>
      <c r="K406" s="111" t="s">
        <v>3159</v>
      </c>
      <c r="L406" s="112">
        <v>43242</v>
      </c>
      <c r="M406" s="111" t="s">
        <v>3771</v>
      </c>
      <c r="N406" s="113"/>
      <c r="O406" s="114" t="s">
        <v>285</v>
      </c>
      <c r="P406" s="114" t="s">
        <v>285</v>
      </c>
      <c r="Q406" s="114" t="s">
        <v>285</v>
      </c>
      <c r="R406" s="114" t="s">
        <v>285</v>
      </c>
      <c r="S406" s="114" t="s">
        <v>285</v>
      </c>
      <c r="T406" s="114" t="s">
        <v>183</v>
      </c>
      <c r="U406" s="114" t="s">
        <v>183</v>
      </c>
      <c r="V406" s="115"/>
      <c r="W406" s="116" t="s">
        <v>193</v>
      </c>
      <c r="X406" s="116" t="s">
        <v>194</v>
      </c>
      <c r="Y406" s="117">
        <v>3485590</v>
      </c>
      <c r="Z406" s="117">
        <v>3481327</v>
      </c>
      <c r="AA406" s="118"/>
      <c r="AB406" s="119" t="s">
        <v>5240</v>
      </c>
      <c r="AC406" s="119" t="s">
        <v>1279</v>
      </c>
      <c r="AD406" s="119">
        <v>27813</v>
      </c>
      <c r="AE406" s="119" t="s">
        <v>195</v>
      </c>
      <c r="AF406" s="119" t="s">
        <v>7538</v>
      </c>
      <c r="AG406" s="120"/>
      <c r="AH406" s="121">
        <v>44197</v>
      </c>
      <c r="AI406" s="121">
        <v>44741</v>
      </c>
      <c r="AJ406" s="121">
        <v>44741</v>
      </c>
      <c r="AK406" s="122">
        <v>44197</v>
      </c>
      <c r="AL406" s="122">
        <v>44911</v>
      </c>
      <c r="AM406" s="121" t="e">
        <v>#N/A</v>
      </c>
      <c r="AN406" s="121" t="e">
        <v>#N/A</v>
      </c>
      <c r="AO406" s="121" t="e">
        <v>#N/A</v>
      </c>
      <c r="AP406" s="122" t="e">
        <v>#N/A</v>
      </c>
      <c r="AQ406" s="122" t="e">
        <v>#N/A</v>
      </c>
      <c r="AR406" s="122" t="e">
        <v>#N/A</v>
      </c>
      <c r="AS406" s="122" t="e">
        <v>#N/A</v>
      </c>
      <c r="AT406" s="122" t="e">
        <v>#N/A</v>
      </c>
      <c r="AU406" s="121" t="e">
        <v>#N/A</v>
      </c>
      <c r="AV406" s="122" t="e">
        <v>#N/A</v>
      </c>
      <c r="AW406" s="122">
        <v>45034</v>
      </c>
      <c r="AX406" s="122" t="e">
        <v>#N/A</v>
      </c>
      <c r="AY406" s="122" t="e">
        <v>#N/A</v>
      </c>
      <c r="AZ406" s="122" t="e">
        <v>#N/A</v>
      </c>
      <c r="BA406" s="122" t="e">
        <v>#N/A</v>
      </c>
      <c r="BB406" s="122" t="e">
        <v>#N/A</v>
      </c>
      <c r="BC406" s="122" t="e">
        <v>#N/A</v>
      </c>
      <c r="BD406" s="122" t="e">
        <v>#N/A</v>
      </c>
      <c r="BE406" s="122" t="e">
        <v>#N/A</v>
      </c>
      <c r="BF406" s="122" t="e">
        <v>#N/A</v>
      </c>
      <c r="BG406" s="122" t="e">
        <v>#N/A</v>
      </c>
      <c r="BH406" s="122" t="e">
        <v>#N/A</v>
      </c>
      <c r="BI406" s="122" t="e">
        <v>#N/A</v>
      </c>
      <c r="BJ406" s="122" t="e">
        <v>#N/A</v>
      </c>
      <c r="BK406" s="122">
        <v>46002</v>
      </c>
      <c r="BL406" s="123"/>
      <c r="BM406" s="124">
        <v>45075</v>
      </c>
      <c r="BN406" s="124">
        <v>45078</v>
      </c>
      <c r="BO406" s="124">
        <v>45110</v>
      </c>
      <c r="BP406" s="124">
        <v>45369</v>
      </c>
      <c r="BQ406" s="124">
        <v>45110</v>
      </c>
      <c r="BR406" s="124" t="e">
        <v>#N/A</v>
      </c>
      <c r="BS406" s="124">
        <v>45272</v>
      </c>
      <c r="BT406" s="124">
        <v>45272</v>
      </c>
      <c r="BU406" s="124" t="e">
        <v>#N/A</v>
      </c>
      <c r="BV406" s="124" t="e">
        <v>#N/A</v>
      </c>
      <c r="BW406" s="124" t="e">
        <v>#N/A</v>
      </c>
      <c r="BX406" s="124" t="e">
        <v>#N/A</v>
      </c>
      <c r="BY406" s="124" t="e">
        <v>#N/A</v>
      </c>
      <c r="BZ406" s="124" t="e">
        <v>#N/A</v>
      </c>
      <c r="CA406" s="125"/>
      <c r="CB406" s="124" t="e">
        <v>#N/A</v>
      </c>
      <c r="CC406" s="126">
        <v>1</v>
      </c>
      <c r="CD406" s="127" t="s">
        <v>4169</v>
      </c>
      <c r="CE406" s="128"/>
      <c r="CF406" s="77" t="s">
        <v>4173</v>
      </c>
    </row>
    <row r="407" spans="1:84" ht="14.5" x14ac:dyDescent="0.35">
      <c r="A407" s="77">
        <v>351</v>
      </c>
      <c r="B407" s="106" t="s">
        <v>4958</v>
      </c>
      <c r="C407" s="107" t="s">
        <v>6486</v>
      </c>
      <c r="D407" s="108" t="s">
        <v>4959</v>
      </c>
      <c r="E407" s="109" t="s">
        <v>4960</v>
      </c>
      <c r="F407" s="110">
        <v>664114254</v>
      </c>
      <c r="G407" s="108" t="s">
        <v>1004</v>
      </c>
      <c r="H407" s="111" t="s">
        <v>1028</v>
      </c>
      <c r="I407" s="111" t="s">
        <v>180</v>
      </c>
      <c r="J407" s="111" t="s">
        <v>4649</v>
      </c>
      <c r="K407" s="111" t="s">
        <v>3159</v>
      </c>
      <c r="L407" s="112">
        <v>45873</v>
      </c>
      <c r="M407" s="111" t="s">
        <v>2463</v>
      </c>
      <c r="N407" s="113"/>
      <c r="O407" s="114" t="s">
        <v>6014</v>
      </c>
      <c r="P407" s="114" t="s">
        <v>6014</v>
      </c>
      <c r="Q407" s="114" t="s">
        <v>6014</v>
      </c>
      <c r="R407" s="114" t="s">
        <v>6014</v>
      </c>
      <c r="S407" s="114" t="s">
        <v>6014</v>
      </c>
      <c r="T407" s="114" t="s">
        <v>4356</v>
      </c>
      <c r="U407" s="114" t="s">
        <v>4356</v>
      </c>
      <c r="V407" s="115"/>
      <c r="W407" s="116" t="s">
        <v>4961</v>
      </c>
      <c r="X407" s="116" t="s">
        <v>4962</v>
      </c>
      <c r="Y407" s="117">
        <v>3485030</v>
      </c>
      <c r="Z407" s="117">
        <v>3486765</v>
      </c>
      <c r="AA407" s="118"/>
      <c r="AB407" s="119" t="s">
        <v>4963</v>
      </c>
      <c r="AC407" s="119" t="s">
        <v>4964</v>
      </c>
      <c r="AD407" s="119" t="s">
        <v>4965</v>
      </c>
      <c r="AE407" s="119" t="s">
        <v>4966</v>
      </c>
      <c r="AF407" s="119" t="s">
        <v>7128</v>
      </c>
      <c r="AG407" s="120"/>
      <c r="AH407" s="121">
        <v>45873</v>
      </c>
      <c r="AI407" s="121">
        <v>45873</v>
      </c>
      <c r="AJ407" s="121">
        <v>45873</v>
      </c>
      <c r="AK407" s="122">
        <v>45873</v>
      </c>
      <c r="AL407" s="122" t="e">
        <v>#N/A</v>
      </c>
      <c r="AM407" s="121" t="e">
        <v>#N/A</v>
      </c>
      <c r="AN407" s="121" t="e">
        <v>#N/A</v>
      </c>
      <c r="AO407" s="121" t="e">
        <v>#N/A</v>
      </c>
      <c r="AP407" s="122" t="e">
        <v>#N/A</v>
      </c>
      <c r="AQ407" s="122" t="e">
        <v>#N/A</v>
      </c>
      <c r="AR407" s="122" t="e">
        <v>#N/A</v>
      </c>
      <c r="AS407" s="122" t="e">
        <v>#N/A</v>
      </c>
      <c r="AT407" s="122" t="e">
        <v>#N/A</v>
      </c>
      <c r="AU407" s="121" t="e">
        <v>#N/A</v>
      </c>
      <c r="AV407" s="122" t="e">
        <v>#N/A</v>
      </c>
      <c r="AW407" s="122">
        <v>45873</v>
      </c>
      <c r="AX407" s="122" t="e">
        <v>#N/A</v>
      </c>
      <c r="AY407" s="122" t="e">
        <v>#N/A</v>
      </c>
      <c r="AZ407" s="122" t="e">
        <v>#N/A</v>
      </c>
      <c r="BA407" s="122" t="e">
        <v>#N/A</v>
      </c>
      <c r="BB407" s="122" t="e">
        <v>#N/A</v>
      </c>
      <c r="BC407" s="122" t="e">
        <v>#N/A</v>
      </c>
      <c r="BD407" s="122" t="e">
        <v>#N/A</v>
      </c>
      <c r="BE407" s="122" t="e">
        <v>#N/A</v>
      </c>
      <c r="BF407" s="122" t="e">
        <v>#N/A</v>
      </c>
      <c r="BG407" s="122" t="e">
        <v>#N/A</v>
      </c>
      <c r="BH407" s="122" t="e">
        <v>#N/A</v>
      </c>
      <c r="BI407" s="122" t="e">
        <v>#N/A</v>
      </c>
      <c r="BJ407" s="122" t="e">
        <v>#N/A</v>
      </c>
      <c r="BK407" s="122">
        <v>45961</v>
      </c>
      <c r="BL407" s="123"/>
      <c r="BM407" s="124" t="e">
        <v>#N/A</v>
      </c>
      <c r="BN407" s="124" t="e">
        <v>#N/A</v>
      </c>
      <c r="BO407" s="124" t="e">
        <v>#N/A</v>
      </c>
      <c r="BP407" s="124" t="e">
        <v>#N/A</v>
      </c>
      <c r="BQ407" s="124" t="e">
        <v>#N/A</v>
      </c>
      <c r="BR407" s="124" t="e">
        <v>#N/A</v>
      </c>
      <c r="BS407" s="124" t="e">
        <v>#N/A</v>
      </c>
      <c r="BT407" s="124" t="e">
        <v>#N/A</v>
      </c>
      <c r="BU407" s="124" t="e">
        <v>#N/A</v>
      </c>
      <c r="BV407" s="124" t="e">
        <v>#N/A</v>
      </c>
      <c r="BW407" s="124" t="e">
        <v>#N/A</v>
      </c>
      <c r="BX407" s="124" t="e">
        <v>#N/A</v>
      </c>
      <c r="BY407" s="124" t="e">
        <v>#N/A</v>
      </c>
      <c r="BZ407" s="124" t="e">
        <v>#N/A</v>
      </c>
      <c r="CA407" s="125"/>
      <c r="CB407" s="124" t="e">
        <v>#N/A</v>
      </c>
      <c r="CC407" s="126">
        <v>1</v>
      </c>
      <c r="CD407" s="127" t="s">
        <v>4904</v>
      </c>
      <c r="CE407" s="128"/>
      <c r="CF407" s="77" t="s">
        <v>4173</v>
      </c>
    </row>
    <row r="408" spans="1:84" ht="14.5" x14ac:dyDescent="0.35">
      <c r="A408" s="77">
        <v>407</v>
      </c>
      <c r="B408" s="106" t="s">
        <v>4555</v>
      </c>
      <c r="C408" s="107" t="s">
        <v>6762</v>
      </c>
      <c r="D408" s="108" t="s">
        <v>4556</v>
      </c>
      <c r="E408" s="109" t="s">
        <v>4557</v>
      </c>
      <c r="F408" s="110">
        <v>634122315</v>
      </c>
      <c r="G408" s="108" t="s">
        <v>1004</v>
      </c>
      <c r="H408" s="111" t="s">
        <v>1028</v>
      </c>
      <c r="I408" s="111" t="s">
        <v>180</v>
      </c>
      <c r="J408" s="111" t="s">
        <v>4649</v>
      </c>
      <c r="K408" s="111" t="s">
        <v>3159</v>
      </c>
      <c r="L408" s="112">
        <v>45818</v>
      </c>
      <c r="M408" s="111" t="s">
        <v>256</v>
      </c>
      <c r="N408" s="113"/>
      <c r="O408" s="114" t="s">
        <v>246</v>
      </c>
      <c r="P408" s="114" t="s">
        <v>257</v>
      </c>
      <c r="Q408" s="114" t="s">
        <v>183</v>
      </c>
      <c r="R408" s="114" t="s">
        <v>7363</v>
      </c>
      <c r="S408" s="114" t="s">
        <v>257</v>
      </c>
      <c r="T408" s="114" t="s">
        <v>246</v>
      </c>
      <c r="U408" s="114" t="s">
        <v>246</v>
      </c>
      <c r="V408" s="115"/>
      <c r="W408" s="116" t="s">
        <v>4558</v>
      </c>
      <c r="X408" s="116" t="s">
        <v>4559</v>
      </c>
      <c r="Y408" s="117">
        <v>3485837</v>
      </c>
      <c r="Z408" s="117">
        <v>3481463</v>
      </c>
      <c r="AA408" s="118"/>
      <c r="AB408" s="119" t="s">
        <v>5516</v>
      </c>
      <c r="AC408" s="119" t="s">
        <v>4560</v>
      </c>
      <c r="AD408" s="119">
        <v>26082</v>
      </c>
      <c r="AE408" s="119" t="s">
        <v>4561</v>
      </c>
      <c r="AF408" s="119" t="s">
        <v>6162</v>
      </c>
      <c r="AG408" s="120"/>
      <c r="AH408" s="121">
        <v>45818</v>
      </c>
      <c r="AI408" s="121">
        <v>45818</v>
      </c>
      <c r="AJ408" s="121">
        <v>45818</v>
      </c>
      <c r="AK408" s="122">
        <v>45818</v>
      </c>
      <c r="AL408" s="122" t="e">
        <v>#N/A</v>
      </c>
      <c r="AM408" s="122" t="e">
        <v>#N/A</v>
      </c>
      <c r="AN408" s="122" t="e">
        <v>#N/A</v>
      </c>
      <c r="AO408" s="121" t="e">
        <v>#N/A</v>
      </c>
      <c r="AP408" s="122" t="e">
        <v>#N/A</v>
      </c>
      <c r="AQ408" s="122" t="e">
        <v>#N/A</v>
      </c>
      <c r="AR408" s="122" t="e">
        <v>#N/A</v>
      </c>
      <c r="AS408" s="122" t="e">
        <v>#N/A</v>
      </c>
      <c r="AT408" s="122" t="e">
        <v>#N/A</v>
      </c>
      <c r="AU408" s="121" t="e">
        <v>#N/A</v>
      </c>
      <c r="AV408" s="122" t="e">
        <v>#N/A</v>
      </c>
      <c r="AW408" s="122">
        <v>45814</v>
      </c>
      <c r="AX408" s="122" t="e">
        <v>#N/A</v>
      </c>
      <c r="AY408" s="122" t="e">
        <v>#N/A</v>
      </c>
      <c r="AZ408" s="122" t="e">
        <v>#N/A</v>
      </c>
      <c r="BA408" s="122" t="e">
        <v>#N/A</v>
      </c>
      <c r="BB408" s="122" t="e">
        <v>#N/A</v>
      </c>
      <c r="BC408" s="122" t="e">
        <v>#N/A</v>
      </c>
      <c r="BD408" s="122" t="e">
        <v>#N/A</v>
      </c>
      <c r="BE408" s="122" t="e">
        <v>#N/A</v>
      </c>
      <c r="BF408" s="122" t="e">
        <v>#N/A</v>
      </c>
      <c r="BG408" s="122" t="e">
        <v>#N/A</v>
      </c>
      <c r="BH408" s="122" t="e">
        <v>#N/A</v>
      </c>
      <c r="BI408" s="122" t="e">
        <v>#N/A</v>
      </c>
      <c r="BJ408" s="122" t="e">
        <v>#N/A</v>
      </c>
      <c r="BK408" s="122">
        <v>45952</v>
      </c>
      <c r="BL408" s="123"/>
      <c r="BM408" s="124" t="e">
        <v>#N/A</v>
      </c>
      <c r="BN408" s="124" t="e">
        <v>#N/A</v>
      </c>
      <c r="BO408" s="124" t="e">
        <v>#N/A</v>
      </c>
      <c r="BP408" s="124" t="e">
        <v>#N/A</v>
      </c>
      <c r="BQ408" s="124" t="e">
        <v>#N/A</v>
      </c>
      <c r="BR408" s="124" t="e">
        <v>#N/A</v>
      </c>
      <c r="BS408" s="124" t="e">
        <v>#N/A</v>
      </c>
      <c r="BT408" s="124" t="e">
        <v>#N/A</v>
      </c>
      <c r="BU408" s="124" t="e">
        <v>#N/A</v>
      </c>
      <c r="BV408" s="124" t="e">
        <v>#N/A</v>
      </c>
      <c r="BW408" s="124" t="e">
        <v>#N/A</v>
      </c>
      <c r="BX408" s="124" t="e">
        <v>#N/A</v>
      </c>
      <c r="BY408" s="124" t="e">
        <v>#N/A</v>
      </c>
      <c r="BZ408" s="124" t="e">
        <v>#N/A</v>
      </c>
      <c r="CA408" s="125"/>
      <c r="CB408" s="124">
        <v>45817</v>
      </c>
      <c r="CC408" s="126">
        <v>1</v>
      </c>
      <c r="CD408" s="127" t="s">
        <v>4538</v>
      </c>
      <c r="CE408" s="128"/>
      <c r="CF408" s="77" t="s">
        <v>4177</v>
      </c>
    </row>
    <row r="409" spans="1:84" ht="14.5" x14ac:dyDescent="0.35">
      <c r="A409" s="77">
        <v>408</v>
      </c>
      <c r="B409" s="106" t="s">
        <v>3731</v>
      </c>
      <c r="C409" s="107" t="s">
        <v>6677</v>
      </c>
      <c r="D409" s="108" t="s">
        <v>3732</v>
      </c>
      <c r="E409" s="109" t="s">
        <v>3733</v>
      </c>
      <c r="F409" s="110">
        <v>659288537</v>
      </c>
      <c r="G409" s="108" t="s">
        <v>1004</v>
      </c>
      <c r="H409" s="111" t="s">
        <v>1028</v>
      </c>
      <c r="I409" s="111" t="s">
        <v>180</v>
      </c>
      <c r="J409" s="111" t="s">
        <v>4649</v>
      </c>
      <c r="K409" s="111" t="s">
        <v>3159</v>
      </c>
      <c r="L409" s="112">
        <v>45502</v>
      </c>
      <c r="M409" s="111" t="s">
        <v>4022</v>
      </c>
      <c r="N409" s="113"/>
      <c r="O409" s="114" t="s">
        <v>7179</v>
      </c>
      <c r="P409" s="114" t="s">
        <v>7179</v>
      </c>
      <c r="Q409" s="114" t="s">
        <v>585</v>
      </c>
      <c r="R409" s="114" t="s">
        <v>7539</v>
      </c>
      <c r="S409" s="114" t="s">
        <v>7179</v>
      </c>
      <c r="T409" s="114" t="s">
        <v>183</v>
      </c>
      <c r="U409" s="114" t="s">
        <v>183</v>
      </c>
      <c r="V409" s="115"/>
      <c r="W409" s="116" t="s">
        <v>3734</v>
      </c>
      <c r="X409" s="116" t="s">
        <v>5629</v>
      </c>
      <c r="Y409" s="117">
        <v>3487023</v>
      </c>
      <c r="Z409" s="117">
        <v>3481526</v>
      </c>
      <c r="AA409" s="118"/>
      <c r="AB409" s="119" t="s">
        <v>5501</v>
      </c>
      <c r="AC409" s="119" t="s">
        <v>3765</v>
      </c>
      <c r="AD409" s="119">
        <v>5977</v>
      </c>
      <c r="AE409" s="119" t="s">
        <v>3735</v>
      </c>
      <c r="AF409" s="119" t="s">
        <v>7180</v>
      </c>
      <c r="AG409" s="120"/>
      <c r="AH409" s="121">
        <v>45514</v>
      </c>
      <c r="AI409" s="121">
        <v>45514</v>
      </c>
      <c r="AJ409" s="121">
        <v>45514</v>
      </c>
      <c r="AK409" s="122">
        <v>45514</v>
      </c>
      <c r="AL409" s="122" t="e">
        <v>#N/A</v>
      </c>
      <c r="AM409" s="121" t="e">
        <v>#N/A</v>
      </c>
      <c r="AN409" s="121" t="e">
        <v>#N/A</v>
      </c>
      <c r="AO409" s="121" t="e">
        <v>#N/A</v>
      </c>
      <c r="AP409" s="122" t="e">
        <v>#N/A</v>
      </c>
      <c r="AQ409" s="122" t="e">
        <v>#N/A</v>
      </c>
      <c r="AR409" s="122" t="e">
        <v>#N/A</v>
      </c>
      <c r="AS409" s="122" t="e">
        <v>#N/A</v>
      </c>
      <c r="AT409" s="122" t="e">
        <v>#N/A</v>
      </c>
      <c r="AU409" s="121" t="e">
        <v>#N/A</v>
      </c>
      <c r="AV409" s="122" t="e">
        <v>#N/A</v>
      </c>
      <c r="AW409" s="122">
        <v>45756</v>
      </c>
      <c r="AX409" s="122" t="e">
        <v>#N/A</v>
      </c>
      <c r="AY409" s="122" t="e">
        <v>#N/A</v>
      </c>
      <c r="AZ409" s="122" t="e">
        <v>#N/A</v>
      </c>
      <c r="BA409" s="122" t="e">
        <v>#N/A</v>
      </c>
      <c r="BB409" s="122" t="e">
        <v>#N/A</v>
      </c>
      <c r="BC409" s="122" t="e">
        <v>#N/A</v>
      </c>
      <c r="BD409" s="122" t="e">
        <v>#N/A</v>
      </c>
      <c r="BE409" s="122" t="e">
        <v>#N/A</v>
      </c>
      <c r="BF409" s="122" t="e">
        <v>#N/A</v>
      </c>
      <c r="BG409" s="122" t="e">
        <v>#N/A</v>
      </c>
      <c r="BH409" s="122" t="e">
        <v>#N/A</v>
      </c>
      <c r="BI409" s="122" t="e">
        <v>#N/A</v>
      </c>
      <c r="BJ409" s="122" t="e">
        <v>#N/A</v>
      </c>
      <c r="BK409" s="122">
        <v>45968</v>
      </c>
      <c r="BL409" s="123"/>
      <c r="BM409" s="124" t="e">
        <v>#N/A</v>
      </c>
      <c r="BN409" s="124" t="e">
        <v>#N/A</v>
      </c>
      <c r="BO409" s="124" t="e">
        <v>#N/A</v>
      </c>
      <c r="BP409" s="124" t="e">
        <v>#N/A</v>
      </c>
      <c r="BQ409" s="124" t="e">
        <v>#N/A</v>
      </c>
      <c r="BR409" s="124" t="e">
        <v>#N/A</v>
      </c>
      <c r="BS409" s="124" t="e">
        <v>#N/A</v>
      </c>
      <c r="BT409" s="124" t="e">
        <v>#N/A</v>
      </c>
      <c r="BU409" s="124" t="e">
        <v>#N/A</v>
      </c>
      <c r="BV409" s="124" t="e">
        <v>#N/A</v>
      </c>
      <c r="BW409" s="124" t="e">
        <v>#N/A</v>
      </c>
      <c r="BX409" s="124" t="e">
        <v>#N/A</v>
      </c>
      <c r="BY409" s="124" t="e">
        <v>#N/A</v>
      </c>
      <c r="BZ409" s="124" t="e">
        <v>#N/A</v>
      </c>
      <c r="CA409" s="125"/>
      <c r="CB409" s="124">
        <v>45729</v>
      </c>
      <c r="CC409" s="126">
        <v>1</v>
      </c>
      <c r="CD409" s="127" t="s">
        <v>4171</v>
      </c>
      <c r="CE409" s="128"/>
      <c r="CF409" s="77" t="s">
        <v>4177</v>
      </c>
    </row>
    <row r="410" spans="1:84" ht="14.5" x14ac:dyDescent="0.35">
      <c r="A410" s="77">
        <v>353</v>
      </c>
      <c r="B410" s="106" t="s">
        <v>4570</v>
      </c>
      <c r="C410" s="107" t="s">
        <v>6763</v>
      </c>
      <c r="D410" s="108" t="s">
        <v>4571</v>
      </c>
      <c r="E410" s="109" t="s">
        <v>4572</v>
      </c>
      <c r="F410" s="110">
        <v>692978782</v>
      </c>
      <c r="G410" s="108" t="s">
        <v>1004</v>
      </c>
      <c r="H410" s="111" t="s">
        <v>1028</v>
      </c>
      <c r="I410" s="111" t="s">
        <v>180</v>
      </c>
      <c r="J410" s="111" t="s">
        <v>4649</v>
      </c>
      <c r="K410" s="111" t="s">
        <v>3159</v>
      </c>
      <c r="L410" s="112">
        <v>45818</v>
      </c>
      <c r="M410" s="111" t="s">
        <v>3335</v>
      </c>
      <c r="N410" s="113"/>
      <c r="O410" s="114" t="s">
        <v>585</v>
      </c>
      <c r="P410" s="114" t="s">
        <v>183</v>
      </c>
      <c r="Q410" s="114" t="s">
        <v>585</v>
      </c>
      <c r="R410" s="114" t="s">
        <v>7296</v>
      </c>
      <c r="S410" s="114" t="s">
        <v>183</v>
      </c>
      <c r="T410" s="114" t="s">
        <v>585</v>
      </c>
      <c r="U410" s="114" t="s">
        <v>585</v>
      </c>
      <c r="V410" s="115"/>
      <c r="W410" s="116" t="s">
        <v>4573</v>
      </c>
      <c r="X410" s="116" t="s">
        <v>4574</v>
      </c>
      <c r="Y410" s="117">
        <v>3485864</v>
      </c>
      <c r="Z410" s="117">
        <v>3481504</v>
      </c>
      <c r="AA410" s="118"/>
      <c r="AB410" s="119" t="s">
        <v>4575</v>
      </c>
      <c r="AC410" s="119" t="s">
        <v>4576</v>
      </c>
      <c r="AD410" s="119">
        <v>26078</v>
      </c>
      <c r="AE410" s="119" t="s">
        <v>4577</v>
      </c>
      <c r="AF410" s="119" t="s">
        <v>6160</v>
      </c>
      <c r="AG410" s="120"/>
      <c r="AH410" s="121">
        <v>45818</v>
      </c>
      <c r="AI410" s="121">
        <v>45818</v>
      </c>
      <c r="AJ410" s="121">
        <v>45818</v>
      </c>
      <c r="AK410" s="122">
        <v>45818</v>
      </c>
      <c r="AL410" s="122" t="e">
        <v>#N/A</v>
      </c>
      <c r="AM410" s="122" t="e">
        <v>#N/A</v>
      </c>
      <c r="AN410" s="122" t="e">
        <v>#N/A</v>
      </c>
      <c r="AO410" s="121" t="e">
        <v>#N/A</v>
      </c>
      <c r="AP410" s="122" t="e">
        <v>#N/A</v>
      </c>
      <c r="AQ410" s="122" t="e">
        <v>#N/A</v>
      </c>
      <c r="AR410" s="122" t="e">
        <v>#N/A</v>
      </c>
      <c r="AS410" s="122" t="e">
        <v>#N/A</v>
      </c>
      <c r="AT410" s="122" t="e">
        <v>#N/A</v>
      </c>
      <c r="AU410" s="121" t="e">
        <v>#N/A</v>
      </c>
      <c r="AV410" s="122" t="e">
        <v>#N/A</v>
      </c>
      <c r="AW410" s="122">
        <v>45814</v>
      </c>
      <c r="AX410" s="122" t="e">
        <v>#N/A</v>
      </c>
      <c r="AY410" s="122" t="e">
        <v>#N/A</v>
      </c>
      <c r="AZ410" s="122" t="e">
        <v>#N/A</v>
      </c>
      <c r="BA410" s="122" t="e">
        <v>#N/A</v>
      </c>
      <c r="BB410" s="122" t="e">
        <v>#N/A</v>
      </c>
      <c r="BC410" s="122" t="e">
        <v>#N/A</v>
      </c>
      <c r="BD410" s="122" t="e">
        <v>#N/A</v>
      </c>
      <c r="BE410" s="122" t="e">
        <v>#N/A</v>
      </c>
      <c r="BF410" s="122" t="e">
        <v>#N/A</v>
      </c>
      <c r="BG410" s="122" t="e">
        <v>#N/A</v>
      </c>
      <c r="BH410" s="122" t="e">
        <v>#N/A</v>
      </c>
      <c r="BI410" s="122" t="e">
        <v>#N/A</v>
      </c>
      <c r="BJ410" s="122" t="e">
        <v>#N/A</v>
      </c>
      <c r="BK410" s="122">
        <v>45959</v>
      </c>
      <c r="BL410" s="123"/>
      <c r="BM410" s="124" t="e">
        <v>#N/A</v>
      </c>
      <c r="BN410" s="124" t="e">
        <v>#N/A</v>
      </c>
      <c r="BO410" s="124" t="e">
        <v>#N/A</v>
      </c>
      <c r="BP410" s="124" t="e">
        <v>#N/A</v>
      </c>
      <c r="BQ410" s="124" t="e">
        <v>#N/A</v>
      </c>
      <c r="BR410" s="124" t="e">
        <v>#N/A</v>
      </c>
      <c r="BS410" s="124" t="e">
        <v>#N/A</v>
      </c>
      <c r="BT410" s="124" t="e">
        <v>#N/A</v>
      </c>
      <c r="BU410" s="124" t="e">
        <v>#N/A</v>
      </c>
      <c r="BV410" s="124" t="e">
        <v>#N/A</v>
      </c>
      <c r="BW410" s="124" t="e">
        <v>#N/A</v>
      </c>
      <c r="BX410" s="124" t="e">
        <v>#N/A</v>
      </c>
      <c r="BY410" s="124" t="e">
        <v>#N/A</v>
      </c>
      <c r="BZ410" s="124" t="e">
        <v>#N/A</v>
      </c>
      <c r="CA410" s="125"/>
      <c r="CB410" s="124">
        <v>45817</v>
      </c>
      <c r="CC410" s="126">
        <v>1</v>
      </c>
      <c r="CD410" s="127" t="s">
        <v>4538</v>
      </c>
      <c r="CE410" s="128"/>
      <c r="CF410" s="77" t="s">
        <v>4177</v>
      </c>
    </row>
    <row r="411" spans="1:84" ht="14.5" x14ac:dyDescent="0.35">
      <c r="A411" s="77">
        <v>410</v>
      </c>
      <c r="B411" s="106" t="s">
        <v>4585</v>
      </c>
      <c r="C411" s="107" t="s">
        <v>6767</v>
      </c>
      <c r="D411" s="108" t="s">
        <v>4586</v>
      </c>
      <c r="E411" s="109" t="s">
        <v>4587</v>
      </c>
      <c r="F411" s="110">
        <v>636106315</v>
      </c>
      <c r="G411" s="108" t="s">
        <v>1004</v>
      </c>
      <c r="H411" s="111" t="s">
        <v>1028</v>
      </c>
      <c r="I411" s="111" t="s">
        <v>180</v>
      </c>
      <c r="J411" s="111" t="s">
        <v>4649</v>
      </c>
      <c r="K411" s="111" t="s">
        <v>3159</v>
      </c>
      <c r="L411" s="112">
        <v>45818</v>
      </c>
      <c r="M411" s="111" t="s">
        <v>3335</v>
      </c>
      <c r="N411" s="113"/>
      <c r="O411" s="114" t="s">
        <v>585</v>
      </c>
      <c r="P411" s="114" t="s">
        <v>585</v>
      </c>
      <c r="Q411" s="114" t="s">
        <v>585</v>
      </c>
      <c r="R411" s="114" t="s">
        <v>7296</v>
      </c>
      <c r="S411" s="114" t="s">
        <v>585</v>
      </c>
      <c r="T411" s="114" t="s">
        <v>183</v>
      </c>
      <c r="U411" s="114" t="s">
        <v>183</v>
      </c>
      <c r="V411" s="115"/>
      <c r="W411" s="116" t="s">
        <v>4588</v>
      </c>
      <c r="X411" s="116" t="s">
        <v>4589</v>
      </c>
      <c r="Y411" s="117">
        <v>3485871</v>
      </c>
      <c r="Z411" s="117">
        <v>3481506</v>
      </c>
      <c r="AA411" s="118"/>
      <c r="AB411" s="119" t="s">
        <v>4590</v>
      </c>
      <c r="AC411" s="119" t="s">
        <v>4591</v>
      </c>
      <c r="AD411" s="119">
        <v>5998</v>
      </c>
      <c r="AE411" s="119" t="s">
        <v>4592</v>
      </c>
      <c r="AF411" s="119" t="s">
        <v>7219</v>
      </c>
      <c r="AG411" s="120"/>
      <c r="AH411" s="121">
        <v>45818</v>
      </c>
      <c r="AI411" s="121">
        <v>45818</v>
      </c>
      <c r="AJ411" s="121">
        <v>45818</v>
      </c>
      <c r="AK411" s="122">
        <v>45818</v>
      </c>
      <c r="AL411" s="122" t="e">
        <v>#N/A</v>
      </c>
      <c r="AM411" s="121" t="e">
        <v>#N/A</v>
      </c>
      <c r="AN411" s="121" t="e">
        <v>#N/A</v>
      </c>
      <c r="AO411" s="121" t="e">
        <v>#N/A</v>
      </c>
      <c r="AP411" s="122" t="e">
        <v>#N/A</v>
      </c>
      <c r="AQ411" s="122" t="e">
        <v>#N/A</v>
      </c>
      <c r="AR411" s="122" t="e">
        <v>#N/A</v>
      </c>
      <c r="AS411" s="122" t="e">
        <v>#N/A</v>
      </c>
      <c r="AT411" s="122" t="e">
        <v>#N/A</v>
      </c>
      <c r="AU411" s="121" t="e">
        <v>#N/A</v>
      </c>
      <c r="AV411" s="122" t="e">
        <v>#N/A</v>
      </c>
      <c r="AW411" s="122">
        <v>45814</v>
      </c>
      <c r="AX411" s="122" t="e">
        <v>#N/A</v>
      </c>
      <c r="AY411" s="122" t="e">
        <v>#N/A</v>
      </c>
      <c r="AZ411" s="122" t="e">
        <v>#N/A</v>
      </c>
      <c r="BA411" s="122" t="e">
        <v>#N/A</v>
      </c>
      <c r="BB411" s="122" t="e">
        <v>#N/A</v>
      </c>
      <c r="BC411" s="122" t="e">
        <v>#N/A</v>
      </c>
      <c r="BD411" s="122" t="e">
        <v>#N/A</v>
      </c>
      <c r="BE411" s="122" t="e">
        <v>#N/A</v>
      </c>
      <c r="BF411" s="122" t="e">
        <v>#N/A</v>
      </c>
      <c r="BG411" s="122" t="e">
        <v>#N/A</v>
      </c>
      <c r="BH411" s="122" t="e">
        <v>#N/A</v>
      </c>
      <c r="BI411" s="122" t="e">
        <v>#N/A</v>
      </c>
      <c r="BJ411" s="122" t="e">
        <v>#N/A</v>
      </c>
      <c r="BK411" s="122">
        <v>45961</v>
      </c>
      <c r="BL411" s="123"/>
      <c r="BM411" s="124" t="e">
        <v>#N/A</v>
      </c>
      <c r="BN411" s="124" t="e">
        <v>#N/A</v>
      </c>
      <c r="BO411" s="124" t="e">
        <v>#N/A</v>
      </c>
      <c r="BP411" s="124" t="e">
        <v>#N/A</v>
      </c>
      <c r="BQ411" s="124" t="e">
        <v>#N/A</v>
      </c>
      <c r="BR411" s="124" t="e">
        <v>#N/A</v>
      </c>
      <c r="BS411" s="124" t="e">
        <v>#N/A</v>
      </c>
      <c r="BT411" s="124" t="e">
        <v>#N/A</v>
      </c>
      <c r="BU411" s="124" t="e">
        <v>#N/A</v>
      </c>
      <c r="BV411" s="124" t="e">
        <v>#N/A</v>
      </c>
      <c r="BW411" s="124" t="e">
        <v>#N/A</v>
      </c>
      <c r="BX411" s="124" t="e">
        <v>#N/A</v>
      </c>
      <c r="BY411" s="124" t="e">
        <v>#N/A</v>
      </c>
      <c r="BZ411" s="124" t="e">
        <v>#N/A</v>
      </c>
      <c r="CA411" s="125"/>
      <c r="CB411" s="124">
        <v>45817</v>
      </c>
      <c r="CC411" s="126">
        <v>1</v>
      </c>
      <c r="CD411" s="127" t="s">
        <v>4538</v>
      </c>
      <c r="CE411" s="128"/>
      <c r="CF411" s="77" t="s">
        <v>4179</v>
      </c>
    </row>
    <row r="412" spans="1:84" ht="14.5" x14ac:dyDescent="0.35">
      <c r="A412" s="77">
        <v>411</v>
      </c>
      <c r="B412" s="106" t="s">
        <v>5111</v>
      </c>
      <c r="C412" s="107" t="s">
        <v>6821</v>
      </c>
      <c r="D412" s="108" t="s">
        <v>5112</v>
      </c>
      <c r="E412" s="109" t="s">
        <v>5113</v>
      </c>
      <c r="F412" s="110">
        <v>644340402</v>
      </c>
      <c r="G412" s="108" t="s">
        <v>1004</v>
      </c>
      <c r="H412" s="111" t="s">
        <v>1028</v>
      </c>
      <c r="I412" s="111" t="s">
        <v>180</v>
      </c>
      <c r="J412" s="111" t="s">
        <v>4649</v>
      </c>
      <c r="K412" s="111" t="s">
        <v>3159</v>
      </c>
      <c r="L412" s="112">
        <v>45873</v>
      </c>
      <c r="M412" s="111" t="s">
        <v>3335</v>
      </c>
      <c r="N412" s="113"/>
      <c r="O412" s="114" t="s">
        <v>285</v>
      </c>
      <c r="P412" s="114" t="s">
        <v>285</v>
      </c>
      <c r="Q412" s="114" t="s">
        <v>183</v>
      </c>
      <c r="R412" s="114" t="s">
        <v>7444</v>
      </c>
      <c r="S412" s="114" t="s">
        <v>285</v>
      </c>
      <c r="T412" s="114" t="s">
        <v>285</v>
      </c>
      <c r="U412" s="114" t="s">
        <v>285</v>
      </c>
      <c r="V412" s="115"/>
      <c r="W412" s="116" t="s">
        <v>5114</v>
      </c>
      <c r="X412" s="116" t="s">
        <v>5115</v>
      </c>
      <c r="Y412" s="117">
        <v>3487042</v>
      </c>
      <c r="Z412" s="117">
        <v>3486749</v>
      </c>
      <c r="AA412" s="118"/>
      <c r="AB412" s="119" t="s">
        <v>5740</v>
      </c>
      <c r="AC412" s="119" t="s">
        <v>5116</v>
      </c>
      <c r="AD412" s="119" t="s">
        <v>5117</v>
      </c>
      <c r="AE412" s="119" t="s">
        <v>5118</v>
      </c>
      <c r="AF412" s="119" t="s">
        <v>7234</v>
      </c>
      <c r="AG412" s="120"/>
      <c r="AH412" s="121">
        <v>45873</v>
      </c>
      <c r="AI412" s="121">
        <v>45873</v>
      </c>
      <c r="AJ412" s="121">
        <v>45873</v>
      </c>
      <c r="AK412" s="122">
        <v>45873</v>
      </c>
      <c r="AL412" s="122" t="e">
        <v>#N/A</v>
      </c>
      <c r="AM412" s="121" t="e">
        <v>#N/A</v>
      </c>
      <c r="AN412" s="121" t="e">
        <v>#N/A</v>
      </c>
      <c r="AO412" s="121" t="e">
        <v>#N/A</v>
      </c>
      <c r="AP412" s="122" t="e">
        <v>#N/A</v>
      </c>
      <c r="AQ412" s="122" t="e">
        <v>#N/A</v>
      </c>
      <c r="AR412" s="122" t="e">
        <v>#N/A</v>
      </c>
      <c r="AS412" s="122" t="e">
        <v>#N/A</v>
      </c>
      <c r="AT412" s="122" t="e">
        <v>#N/A</v>
      </c>
      <c r="AU412" s="121" t="e">
        <v>#N/A</v>
      </c>
      <c r="AV412" s="122" t="e">
        <v>#N/A</v>
      </c>
      <c r="AW412" s="122">
        <v>45873</v>
      </c>
      <c r="AX412" s="122" t="e">
        <v>#N/A</v>
      </c>
      <c r="AY412" s="122" t="e">
        <v>#N/A</v>
      </c>
      <c r="AZ412" s="122" t="e">
        <v>#N/A</v>
      </c>
      <c r="BA412" s="122" t="e">
        <v>#N/A</v>
      </c>
      <c r="BB412" s="122" t="e">
        <v>#N/A</v>
      </c>
      <c r="BC412" s="122" t="e">
        <v>#N/A</v>
      </c>
      <c r="BD412" s="122" t="e">
        <v>#N/A</v>
      </c>
      <c r="BE412" s="122" t="e">
        <v>#N/A</v>
      </c>
      <c r="BF412" s="122" t="e">
        <v>#N/A</v>
      </c>
      <c r="BG412" s="122" t="e">
        <v>#N/A</v>
      </c>
      <c r="BH412" s="122" t="e">
        <v>#N/A</v>
      </c>
      <c r="BI412" s="122" t="e">
        <v>#N/A</v>
      </c>
      <c r="BJ412" s="122" t="e">
        <v>#N/A</v>
      </c>
      <c r="BK412" s="122">
        <v>45965</v>
      </c>
      <c r="BL412" s="123"/>
      <c r="BM412" s="124" t="e">
        <v>#N/A</v>
      </c>
      <c r="BN412" s="124" t="e">
        <v>#N/A</v>
      </c>
      <c r="BO412" s="124" t="e">
        <v>#N/A</v>
      </c>
      <c r="BP412" s="124" t="e">
        <v>#N/A</v>
      </c>
      <c r="BQ412" s="124" t="e">
        <v>#N/A</v>
      </c>
      <c r="BR412" s="124" t="e">
        <v>#N/A</v>
      </c>
      <c r="BS412" s="124" t="e">
        <v>#N/A</v>
      </c>
      <c r="BT412" s="124" t="e">
        <v>#N/A</v>
      </c>
      <c r="BU412" s="124" t="e">
        <v>#N/A</v>
      </c>
      <c r="BV412" s="124" t="e">
        <v>#N/A</v>
      </c>
      <c r="BW412" s="124" t="e">
        <v>#N/A</v>
      </c>
      <c r="BX412" s="124" t="e">
        <v>#N/A</v>
      </c>
      <c r="BY412" s="124" t="e">
        <v>#N/A</v>
      </c>
      <c r="BZ412" s="124" t="e">
        <v>#N/A</v>
      </c>
      <c r="CA412" s="125"/>
      <c r="CB412" s="124" t="e">
        <v>#N/A</v>
      </c>
      <c r="CC412" s="126">
        <v>1</v>
      </c>
      <c r="CD412" s="127" t="s">
        <v>4904</v>
      </c>
      <c r="CE412" s="128"/>
      <c r="CF412" s="77" t="s">
        <v>4181</v>
      </c>
    </row>
    <row r="413" spans="1:84" ht="14.5" x14ac:dyDescent="0.35">
      <c r="A413" s="77">
        <v>412</v>
      </c>
      <c r="B413" s="106" t="s">
        <v>4593</v>
      </c>
      <c r="C413" s="107" t="s">
        <v>6766</v>
      </c>
      <c r="D413" s="108" t="s">
        <v>4594</v>
      </c>
      <c r="E413" s="109" t="s">
        <v>4595</v>
      </c>
      <c r="F413" s="110">
        <v>650133457</v>
      </c>
      <c r="G413" s="108" t="s">
        <v>1004</v>
      </c>
      <c r="H413" s="111" t="s">
        <v>1028</v>
      </c>
      <c r="I413" s="111" t="s">
        <v>180</v>
      </c>
      <c r="J413" s="111" t="s">
        <v>4649</v>
      </c>
      <c r="K413" s="111" t="s">
        <v>3159</v>
      </c>
      <c r="L413" s="112">
        <v>45818</v>
      </c>
      <c r="M413" s="111" t="s">
        <v>4035</v>
      </c>
      <c r="N413" s="113"/>
      <c r="O413" s="114" t="s">
        <v>585</v>
      </c>
      <c r="P413" s="114" t="s">
        <v>585</v>
      </c>
      <c r="Q413" s="114" t="s">
        <v>585</v>
      </c>
      <c r="R413" s="114" t="s">
        <v>7296</v>
      </c>
      <c r="S413" s="114" t="s">
        <v>585</v>
      </c>
      <c r="T413" s="114" t="s">
        <v>183</v>
      </c>
      <c r="U413" s="114" t="s">
        <v>183</v>
      </c>
      <c r="V413" s="115"/>
      <c r="W413" s="116" t="s">
        <v>4596</v>
      </c>
      <c r="X413" s="116" t="s">
        <v>4597</v>
      </c>
      <c r="Y413" s="117">
        <v>3485846</v>
      </c>
      <c r="Z413" s="117">
        <v>3481479</v>
      </c>
      <c r="AA413" s="118"/>
      <c r="AB413" s="119" t="s">
        <v>4598</v>
      </c>
      <c r="AC413" s="119" t="s">
        <v>4599</v>
      </c>
      <c r="AD413" s="119">
        <v>26081</v>
      </c>
      <c r="AE413" s="119" t="s">
        <v>4600</v>
      </c>
      <c r="AF413" s="119" t="s">
        <v>6161</v>
      </c>
      <c r="AG413" s="120"/>
      <c r="AH413" s="121">
        <v>45818</v>
      </c>
      <c r="AI413" s="121">
        <v>45818</v>
      </c>
      <c r="AJ413" s="121">
        <v>45818</v>
      </c>
      <c r="AK413" s="122">
        <v>45818</v>
      </c>
      <c r="AL413" s="122">
        <v>46007</v>
      </c>
      <c r="AM413" s="121" t="e">
        <v>#N/A</v>
      </c>
      <c r="AN413" s="121">
        <v>46007</v>
      </c>
      <c r="AO413" s="121">
        <v>46008</v>
      </c>
      <c r="AP413" s="122" t="e">
        <v>#N/A</v>
      </c>
      <c r="AQ413" s="122" t="e">
        <v>#N/A</v>
      </c>
      <c r="AR413" s="122">
        <v>46007</v>
      </c>
      <c r="AS413" s="122" t="e">
        <v>#N/A</v>
      </c>
      <c r="AT413" s="122" t="e">
        <v>#N/A</v>
      </c>
      <c r="AU413" s="121" t="e">
        <v>#N/A</v>
      </c>
      <c r="AV413" s="122" t="e">
        <v>#N/A</v>
      </c>
      <c r="AW413" s="122">
        <v>45814</v>
      </c>
      <c r="AX413" s="122" t="e">
        <v>#N/A</v>
      </c>
      <c r="AY413" s="122" t="e">
        <v>#N/A</v>
      </c>
      <c r="AZ413" s="122">
        <v>46007</v>
      </c>
      <c r="BA413" s="122" t="e">
        <v>#N/A</v>
      </c>
      <c r="BB413" s="122" t="e">
        <v>#N/A</v>
      </c>
      <c r="BC413" s="122" t="e">
        <v>#N/A</v>
      </c>
      <c r="BD413" s="122" t="e">
        <v>#N/A</v>
      </c>
      <c r="BE413" s="122" t="e">
        <v>#N/A</v>
      </c>
      <c r="BF413" s="122" t="e">
        <v>#N/A</v>
      </c>
      <c r="BG413" s="122" t="e">
        <v>#N/A</v>
      </c>
      <c r="BH413" s="122" t="e">
        <v>#N/A</v>
      </c>
      <c r="BI413" s="122" t="e">
        <v>#N/A</v>
      </c>
      <c r="BJ413" s="122" t="e">
        <v>#N/A</v>
      </c>
      <c r="BK413" s="122">
        <v>45958</v>
      </c>
      <c r="BL413" s="123"/>
      <c r="BM413" s="124" t="e">
        <v>#N/A</v>
      </c>
      <c r="BN413" s="124" t="e">
        <v>#N/A</v>
      </c>
      <c r="BO413" s="124" t="e">
        <v>#N/A</v>
      </c>
      <c r="BP413" s="124" t="e">
        <v>#N/A</v>
      </c>
      <c r="BQ413" s="124" t="e">
        <v>#N/A</v>
      </c>
      <c r="BR413" s="124" t="e">
        <v>#N/A</v>
      </c>
      <c r="BS413" s="124" t="e">
        <v>#N/A</v>
      </c>
      <c r="BT413" s="124" t="e">
        <v>#N/A</v>
      </c>
      <c r="BU413" s="124" t="e">
        <v>#N/A</v>
      </c>
      <c r="BV413" s="124" t="e">
        <v>#N/A</v>
      </c>
      <c r="BW413" s="124" t="e">
        <v>#N/A</v>
      </c>
      <c r="BX413" s="124" t="e">
        <v>#N/A</v>
      </c>
      <c r="BY413" s="124" t="e">
        <v>#N/A</v>
      </c>
      <c r="BZ413" s="124" t="e">
        <v>#N/A</v>
      </c>
      <c r="CA413" s="125"/>
      <c r="CB413" s="124">
        <v>45817</v>
      </c>
      <c r="CC413" s="126">
        <v>1</v>
      </c>
      <c r="CD413" s="127" t="s">
        <v>4538</v>
      </c>
      <c r="CE413" s="128"/>
      <c r="CF413" s="77" t="s">
        <v>4183</v>
      </c>
    </row>
    <row r="414" spans="1:84" ht="14.5" x14ac:dyDescent="0.35">
      <c r="A414" s="77">
        <v>413</v>
      </c>
      <c r="B414" s="106" t="s">
        <v>4609</v>
      </c>
      <c r="C414" s="107" t="s">
        <v>6765</v>
      </c>
      <c r="D414" s="108" t="s">
        <v>4610</v>
      </c>
      <c r="E414" s="109" t="s">
        <v>4611</v>
      </c>
      <c r="F414" s="110">
        <v>692980070</v>
      </c>
      <c r="G414" s="108" t="s">
        <v>1004</v>
      </c>
      <c r="H414" s="111" t="s">
        <v>1028</v>
      </c>
      <c r="I414" s="111" t="s">
        <v>180</v>
      </c>
      <c r="J414" s="111" t="s">
        <v>4649</v>
      </c>
      <c r="K414" s="111" t="s">
        <v>3159</v>
      </c>
      <c r="L414" s="112">
        <v>45818</v>
      </c>
      <c r="M414" s="111" t="s">
        <v>3335</v>
      </c>
      <c r="N414" s="113"/>
      <c r="O414" s="114" t="s">
        <v>585</v>
      </c>
      <c r="P414" s="114" t="s">
        <v>585</v>
      </c>
      <c r="Q414" s="114" t="s">
        <v>585</v>
      </c>
      <c r="R414" s="114" t="s">
        <v>7296</v>
      </c>
      <c r="S414" s="114" t="s">
        <v>7278</v>
      </c>
      <c r="T414" s="114" t="s">
        <v>183</v>
      </c>
      <c r="U414" s="114" t="s">
        <v>183</v>
      </c>
      <c r="V414" s="115"/>
      <c r="W414" s="116" t="s">
        <v>4612</v>
      </c>
      <c r="X414" s="116" t="s">
        <v>4613</v>
      </c>
      <c r="Y414" s="117">
        <v>3485513</v>
      </c>
      <c r="Z414" s="117">
        <v>3481517</v>
      </c>
      <c r="AA414" s="118"/>
      <c r="AB414" s="119" t="s">
        <v>4614</v>
      </c>
      <c r="AC414" s="119" t="s">
        <v>4615</v>
      </c>
      <c r="AD414" s="119">
        <v>5759</v>
      </c>
      <c r="AE414" s="119" t="s">
        <v>4616</v>
      </c>
      <c r="AF414" s="119" t="s">
        <v>7540</v>
      </c>
      <c r="AG414" s="120"/>
      <c r="AH414" s="121">
        <v>45818</v>
      </c>
      <c r="AI414" s="121">
        <v>45818</v>
      </c>
      <c r="AJ414" s="121">
        <v>45818</v>
      </c>
      <c r="AK414" s="122">
        <v>45818</v>
      </c>
      <c r="AL414" s="122" t="e">
        <v>#N/A</v>
      </c>
      <c r="AM414" s="122" t="e">
        <v>#N/A</v>
      </c>
      <c r="AN414" s="122" t="e">
        <v>#N/A</v>
      </c>
      <c r="AO414" s="121" t="e">
        <v>#N/A</v>
      </c>
      <c r="AP414" s="122" t="e">
        <v>#N/A</v>
      </c>
      <c r="AQ414" s="122" t="e">
        <v>#N/A</v>
      </c>
      <c r="AR414" s="122" t="e">
        <v>#N/A</v>
      </c>
      <c r="AS414" s="122" t="e">
        <v>#N/A</v>
      </c>
      <c r="AT414" s="122" t="e">
        <v>#N/A</v>
      </c>
      <c r="AU414" s="121" t="e">
        <v>#N/A</v>
      </c>
      <c r="AV414" s="122" t="e">
        <v>#N/A</v>
      </c>
      <c r="AW414" s="122">
        <v>45814</v>
      </c>
      <c r="AX414" s="122" t="e">
        <v>#N/A</v>
      </c>
      <c r="AY414" s="122" t="e">
        <v>#N/A</v>
      </c>
      <c r="AZ414" s="122" t="e">
        <v>#N/A</v>
      </c>
      <c r="BA414" s="122" t="e">
        <v>#N/A</v>
      </c>
      <c r="BB414" s="122" t="e">
        <v>#N/A</v>
      </c>
      <c r="BC414" s="122" t="e">
        <v>#N/A</v>
      </c>
      <c r="BD414" s="122" t="e">
        <v>#N/A</v>
      </c>
      <c r="BE414" s="122" t="e">
        <v>#N/A</v>
      </c>
      <c r="BF414" s="122" t="e">
        <v>#N/A</v>
      </c>
      <c r="BG414" s="122" t="e">
        <v>#N/A</v>
      </c>
      <c r="BH414" s="122" t="e">
        <v>#N/A</v>
      </c>
      <c r="BI414" s="122" t="e">
        <v>#N/A</v>
      </c>
      <c r="BJ414" s="122" t="e">
        <v>#N/A</v>
      </c>
      <c r="BK414" s="122">
        <v>45971</v>
      </c>
      <c r="BL414" s="123"/>
      <c r="BM414" s="124" t="e">
        <v>#N/A</v>
      </c>
      <c r="BN414" s="124" t="e">
        <v>#N/A</v>
      </c>
      <c r="BO414" s="124" t="e">
        <v>#N/A</v>
      </c>
      <c r="BP414" s="124" t="e">
        <v>#N/A</v>
      </c>
      <c r="BQ414" s="124" t="e">
        <v>#N/A</v>
      </c>
      <c r="BR414" s="124" t="e">
        <v>#N/A</v>
      </c>
      <c r="BS414" s="124" t="e">
        <v>#N/A</v>
      </c>
      <c r="BT414" s="124" t="e">
        <v>#N/A</v>
      </c>
      <c r="BU414" s="124" t="e">
        <v>#N/A</v>
      </c>
      <c r="BV414" s="124" t="e">
        <v>#N/A</v>
      </c>
      <c r="BW414" s="124" t="e">
        <v>#N/A</v>
      </c>
      <c r="BX414" s="124" t="e">
        <v>#N/A</v>
      </c>
      <c r="BY414" s="124" t="e">
        <v>#N/A</v>
      </c>
      <c r="BZ414" s="124" t="e">
        <v>#N/A</v>
      </c>
      <c r="CA414" s="125"/>
      <c r="CB414" s="124">
        <v>45817</v>
      </c>
      <c r="CC414" s="126">
        <v>1</v>
      </c>
      <c r="CD414" s="127" t="s">
        <v>4538</v>
      </c>
      <c r="CE414" s="128"/>
      <c r="CF414" s="77" t="s">
        <v>4181</v>
      </c>
    </row>
    <row r="415" spans="1:84" ht="14.5" x14ac:dyDescent="0.35">
      <c r="A415" s="77">
        <v>414</v>
      </c>
      <c r="B415" s="106" t="s">
        <v>4578</v>
      </c>
      <c r="C415" s="107" t="s">
        <v>6764</v>
      </c>
      <c r="D415" s="108" t="s">
        <v>4579</v>
      </c>
      <c r="E415" s="109" t="s">
        <v>4580</v>
      </c>
      <c r="F415" s="110">
        <v>634482818</v>
      </c>
      <c r="G415" s="108" t="s">
        <v>1004</v>
      </c>
      <c r="H415" s="111" t="s">
        <v>1028</v>
      </c>
      <c r="I415" s="111" t="s">
        <v>180</v>
      </c>
      <c r="J415" s="111" t="s">
        <v>4649</v>
      </c>
      <c r="K415" s="111" t="s">
        <v>3159</v>
      </c>
      <c r="L415" s="112">
        <v>45818</v>
      </c>
      <c r="M415" s="111" t="s">
        <v>3335</v>
      </c>
      <c r="N415" s="113"/>
      <c r="O415" s="114" t="s">
        <v>585</v>
      </c>
      <c r="P415" s="114" t="s">
        <v>585</v>
      </c>
      <c r="Q415" s="114" t="s">
        <v>585</v>
      </c>
      <c r="R415" s="114" t="s">
        <v>7296</v>
      </c>
      <c r="S415" s="114" t="s">
        <v>585</v>
      </c>
      <c r="T415" s="114" t="s">
        <v>183</v>
      </c>
      <c r="U415" s="114" t="s">
        <v>183</v>
      </c>
      <c r="V415" s="115"/>
      <c r="W415" s="116" t="s">
        <v>4581</v>
      </c>
      <c r="X415" s="116" t="s">
        <v>4582</v>
      </c>
      <c r="Y415" s="117">
        <v>3485869</v>
      </c>
      <c r="Z415" s="117">
        <v>3481505</v>
      </c>
      <c r="AA415" s="118"/>
      <c r="AB415" s="119" t="s">
        <v>5505</v>
      </c>
      <c r="AC415" s="119" t="s">
        <v>4583</v>
      </c>
      <c r="AD415" s="119">
        <v>5999</v>
      </c>
      <c r="AE415" s="119" t="s">
        <v>4584</v>
      </c>
      <c r="AF415" s="119" t="s">
        <v>7218</v>
      </c>
      <c r="AG415" s="120"/>
      <c r="AH415" s="121">
        <v>45818</v>
      </c>
      <c r="AI415" s="121">
        <v>45818</v>
      </c>
      <c r="AJ415" s="121">
        <v>45818</v>
      </c>
      <c r="AK415" s="122">
        <v>45818</v>
      </c>
      <c r="AL415" s="122" t="e">
        <v>#N/A</v>
      </c>
      <c r="AM415" s="122" t="e">
        <v>#N/A</v>
      </c>
      <c r="AN415" s="122" t="e">
        <v>#N/A</v>
      </c>
      <c r="AO415" s="121" t="e">
        <v>#N/A</v>
      </c>
      <c r="AP415" s="122" t="e">
        <v>#N/A</v>
      </c>
      <c r="AQ415" s="122" t="e">
        <v>#N/A</v>
      </c>
      <c r="AR415" s="122" t="e">
        <v>#N/A</v>
      </c>
      <c r="AS415" s="122" t="e">
        <v>#N/A</v>
      </c>
      <c r="AT415" s="122" t="e">
        <v>#N/A</v>
      </c>
      <c r="AU415" s="121" t="e">
        <v>#N/A</v>
      </c>
      <c r="AV415" s="122" t="e">
        <v>#N/A</v>
      </c>
      <c r="AW415" s="122">
        <v>45814</v>
      </c>
      <c r="AX415" s="122" t="e">
        <v>#N/A</v>
      </c>
      <c r="AY415" s="122" t="e">
        <v>#N/A</v>
      </c>
      <c r="AZ415" s="122" t="e">
        <v>#N/A</v>
      </c>
      <c r="BA415" s="122" t="e">
        <v>#N/A</v>
      </c>
      <c r="BB415" s="122" t="e">
        <v>#N/A</v>
      </c>
      <c r="BC415" s="122" t="e">
        <v>#N/A</v>
      </c>
      <c r="BD415" s="122" t="e">
        <v>#N/A</v>
      </c>
      <c r="BE415" s="122" t="e">
        <v>#N/A</v>
      </c>
      <c r="BF415" s="122" t="e">
        <v>#N/A</v>
      </c>
      <c r="BG415" s="122" t="e">
        <v>#N/A</v>
      </c>
      <c r="BH415" s="122" t="e">
        <v>#N/A</v>
      </c>
      <c r="BI415" s="122" t="e">
        <v>#N/A</v>
      </c>
      <c r="BJ415" s="122" t="e">
        <v>#N/A</v>
      </c>
      <c r="BK415" s="122">
        <v>45961</v>
      </c>
      <c r="BL415" s="123"/>
      <c r="BM415" s="124" t="e">
        <v>#N/A</v>
      </c>
      <c r="BN415" s="124" t="e">
        <v>#N/A</v>
      </c>
      <c r="BO415" s="124" t="e">
        <v>#N/A</v>
      </c>
      <c r="BP415" s="124" t="e">
        <v>#N/A</v>
      </c>
      <c r="BQ415" s="124" t="e">
        <v>#N/A</v>
      </c>
      <c r="BR415" s="124" t="e">
        <v>#N/A</v>
      </c>
      <c r="BS415" s="124" t="e">
        <v>#N/A</v>
      </c>
      <c r="BT415" s="124" t="e">
        <v>#N/A</v>
      </c>
      <c r="BU415" s="124" t="e">
        <v>#N/A</v>
      </c>
      <c r="BV415" s="124" t="e">
        <v>#N/A</v>
      </c>
      <c r="BW415" s="124" t="e">
        <v>#N/A</v>
      </c>
      <c r="BX415" s="124" t="e">
        <v>#N/A</v>
      </c>
      <c r="BY415" s="124" t="e">
        <v>#N/A</v>
      </c>
      <c r="BZ415" s="124" t="e">
        <v>#N/A</v>
      </c>
      <c r="CA415" s="125"/>
      <c r="CB415" s="124">
        <v>45817</v>
      </c>
      <c r="CC415" s="126">
        <v>1</v>
      </c>
      <c r="CD415" s="127" t="s">
        <v>4538</v>
      </c>
      <c r="CE415" s="128"/>
      <c r="CF415" s="77" t="s">
        <v>4183</v>
      </c>
    </row>
    <row r="416" spans="1:84" ht="14.5" x14ac:dyDescent="0.35">
      <c r="A416" s="77">
        <v>415</v>
      </c>
      <c r="B416" s="106" t="s">
        <v>6000</v>
      </c>
      <c r="C416" s="107" t="s">
        <v>6871</v>
      </c>
      <c r="D416" s="108" t="s">
        <v>5930</v>
      </c>
      <c r="E416" s="109" t="s">
        <v>5931</v>
      </c>
      <c r="F416" s="110">
        <v>676320135</v>
      </c>
      <c r="G416" s="108" t="s">
        <v>1004</v>
      </c>
      <c r="H416" s="111" t="s">
        <v>1028</v>
      </c>
      <c r="I416" s="111" t="s">
        <v>180</v>
      </c>
      <c r="J416" s="111" t="s">
        <v>4649</v>
      </c>
      <c r="K416" s="111" t="s">
        <v>3159</v>
      </c>
      <c r="L416" s="112">
        <v>45922</v>
      </c>
      <c r="M416" s="111" t="s">
        <v>2665</v>
      </c>
      <c r="N416" s="113"/>
      <c r="O416" s="114" t="s">
        <v>459</v>
      </c>
      <c r="P416" s="114" t="s">
        <v>459</v>
      </c>
      <c r="Q416" s="114" t="s">
        <v>459</v>
      </c>
      <c r="R416" s="114" t="s">
        <v>7322</v>
      </c>
      <c r="S416" s="114" t="s">
        <v>459</v>
      </c>
      <c r="T416" s="114" t="s">
        <v>183</v>
      </c>
      <c r="U416" s="114" t="s">
        <v>183</v>
      </c>
      <c r="V416" s="115"/>
      <c r="W416" s="116" t="s">
        <v>5932</v>
      </c>
      <c r="X416" s="116" t="s">
        <v>5933</v>
      </c>
      <c r="Y416" s="117">
        <v>3485262</v>
      </c>
      <c r="Z416" s="117">
        <v>3481420</v>
      </c>
      <c r="AA416" s="118"/>
      <c r="AB416" s="119" t="s">
        <v>5934</v>
      </c>
      <c r="AC416" s="119" t="s">
        <v>5935</v>
      </c>
      <c r="AD416" s="119" t="s">
        <v>6872</v>
      </c>
      <c r="AE416" s="119" t="s">
        <v>6873</v>
      </c>
      <c r="AF416" s="119" t="s">
        <v>6148</v>
      </c>
      <c r="AG416" s="120"/>
      <c r="AH416" s="121">
        <v>45922</v>
      </c>
      <c r="AI416" s="121">
        <v>45922</v>
      </c>
      <c r="AJ416" s="121">
        <v>45922</v>
      </c>
      <c r="AK416" s="122">
        <v>45922</v>
      </c>
      <c r="AL416" s="122" t="e">
        <v>#N/A</v>
      </c>
      <c r="AM416" s="121" t="e">
        <v>#N/A</v>
      </c>
      <c r="AN416" s="121" t="e">
        <v>#N/A</v>
      </c>
      <c r="AO416" s="121" t="e">
        <v>#N/A</v>
      </c>
      <c r="AP416" s="122" t="e">
        <v>#N/A</v>
      </c>
      <c r="AQ416" s="122" t="e">
        <v>#N/A</v>
      </c>
      <c r="AR416" s="122" t="e">
        <v>#N/A</v>
      </c>
      <c r="AS416" s="122" t="e">
        <v>#N/A</v>
      </c>
      <c r="AT416" s="122" t="e">
        <v>#N/A</v>
      </c>
      <c r="AU416" s="121" t="e">
        <v>#N/A</v>
      </c>
      <c r="AV416" s="122" t="e">
        <v>#N/A</v>
      </c>
      <c r="AW416" s="122">
        <v>45919</v>
      </c>
      <c r="AX416" s="122" t="e">
        <v>#N/A</v>
      </c>
      <c r="AY416" s="122" t="e">
        <v>#N/A</v>
      </c>
      <c r="AZ416" s="122" t="e">
        <v>#N/A</v>
      </c>
      <c r="BA416" s="122" t="e">
        <v>#N/A</v>
      </c>
      <c r="BB416" s="122" t="e">
        <v>#N/A</v>
      </c>
      <c r="BC416" s="122" t="e">
        <v>#N/A</v>
      </c>
      <c r="BD416" s="122" t="e">
        <v>#N/A</v>
      </c>
      <c r="BE416" s="122" t="e">
        <v>#N/A</v>
      </c>
      <c r="BF416" s="122" t="e">
        <v>#N/A</v>
      </c>
      <c r="BG416" s="122" t="e">
        <v>#N/A</v>
      </c>
      <c r="BH416" s="122" t="e">
        <v>#N/A</v>
      </c>
      <c r="BI416" s="122" t="e">
        <v>#N/A</v>
      </c>
      <c r="BJ416" s="122" t="e">
        <v>#N/A</v>
      </c>
      <c r="BK416" s="122">
        <v>45953</v>
      </c>
      <c r="BL416" s="123"/>
      <c r="BM416" s="124" t="e">
        <v>#N/A</v>
      </c>
      <c r="BN416" s="124" t="e">
        <v>#N/A</v>
      </c>
      <c r="BO416" s="124" t="e">
        <v>#N/A</v>
      </c>
      <c r="BP416" s="124" t="e">
        <v>#N/A</v>
      </c>
      <c r="BQ416" s="124" t="e">
        <v>#N/A</v>
      </c>
      <c r="BR416" s="124" t="e">
        <v>#N/A</v>
      </c>
      <c r="BS416" s="124" t="e">
        <v>#N/A</v>
      </c>
      <c r="BT416" s="124" t="e">
        <v>#N/A</v>
      </c>
      <c r="BU416" s="124" t="e">
        <v>#N/A</v>
      </c>
      <c r="BV416" s="124" t="e">
        <v>#N/A</v>
      </c>
      <c r="BW416" s="124" t="e">
        <v>#N/A</v>
      </c>
      <c r="BX416" s="124" t="e">
        <v>#N/A</v>
      </c>
      <c r="BY416" s="124" t="e">
        <v>#N/A</v>
      </c>
      <c r="BZ416" s="124" t="e">
        <v>#N/A</v>
      </c>
      <c r="CA416" s="125"/>
      <c r="CB416" s="124" t="e">
        <v>#N/A</v>
      </c>
      <c r="CC416" s="126">
        <v>1</v>
      </c>
      <c r="CD416" s="127" t="s">
        <v>5994</v>
      </c>
      <c r="CE416" s="128"/>
      <c r="CF416" s="77" t="s">
        <v>4181</v>
      </c>
    </row>
    <row r="417" spans="1:84" ht="14.5" x14ac:dyDescent="0.35">
      <c r="A417" s="77">
        <v>416</v>
      </c>
      <c r="B417" s="106" t="s">
        <v>6005</v>
      </c>
      <c r="C417" s="107" t="s">
        <v>6868</v>
      </c>
      <c r="D417" s="108" t="s">
        <v>5942</v>
      </c>
      <c r="E417" s="109" t="s">
        <v>5943</v>
      </c>
      <c r="F417" s="110">
        <v>606810570</v>
      </c>
      <c r="G417" s="108" t="s">
        <v>1004</v>
      </c>
      <c r="H417" s="111" t="s">
        <v>1028</v>
      </c>
      <c r="I417" s="111" t="s">
        <v>180</v>
      </c>
      <c r="J417" s="111" t="s">
        <v>4649</v>
      </c>
      <c r="K417" s="111" t="s">
        <v>3159</v>
      </c>
      <c r="L417" s="112">
        <v>45922</v>
      </c>
      <c r="M417" s="111" t="s">
        <v>2665</v>
      </c>
      <c r="N417" s="113"/>
      <c r="O417" s="114" t="s">
        <v>3831</v>
      </c>
      <c r="P417" s="114" t="s">
        <v>3831</v>
      </c>
      <c r="Q417" s="114" t="s">
        <v>585</v>
      </c>
      <c r="R417" s="114" t="s">
        <v>7382</v>
      </c>
      <c r="S417" s="114" t="s">
        <v>3831</v>
      </c>
      <c r="T417" s="114" t="s">
        <v>183</v>
      </c>
      <c r="U417" s="114" t="s">
        <v>183</v>
      </c>
      <c r="V417" s="115"/>
      <c r="W417" s="116" t="s">
        <v>5944</v>
      </c>
      <c r="X417" s="116" t="s">
        <v>5945</v>
      </c>
      <c r="Y417" s="117">
        <v>3485429</v>
      </c>
      <c r="Z417" s="117">
        <v>3481481</v>
      </c>
      <c r="AA417" s="118"/>
      <c r="AB417" s="119" t="s">
        <v>5946</v>
      </c>
      <c r="AC417" s="119" t="s">
        <v>5947</v>
      </c>
      <c r="AD417" s="119" t="s">
        <v>6869</v>
      </c>
      <c r="AE417" s="119" t="s">
        <v>6870</v>
      </c>
      <c r="AF417" s="119" t="s">
        <v>7242</v>
      </c>
      <c r="AG417" s="120"/>
      <c r="AH417" s="121">
        <v>45922</v>
      </c>
      <c r="AI417" s="121">
        <v>45922</v>
      </c>
      <c r="AJ417" s="121">
        <v>45922</v>
      </c>
      <c r="AK417" s="122">
        <v>45922</v>
      </c>
      <c r="AL417" s="122" t="e">
        <v>#N/A</v>
      </c>
      <c r="AM417" s="121" t="e">
        <v>#N/A</v>
      </c>
      <c r="AN417" s="121" t="e">
        <v>#N/A</v>
      </c>
      <c r="AO417" s="121" t="e">
        <v>#N/A</v>
      </c>
      <c r="AP417" s="122" t="e">
        <v>#N/A</v>
      </c>
      <c r="AQ417" s="122" t="e">
        <v>#N/A</v>
      </c>
      <c r="AR417" s="122" t="e">
        <v>#N/A</v>
      </c>
      <c r="AS417" s="122" t="e">
        <v>#N/A</v>
      </c>
      <c r="AT417" s="122" t="e">
        <v>#N/A</v>
      </c>
      <c r="AU417" s="121" t="e">
        <v>#N/A</v>
      </c>
      <c r="AV417" s="122" t="e">
        <v>#N/A</v>
      </c>
      <c r="AW417" s="122">
        <v>45919</v>
      </c>
      <c r="AX417" s="122" t="e">
        <v>#N/A</v>
      </c>
      <c r="AY417" s="122" t="e">
        <v>#N/A</v>
      </c>
      <c r="AZ417" s="122" t="e">
        <v>#N/A</v>
      </c>
      <c r="BA417" s="122" t="e">
        <v>#N/A</v>
      </c>
      <c r="BB417" s="122" t="e">
        <v>#N/A</v>
      </c>
      <c r="BC417" s="122" t="e">
        <v>#N/A</v>
      </c>
      <c r="BD417" s="122" t="e">
        <v>#N/A</v>
      </c>
      <c r="BE417" s="122" t="e">
        <v>#N/A</v>
      </c>
      <c r="BF417" s="122" t="e">
        <v>#N/A</v>
      </c>
      <c r="BG417" s="122" t="e">
        <v>#N/A</v>
      </c>
      <c r="BH417" s="122" t="e">
        <v>#N/A</v>
      </c>
      <c r="BI417" s="122" t="e">
        <v>#N/A</v>
      </c>
      <c r="BJ417" s="122" t="e">
        <v>#N/A</v>
      </c>
      <c r="BK417" s="122">
        <v>45960</v>
      </c>
      <c r="BL417" s="123"/>
      <c r="BM417" s="124" t="e">
        <v>#N/A</v>
      </c>
      <c r="BN417" s="124" t="e">
        <v>#N/A</v>
      </c>
      <c r="BO417" s="124" t="e">
        <v>#N/A</v>
      </c>
      <c r="BP417" s="124" t="e">
        <v>#N/A</v>
      </c>
      <c r="BQ417" s="124" t="e">
        <v>#N/A</v>
      </c>
      <c r="BR417" s="124" t="e">
        <v>#N/A</v>
      </c>
      <c r="BS417" s="124" t="e">
        <v>#N/A</v>
      </c>
      <c r="BT417" s="124" t="e">
        <v>#N/A</v>
      </c>
      <c r="BU417" s="124" t="e">
        <v>#N/A</v>
      </c>
      <c r="BV417" s="124" t="e">
        <v>#N/A</v>
      </c>
      <c r="BW417" s="124" t="e">
        <v>#N/A</v>
      </c>
      <c r="BX417" s="124" t="e">
        <v>#N/A</v>
      </c>
      <c r="BY417" s="124" t="e">
        <v>#N/A</v>
      </c>
      <c r="BZ417" s="124" t="e">
        <v>#N/A</v>
      </c>
      <c r="CA417" s="125"/>
      <c r="CB417" s="124" t="e">
        <v>#N/A</v>
      </c>
      <c r="CC417" s="126">
        <v>1</v>
      </c>
      <c r="CD417" s="127" t="s">
        <v>5994</v>
      </c>
      <c r="CE417" s="128"/>
      <c r="CF417" s="77" t="s">
        <v>4181</v>
      </c>
    </row>
    <row r="418" spans="1:84" ht="14.5" x14ac:dyDescent="0.35">
      <c r="A418" s="77">
        <v>417</v>
      </c>
      <c r="B418" s="106" t="s">
        <v>2288</v>
      </c>
      <c r="C418" s="107" t="s">
        <v>6416</v>
      </c>
      <c r="D418" s="108" t="s">
        <v>2289</v>
      </c>
      <c r="E418" s="109" t="s">
        <v>2290</v>
      </c>
      <c r="F418" s="110">
        <v>687566283</v>
      </c>
      <c r="G418" s="108" t="s">
        <v>1004</v>
      </c>
      <c r="H418" s="111" t="s">
        <v>1028</v>
      </c>
      <c r="I418" s="111" t="s">
        <v>180</v>
      </c>
      <c r="J418" s="111" t="s">
        <v>4649</v>
      </c>
      <c r="K418" s="111" t="s">
        <v>3159</v>
      </c>
      <c r="L418" s="112">
        <v>44613</v>
      </c>
      <c r="M418" s="111" t="s">
        <v>2933</v>
      </c>
      <c r="N418" s="113"/>
      <c r="O418" s="114" t="s">
        <v>6116</v>
      </c>
      <c r="P418" s="114" t="s">
        <v>6116</v>
      </c>
      <c r="Q418" s="114" t="s">
        <v>6116</v>
      </c>
      <c r="R418" s="114" t="s">
        <v>6116</v>
      </c>
      <c r="S418" s="114" t="s">
        <v>7271</v>
      </c>
      <c r="T418" s="114" t="s">
        <v>4356</v>
      </c>
      <c r="U418" s="114" t="s">
        <v>4356</v>
      </c>
      <c r="V418" s="115"/>
      <c r="W418" s="116" t="s">
        <v>2291</v>
      </c>
      <c r="X418" s="116" t="s">
        <v>2292</v>
      </c>
      <c r="Y418" s="117">
        <v>3485771</v>
      </c>
      <c r="Z418" s="117">
        <v>3481162</v>
      </c>
      <c r="AA418" s="118"/>
      <c r="AB418" s="119" t="s">
        <v>5732</v>
      </c>
      <c r="AC418" s="119" t="s">
        <v>2374</v>
      </c>
      <c r="AD418" s="119">
        <v>5071</v>
      </c>
      <c r="AE418" s="119" t="s">
        <v>6022</v>
      </c>
      <c r="AF418" s="119" t="s">
        <v>7085</v>
      </c>
      <c r="AG418" s="120"/>
      <c r="AH418" s="121">
        <v>44824</v>
      </c>
      <c r="AI418" s="121">
        <v>45460</v>
      </c>
      <c r="AJ418" s="121">
        <v>45460</v>
      </c>
      <c r="AK418" s="122">
        <v>45460</v>
      </c>
      <c r="AL418" s="122" t="e">
        <v>#N/A</v>
      </c>
      <c r="AM418" s="121" t="e">
        <v>#N/A</v>
      </c>
      <c r="AN418" s="121" t="e">
        <v>#N/A</v>
      </c>
      <c r="AO418" s="121" t="e">
        <v>#N/A</v>
      </c>
      <c r="AP418" s="122" t="e">
        <v>#N/A</v>
      </c>
      <c r="AQ418" s="122" t="e">
        <v>#N/A</v>
      </c>
      <c r="AR418" s="122" t="e">
        <v>#N/A</v>
      </c>
      <c r="AS418" s="122" t="e">
        <v>#N/A</v>
      </c>
      <c r="AT418" s="122" t="e">
        <v>#N/A</v>
      </c>
      <c r="AU418" s="121" t="e">
        <v>#N/A</v>
      </c>
      <c r="AV418" s="122" t="e">
        <v>#N/A</v>
      </c>
      <c r="AW418" s="122">
        <v>45778</v>
      </c>
      <c r="AX418" s="122" t="e">
        <v>#N/A</v>
      </c>
      <c r="AY418" s="122" t="e">
        <v>#N/A</v>
      </c>
      <c r="AZ418" s="122" t="e">
        <v>#N/A</v>
      </c>
      <c r="BA418" s="122" t="e">
        <v>#N/A</v>
      </c>
      <c r="BB418" s="122" t="e">
        <v>#N/A</v>
      </c>
      <c r="BC418" s="122" t="e">
        <v>#N/A</v>
      </c>
      <c r="BD418" s="122" t="e">
        <v>#N/A</v>
      </c>
      <c r="BE418" s="122" t="e">
        <v>#N/A</v>
      </c>
      <c r="BF418" s="122" t="e">
        <v>#N/A</v>
      </c>
      <c r="BG418" s="122" t="e">
        <v>#N/A</v>
      </c>
      <c r="BH418" s="122" t="e">
        <v>#N/A</v>
      </c>
      <c r="BI418" s="122" t="e">
        <v>#N/A</v>
      </c>
      <c r="BJ418" s="122" t="e">
        <v>#N/A</v>
      </c>
      <c r="BK418" s="122">
        <v>45961</v>
      </c>
      <c r="BL418" s="123"/>
      <c r="BM418" s="124" t="e">
        <v>#N/A</v>
      </c>
      <c r="BN418" s="124" t="e">
        <v>#N/A</v>
      </c>
      <c r="BO418" s="124" t="e">
        <v>#N/A</v>
      </c>
      <c r="BP418" s="124" t="e">
        <v>#N/A</v>
      </c>
      <c r="BQ418" s="124" t="e">
        <v>#N/A</v>
      </c>
      <c r="BR418" s="124" t="e">
        <v>#N/A</v>
      </c>
      <c r="BS418" s="124" t="e">
        <v>#N/A</v>
      </c>
      <c r="BT418" s="124" t="e">
        <v>#N/A</v>
      </c>
      <c r="BU418" s="124" t="e">
        <v>#N/A</v>
      </c>
      <c r="BV418" s="124" t="e">
        <v>#N/A</v>
      </c>
      <c r="BW418" s="124" t="e">
        <v>#N/A</v>
      </c>
      <c r="BX418" s="124" t="e">
        <v>#N/A</v>
      </c>
      <c r="BY418" s="124" t="e">
        <v>#N/A</v>
      </c>
      <c r="BZ418" s="124" t="e">
        <v>#N/A</v>
      </c>
      <c r="CA418" s="125"/>
      <c r="CB418" s="124" t="e">
        <v>#N/A</v>
      </c>
      <c r="CC418" s="126">
        <v>1</v>
      </c>
      <c r="CD418" s="127" t="s">
        <v>4188</v>
      </c>
      <c r="CE418" s="128"/>
      <c r="CF418" s="77" t="s">
        <v>4201</v>
      </c>
    </row>
    <row r="419" spans="1:84" ht="14.5" x14ac:dyDescent="0.35">
      <c r="A419" s="77">
        <v>418</v>
      </c>
      <c r="B419" s="106" t="s">
        <v>4309</v>
      </c>
      <c r="C419" s="107" t="s">
        <v>6732</v>
      </c>
      <c r="D419" s="108" t="s">
        <v>4310</v>
      </c>
      <c r="E419" s="109" t="s">
        <v>4311</v>
      </c>
      <c r="F419" s="110">
        <v>644573941</v>
      </c>
      <c r="G419" s="108" t="s">
        <v>1004</v>
      </c>
      <c r="H419" s="111" t="s">
        <v>1028</v>
      </c>
      <c r="I419" s="111" t="s">
        <v>180</v>
      </c>
      <c r="J419" s="111" t="s">
        <v>4649</v>
      </c>
      <c r="K419" s="111" t="s">
        <v>3159</v>
      </c>
      <c r="L419" s="112">
        <v>45684</v>
      </c>
      <c r="M419" s="111" t="s">
        <v>491</v>
      </c>
      <c r="N419" s="113"/>
      <c r="O419" s="114" t="s">
        <v>7200</v>
      </c>
      <c r="P419" s="114" t="s">
        <v>183</v>
      </c>
      <c r="Q419" s="114" t="s">
        <v>7201</v>
      </c>
      <c r="R419" s="114" t="s">
        <v>7200</v>
      </c>
      <c r="S419" s="114" t="s">
        <v>183</v>
      </c>
      <c r="T419" s="114" t="s">
        <v>7200</v>
      </c>
      <c r="U419" s="114" t="s">
        <v>7200</v>
      </c>
      <c r="V419" s="115"/>
      <c r="W419" s="116" t="s">
        <v>4312</v>
      </c>
      <c r="X419" s="116" t="s">
        <v>4313</v>
      </c>
      <c r="Y419" s="117">
        <v>3485732</v>
      </c>
      <c r="Z419" s="117">
        <v>3486680</v>
      </c>
      <c r="AA419" s="118"/>
      <c r="AB419" s="119" t="s">
        <v>5509</v>
      </c>
      <c r="AC419" s="119" t="s">
        <v>4314</v>
      </c>
      <c r="AD419" s="119" t="s">
        <v>4315</v>
      </c>
      <c r="AE419" s="119" t="s">
        <v>4316</v>
      </c>
      <c r="AF419" s="119">
        <v>0</v>
      </c>
      <c r="AG419" s="120"/>
      <c r="AH419" s="121">
        <v>45684</v>
      </c>
      <c r="AI419" s="121">
        <v>45684</v>
      </c>
      <c r="AJ419" s="121">
        <v>45684</v>
      </c>
      <c r="AK419" s="122">
        <v>45684</v>
      </c>
      <c r="AL419" s="122" t="e">
        <v>#N/A</v>
      </c>
      <c r="AM419" s="121" t="e">
        <v>#N/A</v>
      </c>
      <c r="AN419" s="121" t="e">
        <v>#N/A</v>
      </c>
      <c r="AO419" s="121" t="e">
        <v>#N/A</v>
      </c>
      <c r="AP419" s="122" t="e">
        <v>#N/A</v>
      </c>
      <c r="AQ419" s="122" t="e">
        <v>#N/A</v>
      </c>
      <c r="AR419" s="122" t="e">
        <v>#N/A</v>
      </c>
      <c r="AS419" s="122" t="e">
        <v>#N/A</v>
      </c>
      <c r="AT419" s="122" t="e">
        <v>#N/A</v>
      </c>
      <c r="AU419" s="121" t="e">
        <v>#N/A</v>
      </c>
      <c r="AV419" s="122" t="e">
        <v>#N/A</v>
      </c>
      <c r="AW419" s="122">
        <v>45772</v>
      </c>
      <c r="AX419" s="122" t="e">
        <v>#N/A</v>
      </c>
      <c r="AY419" s="122" t="e">
        <v>#N/A</v>
      </c>
      <c r="AZ419" s="122" t="e">
        <v>#N/A</v>
      </c>
      <c r="BA419" s="122" t="e">
        <v>#N/A</v>
      </c>
      <c r="BB419" s="122" t="e">
        <v>#N/A</v>
      </c>
      <c r="BC419" s="122" t="e">
        <v>#N/A</v>
      </c>
      <c r="BD419" s="122" t="e">
        <v>#N/A</v>
      </c>
      <c r="BE419" s="122" t="e">
        <v>#N/A</v>
      </c>
      <c r="BF419" s="122" t="e">
        <v>#N/A</v>
      </c>
      <c r="BG419" s="122" t="e">
        <v>#N/A</v>
      </c>
      <c r="BH419" s="122" t="e">
        <v>#N/A</v>
      </c>
      <c r="BI419" s="122" t="e">
        <v>#N/A</v>
      </c>
      <c r="BJ419" s="122" t="e">
        <v>#N/A</v>
      </c>
      <c r="BK419" s="122" t="e">
        <v>#N/A</v>
      </c>
      <c r="BL419" s="123"/>
      <c r="BM419" s="124" t="e">
        <v>#N/A</v>
      </c>
      <c r="BN419" s="124" t="e">
        <v>#N/A</v>
      </c>
      <c r="BO419" s="124" t="e">
        <v>#N/A</v>
      </c>
      <c r="BP419" s="124" t="e">
        <v>#N/A</v>
      </c>
      <c r="BQ419" s="124" t="e">
        <v>#N/A</v>
      </c>
      <c r="BR419" s="124" t="e">
        <v>#N/A</v>
      </c>
      <c r="BS419" s="124" t="e">
        <v>#N/A</v>
      </c>
      <c r="BT419" s="124" t="e">
        <v>#N/A</v>
      </c>
      <c r="BU419" s="124" t="e">
        <v>#N/A</v>
      </c>
      <c r="BV419" s="124" t="e">
        <v>#N/A</v>
      </c>
      <c r="BW419" s="124" t="e">
        <v>#N/A</v>
      </c>
      <c r="BX419" s="124" t="e">
        <v>#N/A</v>
      </c>
      <c r="BY419" s="124" t="e">
        <v>#N/A</v>
      </c>
      <c r="BZ419" s="124" t="e">
        <v>#N/A</v>
      </c>
      <c r="CA419" s="125"/>
      <c r="CB419" s="124">
        <v>45729</v>
      </c>
      <c r="CC419" s="126">
        <v>1</v>
      </c>
      <c r="CD419" s="127" t="s">
        <v>4211</v>
      </c>
      <c r="CE419" s="128"/>
      <c r="CF419" s="77" t="s">
        <v>4183</v>
      </c>
    </row>
    <row r="420" spans="1:84" ht="14.5" x14ac:dyDescent="0.35">
      <c r="A420" s="77">
        <v>419</v>
      </c>
      <c r="B420" s="106" t="s">
        <v>3742</v>
      </c>
      <c r="C420" s="107" t="s">
        <v>6673</v>
      </c>
      <c r="D420" s="108" t="s">
        <v>3743</v>
      </c>
      <c r="E420" s="109" t="s">
        <v>3744</v>
      </c>
      <c r="F420" s="110">
        <v>649298576</v>
      </c>
      <c r="G420" s="108" t="s">
        <v>1004</v>
      </c>
      <c r="H420" s="111" t="s">
        <v>1028</v>
      </c>
      <c r="I420" s="111" t="s">
        <v>180</v>
      </c>
      <c r="J420" s="111" t="s">
        <v>4649</v>
      </c>
      <c r="K420" s="111" t="s">
        <v>3159</v>
      </c>
      <c r="L420" s="112">
        <v>45502</v>
      </c>
      <c r="M420" s="111" t="s">
        <v>2933</v>
      </c>
      <c r="N420" s="113"/>
      <c r="O420" s="114" t="s">
        <v>7541</v>
      </c>
      <c r="P420" s="114" t="s">
        <v>285</v>
      </c>
      <c r="Q420" s="114" t="s">
        <v>7541</v>
      </c>
      <c r="R420" s="114" t="s">
        <v>7541</v>
      </c>
      <c r="S420" s="114" t="s">
        <v>285</v>
      </c>
      <c r="T420" s="114" t="s">
        <v>183</v>
      </c>
      <c r="U420" s="114" t="s">
        <v>183</v>
      </c>
      <c r="V420" s="115"/>
      <c r="W420" s="116" t="s">
        <v>3745</v>
      </c>
      <c r="X420" s="116" t="s">
        <v>3746</v>
      </c>
      <c r="Y420" s="117">
        <v>3487035</v>
      </c>
      <c r="Z420" s="117">
        <v>3481538</v>
      </c>
      <c r="AA420" s="118"/>
      <c r="AB420" s="119" t="s">
        <v>3747</v>
      </c>
      <c r="AC420" s="119" t="s">
        <v>3767</v>
      </c>
      <c r="AD420" s="119">
        <v>5990</v>
      </c>
      <c r="AE420" s="119" t="s">
        <v>3748</v>
      </c>
      <c r="AF420" s="119" t="s">
        <v>7178</v>
      </c>
      <c r="AG420" s="120"/>
      <c r="AH420" s="121">
        <v>45514</v>
      </c>
      <c r="AI420" s="121">
        <v>45514</v>
      </c>
      <c r="AJ420" s="121">
        <v>45514</v>
      </c>
      <c r="AK420" s="122">
        <v>45514</v>
      </c>
      <c r="AL420" s="122">
        <v>45912</v>
      </c>
      <c r="AM420" s="121" t="e">
        <v>#N/A</v>
      </c>
      <c r="AN420" s="121">
        <v>45912</v>
      </c>
      <c r="AO420" s="121">
        <v>45973</v>
      </c>
      <c r="AP420" s="122" t="e">
        <v>#N/A</v>
      </c>
      <c r="AQ420" s="122" t="e">
        <v>#N/A</v>
      </c>
      <c r="AR420" s="122">
        <v>45973</v>
      </c>
      <c r="AS420" s="122" t="e">
        <v>#N/A</v>
      </c>
      <c r="AT420" s="122" t="e">
        <v>#N/A</v>
      </c>
      <c r="AU420" s="121" t="e">
        <v>#N/A</v>
      </c>
      <c r="AV420" s="122" t="e">
        <v>#N/A</v>
      </c>
      <c r="AW420" s="122">
        <v>45583</v>
      </c>
      <c r="AX420" s="122" t="e">
        <v>#N/A</v>
      </c>
      <c r="AY420" s="122" t="e">
        <v>#N/A</v>
      </c>
      <c r="AZ420" s="122" t="e">
        <v>#N/A</v>
      </c>
      <c r="BA420" s="122" t="e">
        <v>#N/A</v>
      </c>
      <c r="BB420" s="122" t="e">
        <v>#N/A</v>
      </c>
      <c r="BC420" s="122" t="e">
        <v>#N/A</v>
      </c>
      <c r="BD420" s="122" t="e">
        <v>#N/A</v>
      </c>
      <c r="BE420" s="122" t="e">
        <v>#N/A</v>
      </c>
      <c r="BF420" s="122" t="e">
        <v>#N/A</v>
      </c>
      <c r="BG420" s="122" t="e">
        <v>#N/A</v>
      </c>
      <c r="BH420" s="122" t="e">
        <v>#N/A</v>
      </c>
      <c r="BI420" s="122" t="e">
        <v>#N/A</v>
      </c>
      <c r="BJ420" s="122" t="e">
        <v>#N/A</v>
      </c>
      <c r="BK420" s="122">
        <v>45961</v>
      </c>
      <c r="BL420" s="123"/>
      <c r="BM420" s="124" t="e">
        <v>#N/A</v>
      </c>
      <c r="BN420" s="124" t="e">
        <v>#N/A</v>
      </c>
      <c r="BO420" s="124" t="e">
        <v>#N/A</v>
      </c>
      <c r="BP420" s="124" t="e">
        <v>#N/A</v>
      </c>
      <c r="BQ420" s="124" t="e">
        <v>#N/A</v>
      </c>
      <c r="BR420" s="124" t="e">
        <v>#N/A</v>
      </c>
      <c r="BS420" s="124" t="e">
        <v>#N/A</v>
      </c>
      <c r="BT420" s="124" t="e">
        <v>#N/A</v>
      </c>
      <c r="BU420" s="124" t="e">
        <v>#N/A</v>
      </c>
      <c r="BV420" s="124" t="e">
        <v>#N/A</v>
      </c>
      <c r="BW420" s="124" t="e">
        <v>#N/A</v>
      </c>
      <c r="BX420" s="124" t="e">
        <v>#N/A</v>
      </c>
      <c r="BY420" s="124" t="e">
        <v>#N/A</v>
      </c>
      <c r="BZ420" s="124" t="e">
        <v>#N/A</v>
      </c>
      <c r="CA420" s="125"/>
      <c r="CB420" s="124" t="e">
        <v>#N/A</v>
      </c>
      <c r="CC420" s="126">
        <v>1</v>
      </c>
      <c r="CD420" s="127" t="s">
        <v>4171</v>
      </c>
      <c r="CE420" s="128"/>
      <c r="CF420" s="77" t="s">
        <v>4201</v>
      </c>
    </row>
    <row r="421" spans="1:84" ht="14.5" x14ac:dyDescent="0.35">
      <c r="A421" s="77">
        <v>420</v>
      </c>
      <c r="B421" s="106" t="s">
        <v>5023</v>
      </c>
      <c r="C421" s="107" t="s">
        <v>6803</v>
      </c>
      <c r="D421" s="108" t="s">
        <v>5024</v>
      </c>
      <c r="E421" s="109" t="s">
        <v>5025</v>
      </c>
      <c r="F421" s="110">
        <v>633273013</v>
      </c>
      <c r="G421" s="108" t="s">
        <v>1004</v>
      </c>
      <c r="H421" s="111" t="s">
        <v>1028</v>
      </c>
      <c r="I421" s="111" t="s">
        <v>180</v>
      </c>
      <c r="J421" s="111" t="s">
        <v>4649</v>
      </c>
      <c r="K421" s="111" t="s">
        <v>3159</v>
      </c>
      <c r="L421" s="112">
        <v>45852</v>
      </c>
      <c r="M421" s="111" t="s">
        <v>2967</v>
      </c>
      <c r="N421" s="113"/>
      <c r="O421" s="114" t="s">
        <v>5177</v>
      </c>
      <c r="P421" s="114" t="s">
        <v>5177</v>
      </c>
      <c r="Q421" s="114" t="s">
        <v>3122</v>
      </c>
      <c r="R421" s="114" t="s">
        <v>7382</v>
      </c>
      <c r="S421" s="114" t="s">
        <v>5177</v>
      </c>
      <c r="T421" s="114" t="s">
        <v>183</v>
      </c>
      <c r="U421" s="114" t="s">
        <v>183</v>
      </c>
      <c r="V421" s="115"/>
      <c r="W421" s="116" t="s">
        <v>5026</v>
      </c>
      <c r="X421" s="116" t="s">
        <v>5027</v>
      </c>
      <c r="Y421" s="117">
        <v>3487074</v>
      </c>
      <c r="Z421" s="117">
        <v>3481544</v>
      </c>
      <c r="AA421" s="118"/>
      <c r="AB421" s="119" t="s">
        <v>5854</v>
      </c>
      <c r="AC421" s="119" t="s">
        <v>5028</v>
      </c>
      <c r="AD421" s="119">
        <v>5065</v>
      </c>
      <c r="AE421" s="119" t="s">
        <v>5029</v>
      </c>
      <c r="AF421" s="119" t="s">
        <v>7226</v>
      </c>
      <c r="AG421" s="120"/>
      <c r="AH421" s="121">
        <v>45853</v>
      </c>
      <c r="AI421" s="121">
        <v>45853</v>
      </c>
      <c r="AJ421" s="121">
        <v>45853</v>
      </c>
      <c r="AK421" s="122">
        <v>45853</v>
      </c>
      <c r="AL421" s="122" t="e">
        <v>#N/A</v>
      </c>
      <c r="AM421" s="121" t="e">
        <v>#N/A</v>
      </c>
      <c r="AN421" s="121" t="e">
        <v>#N/A</v>
      </c>
      <c r="AO421" s="121" t="e">
        <v>#N/A</v>
      </c>
      <c r="AP421" s="122" t="e">
        <v>#N/A</v>
      </c>
      <c r="AQ421" s="122" t="e">
        <v>#N/A</v>
      </c>
      <c r="AR421" s="122" t="e">
        <v>#N/A</v>
      </c>
      <c r="AS421" s="122" t="e">
        <v>#N/A</v>
      </c>
      <c r="AT421" s="122" t="e">
        <v>#N/A</v>
      </c>
      <c r="AU421" s="121" t="e">
        <v>#N/A</v>
      </c>
      <c r="AV421" s="122" t="e">
        <v>#N/A</v>
      </c>
      <c r="AW421" s="122">
        <v>45853</v>
      </c>
      <c r="AX421" s="122" t="e">
        <v>#N/A</v>
      </c>
      <c r="AY421" s="122" t="e">
        <v>#N/A</v>
      </c>
      <c r="AZ421" s="122" t="e">
        <v>#N/A</v>
      </c>
      <c r="BA421" s="122" t="e">
        <v>#N/A</v>
      </c>
      <c r="BB421" s="122" t="e">
        <v>#N/A</v>
      </c>
      <c r="BC421" s="122" t="e">
        <v>#N/A</v>
      </c>
      <c r="BD421" s="122" t="e">
        <v>#N/A</v>
      </c>
      <c r="BE421" s="122" t="e">
        <v>#N/A</v>
      </c>
      <c r="BF421" s="122" t="e">
        <v>#N/A</v>
      </c>
      <c r="BG421" s="122" t="e">
        <v>#N/A</v>
      </c>
      <c r="BH421" s="122" t="e">
        <v>#N/A</v>
      </c>
      <c r="BI421" s="122" t="e">
        <v>#N/A</v>
      </c>
      <c r="BJ421" s="122" t="e">
        <v>#N/A</v>
      </c>
      <c r="BK421" s="122">
        <v>45960</v>
      </c>
      <c r="BL421" s="123"/>
      <c r="BM421" s="124" t="e">
        <v>#N/A</v>
      </c>
      <c r="BN421" s="124" t="e">
        <v>#N/A</v>
      </c>
      <c r="BO421" s="124" t="e">
        <v>#N/A</v>
      </c>
      <c r="BP421" s="124" t="e">
        <v>#N/A</v>
      </c>
      <c r="BQ421" s="124" t="e">
        <v>#N/A</v>
      </c>
      <c r="BR421" s="124" t="e">
        <v>#N/A</v>
      </c>
      <c r="BS421" s="124" t="e">
        <v>#N/A</v>
      </c>
      <c r="BT421" s="124" t="e">
        <v>#N/A</v>
      </c>
      <c r="BU421" s="124" t="e">
        <v>#N/A</v>
      </c>
      <c r="BV421" s="124" t="e">
        <v>#N/A</v>
      </c>
      <c r="BW421" s="124" t="e">
        <v>#N/A</v>
      </c>
      <c r="BX421" s="124" t="e">
        <v>#N/A</v>
      </c>
      <c r="BY421" s="124" t="e">
        <v>#N/A</v>
      </c>
      <c r="BZ421" s="124" t="e">
        <v>#N/A</v>
      </c>
      <c r="CA421" s="125"/>
      <c r="CB421" s="124">
        <v>45853</v>
      </c>
      <c r="CC421" s="126">
        <v>1</v>
      </c>
      <c r="CD421" s="127" t="s">
        <v>4981</v>
      </c>
      <c r="CE421" s="128"/>
      <c r="CF421" s="77" t="s">
        <v>4181</v>
      </c>
    </row>
    <row r="422" spans="1:84" ht="14.5" x14ac:dyDescent="0.35">
      <c r="A422" s="77">
        <v>421</v>
      </c>
      <c r="B422" s="106" t="s">
        <v>4283</v>
      </c>
      <c r="C422" s="107" t="s">
        <v>6742</v>
      </c>
      <c r="D422" s="108" t="s">
        <v>4284</v>
      </c>
      <c r="E422" s="109" t="s">
        <v>4285</v>
      </c>
      <c r="F422" s="110">
        <v>600889742</v>
      </c>
      <c r="G422" s="108" t="s">
        <v>1004</v>
      </c>
      <c r="H422" s="111" t="s">
        <v>1028</v>
      </c>
      <c r="I422" s="111" t="s">
        <v>180</v>
      </c>
      <c r="J422" s="111" t="s">
        <v>4649</v>
      </c>
      <c r="K422" s="111" t="s">
        <v>3159</v>
      </c>
      <c r="L422" s="112">
        <v>45684</v>
      </c>
      <c r="M422" s="111" t="s">
        <v>4035</v>
      </c>
      <c r="N422" s="113"/>
      <c r="O422" s="114" t="s">
        <v>813</v>
      </c>
      <c r="P422" s="114" t="s">
        <v>813</v>
      </c>
      <c r="Q422" s="114" t="s">
        <v>286</v>
      </c>
      <c r="R422" s="114" t="s">
        <v>7320</v>
      </c>
      <c r="S422" s="114" t="s">
        <v>7277</v>
      </c>
      <c r="T422" s="114" t="s">
        <v>183</v>
      </c>
      <c r="U422" s="114" t="s">
        <v>183</v>
      </c>
      <c r="V422" s="115"/>
      <c r="W422" s="116" t="s">
        <v>4286</v>
      </c>
      <c r="X422" s="116" t="s">
        <v>4287</v>
      </c>
      <c r="Y422" s="117">
        <v>3485296</v>
      </c>
      <c r="Z422" s="117">
        <v>3486705</v>
      </c>
      <c r="AA422" s="118"/>
      <c r="AB422" s="119" t="s">
        <v>4288</v>
      </c>
      <c r="AC422" s="119" t="s">
        <v>4289</v>
      </c>
      <c r="AD422" s="119" t="s">
        <v>4290</v>
      </c>
      <c r="AE422" s="119" t="s">
        <v>4291</v>
      </c>
      <c r="AF422" s="119" t="s">
        <v>6159</v>
      </c>
      <c r="AG422" s="120"/>
      <c r="AH422" s="121">
        <v>45684</v>
      </c>
      <c r="AI422" s="121">
        <v>45684</v>
      </c>
      <c r="AJ422" s="121">
        <v>45684</v>
      </c>
      <c r="AK422" s="122">
        <v>45684</v>
      </c>
      <c r="AL422" s="122" t="e">
        <v>#N/A</v>
      </c>
      <c r="AM422" s="121" t="e">
        <v>#N/A</v>
      </c>
      <c r="AN422" s="121" t="e">
        <v>#N/A</v>
      </c>
      <c r="AO422" s="121" t="e">
        <v>#N/A</v>
      </c>
      <c r="AP422" s="122">
        <v>45863</v>
      </c>
      <c r="AQ422" s="122" t="e">
        <v>#N/A</v>
      </c>
      <c r="AR422" s="122" t="e">
        <v>#N/A</v>
      </c>
      <c r="AS422" s="122" t="e">
        <v>#N/A</v>
      </c>
      <c r="AT422" s="122" t="e">
        <v>#N/A</v>
      </c>
      <c r="AU422" s="121" t="e">
        <v>#N/A</v>
      </c>
      <c r="AV422" s="122" t="e">
        <v>#N/A</v>
      </c>
      <c r="AW422" s="122">
        <v>45749</v>
      </c>
      <c r="AX422" s="122" t="e">
        <v>#N/A</v>
      </c>
      <c r="AY422" s="122" t="e">
        <v>#N/A</v>
      </c>
      <c r="AZ422" s="122" t="e">
        <v>#N/A</v>
      </c>
      <c r="BA422" s="122" t="e">
        <v>#N/A</v>
      </c>
      <c r="BB422" s="122" t="e">
        <v>#N/A</v>
      </c>
      <c r="BC422" s="122" t="e">
        <v>#N/A</v>
      </c>
      <c r="BD422" s="122" t="e">
        <v>#N/A</v>
      </c>
      <c r="BE422" s="122" t="e">
        <v>#N/A</v>
      </c>
      <c r="BF422" s="122" t="e">
        <v>#N/A</v>
      </c>
      <c r="BG422" s="122" t="e">
        <v>#N/A</v>
      </c>
      <c r="BH422" s="122" t="e">
        <v>#N/A</v>
      </c>
      <c r="BI422" s="122" t="e">
        <v>#N/A</v>
      </c>
      <c r="BJ422" s="122" t="e">
        <v>#N/A</v>
      </c>
      <c r="BK422" s="122">
        <v>45958</v>
      </c>
      <c r="BL422" s="123"/>
      <c r="BM422" s="124" t="e">
        <v>#N/A</v>
      </c>
      <c r="BN422" s="124" t="e">
        <v>#N/A</v>
      </c>
      <c r="BO422" s="124" t="e">
        <v>#N/A</v>
      </c>
      <c r="BP422" s="124" t="e">
        <v>#N/A</v>
      </c>
      <c r="BQ422" s="124" t="e">
        <v>#N/A</v>
      </c>
      <c r="BR422" s="124" t="e">
        <v>#N/A</v>
      </c>
      <c r="BS422" s="124" t="e">
        <v>#N/A</v>
      </c>
      <c r="BT422" s="124" t="e">
        <v>#N/A</v>
      </c>
      <c r="BU422" s="124" t="e">
        <v>#N/A</v>
      </c>
      <c r="BV422" s="124" t="e">
        <v>#N/A</v>
      </c>
      <c r="BW422" s="124" t="e">
        <v>#N/A</v>
      </c>
      <c r="BX422" s="124" t="e">
        <v>#N/A</v>
      </c>
      <c r="BY422" s="124" t="e">
        <v>#N/A</v>
      </c>
      <c r="BZ422" s="124" t="e">
        <v>#N/A</v>
      </c>
      <c r="CA422" s="125"/>
      <c r="CB422" s="124" t="e">
        <v>#N/A</v>
      </c>
      <c r="CC422" s="126">
        <v>1</v>
      </c>
      <c r="CD422" s="127" t="s">
        <v>4211</v>
      </c>
      <c r="CE422" s="128"/>
      <c r="CF422" s="77" t="s">
        <v>4183</v>
      </c>
    </row>
    <row r="423" spans="1:84" ht="14.5" x14ac:dyDescent="0.35">
      <c r="A423" s="77">
        <v>422</v>
      </c>
      <c r="B423" s="106" t="s">
        <v>7040</v>
      </c>
      <c r="C423" s="107" t="s">
        <v>7285</v>
      </c>
      <c r="D423" s="108" t="s">
        <v>7041</v>
      </c>
      <c r="E423" s="109" t="s">
        <v>7042</v>
      </c>
      <c r="F423" s="110">
        <v>666511512</v>
      </c>
      <c r="G423" s="108" t="s">
        <v>1004</v>
      </c>
      <c r="H423" s="111" t="s">
        <v>1028</v>
      </c>
      <c r="I423" s="111" t="s">
        <v>180</v>
      </c>
      <c r="J423" s="111" t="s">
        <v>4649</v>
      </c>
      <c r="K423" s="111" t="s">
        <v>4654</v>
      </c>
      <c r="L423" s="112">
        <v>46000</v>
      </c>
      <c r="M423" s="111" t="s">
        <v>2665</v>
      </c>
      <c r="N423" s="113"/>
      <c r="O423" s="114" t="s">
        <v>459</v>
      </c>
      <c r="P423" s="114" t="s">
        <v>459</v>
      </c>
      <c r="Q423" s="114" t="s">
        <v>459</v>
      </c>
      <c r="R423" s="114" t="s">
        <v>7322</v>
      </c>
      <c r="S423" s="114" t="s">
        <v>459</v>
      </c>
      <c r="T423" s="114" t="s">
        <v>183</v>
      </c>
      <c r="U423" s="114" t="s">
        <v>183</v>
      </c>
      <c r="V423" s="115"/>
      <c r="W423" s="116" t="s">
        <v>7043</v>
      </c>
      <c r="X423" s="116" t="s">
        <v>7044</v>
      </c>
      <c r="Y423" s="117">
        <v>3487151</v>
      </c>
      <c r="Z423" s="117">
        <v>3486634</v>
      </c>
      <c r="AA423" s="118"/>
      <c r="AB423" s="119" t="s">
        <v>7045</v>
      </c>
      <c r="AC423" s="119" t="s">
        <v>7046</v>
      </c>
      <c r="AD423" s="119">
        <v>5287</v>
      </c>
      <c r="AE423" s="119" t="s">
        <v>7542</v>
      </c>
      <c r="AF423" s="119" t="s">
        <v>7543</v>
      </c>
      <c r="AG423" s="120"/>
      <c r="AH423" s="121">
        <v>45995</v>
      </c>
      <c r="AI423" s="121">
        <v>45995</v>
      </c>
      <c r="AJ423" s="121">
        <v>45995</v>
      </c>
      <c r="AK423" s="122">
        <v>45995</v>
      </c>
      <c r="AL423" s="122" t="e">
        <v>#N/A</v>
      </c>
      <c r="AM423" s="121" t="e">
        <v>#N/A</v>
      </c>
      <c r="AN423" s="121" t="e">
        <v>#N/A</v>
      </c>
      <c r="AO423" s="121" t="e">
        <v>#N/A</v>
      </c>
      <c r="AP423" s="122" t="e">
        <v>#N/A</v>
      </c>
      <c r="AQ423" s="122" t="e">
        <v>#N/A</v>
      </c>
      <c r="AR423" s="122" t="e">
        <v>#N/A</v>
      </c>
      <c r="AS423" s="122" t="e">
        <v>#N/A</v>
      </c>
      <c r="AT423" s="122" t="e">
        <v>#N/A</v>
      </c>
      <c r="AU423" s="121" t="e">
        <v>#N/A</v>
      </c>
      <c r="AV423" s="122" t="e">
        <v>#N/A</v>
      </c>
      <c r="AW423" s="122">
        <v>45995</v>
      </c>
      <c r="AX423" s="122" t="e">
        <v>#N/A</v>
      </c>
      <c r="AY423" s="122" t="e">
        <v>#N/A</v>
      </c>
      <c r="AZ423" s="122" t="e">
        <v>#N/A</v>
      </c>
      <c r="BA423" s="122" t="e">
        <v>#N/A</v>
      </c>
      <c r="BB423" s="122" t="e">
        <v>#N/A</v>
      </c>
      <c r="BC423" s="122" t="e">
        <v>#N/A</v>
      </c>
      <c r="BD423" s="122" t="e">
        <v>#N/A</v>
      </c>
      <c r="BE423" s="122" t="e">
        <v>#N/A</v>
      </c>
      <c r="BF423" s="122" t="e">
        <v>#N/A</v>
      </c>
      <c r="BG423" s="122" t="e">
        <v>#N/A</v>
      </c>
      <c r="BH423" s="122" t="e">
        <v>#N/A</v>
      </c>
      <c r="BI423" s="122" t="e">
        <v>#N/A</v>
      </c>
      <c r="BJ423" s="122" t="e">
        <v>#N/A</v>
      </c>
      <c r="BK423" s="122">
        <v>45995</v>
      </c>
      <c r="BL423" s="123"/>
      <c r="BM423" s="124" t="e">
        <v>#N/A</v>
      </c>
      <c r="BN423" s="124" t="e">
        <v>#N/A</v>
      </c>
      <c r="BO423" s="124" t="e">
        <v>#N/A</v>
      </c>
      <c r="BP423" s="124" t="e">
        <v>#N/A</v>
      </c>
      <c r="BQ423" s="124" t="e">
        <v>#N/A</v>
      </c>
      <c r="BR423" s="124" t="e">
        <v>#N/A</v>
      </c>
      <c r="BS423" s="124" t="e">
        <v>#N/A</v>
      </c>
      <c r="BT423" s="124" t="e">
        <v>#N/A</v>
      </c>
      <c r="BU423" s="124" t="e">
        <v>#N/A</v>
      </c>
      <c r="BV423" s="124" t="e">
        <v>#N/A</v>
      </c>
      <c r="BW423" s="124" t="e">
        <v>#N/A</v>
      </c>
      <c r="BX423" s="124" t="e">
        <v>#N/A</v>
      </c>
      <c r="BY423" s="124" t="e">
        <v>#N/A</v>
      </c>
      <c r="BZ423" s="124" t="e">
        <v>#N/A</v>
      </c>
      <c r="CA423" s="125"/>
      <c r="CB423" s="124">
        <v>45995</v>
      </c>
      <c r="CC423" s="126">
        <v>1</v>
      </c>
      <c r="CD423" s="127" t="s">
        <v>7003</v>
      </c>
      <c r="CE423" s="128"/>
      <c r="CF423" s="77" t="s">
        <v>4181</v>
      </c>
    </row>
    <row r="424" spans="1:84" ht="14.5" x14ac:dyDescent="0.35">
      <c r="A424" s="77">
        <v>423</v>
      </c>
      <c r="B424" s="106" t="s">
        <v>7004</v>
      </c>
      <c r="C424" s="107" t="s">
        <v>7284</v>
      </c>
      <c r="D424" s="108" t="s">
        <v>7005</v>
      </c>
      <c r="E424" s="109" t="s">
        <v>7006</v>
      </c>
      <c r="F424" s="110">
        <v>609161493</v>
      </c>
      <c r="G424" s="108" t="s">
        <v>1004</v>
      </c>
      <c r="H424" s="111" t="s">
        <v>1028</v>
      </c>
      <c r="I424" s="111" t="s">
        <v>180</v>
      </c>
      <c r="J424" s="111" t="s">
        <v>4649</v>
      </c>
      <c r="K424" s="111" t="s">
        <v>4654</v>
      </c>
      <c r="L424" s="112">
        <v>46000</v>
      </c>
      <c r="M424" s="111" t="s">
        <v>4022</v>
      </c>
      <c r="N424" s="113"/>
      <c r="O424" s="114" t="s">
        <v>459</v>
      </c>
      <c r="P424" s="114" t="s">
        <v>459</v>
      </c>
      <c r="Q424" s="114" t="s">
        <v>459</v>
      </c>
      <c r="R424" s="114" t="s">
        <v>7322</v>
      </c>
      <c r="S424" s="114" t="s">
        <v>459</v>
      </c>
      <c r="T424" s="114" t="s">
        <v>183</v>
      </c>
      <c r="U424" s="114" t="s">
        <v>183</v>
      </c>
      <c r="V424" s="115"/>
      <c r="W424" s="116" t="s">
        <v>7007</v>
      </c>
      <c r="X424" s="116" t="s">
        <v>7008</v>
      </c>
      <c r="Y424" s="117">
        <v>3487149</v>
      </c>
      <c r="Z424" s="117">
        <v>3486570</v>
      </c>
      <c r="AA424" s="118"/>
      <c r="AB424" s="119" t="s">
        <v>7009</v>
      </c>
      <c r="AC424" s="119" t="s">
        <v>7010</v>
      </c>
      <c r="AD424" s="119">
        <v>5317</v>
      </c>
      <c r="AE424" s="119" t="s">
        <v>7544</v>
      </c>
      <c r="AF424" s="119" t="s">
        <v>7545</v>
      </c>
      <c r="AG424" s="120"/>
      <c r="AH424" s="121">
        <v>45995</v>
      </c>
      <c r="AI424" s="121">
        <v>45995</v>
      </c>
      <c r="AJ424" s="121">
        <v>45995</v>
      </c>
      <c r="AK424" s="122">
        <v>45995</v>
      </c>
      <c r="AL424" s="122" t="e">
        <v>#N/A</v>
      </c>
      <c r="AM424" s="121" t="e">
        <v>#N/A</v>
      </c>
      <c r="AN424" s="121" t="e">
        <v>#N/A</v>
      </c>
      <c r="AO424" s="121" t="e">
        <v>#N/A</v>
      </c>
      <c r="AP424" s="122" t="e">
        <v>#N/A</v>
      </c>
      <c r="AQ424" s="122" t="e">
        <v>#N/A</v>
      </c>
      <c r="AR424" s="122" t="e">
        <v>#N/A</v>
      </c>
      <c r="AS424" s="122" t="e">
        <v>#N/A</v>
      </c>
      <c r="AT424" s="122" t="e">
        <v>#N/A</v>
      </c>
      <c r="AU424" s="121" t="e">
        <v>#N/A</v>
      </c>
      <c r="AV424" s="122" t="e">
        <v>#N/A</v>
      </c>
      <c r="AW424" s="122">
        <v>45995</v>
      </c>
      <c r="AX424" s="122" t="e">
        <v>#N/A</v>
      </c>
      <c r="AY424" s="122" t="e">
        <v>#N/A</v>
      </c>
      <c r="AZ424" s="122" t="e">
        <v>#N/A</v>
      </c>
      <c r="BA424" s="122" t="e">
        <v>#N/A</v>
      </c>
      <c r="BB424" s="122" t="e">
        <v>#N/A</v>
      </c>
      <c r="BC424" s="122" t="e">
        <v>#N/A</v>
      </c>
      <c r="BD424" s="122" t="e">
        <v>#N/A</v>
      </c>
      <c r="BE424" s="122" t="e">
        <v>#N/A</v>
      </c>
      <c r="BF424" s="122" t="e">
        <v>#N/A</v>
      </c>
      <c r="BG424" s="122" t="e">
        <v>#N/A</v>
      </c>
      <c r="BH424" s="122" t="e">
        <v>#N/A</v>
      </c>
      <c r="BI424" s="122" t="e">
        <v>#N/A</v>
      </c>
      <c r="BJ424" s="122" t="e">
        <v>#N/A</v>
      </c>
      <c r="BK424" s="122">
        <v>45995</v>
      </c>
      <c r="BL424" s="123"/>
      <c r="BM424" s="124" t="e">
        <v>#N/A</v>
      </c>
      <c r="BN424" s="124" t="e">
        <v>#N/A</v>
      </c>
      <c r="BO424" s="124" t="e">
        <v>#N/A</v>
      </c>
      <c r="BP424" s="124" t="e">
        <v>#N/A</v>
      </c>
      <c r="BQ424" s="124" t="e">
        <v>#N/A</v>
      </c>
      <c r="BR424" s="124" t="e">
        <v>#N/A</v>
      </c>
      <c r="BS424" s="124" t="e">
        <v>#N/A</v>
      </c>
      <c r="BT424" s="124" t="e">
        <v>#N/A</v>
      </c>
      <c r="BU424" s="124" t="e">
        <v>#N/A</v>
      </c>
      <c r="BV424" s="124" t="e">
        <v>#N/A</v>
      </c>
      <c r="BW424" s="124" t="e">
        <v>#N/A</v>
      </c>
      <c r="BX424" s="124" t="e">
        <v>#N/A</v>
      </c>
      <c r="BY424" s="124" t="e">
        <v>#N/A</v>
      </c>
      <c r="BZ424" s="124" t="e">
        <v>#N/A</v>
      </c>
      <c r="CA424" s="125"/>
      <c r="CB424" s="124">
        <v>45995</v>
      </c>
      <c r="CC424" s="126">
        <v>1</v>
      </c>
      <c r="CD424" s="127" t="s">
        <v>7003</v>
      </c>
      <c r="CE424" s="128"/>
      <c r="CF424" s="77" t="s">
        <v>4193</v>
      </c>
    </row>
    <row r="425" spans="1:84" ht="14.5" x14ac:dyDescent="0.35">
      <c r="A425" s="77">
        <v>424</v>
      </c>
      <c r="B425" s="106" t="s">
        <v>2217</v>
      </c>
      <c r="C425" s="107" t="s">
        <v>6506</v>
      </c>
      <c r="D425" s="108" t="s">
        <v>2210</v>
      </c>
      <c r="E425" s="109" t="s">
        <v>2211</v>
      </c>
      <c r="F425" s="110" t="s">
        <v>2212</v>
      </c>
      <c r="G425" s="108" t="s">
        <v>1004</v>
      </c>
      <c r="H425" s="111" t="s">
        <v>191</v>
      </c>
      <c r="I425" s="111" t="s">
        <v>180</v>
      </c>
      <c r="J425" s="111" t="s">
        <v>4649</v>
      </c>
      <c r="K425" s="111" t="s">
        <v>3159</v>
      </c>
      <c r="L425" s="112">
        <v>44922</v>
      </c>
      <c r="M425" s="111" t="s">
        <v>491</v>
      </c>
      <c r="N425" s="113"/>
      <c r="O425" s="114" t="s">
        <v>7246</v>
      </c>
      <c r="P425" s="114" t="s">
        <v>7546</v>
      </c>
      <c r="Q425" s="114" t="s">
        <v>183</v>
      </c>
      <c r="R425" s="114" t="s">
        <v>7547</v>
      </c>
      <c r="S425" s="114" t="s">
        <v>7546</v>
      </c>
      <c r="T425" s="114" t="s">
        <v>7546</v>
      </c>
      <c r="U425" s="114" t="s">
        <v>7546</v>
      </c>
      <c r="V425" s="115"/>
      <c r="W425" s="116" t="s">
        <v>2213</v>
      </c>
      <c r="X425" s="116" t="s">
        <v>2214</v>
      </c>
      <c r="Y425" s="117">
        <v>3485434</v>
      </c>
      <c r="Z425" s="117">
        <v>3481434</v>
      </c>
      <c r="AA425" s="118"/>
      <c r="AB425" s="119" t="s">
        <v>2215</v>
      </c>
      <c r="AC425" s="119" t="s">
        <v>2281</v>
      </c>
      <c r="AD425" s="119">
        <v>5160</v>
      </c>
      <c r="AE425" s="119" t="s">
        <v>3506</v>
      </c>
      <c r="AF425" s="119">
        <v>0</v>
      </c>
      <c r="AG425" s="120"/>
      <c r="AH425" s="121">
        <v>44802</v>
      </c>
      <c r="AI425" s="121">
        <v>44802</v>
      </c>
      <c r="AJ425" s="121">
        <v>45400</v>
      </c>
      <c r="AK425" s="122">
        <v>45400</v>
      </c>
      <c r="AL425" s="122" t="e">
        <v>#N/A</v>
      </c>
      <c r="AM425" s="121" t="e">
        <v>#N/A</v>
      </c>
      <c r="AN425" s="121" t="e">
        <v>#N/A</v>
      </c>
      <c r="AO425" s="121" t="e">
        <v>#N/A</v>
      </c>
      <c r="AP425" s="122" t="e">
        <v>#N/A</v>
      </c>
      <c r="AQ425" s="122" t="e">
        <v>#N/A</v>
      </c>
      <c r="AR425" s="122" t="e">
        <v>#N/A</v>
      </c>
      <c r="AS425" s="122" t="e">
        <v>#N/A</v>
      </c>
      <c r="AT425" s="122" t="e">
        <v>#N/A</v>
      </c>
      <c r="AU425" s="121" t="e">
        <v>#N/A</v>
      </c>
      <c r="AV425" s="122" t="e">
        <v>#N/A</v>
      </c>
      <c r="AW425" s="122">
        <v>45757</v>
      </c>
      <c r="AX425" s="122" t="e">
        <v>#N/A</v>
      </c>
      <c r="AY425" s="122" t="e">
        <v>#N/A</v>
      </c>
      <c r="AZ425" s="122" t="e">
        <v>#N/A</v>
      </c>
      <c r="BA425" s="122" t="e">
        <v>#N/A</v>
      </c>
      <c r="BB425" s="122" t="e">
        <v>#N/A</v>
      </c>
      <c r="BC425" s="122" t="e">
        <v>#N/A</v>
      </c>
      <c r="BD425" s="122" t="e">
        <v>#N/A</v>
      </c>
      <c r="BE425" s="122" t="e">
        <v>#N/A</v>
      </c>
      <c r="BF425" s="122" t="e">
        <v>#N/A</v>
      </c>
      <c r="BG425" s="122" t="e">
        <v>#N/A</v>
      </c>
      <c r="BH425" s="122" t="e">
        <v>#N/A</v>
      </c>
      <c r="BI425" s="122" t="e">
        <v>#N/A</v>
      </c>
      <c r="BJ425" s="122" t="e">
        <v>#N/A</v>
      </c>
      <c r="BK425" s="122" t="e">
        <v>#N/A</v>
      </c>
      <c r="BL425" s="123"/>
      <c r="BM425" s="124" t="e">
        <v>#N/A</v>
      </c>
      <c r="BN425" s="124" t="e">
        <v>#N/A</v>
      </c>
      <c r="BO425" s="124" t="e">
        <v>#N/A</v>
      </c>
      <c r="BP425" s="124" t="e">
        <v>#N/A</v>
      </c>
      <c r="BQ425" s="124" t="e">
        <v>#N/A</v>
      </c>
      <c r="BR425" s="124" t="e">
        <v>#N/A</v>
      </c>
      <c r="BS425" s="124" t="e">
        <v>#N/A</v>
      </c>
      <c r="BT425" s="124" t="e">
        <v>#N/A</v>
      </c>
      <c r="BU425" s="124" t="e">
        <v>#N/A</v>
      </c>
      <c r="BV425" s="124" t="e">
        <v>#N/A</v>
      </c>
      <c r="BW425" s="124" t="e">
        <v>#N/A</v>
      </c>
      <c r="BX425" s="124" t="e">
        <v>#N/A</v>
      </c>
      <c r="BY425" s="124" t="e">
        <v>#N/A</v>
      </c>
      <c r="BZ425" s="124" t="e">
        <v>#N/A</v>
      </c>
      <c r="CA425" s="125"/>
      <c r="CB425" s="124" t="e">
        <v>#N/A</v>
      </c>
      <c r="CC425" s="126">
        <v>1</v>
      </c>
      <c r="CD425" s="127" t="s">
        <v>4185</v>
      </c>
      <c r="CE425" s="128"/>
      <c r="CF425" s="77" t="s">
        <v>4193</v>
      </c>
    </row>
    <row r="426" spans="1:84" ht="14.5" x14ac:dyDescent="0.35">
      <c r="A426" s="77">
        <v>425</v>
      </c>
      <c r="B426" s="106" t="s">
        <v>3079</v>
      </c>
      <c r="C426" s="107" t="s">
        <v>6588</v>
      </c>
      <c r="D426" s="108" t="s">
        <v>3080</v>
      </c>
      <c r="E426" s="109" t="s">
        <v>3081</v>
      </c>
      <c r="F426" s="110">
        <v>613223477</v>
      </c>
      <c r="G426" s="108" t="s">
        <v>190</v>
      </c>
      <c r="H426" s="111" t="s">
        <v>191</v>
      </c>
      <c r="I426" s="111" t="s">
        <v>180</v>
      </c>
      <c r="J426" s="111" t="s">
        <v>4649</v>
      </c>
      <c r="K426" s="111" t="s">
        <v>3159</v>
      </c>
      <c r="L426" s="112">
        <v>45265</v>
      </c>
      <c r="M426" s="111" t="s">
        <v>2628</v>
      </c>
      <c r="N426" s="113"/>
      <c r="O426" s="114" t="s">
        <v>3419</v>
      </c>
      <c r="P426" s="114" t="s">
        <v>3419</v>
      </c>
      <c r="Q426" s="114" t="s">
        <v>3420</v>
      </c>
      <c r="R426" s="114" t="s">
        <v>7548</v>
      </c>
      <c r="S426" s="114" t="s">
        <v>3420</v>
      </c>
      <c r="T426" s="114" t="s">
        <v>183</v>
      </c>
      <c r="U426" s="114" t="s">
        <v>183</v>
      </c>
      <c r="V426" s="115"/>
      <c r="W426" s="116" t="s">
        <v>3082</v>
      </c>
      <c r="X426" s="116" t="s">
        <v>3083</v>
      </c>
      <c r="Y426" s="117">
        <v>3485879</v>
      </c>
      <c r="Z426" s="117">
        <v>3486449</v>
      </c>
      <c r="AA426" s="118"/>
      <c r="AB426" s="119" t="s">
        <v>3084</v>
      </c>
      <c r="AC426" s="119" t="s">
        <v>3085</v>
      </c>
      <c r="AD426" s="119">
        <v>5049</v>
      </c>
      <c r="AE426" s="119" t="s">
        <v>6164</v>
      </c>
      <c r="AF426" s="119">
        <v>0</v>
      </c>
      <c r="AG426" s="120"/>
      <c r="AH426" s="121">
        <v>45258</v>
      </c>
      <c r="AI426" s="121">
        <v>45376</v>
      </c>
      <c r="AJ426" s="121">
        <v>45264</v>
      </c>
      <c r="AK426" s="122">
        <v>45376</v>
      </c>
      <c r="AL426" s="122" t="e">
        <v>#N/A</v>
      </c>
      <c r="AM426" s="121" t="e">
        <v>#N/A</v>
      </c>
      <c r="AN426" s="121" t="e">
        <v>#N/A</v>
      </c>
      <c r="AO426" s="121" t="e">
        <v>#N/A</v>
      </c>
      <c r="AP426" s="122" t="e">
        <v>#N/A</v>
      </c>
      <c r="AQ426" s="122" t="e">
        <v>#N/A</v>
      </c>
      <c r="AR426" s="122" t="e">
        <v>#N/A</v>
      </c>
      <c r="AS426" s="122" t="e">
        <v>#N/A</v>
      </c>
      <c r="AT426" s="122" t="e">
        <v>#N/A</v>
      </c>
      <c r="AU426" s="121" t="e">
        <v>#N/A</v>
      </c>
      <c r="AV426" s="122" t="e">
        <v>#N/A</v>
      </c>
      <c r="AW426" s="122" t="e">
        <v>#N/A</v>
      </c>
      <c r="AX426" s="122" t="e">
        <v>#N/A</v>
      </c>
      <c r="AY426" s="122" t="e">
        <v>#N/A</v>
      </c>
      <c r="AZ426" s="122" t="e">
        <v>#N/A</v>
      </c>
      <c r="BA426" s="122" t="e">
        <v>#N/A</v>
      </c>
      <c r="BB426" s="122" t="e">
        <v>#N/A</v>
      </c>
      <c r="BC426" s="122" t="e">
        <v>#N/A</v>
      </c>
      <c r="BD426" s="122" t="e">
        <v>#N/A</v>
      </c>
      <c r="BE426" s="122" t="e">
        <v>#N/A</v>
      </c>
      <c r="BF426" s="122" t="e">
        <v>#N/A</v>
      </c>
      <c r="BG426" s="122" t="e">
        <v>#N/A</v>
      </c>
      <c r="BH426" s="122" t="e">
        <v>#N/A</v>
      </c>
      <c r="BI426" s="122" t="e">
        <v>#N/A</v>
      </c>
      <c r="BJ426" s="122" t="e">
        <v>#N/A</v>
      </c>
      <c r="BK426" s="122" t="e">
        <v>#N/A</v>
      </c>
      <c r="BL426" s="123"/>
      <c r="BM426" s="124" t="e">
        <v>#N/A</v>
      </c>
      <c r="BN426" s="124" t="e">
        <v>#N/A</v>
      </c>
      <c r="BO426" s="124" t="e">
        <v>#N/A</v>
      </c>
      <c r="BP426" s="124" t="e">
        <v>#N/A</v>
      </c>
      <c r="BQ426" s="124" t="e">
        <v>#N/A</v>
      </c>
      <c r="BR426" s="124" t="e">
        <v>#N/A</v>
      </c>
      <c r="BS426" s="124" t="e">
        <v>#N/A</v>
      </c>
      <c r="BT426" s="124" t="e">
        <v>#N/A</v>
      </c>
      <c r="BU426" s="124" t="e">
        <v>#N/A</v>
      </c>
      <c r="BV426" s="124" t="e">
        <v>#N/A</v>
      </c>
      <c r="BW426" s="124" t="e">
        <v>#N/A</v>
      </c>
      <c r="BX426" s="124" t="e">
        <v>#N/A</v>
      </c>
      <c r="BY426" s="124" t="e">
        <v>#N/A</v>
      </c>
      <c r="BZ426" s="124" t="e">
        <v>#N/A</v>
      </c>
      <c r="CA426" s="125"/>
      <c r="CB426" s="124" t="e">
        <v>#N/A</v>
      </c>
      <c r="CC426" s="126">
        <v>1</v>
      </c>
      <c r="CD426" s="127" t="s">
        <v>4195</v>
      </c>
      <c r="CE426" s="128"/>
      <c r="CF426" s="77" t="s">
        <v>4193</v>
      </c>
    </row>
    <row r="427" spans="1:84" ht="14.5" x14ac:dyDescent="0.35">
      <c r="A427" s="77">
        <v>426</v>
      </c>
      <c r="B427" s="106" t="s">
        <v>1567</v>
      </c>
      <c r="C427" s="107" t="s">
        <v>1568</v>
      </c>
      <c r="D427" s="108" t="s">
        <v>1569</v>
      </c>
      <c r="E427" s="109" t="s">
        <v>1570</v>
      </c>
      <c r="F427" s="110">
        <v>658419018</v>
      </c>
      <c r="G427" s="108" t="s">
        <v>1004</v>
      </c>
      <c r="H427" s="111" t="s">
        <v>191</v>
      </c>
      <c r="I427" s="111" t="s">
        <v>180</v>
      </c>
      <c r="J427" s="111" t="s">
        <v>4649</v>
      </c>
      <c r="K427" s="111" t="s">
        <v>3159</v>
      </c>
      <c r="L427" s="112">
        <v>42999</v>
      </c>
      <c r="M427" s="111" t="s">
        <v>2352</v>
      </c>
      <c r="N427" s="113"/>
      <c r="O427" s="114" t="s">
        <v>7258</v>
      </c>
      <c r="P427" s="114" t="s">
        <v>225</v>
      </c>
      <c r="Q427" s="114" t="s">
        <v>225</v>
      </c>
      <c r="R427" s="114" t="s">
        <v>7358</v>
      </c>
      <c r="S427" s="114" t="s">
        <v>225</v>
      </c>
      <c r="T427" s="114" t="s">
        <v>183</v>
      </c>
      <c r="U427" s="114" t="s">
        <v>183</v>
      </c>
      <c r="V427" s="115"/>
      <c r="W427" s="116" t="s">
        <v>1571</v>
      </c>
      <c r="X427" s="116" t="s">
        <v>2353</v>
      </c>
      <c r="Y427" s="117">
        <v>3485641</v>
      </c>
      <c r="Z427" s="117">
        <v>3486306</v>
      </c>
      <c r="AA427" s="118"/>
      <c r="AB427" s="119" t="s">
        <v>5861</v>
      </c>
      <c r="AC427" s="119" t="s">
        <v>1617</v>
      </c>
      <c r="AD427" s="119">
        <v>4354</v>
      </c>
      <c r="AE427" s="119" t="s">
        <v>1618</v>
      </c>
      <c r="AF427" s="119" t="s">
        <v>7549</v>
      </c>
      <c r="AG427" s="120"/>
      <c r="AH427" s="121">
        <v>44652</v>
      </c>
      <c r="AI427" s="121">
        <v>44652</v>
      </c>
      <c r="AJ427" s="121">
        <v>44652</v>
      </c>
      <c r="AK427" s="122">
        <v>44652</v>
      </c>
      <c r="AL427" s="122">
        <v>45481</v>
      </c>
      <c r="AM427" s="121">
        <v>45481</v>
      </c>
      <c r="AN427" s="121" t="e">
        <v>#N/A</v>
      </c>
      <c r="AO427" s="121" t="e">
        <v>#N/A</v>
      </c>
      <c r="AP427" s="122" t="e">
        <v>#N/A</v>
      </c>
      <c r="AQ427" s="122" t="e">
        <v>#N/A</v>
      </c>
      <c r="AR427" s="122">
        <v>45481</v>
      </c>
      <c r="AS427" s="122" t="e">
        <v>#N/A</v>
      </c>
      <c r="AT427" s="122" t="e">
        <v>#N/A</v>
      </c>
      <c r="AU427" s="121" t="e">
        <v>#N/A</v>
      </c>
      <c r="AV427" s="122" t="e">
        <v>#N/A</v>
      </c>
      <c r="AW427" s="122">
        <v>45670</v>
      </c>
      <c r="AX427" s="122" t="e">
        <v>#N/A</v>
      </c>
      <c r="AY427" s="122" t="e">
        <v>#N/A</v>
      </c>
      <c r="AZ427" s="122" t="e">
        <v>#N/A</v>
      </c>
      <c r="BA427" s="122" t="e">
        <v>#N/A</v>
      </c>
      <c r="BB427" s="122" t="e">
        <v>#N/A</v>
      </c>
      <c r="BC427" s="122" t="e">
        <v>#N/A</v>
      </c>
      <c r="BD427" s="122" t="e">
        <v>#N/A</v>
      </c>
      <c r="BE427" s="122" t="e">
        <v>#N/A</v>
      </c>
      <c r="BF427" s="122" t="e">
        <v>#N/A</v>
      </c>
      <c r="BG427" s="122" t="e">
        <v>#N/A</v>
      </c>
      <c r="BH427" s="122" t="e">
        <v>#N/A</v>
      </c>
      <c r="BI427" s="122" t="e">
        <v>#N/A</v>
      </c>
      <c r="BJ427" s="122" t="e">
        <v>#N/A</v>
      </c>
      <c r="BK427" s="122">
        <v>45978</v>
      </c>
      <c r="BL427" s="123"/>
      <c r="BM427" s="124" t="e">
        <v>#N/A</v>
      </c>
      <c r="BN427" s="124" t="e">
        <v>#N/A</v>
      </c>
      <c r="BO427" s="124" t="e">
        <v>#N/A</v>
      </c>
      <c r="BP427" s="124" t="e">
        <v>#N/A</v>
      </c>
      <c r="BQ427" s="124" t="e">
        <v>#N/A</v>
      </c>
      <c r="BR427" s="124" t="e">
        <v>#N/A</v>
      </c>
      <c r="BS427" s="124" t="e">
        <v>#N/A</v>
      </c>
      <c r="BT427" s="124" t="e">
        <v>#N/A</v>
      </c>
      <c r="BU427" s="124" t="e">
        <v>#N/A</v>
      </c>
      <c r="BV427" s="124" t="e">
        <v>#N/A</v>
      </c>
      <c r="BW427" s="124" t="e">
        <v>#N/A</v>
      </c>
      <c r="BX427" s="124" t="e">
        <v>#N/A</v>
      </c>
      <c r="BY427" s="124" t="e">
        <v>#N/A</v>
      </c>
      <c r="BZ427" s="124" t="e">
        <v>#N/A</v>
      </c>
      <c r="CA427" s="125"/>
      <c r="CB427" s="124" t="e">
        <v>#N/A</v>
      </c>
      <c r="CC427" s="126">
        <v>1</v>
      </c>
      <c r="CD427" s="127" t="s">
        <v>4152</v>
      </c>
      <c r="CE427" s="128"/>
      <c r="CF427" s="77" t="s">
        <v>4193</v>
      </c>
    </row>
    <row r="428" spans="1:84" ht="14.5" x14ac:dyDescent="0.35">
      <c r="A428" s="77">
        <v>427</v>
      </c>
      <c r="B428" s="106" t="s">
        <v>2310</v>
      </c>
      <c r="C428" s="107" t="s">
        <v>6511</v>
      </c>
      <c r="D428" s="108" t="s">
        <v>2271</v>
      </c>
      <c r="E428" s="109" t="s">
        <v>2272</v>
      </c>
      <c r="F428" s="110" t="s">
        <v>2273</v>
      </c>
      <c r="G428" s="108" t="s">
        <v>1004</v>
      </c>
      <c r="H428" s="111" t="s">
        <v>191</v>
      </c>
      <c r="I428" s="111" t="s">
        <v>180</v>
      </c>
      <c r="J428" s="111" t="s">
        <v>4649</v>
      </c>
      <c r="K428" s="111" t="s">
        <v>3159</v>
      </c>
      <c r="L428" s="112">
        <v>44928</v>
      </c>
      <c r="M428" s="111" t="s">
        <v>224</v>
      </c>
      <c r="N428" s="113"/>
      <c r="O428" s="114" t="s">
        <v>257</v>
      </c>
      <c r="P428" s="114" t="s">
        <v>257</v>
      </c>
      <c r="Q428" s="114" t="s">
        <v>257</v>
      </c>
      <c r="R428" s="114" t="s">
        <v>7356</v>
      </c>
      <c r="S428" s="114" t="s">
        <v>257</v>
      </c>
      <c r="T428" s="114" t="s">
        <v>183</v>
      </c>
      <c r="U428" s="114" t="s">
        <v>183</v>
      </c>
      <c r="V428" s="115"/>
      <c r="W428" s="116" t="s">
        <v>2274</v>
      </c>
      <c r="X428" s="116" t="s">
        <v>2275</v>
      </c>
      <c r="Y428" s="117">
        <v>3485768</v>
      </c>
      <c r="Z428" s="117">
        <v>3481429</v>
      </c>
      <c r="AA428" s="118"/>
      <c r="AB428" s="119" t="s">
        <v>5862</v>
      </c>
      <c r="AC428" s="119" t="s">
        <v>2311</v>
      </c>
      <c r="AD428" s="119">
        <v>4359</v>
      </c>
      <c r="AE428" s="119" t="s">
        <v>2312</v>
      </c>
      <c r="AF428" s="119" t="s">
        <v>7135</v>
      </c>
      <c r="AG428" s="120"/>
      <c r="AH428" s="121">
        <v>44810</v>
      </c>
      <c r="AI428" s="121">
        <v>44804</v>
      </c>
      <c r="AJ428" s="121">
        <v>44804</v>
      </c>
      <c r="AK428" s="122">
        <v>44974</v>
      </c>
      <c r="AL428" s="122">
        <v>45075</v>
      </c>
      <c r="AM428" s="121">
        <v>45082</v>
      </c>
      <c r="AN428" s="121">
        <v>45075</v>
      </c>
      <c r="AO428" s="121">
        <v>45975</v>
      </c>
      <c r="AP428" s="122">
        <v>45098</v>
      </c>
      <c r="AQ428" s="122" t="e">
        <v>#N/A</v>
      </c>
      <c r="AR428" s="122">
        <v>45075</v>
      </c>
      <c r="AS428" s="122" t="e">
        <v>#N/A</v>
      </c>
      <c r="AT428" s="122" t="e">
        <v>#N/A</v>
      </c>
      <c r="AU428" s="121" t="e">
        <v>#N/A</v>
      </c>
      <c r="AV428" s="122" t="e">
        <v>#N/A</v>
      </c>
      <c r="AW428" s="122">
        <v>45733</v>
      </c>
      <c r="AX428" s="122" t="e">
        <v>#N/A</v>
      </c>
      <c r="AY428" s="122" t="e">
        <v>#N/A</v>
      </c>
      <c r="AZ428" s="122" t="e">
        <v>#N/A</v>
      </c>
      <c r="BA428" s="122">
        <v>45082</v>
      </c>
      <c r="BB428" s="122" t="e">
        <v>#N/A</v>
      </c>
      <c r="BC428" s="122" t="e">
        <v>#N/A</v>
      </c>
      <c r="BD428" s="122" t="e">
        <v>#N/A</v>
      </c>
      <c r="BE428" s="122" t="e">
        <v>#N/A</v>
      </c>
      <c r="BF428" s="122" t="e">
        <v>#N/A</v>
      </c>
      <c r="BG428" s="122" t="e">
        <v>#N/A</v>
      </c>
      <c r="BH428" s="122" t="e">
        <v>#N/A</v>
      </c>
      <c r="BI428" s="122" t="e">
        <v>#N/A</v>
      </c>
      <c r="BJ428" s="122" t="e">
        <v>#N/A</v>
      </c>
      <c r="BK428" s="122">
        <v>45971</v>
      </c>
      <c r="BL428" s="123"/>
      <c r="BM428" s="124" t="e">
        <v>#N/A</v>
      </c>
      <c r="BN428" s="124" t="e">
        <v>#N/A</v>
      </c>
      <c r="BO428" s="124" t="e">
        <v>#N/A</v>
      </c>
      <c r="BP428" s="124" t="e">
        <v>#N/A</v>
      </c>
      <c r="BQ428" s="124" t="e">
        <v>#N/A</v>
      </c>
      <c r="BR428" s="124" t="e">
        <v>#N/A</v>
      </c>
      <c r="BS428" s="124" t="e">
        <v>#N/A</v>
      </c>
      <c r="BT428" s="124" t="e">
        <v>#N/A</v>
      </c>
      <c r="BU428" s="124" t="e">
        <v>#N/A</v>
      </c>
      <c r="BV428" s="124" t="e">
        <v>#N/A</v>
      </c>
      <c r="BW428" s="124" t="e">
        <v>#N/A</v>
      </c>
      <c r="BX428" s="124" t="e">
        <v>#N/A</v>
      </c>
      <c r="BY428" s="124" t="e">
        <v>#N/A</v>
      </c>
      <c r="BZ428" s="124" t="e">
        <v>#N/A</v>
      </c>
      <c r="CA428" s="125"/>
      <c r="CB428" s="124">
        <v>45728</v>
      </c>
      <c r="CC428" s="126">
        <v>1</v>
      </c>
      <c r="CD428" s="127" t="s">
        <v>4184</v>
      </c>
      <c r="CE428" s="128"/>
      <c r="CF428" s="77" t="s">
        <v>4194</v>
      </c>
    </row>
    <row r="429" spans="1:84" ht="14.5" x14ac:dyDescent="0.35">
      <c r="A429" s="77">
        <v>428</v>
      </c>
      <c r="B429" s="106" t="s">
        <v>2221</v>
      </c>
      <c r="C429" s="107" t="s">
        <v>6510</v>
      </c>
      <c r="D429" s="108" t="s">
        <v>2260</v>
      </c>
      <c r="E429" s="109" t="s">
        <v>2261</v>
      </c>
      <c r="F429" s="110" t="s">
        <v>2262</v>
      </c>
      <c r="G429" s="108" t="s">
        <v>190</v>
      </c>
      <c r="H429" s="111" t="s">
        <v>191</v>
      </c>
      <c r="I429" s="111" t="s">
        <v>180</v>
      </c>
      <c r="J429" s="111" t="s">
        <v>4649</v>
      </c>
      <c r="K429" s="111" t="s">
        <v>3159</v>
      </c>
      <c r="L429" s="112">
        <v>44928</v>
      </c>
      <c r="M429" s="111" t="s">
        <v>329</v>
      </c>
      <c r="N429" s="113"/>
      <c r="O429" s="114" t="s">
        <v>4902</v>
      </c>
      <c r="P429" s="114" t="s">
        <v>183</v>
      </c>
      <c r="Q429" s="114" t="s">
        <v>183</v>
      </c>
      <c r="R429" s="114" t="s">
        <v>7337</v>
      </c>
      <c r="S429" s="114" t="s">
        <v>4902</v>
      </c>
      <c r="T429" s="114" t="s">
        <v>4901</v>
      </c>
      <c r="U429" s="114" t="s">
        <v>4901</v>
      </c>
      <c r="V429" s="115"/>
      <c r="W429" s="116" t="s">
        <v>2263</v>
      </c>
      <c r="X429" s="116" t="s">
        <v>2264</v>
      </c>
      <c r="Y429" s="117">
        <v>3485750</v>
      </c>
      <c r="Z429" s="117">
        <v>3486385</v>
      </c>
      <c r="AA429" s="118"/>
      <c r="AB429" s="119" t="s">
        <v>2265</v>
      </c>
      <c r="AC429" s="119" t="s">
        <v>2285</v>
      </c>
      <c r="AD429" s="119">
        <v>4235</v>
      </c>
      <c r="AE429" s="119" t="s">
        <v>2286</v>
      </c>
      <c r="AF429" s="119">
        <v>0</v>
      </c>
      <c r="AG429" s="120"/>
      <c r="AH429" s="121">
        <v>44804</v>
      </c>
      <c r="AI429" s="121">
        <v>45376</v>
      </c>
      <c r="AJ429" s="121">
        <v>44804</v>
      </c>
      <c r="AK429" s="122">
        <v>45376</v>
      </c>
      <c r="AL429" s="122" t="e">
        <v>#N/A</v>
      </c>
      <c r="AM429" s="122" t="e">
        <v>#N/A</v>
      </c>
      <c r="AN429" s="122" t="e">
        <v>#N/A</v>
      </c>
      <c r="AO429" s="121" t="e">
        <v>#N/A</v>
      </c>
      <c r="AP429" s="122" t="e">
        <v>#N/A</v>
      </c>
      <c r="AQ429" s="122" t="e">
        <v>#N/A</v>
      </c>
      <c r="AR429" s="122" t="e">
        <v>#N/A</v>
      </c>
      <c r="AS429" s="122" t="e">
        <v>#N/A</v>
      </c>
      <c r="AT429" s="122" t="e">
        <v>#N/A</v>
      </c>
      <c r="AU429" s="121" t="e">
        <v>#N/A</v>
      </c>
      <c r="AV429" s="122" t="e">
        <v>#N/A</v>
      </c>
      <c r="AW429" s="122" t="e">
        <v>#N/A</v>
      </c>
      <c r="AX429" s="122" t="e">
        <v>#N/A</v>
      </c>
      <c r="AY429" s="122" t="e">
        <v>#N/A</v>
      </c>
      <c r="AZ429" s="122" t="e">
        <v>#N/A</v>
      </c>
      <c r="BA429" s="122" t="e">
        <v>#N/A</v>
      </c>
      <c r="BB429" s="122" t="e">
        <v>#N/A</v>
      </c>
      <c r="BC429" s="122" t="e">
        <v>#N/A</v>
      </c>
      <c r="BD429" s="122" t="e">
        <v>#N/A</v>
      </c>
      <c r="BE429" s="122" t="e">
        <v>#N/A</v>
      </c>
      <c r="BF429" s="122" t="e">
        <v>#N/A</v>
      </c>
      <c r="BG429" s="122" t="e">
        <v>#N/A</v>
      </c>
      <c r="BH429" s="122" t="e">
        <v>#N/A</v>
      </c>
      <c r="BI429" s="122" t="e">
        <v>#N/A</v>
      </c>
      <c r="BJ429" s="122" t="e">
        <v>#N/A</v>
      </c>
      <c r="BK429" s="122" t="e">
        <v>#N/A</v>
      </c>
      <c r="BL429" s="123"/>
      <c r="BM429" s="124" t="e">
        <v>#N/A</v>
      </c>
      <c r="BN429" s="124" t="e">
        <v>#N/A</v>
      </c>
      <c r="BO429" s="124" t="e">
        <v>#N/A</v>
      </c>
      <c r="BP429" s="124" t="e">
        <v>#N/A</v>
      </c>
      <c r="BQ429" s="124" t="e">
        <v>#N/A</v>
      </c>
      <c r="BR429" s="124" t="e">
        <v>#N/A</v>
      </c>
      <c r="BS429" s="124" t="e">
        <v>#N/A</v>
      </c>
      <c r="BT429" s="124" t="e">
        <v>#N/A</v>
      </c>
      <c r="BU429" s="124" t="e">
        <v>#N/A</v>
      </c>
      <c r="BV429" s="124" t="e">
        <v>#N/A</v>
      </c>
      <c r="BW429" s="124" t="e">
        <v>#N/A</v>
      </c>
      <c r="BX429" s="124" t="e">
        <v>#N/A</v>
      </c>
      <c r="BY429" s="124" t="e">
        <v>#N/A</v>
      </c>
      <c r="BZ429" s="124" t="e">
        <v>#N/A</v>
      </c>
      <c r="CA429" s="125"/>
      <c r="CB429" s="124" t="e">
        <v>#N/A</v>
      </c>
      <c r="CC429" s="126">
        <v>1</v>
      </c>
      <c r="CD429" s="127" t="s">
        <v>4184</v>
      </c>
      <c r="CE429" s="128"/>
      <c r="CF429" s="77" t="s">
        <v>4194</v>
      </c>
    </row>
    <row r="430" spans="1:84" ht="14.5" x14ac:dyDescent="0.35">
      <c r="A430" s="77">
        <v>429</v>
      </c>
      <c r="B430" s="106" t="s">
        <v>6301</v>
      </c>
      <c r="C430" s="107" t="s">
        <v>1322</v>
      </c>
      <c r="D430" s="108" t="s">
        <v>271</v>
      </c>
      <c r="E430" s="109" t="s">
        <v>272</v>
      </c>
      <c r="F430" s="110">
        <v>606229043</v>
      </c>
      <c r="G430" s="108" t="s">
        <v>1004</v>
      </c>
      <c r="H430" s="111" t="s">
        <v>191</v>
      </c>
      <c r="I430" s="111" t="s">
        <v>180</v>
      </c>
      <c r="J430" s="111" t="s">
        <v>4649</v>
      </c>
      <c r="K430" s="111" t="s">
        <v>3159</v>
      </c>
      <c r="L430" s="112">
        <v>42394</v>
      </c>
      <c r="M430" s="111" t="s">
        <v>224</v>
      </c>
      <c r="N430" s="113"/>
      <c r="O430" s="114" t="s">
        <v>4467</v>
      </c>
      <c r="P430" s="114" t="s">
        <v>225</v>
      </c>
      <c r="Q430" s="114" t="s">
        <v>225</v>
      </c>
      <c r="R430" s="114" t="s">
        <v>4467</v>
      </c>
      <c r="S430" s="114" t="s">
        <v>4467</v>
      </c>
      <c r="T430" s="114" t="s">
        <v>4356</v>
      </c>
      <c r="U430" s="114" t="s">
        <v>4356</v>
      </c>
      <c r="V430" s="115"/>
      <c r="W430" s="116" t="s">
        <v>1012</v>
      </c>
      <c r="X430" s="116" t="s">
        <v>273</v>
      </c>
      <c r="Y430" s="117">
        <v>3485766</v>
      </c>
      <c r="Z430" s="117">
        <v>3486147</v>
      </c>
      <c r="AA430" s="118"/>
      <c r="AB430" s="119" t="s">
        <v>5864</v>
      </c>
      <c r="AC430" s="119" t="s">
        <v>1323</v>
      </c>
      <c r="AD430" s="119">
        <v>5762</v>
      </c>
      <c r="AE430" s="119" t="s">
        <v>3265</v>
      </c>
      <c r="AF430" s="119" t="s">
        <v>7055</v>
      </c>
      <c r="AG430" s="120"/>
      <c r="AH430" s="121">
        <v>44197</v>
      </c>
      <c r="AI430" s="121">
        <v>44197</v>
      </c>
      <c r="AJ430" s="121">
        <v>45391</v>
      </c>
      <c r="AK430" s="122">
        <v>45391</v>
      </c>
      <c r="AL430" s="122">
        <v>45681</v>
      </c>
      <c r="AM430" s="121" t="e">
        <v>#N/A</v>
      </c>
      <c r="AN430" s="121" t="e">
        <v>#N/A</v>
      </c>
      <c r="AO430" s="121" t="e">
        <v>#N/A</v>
      </c>
      <c r="AP430" s="122" t="e">
        <v>#N/A</v>
      </c>
      <c r="AQ430" s="122" t="e">
        <v>#N/A</v>
      </c>
      <c r="AR430" s="122" t="e">
        <v>#N/A</v>
      </c>
      <c r="AS430" s="122" t="e">
        <v>#N/A</v>
      </c>
      <c r="AT430" s="122" t="e">
        <v>#N/A</v>
      </c>
      <c r="AU430" s="121" t="e">
        <v>#N/A</v>
      </c>
      <c r="AV430" s="122" t="e">
        <v>#N/A</v>
      </c>
      <c r="AW430" s="122">
        <v>45670</v>
      </c>
      <c r="AX430" s="122" t="e">
        <v>#N/A</v>
      </c>
      <c r="AY430" s="122" t="e">
        <v>#N/A</v>
      </c>
      <c r="AZ430" s="122" t="e">
        <v>#N/A</v>
      </c>
      <c r="BA430" s="122" t="e">
        <v>#N/A</v>
      </c>
      <c r="BB430" s="122" t="e">
        <v>#N/A</v>
      </c>
      <c r="BC430" s="122" t="e">
        <v>#N/A</v>
      </c>
      <c r="BD430" s="122" t="e">
        <v>#N/A</v>
      </c>
      <c r="BE430" s="122" t="e">
        <v>#N/A</v>
      </c>
      <c r="BF430" s="122" t="e">
        <v>#N/A</v>
      </c>
      <c r="BG430" s="122" t="e">
        <v>#N/A</v>
      </c>
      <c r="BH430" s="122" t="e">
        <v>#N/A</v>
      </c>
      <c r="BI430" s="122" t="e">
        <v>#N/A</v>
      </c>
      <c r="BJ430" s="122" t="e">
        <v>#N/A</v>
      </c>
      <c r="BK430" s="122">
        <v>45971</v>
      </c>
      <c r="BL430" s="123"/>
      <c r="BM430" s="124" t="e">
        <v>#N/A</v>
      </c>
      <c r="BN430" s="124" t="e">
        <v>#N/A</v>
      </c>
      <c r="BO430" s="124" t="e">
        <v>#N/A</v>
      </c>
      <c r="BP430" s="124" t="e">
        <v>#N/A</v>
      </c>
      <c r="BQ430" s="124" t="e">
        <v>#N/A</v>
      </c>
      <c r="BR430" s="124" t="e">
        <v>#N/A</v>
      </c>
      <c r="BS430" s="124" t="e">
        <v>#N/A</v>
      </c>
      <c r="BT430" s="124" t="e">
        <v>#N/A</v>
      </c>
      <c r="BU430" s="124" t="e">
        <v>#N/A</v>
      </c>
      <c r="BV430" s="124" t="e">
        <v>#N/A</v>
      </c>
      <c r="BW430" s="124" t="e">
        <v>#N/A</v>
      </c>
      <c r="BX430" s="124" t="e">
        <v>#N/A</v>
      </c>
      <c r="BY430" s="124" t="e">
        <v>#N/A</v>
      </c>
      <c r="BZ430" s="124" t="e">
        <v>#N/A</v>
      </c>
      <c r="CA430" s="125"/>
      <c r="CB430" s="124">
        <v>45842</v>
      </c>
      <c r="CC430" s="126">
        <v>1</v>
      </c>
      <c r="CD430" s="127" t="e">
        <v>#N/A</v>
      </c>
      <c r="CE430" s="128"/>
      <c r="CF430" s="77" t="s">
        <v>4194</v>
      </c>
    </row>
    <row r="431" spans="1:84" ht="14.5" x14ac:dyDescent="0.35">
      <c r="A431" s="77">
        <v>430</v>
      </c>
      <c r="B431" s="106" t="s">
        <v>145</v>
      </c>
      <c r="C431" s="107" t="s">
        <v>1282</v>
      </c>
      <c r="D431" s="108" t="s">
        <v>833</v>
      </c>
      <c r="E431" s="109" t="s">
        <v>834</v>
      </c>
      <c r="F431" s="110">
        <v>667896282</v>
      </c>
      <c r="G431" s="108" t="s">
        <v>1004</v>
      </c>
      <c r="H431" s="111" t="s">
        <v>191</v>
      </c>
      <c r="I431" s="111" t="s">
        <v>180</v>
      </c>
      <c r="J431" s="111" t="s">
        <v>4649</v>
      </c>
      <c r="K431" s="111" t="s">
        <v>3159</v>
      </c>
      <c r="L431" s="112">
        <v>43645</v>
      </c>
      <c r="M431" s="111" t="s">
        <v>224</v>
      </c>
      <c r="N431" s="113"/>
      <c r="O431" s="114" t="s">
        <v>257</v>
      </c>
      <c r="P431" s="114" t="s">
        <v>183</v>
      </c>
      <c r="Q431" s="114" t="s">
        <v>257</v>
      </c>
      <c r="R431" s="114" t="s">
        <v>7356</v>
      </c>
      <c r="S431" s="114" t="s">
        <v>183</v>
      </c>
      <c r="T431" s="114" t="s">
        <v>257</v>
      </c>
      <c r="U431" s="114" t="s">
        <v>257</v>
      </c>
      <c r="V431" s="115"/>
      <c r="W431" s="116" t="s">
        <v>835</v>
      </c>
      <c r="X431" s="116" t="s">
        <v>836</v>
      </c>
      <c r="Y431" s="117">
        <v>3485012</v>
      </c>
      <c r="Z431" s="117">
        <v>3481133</v>
      </c>
      <c r="AA431" s="118"/>
      <c r="AB431" s="119" t="s">
        <v>5863</v>
      </c>
      <c r="AC431" s="119" t="s">
        <v>1283</v>
      </c>
      <c r="AD431" s="119" t="s">
        <v>3944</v>
      </c>
      <c r="AE431" s="119" t="s">
        <v>3945</v>
      </c>
      <c r="AF431" s="119" t="s">
        <v>7117</v>
      </c>
      <c r="AG431" s="120"/>
      <c r="AH431" s="121">
        <v>44197</v>
      </c>
      <c r="AI431" s="121">
        <v>44197</v>
      </c>
      <c r="AJ431" s="121">
        <v>44197</v>
      </c>
      <c r="AK431" s="122">
        <v>44197</v>
      </c>
      <c r="AL431" s="122" t="e">
        <v>#N/A</v>
      </c>
      <c r="AM431" s="121" t="e">
        <v>#N/A</v>
      </c>
      <c r="AN431" s="121" t="e">
        <v>#N/A</v>
      </c>
      <c r="AO431" s="121" t="e">
        <v>#N/A</v>
      </c>
      <c r="AP431" s="122">
        <v>45809</v>
      </c>
      <c r="AQ431" s="122" t="e">
        <v>#N/A</v>
      </c>
      <c r="AR431" s="122">
        <v>45246</v>
      </c>
      <c r="AS431" s="122" t="e">
        <v>#N/A</v>
      </c>
      <c r="AT431" s="122" t="e">
        <v>#N/A</v>
      </c>
      <c r="AU431" s="121" t="e">
        <v>#N/A</v>
      </c>
      <c r="AV431" s="122" t="e">
        <v>#N/A</v>
      </c>
      <c r="AW431" s="122">
        <v>45625</v>
      </c>
      <c r="AX431" s="122" t="e">
        <v>#N/A</v>
      </c>
      <c r="AY431" s="122" t="e">
        <v>#N/A</v>
      </c>
      <c r="AZ431" s="122" t="e">
        <v>#N/A</v>
      </c>
      <c r="BA431" s="122" t="e">
        <v>#N/A</v>
      </c>
      <c r="BB431" s="122" t="e">
        <v>#N/A</v>
      </c>
      <c r="BC431" s="122" t="e">
        <v>#N/A</v>
      </c>
      <c r="BD431" s="122" t="e">
        <v>#N/A</v>
      </c>
      <c r="BE431" s="122" t="e">
        <v>#N/A</v>
      </c>
      <c r="BF431" s="122" t="e">
        <v>#N/A</v>
      </c>
      <c r="BG431" s="122" t="e">
        <v>#N/A</v>
      </c>
      <c r="BH431" s="122" t="e">
        <v>#N/A</v>
      </c>
      <c r="BI431" s="122" t="e">
        <v>#N/A</v>
      </c>
      <c r="BJ431" s="122" t="e">
        <v>#N/A</v>
      </c>
      <c r="BK431" s="122">
        <v>45971</v>
      </c>
      <c r="BL431" s="123"/>
      <c r="BM431" s="124" t="e">
        <v>#N/A</v>
      </c>
      <c r="BN431" s="124" t="e">
        <v>#N/A</v>
      </c>
      <c r="BO431" s="124" t="e">
        <v>#N/A</v>
      </c>
      <c r="BP431" s="124" t="e">
        <v>#N/A</v>
      </c>
      <c r="BQ431" s="124" t="e">
        <v>#N/A</v>
      </c>
      <c r="BR431" s="124" t="e">
        <v>#N/A</v>
      </c>
      <c r="BS431" s="124" t="e">
        <v>#N/A</v>
      </c>
      <c r="BT431" s="124" t="e">
        <v>#N/A</v>
      </c>
      <c r="BU431" s="124" t="e">
        <v>#N/A</v>
      </c>
      <c r="BV431" s="124" t="e">
        <v>#N/A</v>
      </c>
      <c r="BW431" s="124" t="e">
        <v>#N/A</v>
      </c>
      <c r="BX431" s="124" t="e">
        <v>#N/A</v>
      </c>
      <c r="BY431" s="124" t="e">
        <v>#N/A</v>
      </c>
      <c r="BZ431" s="124" t="e">
        <v>#N/A</v>
      </c>
      <c r="CA431" s="125"/>
      <c r="CB431" s="124">
        <v>45728</v>
      </c>
      <c r="CC431" s="126">
        <v>1</v>
      </c>
      <c r="CD431" s="127" t="s">
        <v>4169</v>
      </c>
      <c r="CE431" s="128"/>
      <c r="CF431" s="77" t="s">
        <v>4194</v>
      </c>
    </row>
    <row r="432" spans="1:84" ht="14.5" x14ac:dyDescent="0.35">
      <c r="A432" s="77">
        <v>431</v>
      </c>
      <c r="B432" s="106" t="s">
        <v>1493</v>
      </c>
      <c r="C432" s="107" t="s">
        <v>1494</v>
      </c>
      <c r="D432" s="108" t="s">
        <v>1495</v>
      </c>
      <c r="E432" s="109" t="s">
        <v>1496</v>
      </c>
      <c r="F432" s="110">
        <v>626282555</v>
      </c>
      <c r="G432" s="108" t="s">
        <v>1004</v>
      </c>
      <c r="H432" s="111" t="s">
        <v>191</v>
      </c>
      <c r="I432" s="111" t="s">
        <v>180</v>
      </c>
      <c r="J432" s="111" t="s">
        <v>4649</v>
      </c>
      <c r="K432" s="111" t="s">
        <v>3159</v>
      </c>
      <c r="L432" s="112">
        <v>45628</v>
      </c>
      <c r="M432" s="111" t="s">
        <v>2352</v>
      </c>
      <c r="N432" s="113"/>
      <c r="O432" s="114" t="s">
        <v>225</v>
      </c>
      <c r="P432" s="114" t="s">
        <v>225</v>
      </c>
      <c r="Q432" s="114" t="s">
        <v>225</v>
      </c>
      <c r="R432" s="114" t="s">
        <v>7358</v>
      </c>
      <c r="S432" s="114" t="s">
        <v>225</v>
      </c>
      <c r="T432" s="114" t="s">
        <v>183</v>
      </c>
      <c r="U432" s="114" t="s">
        <v>183</v>
      </c>
      <c r="V432" s="115"/>
      <c r="W432" s="116" t="s">
        <v>4143</v>
      </c>
      <c r="X432" s="116" t="s">
        <v>4144</v>
      </c>
      <c r="Y432" s="117">
        <v>3485485</v>
      </c>
      <c r="Z432" s="117">
        <v>3486172</v>
      </c>
      <c r="AA432" s="118"/>
      <c r="AB432" s="119" t="s">
        <v>5865</v>
      </c>
      <c r="AC432" s="119" t="s">
        <v>4145</v>
      </c>
      <c r="AD432" s="119">
        <v>5866</v>
      </c>
      <c r="AE432" s="119" t="s">
        <v>4146</v>
      </c>
      <c r="AF432" s="119" t="s">
        <v>7550</v>
      </c>
      <c r="AG432" s="120"/>
      <c r="AH432" s="121">
        <v>44641</v>
      </c>
      <c r="AI432" s="121">
        <v>45644</v>
      </c>
      <c r="AJ432" s="121">
        <v>45644</v>
      </c>
      <c r="AK432" s="122">
        <v>44641</v>
      </c>
      <c r="AL432" s="122">
        <v>45481</v>
      </c>
      <c r="AM432" s="121">
        <v>45481</v>
      </c>
      <c r="AN432" s="121" t="s">
        <v>7056</v>
      </c>
      <c r="AO432" s="121" t="e">
        <v>#N/A</v>
      </c>
      <c r="AP432" s="122" t="e">
        <v>#N/A</v>
      </c>
      <c r="AQ432" s="122" t="e">
        <v>#N/A</v>
      </c>
      <c r="AR432" s="122">
        <v>45481</v>
      </c>
      <c r="AS432" s="122" t="e">
        <v>#N/A</v>
      </c>
      <c r="AT432" s="122">
        <v>44655</v>
      </c>
      <c r="AU432" s="121" t="e">
        <v>#N/A</v>
      </c>
      <c r="AV432" s="122" t="e">
        <v>#N/A</v>
      </c>
      <c r="AW432" s="122">
        <v>45670</v>
      </c>
      <c r="AX432" s="122" t="e">
        <v>#N/A</v>
      </c>
      <c r="AY432" s="122" t="e">
        <v>#N/A</v>
      </c>
      <c r="AZ432" s="122" t="e">
        <v>#N/A</v>
      </c>
      <c r="BA432" s="122" t="e">
        <v>#N/A</v>
      </c>
      <c r="BB432" s="122" t="e">
        <v>#N/A</v>
      </c>
      <c r="BC432" s="122" t="e">
        <v>#N/A</v>
      </c>
      <c r="BD432" s="122" t="e">
        <v>#N/A</v>
      </c>
      <c r="BE432" s="122" t="e">
        <v>#N/A</v>
      </c>
      <c r="BF432" s="122" t="e">
        <v>#N/A</v>
      </c>
      <c r="BG432" s="122" t="e">
        <v>#N/A</v>
      </c>
      <c r="BH432" s="122" t="e">
        <v>#N/A</v>
      </c>
      <c r="BI432" s="122" t="e">
        <v>#N/A</v>
      </c>
      <c r="BJ432" s="122" t="e">
        <v>#N/A</v>
      </c>
      <c r="BK432" s="122">
        <v>45978</v>
      </c>
      <c r="BL432" s="123"/>
      <c r="BM432" s="124" t="e">
        <v>#N/A</v>
      </c>
      <c r="BN432" s="124" t="e">
        <v>#N/A</v>
      </c>
      <c r="BO432" s="124" t="e">
        <v>#N/A</v>
      </c>
      <c r="BP432" s="124" t="e">
        <v>#N/A</v>
      </c>
      <c r="BQ432" s="124" t="e">
        <v>#N/A</v>
      </c>
      <c r="BR432" s="124" t="e">
        <v>#N/A</v>
      </c>
      <c r="BS432" s="124" t="e">
        <v>#N/A</v>
      </c>
      <c r="BT432" s="124" t="e">
        <v>#N/A</v>
      </c>
      <c r="BU432" s="124" t="e">
        <v>#N/A</v>
      </c>
      <c r="BV432" s="124" t="e">
        <v>#N/A</v>
      </c>
      <c r="BW432" s="124" t="e">
        <v>#N/A</v>
      </c>
      <c r="BX432" s="124" t="e">
        <v>#N/A</v>
      </c>
      <c r="BY432" s="124" t="e">
        <v>#N/A</v>
      </c>
      <c r="BZ432" s="124" t="e">
        <v>#N/A</v>
      </c>
      <c r="CA432" s="125"/>
      <c r="CB432" s="124">
        <v>45726</v>
      </c>
      <c r="CC432" s="126">
        <v>1</v>
      </c>
      <c r="CD432" s="127" t="s">
        <v>4151</v>
      </c>
      <c r="CE432" s="128"/>
      <c r="CF432" s="77" t="s">
        <v>4150</v>
      </c>
    </row>
    <row r="433" spans="1:85" ht="14.5" x14ac:dyDescent="0.35">
      <c r="A433" s="77">
        <v>432</v>
      </c>
      <c r="B433" s="106" t="s">
        <v>2657</v>
      </c>
      <c r="C433" s="107" t="s">
        <v>6533</v>
      </c>
      <c r="D433" s="108" t="s">
        <v>2640</v>
      </c>
      <c r="E433" s="109" t="s">
        <v>2641</v>
      </c>
      <c r="F433" s="110">
        <v>644674095</v>
      </c>
      <c r="G433" s="108" t="s">
        <v>190</v>
      </c>
      <c r="H433" s="111" t="s">
        <v>191</v>
      </c>
      <c r="I433" s="111" t="s">
        <v>180</v>
      </c>
      <c r="J433" s="111" t="s">
        <v>4649</v>
      </c>
      <c r="K433" s="111" t="s">
        <v>3159</v>
      </c>
      <c r="L433" s="112">
        <v>45061</v>
      </c>
      <c r="M433" s="111" t="s">
        <v>1920</v>
      </c>
      <c r="N433" s="113"/>
      <c r="O433" s="114" t="s">
        <v>3420</v>
      </c>
      <c r="P433" s="114" t="s">
        <v>3420</v>
      </c>
      <c r="Q433" s="114" t="s">
        <v>183</v>
      </c>
      <c r="R433" s="114" t="s">
        <v>7548</v>
      </c>
      <c r="S433" s="114" t="s">
        <v>183</v>
      </c>
      <c r="T433" s="114" t="s">
        <v>3419</v>
      </c>
      <c r="U433" s="114" t="s">
        <v>3419</v>
      </c>
      <c r="V433" s="115"/>
      <c r="W433" s="116" t="s">
        <v>2642</v>
      </c>
      <c r="X433" s="116" t="s">
        <v>2643</v>
      </c>
      <c r="Y433" s="117">
        <v>3485248</v>
      </c>
      <c r="Z433" s="117">
        <v>3481153</v>
      </c>
      <c r="AA433" s="118"/>
      <c r="AB433" s="119" t="s">
        <v>5525</v>
      </c>
      <c r="AC433" s="119" t="s">
        <v>2707</v>
      </c>
      <c r="AD433" s="119">
        <v>4588</v>
      </c>
      <c r="AE433" s="119" t="s">
        <v>2644</v>
      </c>
      <c r="AF433" s="119">
        <v>0</v>
      </c>
      <c r="AG433" s="120"/>
      <c r="AH433" s="121">
        <v>45058</v>
      </c>
      <c r="AI433" s="121">
        <v>45058</v>
      </c>
      <c r="AJ433" s="121">
        <v>45058</v>
      </c>
      <c r="AK433" s="122">
        <v>45058</v>
      </c>
      <c r="AL433" s="122" t="e">
        <v>#N/A</v>
      </c>
      <c r="AM433" s="122">
        <v>45614</v>
      </c>
      <c r="AN433" s="122" t="e">
        <v>#N/A</v>
      </c>
      <c r="AO433" s="121" t="e">
        <v>#N/A</v>
      </c>
      <c r="AP433" s="122" t="e">
        <v>#N/A</v>
      </c>
      <c r="AQ433" s="122" t="e">
        <v>#N/A</v>
      </c>
      <c r="AR433" s="122" t="e">
        <v>#N/A</v>
      </c>
      <c r="AS433" s="122" t="e">
        <v>#N/A</v>
      </c>
      <c r="AT433" s="122" t="e">
        <v>#N/A</v>
      </c>
      <c r="AU433" s="121" t="e">
        <v>#N/A</v>
      </c>
      <c r="AV433" s="122" t="e">
        <v>#N/A</v>
      </c>
      <c r="AW433" s="122" t="e">
        <v>#N/A</v>
      </c>
      <c r="AX433" s="122" t="e">
        <v>#N/A</v>
      </c>
      <c r="AY433" s="122" t="e">
        <v>#N/A</v>
      </c>
      <c r="AZ433" s="122" t="e">
        <v>#N/A</v>
      </c>
      <c r="BA433" s="122" t="e">
        <v>#N/A</v>
      </c>
      <c r="BB433" s="122" t="e">
        <v>#N/A</v>
      </c>
      <c r="BC433" s="122" t="e">
        <v>#N/A</v>
      </c>
      <c r="BD433" s="122" t="e">
        <v>#N/A</v>
      </c>
      <c r="BE433" s="122" t="e">
        <v>#N/A</v>
      </c>
      <c r="BF433" s="122" t="e">
        <v>#N/A</v>
      </c>
      <c r="BG433" s="122" t="e">
        <v>#N/A</v>
      </c>
      <c r="BH433" s="122" t="e">
        <v>#N/A</v>
      </c>
      <c r="BI433" s="122" t="e">
        <v>#N/A</v>
      </c>
      <c r="BJ433" s="122" t="e">
        <v>#N/A</v>
      </c>
      <c r="BK433" s="122" t="e">
        <v>#N/A</v>
      </c>
      <c r="BL433" s="123"/>
      <c r="BM433" s="124" t="e">
        <v>#N/A</v>
      </c>
      <c r="BN433" s="124" t="e">
        <v>#N/A</v>
      </c>
      <c r="BO433" s="124" t="e">
        <v>#N/A</v>
      </c>
      <c r="BP433" s="124" t="e">
        <v>#N/A</v>
      </c>
      <c r="BQ433" s="124" t="e">
        <v>#N/A</v>
      </c>
      <c r="BR433" s="124" t="e">
        <v>#N/A</v>
      </c>
      <c r="BS433" s="124" t="e">
        <v>#N/A</v>
      </c>
      <c r="BT433" s="124" t="e">
        <v>#N/A</v>
      </c>
      <c r="BU433" s="124" t="e">
        <v>#N/A</v>
      </c>
      <c r="BV433" s="124" t="e">
        <v>#N/A</v>
      </c>
      <c r="BW433" s="124" t="e">
        <v>#N/A</v>
      </c>
      <c r="BX433" s="124" t="e">
        <v>#N/A</v>
      </c>
      <c r="BY433" s="124" t="e">
        <v>#N/A</v>
      </c>
      <c r="BZ433" s="124" t="e">
        <v>#N/A</v>
      </c>
      <c r="CA433" s="125"/>
      <c r="CB433" s="124" t="e">
        <v>#N/A</v>
      </c>
      <c r="CC433" s="126">
        <v>1</v>
      </c>
      <c r="CD433" s="127" t="s">
        <v>4163</v>
      </c>
      <c r="CE433" s="128"/>
      <c r="CF433" s="77" t="s">
        <v>4195</v>
      </c>
    </row>
    <row r="434" spans="1:85" ht="14.5" x14ac:dyDescent="0.35">
      <c r="A434" s="77">
        <v>433</v>
      </c>
      <c r="B434" s="106" t="s">
        <v>3461</v>
      </c>
      <c r="C434" s="107" t="s">
        <v>6397</v>
      </c>
      <c r="D434" s="108" t="s">
        <v>3462</v>
      </c>
      <c r="E434" s="109" t="s">
        <v>3463</v>
      </c>
      <c r="F434" s="110">
        <v>685472548</v>
      </c>
      <c r="G434" s="108" t="s">
        <v>1004</v>
      </c>
      <c r="H434" s="111" t="s">
        <v>191</v>
      </c>
      <c r="I434" s="111" t="s">
        <v>180</v>
      </c>
      <c r="J434" s="111" t="s">
        <v>4649</v>
      </c>
      <c r="K434" s="111" t="s">
        <v>3159</v>
      </c>
      <c r="L434" s="112">
        <v>45464</v>
      </c>
      <c r="M434" s="111" t="s">
        <v>2463</v>
      </c>
      <c r="N434" s="113"/>
      <c r="O434" s="114" t="s">
        <v>6041</v>
      </c>
      <c r="P434" s="114" t="s">
        <v>285</v>
      </c>
      <c r="Q434" s="114" t="s">
        <v>183</v>
      </c>
      <c r="R434" s="114" t="s">
        <v>7312</v>
      </c>
      <c r="S434" s="114" t="s">
        <v>183</v>
      </c>
      <c r="T434" s="114" t="s">
        <v>285</v>
      </c>
      <c r="U434" s="114" t="s">
        <v>285</v>
      </c>
      <c r="V434" s="115"/>
      <c r="W434" s="116" t="s">
        <v>3464</v>
      </c>
      <c r="X434" s="116" t="s">
        <v>3465</v>
      </c>
      <c r="Y434" s="117">
        <v>3485972</v>
      </c>
      <c r="Z434" s="117">
        <v>3486672</v>
      </c>
      <c r="AA434" s="118"/>
      <c r="AB434" s="119" t="s">
        <v>5500</v>
      </c>
      <c r="AC434" s="119" t="s">
        <v>3513</v>
      </c>
      <c r="AD434" s="119">
        <v>5710</v>
      </c>
      <c r="AE434" s="119" t="s">
        <v>3466</v>
      </c>
      <c r="AF434" s="119">
        <v>0</v>
      </c>
      <c r="AG434" s="120"/>
      <c r="AH434" s="121">
        <v>45481</v>
      </c>
      <c r="AI434" s="121">
        <v>45481</v>
      </c>
      <c r="AJ434" s="121">
        <v>45481</v>
      </c>
      <c r="AK434" s="122">
        <v>45481</v>
      </c>
      <c r="AL434" s="122">
        <v>45906</v>
      </c>
      <c r="AM434" s="121" t="e">
        <v>#N/A</v>
      </c>
      <c r="AN434" s="121">
        <v>45906</v>
      </c>
      <c r="AO434" s="121">
        <v>45989</v>
      </c>
      <c r="AP434" s="122" t="e">
        <v>#N/A</v>
      </c>
      <c r="AQ434" s="122" t="e">
        <v>#N/A</v>
      </c>
      <c r="AR434" s="122">
        <v>45989</v>
      </c>
      <c r="AS434" s="122" t="e">
        <v>#N/A</v>
      </c>
      <c r="AT434" s="122" t="e">
        <v>#N/A</v>
      </c>
      <c r="AU434" s="121" t="e">
        <v>#N/A</v>
      </c>
      <c r="AV434" s="122" t="e">
        <v>#N/A</v>
      </c>
      <c r="AW434" s="122">
        <v>45742</v>
      </c>
      <c r="AX434" s="122">
        <v>45812</v>
      </c>
      <c r="AY434" s="122" t="e">
        <v>#N/A</v>
      </c>
      <c r="AZ434" s="122" t="e">
        <v>#N/A</v>
      </c>
      <c r="BA434" s="122" t="e">
        <v>#N/A</v>
      </c>
      <c r="BB434" s="122" t="e">
        <v>#N/A</v>
      </c>
      <c r="BC434" s="122" t="e">
        <v>#N/A</v>
      </c>
      <c r="BD434" s="122" t="e">
        <v>#N/A</v>
      </c>
      <c r="BE434" s="122" t="e">
        <v>#N/A</v>
      </c>
      <c r="BF434" s="122" t="e">
        <v>#N/A</v>
      </c>
      <c r="BG434" s="122" t="e">
        <v>#N/A</v>
      </c>
      <c r="BH434" s="122" t="e">
        <v>#N/A</v>
      </c>
      <c r="BI434" s="122" t="e">
        <v>#N/A</v>
      </c>
      <c r="BJ434" s="122" t="e">
        <v>#N/A</v>
      </c>
      <c r="BK434" s="122" t="e">
        <v>#N/A</v>
      </c>
      <c r="BL434" s="123"/>
      <c r="BM434" s="124" t="e">
        <v>#N/A</v>
      </c>
      <c r="BN434" s="124" t="e">
        <v>#N/A</v>
      </c>
      <c r="BO434" s="124" t="e">
        <v>#N/A</v>
      </c>
      <c r="BP434" s="124" t="e">
        <v>#N/A</v>
      </c>
      <c r="BQ434" s="124" t="e">
        <v>#N/A</v>
      </c>
      <c r="BR434" s="124" t="e">
        <v>#N/A</v>
      </c>
      <c r="BS434" s="124" t="e">
        <v>#N/A</v>
      </c>
      <c r="BT434" s="124" t="e">
        <v>#N/A</v>
      </c>
      <c r="BU434" s="124" t="e">
        <v>#N/A</v>
      </c>
      <c r="BV434" s="124" t="e">
        <v>#N/A</v>
      </c>
      <c r="BW434" s="124" t="e">
        <v>#N/A</v>
      </c>
      <c r="BX434" s="124" t="e">
        <v>#N/A</v>
      </c>
      <c r="BY434" s="124" t="e">
        <v>#N/A</v>
      </c>
      <c r="BZ434" s="124" t="e">
        <v>#N/A</v>
      </c>
      <c r="CA434" s="125"/>
      <c r="CB434" s="124" t="e">
        <v>#N/A</v>
      </c>
      <c r="CC434" s="126">
        <v>1</v>
      </c>
      <c r="CD434" s="127" t="s">
        <v>4204</v>
      </c>
      <c r="CE434" s="128"/>
      <c r="CF434" s="77" t="s">
        <v>4195</v>
      </c>
    </row>
    <row r="435" spans="1:85" ht="14.5" x14ac:dyDescent="0.35">
      <c r="A435" s="77">
        <v>434</v>
      </c>
      <c r="B435" s="106" t="s">
        <v>128</v>
      </c>
      <c r="C435" s="107" t="s">
        <v>1110</v>
      </c>
      <c r="D435" s="108" t="s">
        <v>776</v>
      </c>
      <c r="E435" s="109" t="s">
        <v>777</v>
      </c>
      <c r="F435" s="110">
        <v>635345902</v>
      </c>
      <c r="G435" s="108" t="s">
        <v>1004</v>
      </c>
      <c r="H435" s="111" t="s">
        <v>191</v>
      </c>
      <c r="I435" s="111" t="s">
        <v>180</v>
      </c>
      <c r="J435" s="111" t="s">
        <v>4649</v>
      </c>
      <c r="K435" s="111" t="s">
        <v>3159</v>
      </c>
      <c r="L435" s="112">
        <v>43248</v>
      </c>
      <c r="M435" s="111" t="s">
        <v>224</v>
      </c>
      <c r="N435" s="113"/>
      <c r="O435" s="114" t="s">
        <v>3122</v>
      </c>
      <c r="P435" s="114" t="s">
        <v>3122</v>
      </c>
      <c r="Q435" s="114" t="s">
        <v>3122</v>
      </c>
      <c r="R435" s="114" t="s">
        <v>3122</v>
      </c>
      <c r="S435" s="114" t="s">
        <v>3122</v>
      </c>
      <c r="T435" s="114" t="s">
        <v>183</v>
      </c>
      <c r="U435" s="114" t="s">
        <v>183</v>
      </c>
      <c r="V435" s="115"/>
      <c r="W435" s="116" t="s">
        <v>778</v>
      </c>
      <c r="X435" s="116" t="s">
        <v>779</v>
      </c>
      <c r="Y435" s="117">
        <v>3485593</v>
      </c>
      <c r="Z435" s="117">
        <v>3481360</v>
      </c>
      <c r="AA435" s="118"/>
      <c r="AB435" s="119" t="s">
        <v>5318</v>
      </c>
      <c r="AC435" s="119" t="s">
        <v>1111</v>
      </c>
      <c r="AD435" s="119">
        <v>27859</v>
      </c>
      <c r="AE435" s="119" t="s">
        <v>780</v>
      </c>
      <c r="AF435" s="119" t="s">
        <v>7551</v>
      </c>
      <c r="AG435" s="120"/>
      <c r="AH435" s="121">
        <v>44197</v>
      </c>
      <c r="AI435" s="121">
        <v>44197</v>
      </c>
      <c r="AJ435" s="121">
        <v>44197</v>
      </c>
      <c r="AK435" s="122">
        <v>44197</v>
      </c>
      <c r="AL435" s="122" t="e">
        <v>#N/A</v>
      </c>
      <c r="AM435" s="121" t="e">
        <v>#N/A</v>
      </c>
      <c r="AN435" s="121" t="e">
        <v>#N/A</v>
      </c>
      <c r="AO435" s="121" t="e">
        <v>#N/A</v>
      </c>
      <c r="AP435" s="122" t="e">
        <v>#N/A</v>
      </c>
      <c r="AQ435" s="122" t="e">
        <v>#N/A</v>
      </c>
      <c r="AR435" s="122" t="e">
        <v>#N/A</v>
      </c>
      <c r="AS435" s="122" t="e">
        <v>#N/A</v>
      </c>
      <c r="AT435" s="122" t="e">
        <v>#N/A</v>
      </c>
      <c r="AU435" s="121" t="e">
        <v>#N/A</v>
      </c>
      <c r="AV435" s="122" t="e">
        <v>#N/A</v>
      </c>
      <c r="AW435" s="122">
        <v>45642</v>
      </c>
      <c r="AX435" s="122" t="e">
        <v>#N/A</v>
      </c>
      <c r="AY435" s="122" t="e">
        <v>#N/A</v>
      </c>
      <c r="AZ435" s="122" t="e">
        <v>#N/A</v>
      </c>
      <c r="BA435" s="122" t="e">
        <v>#N/A</v>
      </c>
      <c r="BB435" s="122" t="e">
        <v>#N/A</v>
      </c>
      <c r="BC435" s="122" t="e">
        <v>#N/A</v>
      </c>
      <c r="BD435" s="122" t="e">
        <v>#N/A</v>
      </c>
      <c r="BE435" s="122" t="e">
        <v>#N/A</v>
      </c>
      <c r="BF435" s="122" t="e">
        <v>#N/A</v>
      </c>
      <c r="BG435" s="122" t="e">
        <v>#N/A</v>
      </c>
      <c r="BH435" s="122" t="e">
        <v>#N/A</v>
      </c>
      <c r="BI435" s="122" t="e">
        <v>#N/A</v>
      </c>
      <c r="BJ435" s="122" t="e">
        <v>#N/A</v>
      </c>
      <c r="BK435" s="122" t="e">
        <v>#N/A</v>
      </c>
      <c r="BL435" s="123"/>
      <c r="BM435" s="124" t="e">
        <v>#N/A</v>
      </c>
      <c r="BN435" s="124" t="e">
        <v>#N/A</v>
      </c>
      <c r="BO435" s="124" t="e">
        <v>#N/A</v>
      </c>
      <c r="BP435" s="124" t="e">
        <v>#N/A</v>
      </c>
      <c r="BQ435" s="124" t="e">
        <v>#N/A</v>
      </c>
      <c r="BR435" s="124" t="e">
        <v>#N/A</v>
      </c>
      <c r="BS435" s="124" t="e">
        <v>#N/A</v>
      </c>
      <c r="BT435" s="124" t="e">
        <v>#N/A</v>
      </c>
      <c r="BU435" s="124" t="e">
        <v>#N/A</v>
      </c>
      <c r="BV435" s="124" t="e">
        <v>#N/A</v>
      </c>
      <c r="BW435" s="124" t="e">
        <v>#N/A</v>
      </c>
      <c r="BX435" s="124" t="e">
        <v>#N/A</v>
      </c>
      <c r="BY435" s="124" t="e">
        <v>#N/A</v>
      </c>
      <c r="BZ435" s="124" t="e">
        <v>#N/A</v>
      </c>
      <c r="CA435" s="125"/>
      <c r="CB435" s="124">
        <v>45728</v>
      </c>
      <c r="CC435" s="126">
        <v>1</v>
      </c>
      <c r="CD435" s="127" t="s">
        <v>4169</v>
      </c>
      <c r="CE435" s="128"/>
      <c r="CF435" s="77" t="s">
        <v>4195</v>
      </c>
    </row>
    <row r="436" spans="1:85" ht="14.5" x14ac:dyDescent="0.35">
      <c r="A436" s="77">
        <v>435</v>
      </c>
      <c r="B436" s="106" t="s">
        <v>3384</v>
      </c>
      <c r="C436" s="107" t="s">
        <v>6626</v>
      </c>
      <c r="D436" s="108" t="s">
        <v>3368</v>
      </c>
      <c r="E436" s="109" t="s">
        <v>3369</v>
      </c>
      <c r="F436" s="110">
        <v>677020787</v>
      </c>
      <c r="G436" s="108" t="s">
        <v>1004</v>
      </c>
      <c r="H436" s="111" t="s">
        <v>191</v>
      </c>
      <c r="I436" s="111" t="s">
        <v>180</v>
      </c>
      <c r="J436" s="111" t="s">
        <v>4649</v>
      </c>
      <c r="K436" s="111" t="s">
        <v>3159</v>
      </c>
      <c r="L436" s="112">
        <v>45446</v>
      </c>
      <c r="M436" s="111" t="s">
        <v>491</v>
      </c>
      <c r="N436" s="113"/>
      <c r="O436" s="114" t="s">
        <v>310</v>
      </c>
      <c r="P436" s="114" t="s">
        <v>310</v>
      </c>
      <c r="Q436" s="114" t="s">
        <v>585</v>
      </c>
      <c r="R436" s="114" t="s">
        <v>310</v>
      </c>
      <c r="S436" s="114" t="s">
        <v>310</v>
      </c>
      <c r="T436" s="114" t="s">
        <v>183</v>
      </c>
      <c r="U436" s="114" t="s">
        <v>183</v>
      </c>
      <c r="V436" s="115"/>
      <c r="W436" s="116" t="s">
        <v>3370</v>
      </c>
      <c r="X436" s="116" t="s">
        <v>3371</v>
      </c>
      <c r="Y436" s="117">
        <v>3485955</v>
      </c>
      <c r="Z436" s="117">
        <v>3486655</v>
      </c>
      <c r="AA436" s="118"/>
      <c r="AB436" s="119" t="s">
        <v>3392</v>
      </c>
      <c r="AC436" s="119" t="s">
        <v>3507</v>
      </c>
      <c r="AD436" s="119">
        <v>5931</v>
      </c>
      <c r="AE436" s="119" t="s">
        <v>3410</v>
      </c>
      <c r="AF436" s="119" t="s">
        <v>7552</v>
      </c>
      <c r="AG436" s="120"/>
      <c r="AH436" s="121">
        <v>45460</v>
      </c>
      <c r="AI436" s="121">
        <v>45460</v>
      </c>
      <c r="AJ436" s="121">
        <v>45460</v>
      </c>
      <c r="AK436" s="122">
        <v>45460</v>
      </c>
      <c r="AL436" s="122" t="e">
        <v>#N/A</v>
      </c>
      <c r="AM436" s="121" t="e">
        <v>#N/A</v>
      </c>
      <c r="AN436" s="121" t="e">
        <v>#N/A</v>
      </c>
      <c r="AO436" s="121" t="e">
        <v>#N/A</v>
      </c>
      <c r="AP436" s="122" t="e">
        <v>#N/A</v>
      </c>
      <c r="AQ436" s="122" t="e">
        <v>#N/A</v>
      </c>
      <c r="AR436" s="122" t="e">
        <v>#N/A</v>
      </c>
      <c r="AS436" s="122" t="e">
        <v>#N/A</v>
      </c>
      <c r="AT436" s="122" t="e">
        <v>#N/A</v>
      </c>
      <c r="AU436" s="121" t="e">
        <v>#N/A</v>
      </c>
      <c r="AV436" s="122" t="e">
        <v>#N/A</v>
      </c>
      <c r="AW436" s="122">
        <v>45875</v>
      </c>
      <c r="AX436" s="122" t="e">
        <v>#N/A</v>
      </c>
      <c r="AY436" s="122" t="e">
        <v>#N/A</v>
      </c>
      <c r="AZ436" s="122" t="e">
        <v>#N/A</v>
      </c>
      <c r="BA436" s="122" t="e">
        <v>#N/A</v>
      </c>
      <c r="BB436" s="122" t="e">
        <v>#N/A</v>
      </c>
      <c r="BC436" s="122" t="e">
        <v>#N/A</v>
      </c>
      <c r="BD436" s="122" t="e">
        <v>#N/A</v>
      </c>
      <c r="BE436" s="122" t="e">
        <v>#N/A</v>
      </c>
      <c r="BF436" s="122" t="e">
        <v>#N/A</v>
      </c>
      <c r="BG436" s="122" t="e">
        <v>#N/A</v>
      </c>
      <c r="BH436" s="122" t="e">
        <v>#N/A</v>
      </c>
      <c r="BI436" s="122" t="e">
        <v>#N/A</v>
      </c>
      <c r="BJ436" s="122" t="e">
        <v>#N/A</v>
      </c>
      <c r="BK436" s="122">
        <v>45973</v>
      </c>
      <c r="BL436" s="123"/>
      <c r="BM436" s="124" t="e">
        <v>#N/A</v>
      </c>
      <c r="BN436" s="124" t="e">
        <v>#N/A</v>
      </c>
      <c r="BO436" s="124" t="e">
        <v>#N/A</v>
      </c>
      <c r="BP436" s="124" t="e">
        <v>#N/A</v>
      </c>
      <c r="BQ436" s="124" t="e">
        <v>#N/A</v>
      </c>
      <c r="BR436" s="124" t="e">
        <v>#N/A</v>
      </c>
      <c r="BS436" s="124" t="e">
        <v>#N/A</v>
      </c>
      <c r="BT436" s="124" t="e">
        <v>#N/A</v>
      </c>
      <c r="BU436" s="124" t="e">
        <v>#N/A</v>
      </c>
      <c r="BV436" s="124" t="e">
        <v>#N/A</v>
      </c>
      <c r="BW436" s="124" t="e">
        <v>#N/A</v>
      </c>
      <c r="BX436" s="124" t="e">
        <v>#N/A</v>
      </c>
      <c r="BY436" s="124" t="e">
        <v>#N/A</v>
      </c>
      <c r="BZ436" s="124" t="e">
        <v>#N/A</v>
      </c>
      <c r="CA436" s="125"/>
      <c r="CB436" s="124" t="e">
        <v>#N/A</v>
      </c>
      <c r="CC436" s="126">
        <v>1</v>
      </c>
      <c r="CD436" s="127" t="s">
        <v>4188</v>
      </c>
      <c r="CE436" s="128"/>
      <c r="CF436" s="77" t="s">
        <v>4195</v>
      </c>
    </row>
    <row r="437" spans="1:85" ht="14.5" x14ac:dyDescent="0.35">
      <c r="A437" s="77">
        <v>436</v>
      </c>
      <c r="B437" s="106" t="s">
        <v>2333</v>
      </c>
      <c r="C437" s="107" t="s">
        <v>6495</v>
      </c>
      <c r="D437" s="108" t="s">
        <v>2334</v>
      </c>
      <c r="E437" s="109" t="s">
        <v>2335</v>
      </c>
      <c r="F437" s="110">
        <v>690809015</v>
      </c>
      <c r="G437" s="108" t="s">
        <v>1004</v>
      </c>
      <c r="H437" s="111" t="s">
        <v>191</v>
      </c>
      <c r="I437" s="111" t="s">
        <v>180</v>
      </c>
      <c r="J437" s="111" t="s">
        <v>4649</v>
      </c>
      <c r="K437" s="111" t="s">
        <v>3159</v>
      </c>
      <c r="L437" s="112">
        <v>44774</v>
      </c>
      <c r="M437" s="111" t="s">
        <v>224</v>
      </c>
      <c r="N437" s="113"/>
      <c r="O437" s="114" t="s">
        <v>4467</v>
      </c>
      <c r="P437" s="114" t="s">
        <v>4467</v>
      </c>
      <c r="Q437" s="114" t="s">
        <v>183</v>
      </c>
      <c r="R437" s="114" t="s">
        <v>7398</v>
      </c>
      <c r="S437" s="114" t="s">
        <v>225</v>
      </c>
      <c r="T437" s="114" t="s">
        <v>225</v>
      </c>
      <c r="U437" s="114" t="s">
        <v>225</v>
      </c>
      <c r="V437" s="115"/>
      <c r="W437" s="116" t="s">
        <v>2336</v>
      </c>
      <c r="X437" s="116" t="s">
        <v>2337</v>
      </c>
      <c r="Y437" s="117">
        <v>3485726</v>
      </c>
      <c r="Z437" s="117">
        <v>3486560</v>
      </c>
      <c r="AA437" s="118"/>
      <c r="AB437" s="119" t="s">
        <v>5658</v>
      </c>
      <c r="AC437" s="119" t="s">
        <v>2338</v>
      </c>
      <c r="AD437" s="119">
        <v>5693</v>
      </c>
      <c r="AE437" s="119" t="s">
        <v>6903</v>
      </c>
      <c r="AF437" s="119" t="s">
        <v>7553</v>
      </c>
      <c r="AG437" s="120"/>
      <c r="AH437" s="121">
        <v>44826</v>
      </c>
      <c r="AI437" s="121">
        <v>44826</v>
      </c>
      <c r="AJ437" s="121">
        <v>44826</v>
      </c>
      <c r="AK437" s="122">
        <v>45006</v>
      </c>
      <c r="AL437" s="122" t="e">
        <v>#N/A</v>
      </c>
      <c r="AM437" s="121" t="e">
        <v>#N/A</v>
      </c>
      <c r="AN437" s="121" t="e">
        <v>#N/A</v>
      </c>
      <c r="AO437" s="121" t="e">
        <v>#N/A</v>
      </c>
      <c r="AP437" s="122" t="e">
        <v>#N/A</v>
      </c>
      <c r="AQ437" s="122" t="e">
        <v>#N/A</v>
      </c>
      <c r="AR437" s="122" t="e">
        <v>#N/A</v>
      </c>
      <c r="AS437" s="122" t="e">
        <v>#N/A</v>
      </c>
      <c r="AT437" s="122" t="e">
        <v>#N/A</v>
      </c>
      <c r="AU437" s="121" t="e">
        <v>#N/A</v>
      </c>
      <c r="AV437" s="122">
        <v>45616</v>
      </c>
      <c r="AW437" s="122">
        <v>45495</v>
      </c>
      <c r="AX437" s="122" t="e">
        <v>#N/A</v>
      </c>
      <c r="AY437" s="122" t="e">
        <v>#N/A</v>
      </c>
      <c r="AZ437" s="122" t="e">
        <v>#N/A</v>
      </c>
      <c r="BA437" s="122" t="e">
        <v>#N/A</v>
      </c>
      <c r="BB437" s="122" t="e">
        <v>#N/A</v>
      </c>
      <c r="BC437" s="122" t="e">
        <v>#N/A</v>
      </c>
      <c r="BD437" s="122" t="e">
        <v>#N/A</v>
      </c>
      <c r="BE437" s="122" t="e">
        <v>#N/A</v>
      </c>
      <c r="BF437" s="122" t="e">
        <v>#N/A</v>
      </c>
      <c r="BG437" s="122" t="e">
        <v>#N/A</v>
      </c>
      <c r="BH437" s="122" t="e">
        <v>#N/A</v>
      </c>
      <c r="BI437" s="122" t="e">
        <v>#N/A</v>
      </c>
      <c r="BJ437" s="122" t="e">
        <v>#N/A</v>
      </c>
      <c r="BK437" s="122">
        <v>46000</v>
      </c>
      <c r="BL437" s="123"/>
      <c r="BM437" s="124" t="e">
        <v>#N/A</v>
      </c>
      <c r="BN437" s="124" t="e">
        <v>#N/A</v>
      </c>
      <c r="BO437" s="124" t="e">
        <v>#N/A</v>
      </c>
      <c r="BP437" s="124" t="e">
        <v>#N/A</v>
      </c>
      <c r="BQ437" s="124" t="e">
        <v>#N/A</v>
      </c>
      <c r="BR437" s="124" t="e">
        <v>#N/A</v>
      </c>
      <c r="BS437" s="124" t="e">
        <v>#N/A</v>
      </c>
      <c r="BT437" s="124" t="e">
        <v>#N/A</v>
      </c>
      <c r="BU437" s="124" t="e">
        <v>#N/A</v>
      </c>
      <c r="BV437" s="124" t="e">
        <v>#N/A</v>
      </c>
      <c r="BW437" s="124" t="e">
        <v>#N/A</v>
      </c>
      <c r="BX437" s="124" t="e">
        <v>#N/A</v>
      </c>
      <c r="BY437" s="124" t="e">
        <v>#N/A</v>
      </c>
      <c r="BZ437" s="124" t="e">
        <v>#N/A</v>
      </c>
      <c r="CA437" s="125"/>
      <c r="CB437" s="124">
        <v>45728</v>
      </c>
      <c r="CC437" s="126">
        <v>1</v>
      </c>
      <c r="CD437" s="127" t="s">
        <v>4189</v>
      </c>
      <c r="CE437" s="128"/>
      <c r="CF437" s="77" t="s">
        <v>4196</v>
      </c>
    </row>
    <row r="438" spans="1:85" ht="14.5" x14ac:dyDescent="0.35">
      <c r="A438" s="77">
        <v>437</v>
      </c>
      <c r="B438" s="106" t="s">
        <v>2339</v>
      </c>
      <c r="C438" s="107" t="s">
        <v>6512</v>
      </c>
      <c r="D438" s="108" t="s">
        <v>2340</v>
      </c>
      <c r="E438" s="109" t="s">
        <v>2341</v>
      </c>
      <c r="F438" s="110">
        <v>693434486</v>
      </c>
      <c r="G438" s="108" t="s">
        <v>1004</v>
      </c>
      <c r="H438" s="111" t="s">
        <v>191</v>
      </c>
      <c r="I438" s="111" t="s">
        <v>180</v>
      </c>
      <c r="J438" s="111" t="s">
        <v>4649</v>
      </c>
      <c r="K438" s="111" t="s">
        <v>3159</v>
      </c>
      <c r="L438" s="112">
        <v>44928</v>
      </c>
      <c r="M438" s="111" t="s">
        <v>224</v>
      </c>
      <c r="N438" s="113"/>
      <c r="O438" s="114" t="s">
        <v>7269</v>
      </c>
      <c r="P438" s="114" t="s">
        <v>183</v>
      </c>
      <c r="Q438" s="114" t="s">
        <v>7269</v>
      </c>
      <c r="R438" s="114" t="s">
        <v>7554</v>
      </c>
      <c r="S438" s="114" t="s">
        <v>183</v>
      </c>
      <c r="T438" s="114" t="s">
        <v>7269</v>
      </c>
      <c r="U438" s="114" t="s">
        <v>7269</v>
      </c>
      <c r="V438" s="115"/>
      <c r="W438" s="116" t="s">
        <v>2342</v>
      </c>
      <c r="X438" s="116" t="s">
        <v>2343</v>
      </c>
      <c r="Y438" s="117">
        <v>3485188</v>
      </c>
      <c r="Z438" s="117">
        <v>3486563</v>
      </c>
      <c r="AA438" s="118"/>
      <c r="AB438" s="119" t="s">
        <v>5659</v>
      </c>
      <c r="AC438" s="119" t="s">
        <v>2344</v>
      </c>
      <c r="AD438" s="119">
        <v>4246</v>
      </c>
      <c r="AE438" s="119" t="s">
        <v>2928</v>
      </c>
      <c r="AF438" s="119" t="s">
        <v>7555</v>
      </c>
      <c r="AG438" s="120"/>
      <c r="AH438" s="121">
        <v>44826</v>
      </c>
      <c r="AI438" s="121">
        <v>44826</v>
      </c>
      <c r="AJ438" s="121">
        <v>44826</v>
      </c>
      <c r="AK438" s="122">
        <v>45006</v>
      </c>
      <c r="AL438" s="122">
        <v>45075</v>
      </c>
      <c r="AM438" s="121">
        <v>45082</v>
      </c>
      <c r="AN438" s="121" t="s">
        <v>5691</v>
      </c>
      <c r="AO438" s="121" t="e">
        <v>#N/A</v>
      </c>
      <c r="AP438" s="122" t="e">
        <v>#N/A</v>
      </c>
      <c r="AQ438" s="122" t="e">
        <v>#N/A</v>
      </c>
      <c r="AR438" s="122">
        <v>45075</v>
      </c>
      <c r="AS438" s="122" t="e">
        <v>#N/A</v>
      </c>
      <c r="AT438" s="122" t="e">
        <v>#N/A</v>
      </c>
      <c r="AU438" s="121" t="e">
        <v>#N/A</v>
      </c>
      <c r="AV438" s="122" t="e">
        <v>#N/A</v>
      </c>
      <c r="AW438" s="122">
        <v>45849</v>
      </c>
      <c r="AX438" s="122" t="e">
        <v>#N/A</v>
      </c>
      <c r="AY438" s="122" t="e">
        <v>#N/A</v>
      </c>
      <c r="AZ438" s="122" t="e">
        <v>#N/A</v>
      </c>
      <c r="BA438" s="122">
        <v>45082</v>
      </c>
      <c r="BB438" s="122" t="e">
        <v>#N/A</v>
      </c>
      <c r="BC438" s="122" t="e">
        <v>#N/A</v>
      </c>
      <c r="BD438" s="122" t="e">
        <v>#N/A</v>
      </c>
      <c r="BE438" s="122" t="e">
        <v>#N/A</v>
      </c>
      <c r="BF438" s="122" t="e">
        <v>#N/A</v>
      </c>
      <c r="BG438" s="122" t="e">
        <v>#N/A</v>
      </c>
      <c r="BH438" s="122" t="e">
        <v>#N/A</v>
      </c>
      <c r="BI438" s="122" t="e">
        <v>#N/A</v>
      </c>
      <c r="BJ438" s="122" t="e">
        <v>#N/A</v>
      </c>
      <c r="BK438" s="122">
        <v>45972</v>
      </c>
      <c r="BL438" s="123"/>
      <c r="BM438" s="124" t="e">
        <v>#N/A</v>
      </c>
      <c r="BN438" s="124" t="e">
        <v>#N/A</v>
      </c>
      <c r="BO438" s="124" t="e">
        <v>#N/A</v>
      </c>
      <c r="BP438" s="124" t="e">
        <v>#N/A</v>
      </c>
      <c r="BQ438" s="124" t="e">
        <v>#N/A</v>
      </c>
      <c r="BR438" s="124" t="e">
        <v>#N/A</v>
      </c>
      <c r="BS438" s="124" t="e">
        <v>#N/A</v>
      </c>
      <c r="BT438" s="124" t="e">
        <v>#N/A</v>
      </c>
      <c r="BU438" s="124" t="e">
        <v>#N/A</v>
      </c>
      <c r="BV438" s="124" t="e">
        <v>#N/A</v>
      </c>
      <c r="BW438" s="124" t="e">
        <v>#N/A</v>
      </c>
      <c r="BX438" s="124" t="e">
        <v>#N/A</v>
      </c>
      <c r="BY438" s="124" t="e">
        <v>#N/A</v>
      </c>
      <c r="BZ438" s="124" t="e">
        <v>#N/A</v>
      </c>
      <c r="CA438" s="125"/>
      <c r="CB438" s="124">
        <v>45842</v>
      </c>
      <c r="CC438" s="126">
        <v>1</v>
      </c>
      <c r="CD438" s="127" t="s">
        <v>4189</v>
      </c>
      <c r="CE438" s="128"/>
      <c r="CF438" s="77" t="s">
        <v>4196</v>
      </c>
    </row>
    <row r="439" spans="1:85" ht="14.5" x14ac:dyDescent="0.35">
      <c r="A439" s="77">
        <v>438</v>
      </c>
      <c r="B439" s="106" t="s">
        <v>3365</v>
      </c>
      <c r="C439" s="107" t="s">
        <v>6620</v>
      </c>
      <c r="D439" s="108" t="s">
        <v>3343</v>
      </c>
      <c r="E439" s="109" t="s">
        <v>3344</v>
      </c>
      <c r="F439" s="110">
        <v>642216448</v>
      </c>
      <c r="G439" s="108" t="s">
        <v>1004</v>
      </c>
      <c r="H439" s="111" t="s">
        <v>191</v>
      </c>
      <c r="I439" s="111" t="s">
        <v>180</v>
      </c>
      <c r="J439" s="111" t="s">
        <v>4649</v>
      </c>
      <c r="K439" s="111" t="s">
        <v>3159</v>
      </c>
      <c r="L439" s="112">
        <v>45432</v>
      </c>
      <c r="M439" s="111" t="s">
        <v>2967</v>
      </c>
      <c r="N439" s="113"/>
      <c r="O439" s="114" t="s">
        <v>225</v>
      </c>
      <c r="P439" s="114" t="s">
        <v>225</v>
      </c>
      <c r="Q439" s="114" t="s">
        <v>4467</v>
      </c>
      <c r="R439" s="114" t="s">
        <v>4356</v>
      </c>
      <c r="S439" s="114" t="s">
        <v>4356</v>
      </c>
      <c r="T439" s="114" t="s">
        <v>4467</v>
      </c>
      <c r="U439" s="114" t="s">
        <v>4467</v>
      </c>
      <c r="V439" s="115"/>
      <c r="W439" s="116" t="s">
        <v>3345</v>
      </c>
      <c r="X439" s="116" t="s">
        <v>3346</v>
      </c>
      <c r="Y439" s="117">
        <v>3485924</v>
      </c>
      <c r="Z439" s="117">
        <v>3486477</v>
      </c>
      <c r="AA439" s="118"/>
      <c r="AB439" s="119" t="s">
        <v>5510</v>
      </c>
      <c r="AC439" s="119" t="s">
        <v>3391</v>
      </c>
      <c r="AD439" s="119">
        <v>5505</v>
      </c>
      <c r="AE439" s="119" t="s">
        <v>3347</v>
      </c>
      <c r="AF439" s="119" t="s">
        <v>7170</v>
      </c>
      <c r="AG439" s="120"/>
      <c r="AH439" s="121">
        <v>45448</v>
      </c>
      <c r="AI439" s="121">
        <v>45448</v>
      </c>
      <c r="AJ439" s="121">
        <v>45448</v>
      </c>
      <c r="AK439" s="122">
        <v>45448</v>
      </c>
      <c r="AL439" s="122">
        <v>45906</v>
      </c>
      <c r="AM439" s="121" t="e">
        <v>#N/A</v>
      </c>
      <c r="AN439" s="121" t="s">
        <v>7169</v>
      </c>
      <c r="AO439" s="121" t="e">
        <v>#N/A</v>
      </c>
      <c r="AP439" s="122" t="e">
        <v>#N/A</v>
      </c>
      <c r="AQ439" s="122" t="e">
        <v>#N/A</v>
      </c>
      <c r="AR439" s="122" t="e">
        <v>#N/A</v>
      </c>
      <c r="AS439" s="122" t="e">
        <v>#N/A</v>
      </c>
      <c r="AT439" s="122" t="e">
        <v>#N/A</v>
      </c>
      <c r="AU439" s="121" t="e">
        <v>#N/A</v>
      </c>
      <c r="AV439" s="122" t="e">
        <v>#N/A</v>
      </c>
      <c r="AW439" s="122">
        <v>45677</v>
      </c>
      <c r="AX439" s="122" t="e">
        <v>#N/A</v>
      </c>
      <c r="AY439" s="122" t="e">
        <v>#N/A</v>
      </c>
      <c r="AZ439" s="122" t="e">
        <v>#N/A</v>
      </c>
      <c r="BA439" s="122" t="e">
        <v>#N/A</v>
      </c>
      <c r="BB439" s="122" t="e">
        <v>#N/A</v>
      </c>
      <c r="BC439" s="122" t="e">
        <v>#N/A</v>
      </c>
      <c r="BD439" s="122" t="e">
        <v>#N/A</v>
      </c>
      <c r="BE439" s="122" t="e">
        <v>#N/A</v>
      </c>
      <c r="BF439" s="122" t="e">
        <v>#N/A</v>
      </c>
      <c r="BG439" s="122" t="e">
        <v>#N/A</v>
      </c>
      <c r="BH439" s="122" t="e">
        <v>#N/A</v>
      </c>
      <c r="BI439" s="122" t="e">
        <v>#N/A</v>
      </c>
      <c r="BJ439" s="122" t="e">
        <v>#N/A</v>
      </c>
      <c r="BK439" s="122">
        <v>45964</v>
      </c>
      <c r="BL439" s="123"/>
      <c r="BM439" s="124" t="e">
        <v>#N/A</v>
      </c>
      <c r="BN439" s="124" t="e">
        <v>#N/A</v>
      </c>
      <c r="BO439" s="124" t="e">
        <v>#N/A</v>
      </c>
      <c r="BP439" s="124" t="e">
        <v>#N/A</v>
      </c>
      <c r="BQ439" s="124" t="e">
        <v>#N/A</v>
      </c>
      <c r="BR439" s="124" t="e">
        <v>#N/A</v>
      </c>
      <c r="BS439" s="124" t="e">
        <v>#N/A</v>
      </c>
      <c r="BT439" s="124" t="e">
        <v>#N/A</v>
      </c>
      <c r="BU439" s="124" t="e">
        <v>#N/A</v>
      </c>
      <c r="BV439" s="124" t="e">
        <v>#N/A</v>
      </c>
      <c r="BW439" s="124" t="e">
        <v>#N/A</v>
      </c>
      <c r="BX439" s="124" t="e">
        <v>#N/A</v>
      </c>
      <c r="BY439" s="124" t="e">
        <v>#N/A</v>
      </c>
      <c r="BZ439" s="124" t="e">
        <v>#N/A</v>
      </c>
      <c r="CA439" s="125"/>
      <c r="CB439" s="124" t="e">
        <v>#N/A</v>
      </c>
      <c r="CC439" s="126">
        <v>1</v>
      </c>
      <c r="CD439" s="127" t="s">
        <v>4199</v>
      </c>
      <c r="CE439" s="128"/>
      <c r="CF439" s="77" t="s">
        <v>4196</v>
      </c>
    </row>
    <row r="440" spans="1:85" ht="14.5" x14ac:dyDescent="0.35">
      <c r="A440" s="77">
        <v>439</v>
      </c>
      <c r="B440" s="106" t="s">
        <v>2200</v>
      </c>
      <c r="C440" s="107" t="s">
        <v>6485</v>
      </c>
      <c r="D440" s="108" t="s">
        <v>2201</v>
      </c>
      <c r="E440" s="109" t="s">
        <v>2202</v>
      </c>
      <c r="F440" s="110" t="s">
        <v>4139</v>
      </c>
      <c r="G440" s="108" t="s">
        <v>1004</v>
      </c>
      <c r="H440" s="111" t="s">
        <v>191</v>
      </c>
      <c r="I440" s="111" t="s">
        <v>180</v>
      </c>
      <c r="J440" s="111" t="s">
        <v>4649</v>
      </c>
      <c r="K440" s="111" t="s">
        <v>3159</v>
      </c>
      <c r="L440" s="112">
        <v>44922</v>
      </c>
      <c r="M440" s="111" t="s">
        <v>2967</v>
      </c>
      <c r="N440" s="113"/>
      <c r="O440" s="114" t="s">
        <v>501</v>
      </c>
      <c r="P440" s="114" t="s">
        <v>6018</v>
      </c>
      <c r="Q440" s="114" t="s">
        <v>501</v>
      </c>
      <c r="R440" s="114" t="s">
        <v>6912</v>
      </c>
      <c r="S440" s="114" t="s">
        <v>7556</v>
      </c>
      <c r="T440" s="114" t="s">
        <v>4356</v>
      </c>
      <c r="U440" s="114" t="s">
        <v>4356</v>
      </c>
      <c r="V440" s="115"/>
      <c r="W440" s="116" t="s">
        <v>2203</v>
      </c>
      <c r="X440" s="116" t="s">
        <v>2204</v>
      </c>
      <c r="Y440" s="117">
        <v>3485763</v>
      </c>
      <c r="Z440" s="117">
        <v>3481441</v>
      </c>
      <c r="AA440" s="118"/>
      <c r="AB440" s="119" t="s">
        <v>5504</v>
      </c>
      <c r="AC440" s="119" t="s">
        <v>2277</v>
      </c>
      <c r="AD440" s="119">
        <v>4460</v>
      </c>
      <c r="AE440" s="119" t="s">
        <v>2278</v>
      </c>
      <c r="AF440" s="119">
        <v>0</v>
      </c>
      <c r="AG440" s="120"/>
      <c r="AH440" s="121">
        <v>44791</v>
      </c>
      <c r="AI440" s="121">
        <v>44802</v>
      </c>
      <c r="AJ440" s="121">
        <v>44802</v>
      </c>
      <c r="AK440" s="122">
        <v>44984</v>
      </c>
      <c r="AL440" s="122" t="e">
        <v>#N/A</v>
      </c>
      <c r="AM440" s="121" t="e">
        <v>#N/A</v>
      </c>
      <c r="AN440" s="121" t="e">
        <v>#N/A</v>
      </c>
      <c r="AO440" s="121" t="e">
        <v>#N/A</v>
      </c>
      <c r="AP440" s="122" t="e">
        <v>#N/A</v>
      </c>
      <c r="AQ440" s="122" t="e">
        <v>#N/A</v>
      </c>
      <c r="AR440" s="122" t="e">
        <v>#N/A</v>
      </c>
      <c r="AS440" s="122" t="e">
        <v>#N/A</v>
      </c>
      <c r="AT440" s="122" t="e">
        <v>#N/A</v>
      </c>
      <c r="AU440" s="121" t="e">
        <v>#N/A</v>
      </c>
      <c r="AV440" s="122" t="e">
        <v>#N/A</v>
      </c>
      <c r="AW440" s="122">
        <v>45757</v>
      </c>
      <c r="AX440" s="122" t="e">
        <v>#N/A</v>
      </c>
      <c r="AY440" s="122" t="e">
        <v>#N/A</v>
      </c>
      <c r="AZ440" s="122" t="e">
        <v>#N/A</v>
      </c>
      <c r="BA440" s="122" t="e">
        <v>#N/A</v>
      </c>
      <c r="BB440" s="122" t="e">
        <v>#N/A</v>
      </c>
      <c r="BC440" s="122" t="e">
        <v>#N/A</v>
      </c>
      <c r="BD440" s="122" t="e">
        <v>#N/A</v>
      </c>
      <c r="BE440" s="122" t="e">
        <v>#N/A</v>
      </c>
      <c r="BF440" s="122" t="e">
        <v>#N/A</v>
      </c>
      <c r="BG440" s="122" t="e">
        <v>#N/A</v>
      </c>
      <c r="BH440" s="122" t="e">
        <v>#N/A</v>
      </c>
      <c r="BI440" s="122" t="e">
        <v>#N/A</v>
      </c>
      <c r="BJ440" s="122" t="e">
        <v>#N/A</v>
      </c>
      <c r="BK440" s="122" t="e">
        <v>#N/A</v>
      </c>
      <c r="BL440" s="123"/>
      <c r="BM440" s="124" t="e">
        <v>#N/A</v>
      </c>
      <c r="BN440" s="124" t="e">
        <v>#N/A</v>
      </c>
      <c r="BO440" s="124" t="e">
        <v>#N/A</v>
      </c>
      <c r="BP440" s="124" t="e">
        <v>#N/A</v>
      </c>
      <c r="BQ440" s="124" t="e">
        <v>#N/A</v>
      </c>
      <c r="BR440" s="124" t="e">
        <v>#N/A</v>
      </c>
      <c r="BS440" s="124" t="e">
        <v>#N/A</v>
      </c>
      <c r="BT440" s="124" t="e">
        <v>#N/A</v>
      </c>
      <c r="BU440" s="124" t="e">
        <v>#N/A</v>
      </c>
      <c r="BV440" s="124" t="e">
        <v>#N/A</v>
      </c>
      <c r="BW440" s="124" t="e">
        <v>#N/A</v>
      </c>
      <c r="BX440" s="124" t="e">
        <v>#N/A</v>
      </c>
      <c r="BY440" s="124" t="e">
        <v>#N/A</v>
      </c>
      <c r="BZ440" s="124" t="e">
        <v>#N/A</v>
      </c>
      <c r="CA440" s="125"/>
      <c r="CB440" s="124" t="e">
        <v>#N/A</v>
      </c>
      <c r="CC440" s="126">
        <v>1</v>
      </c>
      <c r="CD440" s="127" t="s">
        <v>4185</v>
      </c>
      <c r="CE440" s="128"/>
      <c r="CF440" s="77" t="s">
        <v>4196</v>
      </c>
    </row>
    <row r="441" spans="1:85" ht="14.5" x14ac:dyDescent="0.35">
      <c r="A441" s="77">
        <v>440</v>
      </c>
      <c r="B441" s="106" t="s">
        <v>2354</v>
      </c>
      <c r="C441" s="107" t="s">
        <v>6424</v>
      </c>
      <c r="D441" s="108" t="s">
        <v>2399</v>
      </c>
      <c r="E441" s="109" t="s">
        <v>2355</v>
      </c>
      <c r="F441" s="110" t="s">
        <v>2400</v>
      </c>
      <c r="G441" s="108" t="s">
        <v>1004</v>
      </c>
      <c r="H441" s="111" t="s">
        <v>191</v>
      </c>
      <c r="I441" s="111" t="s">
        <v>180</v>
      </c>
      <c r="J441" s="111" t="s">
        <v>4649</v>
      </c>
      <c r="K441" s="111" t="s">
        <v>3159</v>
      </c>
      <c r="L441" s="112">
        <v>41617</v>
      </c>
      <c r="M441" s="111" t="s">
        <v>2967</v>
      </c>
      <c r="N441" s="113"/>
      <c r="O441" s="114" t="s">
        <v>330</v>
      </c>
      <c r="P441" s="114" t="s">
        <v>330</v>
      </c>
      <c r="Q441" s="114" t="s">
        <v>4469</v>
      </c>
      <c r="R441" s="114" t="s">
        <v>4469</v>
      </c>
      <c r="S441" s="114" t="s">
        <v>4469</v>
      </c>
      <c r="T441" s="114" t="s">
        <v>4356</v>
      </c>
      <c r="U441" s="114" t="s">
        <v>4356</v>
      </c>
      <c r="V441" s="115"/>
      <c r="W441" s="116" t="s">
        <v>2356</v>
      </c>
      <c r="X441" s="116" t="s">
        <v>2357</v>
      </c>
      <c r="Y441" s="117">
        <v>3485656</v>
      </c>
      <c r="Z441" s="117">
        <v>3486502</v>
      </c>
      <c r="AA441" s="118"/>
      <c r="AB441" s="119" t="s">
        <v>5263</v>
      </c>
      <c r="AC441" s="119" t="s">
        <v>2358</v>
      </c>
      <c r="AD441" s="119">
        <v>27688</v>
      </c>
      <c r="AE441" s="119" t="s">
        <v>2359</v>
      </c>
      <c r="AF441" s="119" t="s">
        <v>7087</v>
      </c>
      <c r="AG441" s="120"/>
      <c r="AH441" s="121">
        <v>44844</v>
      </c>
      <c r="AI441" s="121">
        <v>44844</v>
      </c>
      <c r="AJ441" s="121">
        <v>44844</v>
      </c>
      <c r="AK441" s="122">
        <v>44984</v>
      </c>
      <c r="AL441" s="122" t="e">
        <v>#N/A</v>
      </c>
      <c r="AM441" s="122" t="e">
        <v>#N/A</v>
      </c>
      <c r="AN441" s="122" t="e">
        <v>#N/A</v>
      </c>
      <c r="AO441" s="121" t="e">
        <v>#N/A</v>
      </c>
      <c r="AP441" s="122" t="e">
        <v>#N/A</v>
      </c>
      <c r="AQ441" s="122" t="e">
        <v>#N/A</v>
      </c>
      <c r="AR441" s="122" t="e">
        <v>#N/A</v>
      </c>
      <c r="AS441" s="122" t="e">
        <v>#N/A</v>
      </c>
      <c r="AT441" s="122">
        <v>44844</v>
      </c>
      <c r="AU441" s="121" t="e">
        <v>#N/A</v>
      </c>
      <c r="AV441" s="122" t="e">
        <v>#N/A</v>
      </c>
      <c r="AW441" s="122">
        <v>45723</v>
      </c>
      <c r="AX441" s="122" t="e">
        <v>#N/A</v>
      </c>
      <c r="AY441" s="122" t="e">
        <v>#N/A</v>
      </c>
      <c r="AZ441" s="122" t="e">
        <v>#N/A</v>
      </c>
      <c r="BA441" s="122" t="e">
        <v>#N/A</v>
      </c>
      <c r="BB441" s="122" t="e">
        <v>#N/A</v>
      </c>
      <c r="BC441" s="122" t="e">
        <v>#N/A</v>
      </c>
      <c r="BD441" s="122" t="e">
        <v>#N/A</v>
      </c>
      <c r="BE441" s="122" t="e">
        <v>#N/A</v>
      </c>
      <c r="BF441" s="122" t="e">
        <v>#N/A</v>
      </c>
      <c r="BG441" s="122" t="e">
        <v>#N/A</v>
      </c>
      <c r="BH441" s="122" t="e">
        <v>#N/A</v>
      </c>
      <c r="BI441" s="122" t="e">
        <v>#N/A</v>
      </c>
      <c r="BJ441" s="122" t="e">
        <v>#N/A</v>
      </c>
      <c r="BK441" s="122">
        <v>45964</v>
      </c>
      <c r="BL441" s="123"/>
      <c r="BM441" s="124" t="e">
        <v>#N/A</v>
      </c>
      <c r="BN441" s="124" t="e">
        <v>#N/A</v>
      </c>
      <c r="BO441" s="124" t="e">
        <v>#N/A</v>
      </c>
      <c r="BP441" s="124" t="e">
        <v>#N/A</v>
      </c>
      <c r="BQ441" s="124" t="e">
        <v>#N/A</v>
      </c>
      <c r="BR441" s="124" t="e">
        <v>#N/A</v>
      </c>
      <c r="BS441" s="124" t="e">
        <v>#N/A</v>
      </c>
      <c r="BT441" s="124" t="e">
        <v>#N/A</v>
      </c>
      <c r="BU441" s="124" t="e">
        <v>#N/A</v>
      </c>
      <c r="BV441" s="124" t="e">
        <v>#N/A</v>
      </c>
      <c r="BW441" s="124" t="e">
        <v>#N/A</v>
      </c>
      <c r="BX441" s="124" t="e">
        <v>#N/A</v>
      </c>
      <c r="BY441" s="124" t="e">
        <v>#N/A</v>
      </c>
      <c r="BZ441" s="124" t="e">
        <v>#N/A</v>
      </c>
      <c r="CA441" s="125"/>
      <c r="CB441" s="124" t="e">
        <v>#N/A</v>
      </c>
      <c r="CC441" s="126">
        <v>1</v>
      </c>
      <c r="CD441" s="127" t="s">
        <v>4190</v>
      </c>
      <c r="CE441" s="128"/>
      <c r="CF441" s="77" t="s">
        <v>4203</v>
      </c>
    </row>
    <row r="442" spans="1:85" ht="14.5" x14ac:dyDescent="0.35">
      <c r="A442" s="77">
        <v>441</v>
      </c>
      <c r="B442" s="106" t="s">
        <v>2222</v>
      </c>
      <c r="C442" s="107" t="s">
        <v>6509</v>
      </c>
      <c r="D442" s="108" t="s">
        <v>2266</v>
      </c>
      <c r="E442" s="109" t="s">
        <v>2267</v>
      </c>
      <c r="F442" s="110" t="s">
        <v>2268</v>
      </c>
      <c r="G442" s="108" t="s">
        <v>190</v>
      </c>
      <c r="H442" s="111" t="s">
        <v>191</v>
      </c>
      <c r="I442" s="111" t="s">
        <v>180</v>
      </c>
      <c r="J442" s="111" t="s">
        <v>4649</v>
      </c>
      <c r="K442" s="111" t="s">
        <v>3159</v>
      </c>
      <c r="L442" s="112">
        <v>44928</v>
      </c>
      <c r="M442" s="111" t="s">
        <v>1477</v>
      </c>
      <c r="N442" s="113"/>
      <c r="O442" s="114" t="s">
        <v>1013</v>
      </c>
      <c r="P442" s="114" t="s">
        <v>183</v>
      </c>
      <c r="Q442" s="114" t="s">
        <v>183</v>
      </c>
      <c r="R442" s="114" t="s">
        <v>7316</v>
      </c>
      <c r="S442" s="114" t="s">
        <v>1013</v>
      </c>
      <c r="T442" s="114" t="s">
        <v>1710</v>
      </c>
      <c r="U442" s="114" t="s">
        <v>1710</v>
      </c>
      <c r="V442" s="115"/>
      <c r="W442" s="116" t="s">
        <v>2269</v>
      </c>
      <c r="X442" s="116" t="s">
        <v>2270</v>
      </c>
      <c r="Y442" s="117">
        <v>3485753</v>
      </c>
      <c r="Z442" s="117">
        <v>3486595</v>
      </c>
      <c r="AA442" s="118"/>
      <c r="AB442" s="119" t="s">
        <v>5257</v>
      </c>
      <c r="AC442" s="119" t="s">
        <v>2287</v>
      </c>
      <c r="AD442" s="119">
        <v>5472</v>
      </c>
      <c r="AE442" s="119" t="s">
        <v>3260</v>
      </c>
      <c r="AF442" s="119">
        <v>0</v>
      </c>
      <c r="AG442" s="120"/>
      <c r="AH442" s="121">
        <v>44804</v>
      </c>
      <c r="AI442" s="121">
        <v>44804</v>
      </c>
      <c r="AJ442" s="121">
        <v>44804</v>
      </c>
      <c r="AK442" s="122">
        <v>45044</v>
      </c>
      <c r="AL442" s="122" t="e">
        <v>#N/A</v>
      </c>
      <c r="AM442" s="121" t="e">
        <v>#N/A</v>
      </c>
      <c r="AN442" s="121" t="e">
        <v>#N/A</v>
      </c>
      <c r="AO442" s="121" t="e">
        <v>#N/A</v>
      </c>
      <c r="AP442" s="122" t="e">
        <v>#N/A</v>
      </c>
      <c r="AQ442" s="122" t="e">
        <v>#N/A</v>
      </c>
      <c r="AR442" s="122" t="e">
        <v>#N/A</v>
      </c>
      <c r="AS442" s="122" t="e">
        <v>#N/A</v>
      </c>
      <c r="AT442" s="122" t="e">
        <v>#N/A</v>
      </c>
      <c r="AU442" s="121" t="e">
        <v>#N/A</v>
      </c>
      <c r="AV442" s="122" t="e">
        <v>#N/A</v>
      </c>
      <c r="AW442" s="122">
        <v>45671</v>
      </c>
      <c r="AX442" s="122" t="e">
        <v>#N/A</v>
      </c>
      <c r="AY442" s="122" t="e">
        <v>#N/A</v>
      </c>
      <c r="AZ442" s="122" t="e">
        <v>#N/A</v>
      </c>
      <c r="BA442" s="122" t="e">
        <v>#N/A</v>
      </c>
      <c r="BB442" s="122" t="e">
        <v>#N/A</v>
      </c>
      <c r="BC442" s="122" t="e">
        <v>#N/A</v>
      </c>
      <c r="BD442" s="122" t="e">
        <v>#N/A</v>
      </c>
      <c r="BE442" s="122" t="e">
        <v>#N/A</v>
      </c>
      <c r="BF442" s="122" t="e">
        <v>#N/A</v>
      </c>
      <c r="BG442" s="122" t="e">
        <v>#N/A</v>
      </c>
      <c r="BH442" s="122" t="e">
        <v>#N/A</v>
      </c>
      <c r="BI442" s="122" t="e">
        <v>#N/A</v>
      </c>
      <c r="BJ442" s="122" t="e">
        <v>#N/A</v>
      </c>
      <c r="BK442" s="122" t="e">
        <v>#N/A</v>
      </c>
      <c r="BL442" s="123"/>
      <c r="BM442" s="124">
        <v>45075</v>
      </c>
      <c r="BN442" s="124">
        <v>45078</v>
      </c>
      <c r="BO442" s="124" t="e">
        <v>#N/A</v>
      </c>
      <c r="BP442" s="124" t="e">
        <v>#N/A</v>
      </c>
      <c r="BQ442" s="124" t="e">
        <v>#N/A</v>
      </c>
      <c r="BR442" s="124" t="e">
        <v>#N/A</v>
      </c>
      <c r="BS442" s="124" t="e">
        <v>#N/A</v>
      </c>
      <c r="BT442" s="124" t="e">
        <v>#N/A</v>
      </c>
      <c r="BU442" s="124" t="e">
        <v>#N/A</v>
      </c>
      <c r="BV442" s="124" t="e">
        <v>#N/A</v>
      </c>
      <c r="BW442" s="124" t="e">
        <v>#N/A</v>
      </c>
      <c r="BX442" s="124" t="e">
        <v>#N/A</v>
      </c>
      <c r="BY442" s="124" t="e">
        <v>#N/A</v>
      </c>
      <c r="BZ442" s="124" t="e">
        <v>#N/A</v>
      </c>
      <c r="CA442" s="125"/>
      <c r="CB442" s="124" t="e">
        <v>#N/A</v>
      </c>
      <c r="CC442" s="126">
        <v>1</v>
      </c>
      <c r="CD442" s="127" t="s">
        <v>4184</v>
      </c>
      <c r="CE442" s="128"/>
      <c r="CF442" s="77" t="s">
        <v>4203</v>
      </c>
    </row>
    <row r="443" spans="1:85" ht="14.5" x14ac:dyDescent="0.35">
      <c r="A443" s="77">
        <v>442</v>
      </c>
      <c r="B443" s="106" t="s">
        <v>2986</v>
      </c>
      <c r="C443" s="107" t="s">
        <v>6565</v>
      </c>
      <c r="D443" s="108" t="s">
        <v>2961</v>
      </c>
      <c r="E443" s="109" t="s">
        <v>2962</v>
      </c>
      <c r="F443" s="110">
        <v>641670900</v>
      </c>
      <c r="G443" s="108" t="s">
        <v>190</v>
      </c>
      <c r="H443" s="111" t="s">
        <v>191</v>
      </c>
      <c r="I443" s="111" t="s">
        <v>180</v>
      </c>
      <c r="J443" s="111" t="s">
        <v>4649</v>
      </c>
      <c r="K443" s="111" t="s">
        <v>3159</v>
      </c>
      <c r="L443" s="112">
        <v>45195</v>
      </c>
      <c r="M443" s="111" t="s">
        <v>2352</v>
      </c>
      <c r="N443" s="113"/>
      <c r="O443" s="114" t="s">
        <v>7557</v>
      </c>
      <c r="P443" s="114" t="s">
        <v>7557</v>
      </c>
      <c r="Q443" s="114" t="s">
        <v>7557</v>
      </c>
      <c r="R443" s="114" t="s">
        <v>7358</v>
      </c>
      <c r="S443" s="114" t="s">
        <v>7557</v>
      </c>
      <c r="T443" s="114" t="s">
        <v>183</v>
      </c>
      <c r="U443" s="114" t="s">
        <v>183</v>
      </c>
      <c r="V443" s="115"/>
      <c r="W443" s="116" t="s">
        <v>2963</v>
      </c>
      <c r="X443" s="116" t="s">
        <v>2964</v>
      </c>
      <c r="Y443" s="117">
        <v>3485758</v>
      </c>
      <c r="Z443" s="117">
        <v>3481461</v>
      </c>
      <c r="AA443" s="118"/>
      <c r="AB443" s="119" t="s">
        <v>2965</v>
      </c>
      <c r="AC443" s="119" t="s">
        <v>2994</v>
      </c>
      <c r="AD443" s="119">
        <v>4379</v>
      </c>
      <c r="AE443" s="119" t="s">
        <v>2987</v>
      </c>
      <c r="AF443" s="119">
        <v>0</v>
      </c>
      <c r="AG443" s="120"/>
      <c r="AH443" s="121">
        <v>45195</v>
      </c>
      <c r="AI443" s="121">
        <v>45260</v>
      </c>
      <c r="AJ443" s="121">
        <v>45195</v>
      </c>
      <c r="AK443" s="122">
        <v>45260</v>
      </c>
      <c r="AL443" s="122">
        <v>45259</v>
      </c>
      <c r="AM443" s="121" t="e">
        <v>#N/A</v>
      </c>
      <c r="AN443" s="121" t="e">
        <v>#N/A</v>
      </c>
      <c r="AO443" s="121" t="e">
        <v>#N/A</v>
      </c>
      <c r="AP443" s="122" t="e">
        <v>#N/A</v>
      </c>
      <c r="AQ443" s="122" t="e">
        <v>#N/A</v>
      </c>
      <c r="AR443" s="122" t="e">
        <v>#N/A</v>
      </c>
      <c r="AS443" s="122" t="e">
        <v>#N/A</v>
      </c>
      <c r="AT443" s="122" t="e">
        <v>#N/A</v>
      </c>
      <c r="AU443" s="121" t="e">
        <v>#N/A</v>
      </c>
      <c r="AV443" s="122" t="e">
        <v>#N/A</v>
      </c>
      <c r="AW443" s="122">
        <v>45749</v>
      </c>
      <c r="AX443" s="122" t="e">
        <v>#N/A</v>
      </c>
      <c r="AY443" s="122" t="e">
        <v>#N/A</v>
      </c>
      <c r="AZ443" s="122" t="e">
        <v>#N/A</v>
      </c>
      <c r="BA443" s="122" t="e">
        <v>#N/A</v>
      </c>
      <c r="BB443" s="122" t="e">
        <v>#N/A</v>
      </c>
      <c r="BC443" s="122" t="e">
        <v>#N/A</v>
      </c>
      <c r="BD443" s="122" t="e">
        <v>#N/A</v>
      </c>
      <c r="BE443" s="122" t="e">
        <v>#N/A</v>
      </c>
      <c r="BF443" s="122" t="e">
        <v>#N/A</v>
      </c>
      <c r="BG443" s="122" t="e">
        <v>#N/A</v>
      </c>
      <c r="BH443" s="122" t="e">
        <v>#N/A</v>
      </c>
      <c r="BI443" s="122" t="e">
        <v>#N/A</v>
      </c>
      <c r="BJ443" s="122" t="e">
        <v>#N/A</v>
      </c>
      <c r="BK443" s="122" t="e">
        <v>#N/A</v>
      </c>
      <c r="BL443" s="123"/>
      <c r="BM443" s="124" t="e">
        <v>#N/A</v>
      </c>
      <c r="BN443" s="124" t="e">
        <v>#N/A</v>
      </c>
      <c r="BO443" s="124" t="e">
        <v>#N/A</v>
      </c>
      <c r="BP443" s="124" t="e">
        <v>#N/A</v>
      </c>
      <c r="BQ443" s="124" t="e">
        <v>#N/A</v>
      </c>
      <c r="BR443" s="124" t="e">
        <v>#N/A</v>
      </c>
      <c r="BS443" s="124" t="e">
        <v>#N/A</v>
      </c>
      <c r="BT443" s="124" t="e">
        <v>#N/A</v>
      </c>
      <c r="BU443" s="124" t="e">
        <v>#N/A</v>
      </c>
      <c r="BV443" s="124" t="e">
        <v>#N/A</v>
      </c>
      <c r="BW443" s="124" t="e">
        <v>#N/A</v>
      </c>
      <c r="BX443" s="124" t="e">
        <v>#N/A</v>
      </c>
      <c r="BY443" s="124" t="e">
        <v>#N/A</v>
      </c>
      <c r="BZ443" s="124" t="e">
        <v>#N/A</v>
      </c>
      <c r="CA443" s="125"/>
      <c r="CB443" s="124" t="e">
        <v>#N/A</v>
      </c>
      <c r="CC443" s="126">
        <v>1</v>
      </c>
      <c r="CD443" s="127" t="s">
        <v>4183</v>
      </c>
      <c r="CE443" s="128" t="e">
        <v>#REF!</v>
      </c>
      <c r="CF443" s="77" t="s">
        <v>4203</v>
      </c>
      <c r="CG443" s="77" t="e">
        <v>#REF!</v>
      </c>
    </row>
    <row r="444" spans="1:85" ht="14.5" x14ac:dyDescent="0.35">
      <c r="A444" s="77">
        <v>443</v>
      </c>
      <c r="B444" s="106" t="s">
        <v>3387</v>
      </c>
      <c r="C444" s="107" t="s">
        <v>6625</v>
      </c>
      <c r="D444" s="108" t="s">
        <v>3372</v>
      </c>
      <c r="E444" s="109" t="s">
        <v>3373</v>
      </c>
      <c r="F444" s="110">
        <v>629613146</v>
      </c>
      <c r="G444" s="108" t="s">
        <v>190</v>
      </c>
      <c r="H444" s="111" t="s">
        <v>191</v>
      </c>
      <c r="I444" s="111" t="s">
        <v>180</v>
      </c>
      <c r="J444" s="111" t="s">
        <v>4649</v>
      </c>
      <c r="K444" s="111" t="s">
        <v>3159</v>
      </c>
      <c r="L444" s="112">
        <v>45446</v>
      </c>
      <c r="M444" s="111" t="s">
        <v>2628</v>
      </c>
      <c r="N444" s="113"/>
      <c r="O444" s="114" t="s">
        <v>3419</v>
      </c>
      <c r="P444" s="114" t="s">
        <v>3419</v>
      </c>
      <c r="Q444" s="114" t="s">
        <v>3420</v>
      </c>
      <c r="R444" s="114" t="s">
        <v>7548</v>
      </c>
      <c r="S444" s="114" t="s">
        <v>3420</v>
      </c>
      <c r="T444" s="114" t="s">
        <v>183</v>
      </c>
      <c r="U444" s="114" t="s">
        <v>183</v>
      </c>
      <c r="V444" s="115"/>
      <c r="W444" s="116" t="s">
        <v>3374</v>
      </c>
      <c r="X444" s="116" t="s">
        <v>3375</v>
      </c>
      <c r="Y444" s="117">
        <v>3485952</v>
      </c>
      <c r="Z444" s="117">
        <v>3486652</v>
      </c>
      <c r="AA444" s="118"/>
      <c r="AB444" s="119" t="s">
        <v>5661</v>
      </c>
      <c r="AC444" s="119" t="s">
        <v>3510</v>
      </c>
      <c r="AD444" s="119">
        <v>5925</v>
      </c>
      <c r="AE444" s="119" t="s">
        <v>3415</v>
      </c>
      <c r="AF444" s="119">
        <v>0</v>
      </c>
      <c r="AG444" s="120"/>
      <c r="AH444" s="121">
        <v>45460</v>
      </c>
      <c r="AI444" s="121">
        <v>45460</v>
      </c>
      <c r="AJ444" s="121">
        <v>45460</v>
      </c>
      <c r="AK444" s="122">
        <v>45460</v>
      </c>
      <c r="AL444" s="122" t="e">
        <v>#N/A</v>
      </c>
      <c r="AM444" s="121" t="e">
        <v>#N/A</v>
      </c>
      <c r="AN444" s="121" t="e">
        <v>#N/A</v>
      </c>
      <c r="AO444" s="121" t="e">
        <v>#N/A</v>
      </c>
      <c r="AP444" s="122" t="e">
        <v>#N/A</v>
      </c>
      <c r="AQ444" s="122" t="e">
        <v>#N/A</v>
      </c>
      <c r="AR444" s="122" t="e">
        <v>#N/A</v>
      </c>
      <c r="AS444" s="122" t="e">
        <v>#N/A</v>
      </c>
      <c r="AT444" s="122" t="e">
        <v>#N/A</v>
      </c>
      <c r="AU444" s="121" t="e">
        <v>#N/A</v>
      </c>
      <c r="AV444" s="122" t="e">
        <v>#N/A</v>
      </c>
      <c r="AW444" s="122" t="e">
        <v>#N/A</v>
      </c>
      <c r="AX444" s="122" t="e">
        <v>#N/A</v>
      </c>
      <c r="AY444" s="122" t="e">
        <v>#N/A</v>
      </c>
      <c r="AZ444" s="122" t="e">
        <v>#N/A</v>
      </c>
      <c r="BA444" s="122" t="e">
        <v>#N/A</v>
      </c>
      <c r="BB444" s="122" t="e">
        <v>#N/A</v>
      </c>
      <c r="BC444" s="122" t="e">
        <v>#N/A</v>
      </c>
      <c r="BD444" s="122" t="e">
        <v>#N/A</v>
      </c>
      <c r="BE444" s="122" t="e">
        <v>#N/A</v>
      </c>
      <c r="BF444" s="122" t="e">
        <v>#N/A</v>
      </c>
      <c r="BG444" s="122" t="e">
        <v>#N/A</v>
      </c>
      <c r="BH444" s="122" t="e">
        <v>#N/A</v>
      </c>
      <c r="BI444" s="122" t="e">
        <v>#N/A</v>
      </c>
      <c r="BJ444" s="122" t="e">
        <v>#N/A</v>
      </c>
      <c r="BK444" s="122" t="e">
        <v>#N/A</v>
      </c>
      <c r="BL444" s="123"/>
      <c r="BM444" s="124" t="e">
        <v>#N/A</v>
      </c>
      <c r="BN444" s="124" t="e">
        <v>#N/A</v>
      </c>
      <c r="BO444" s="124" t="e">
        <v>#N/A</v>
      </c>
      <c r="BP444" s="124" t="e">
        <v>#N/A</v>
      </c>
      <c r="BQ444" s="124" t="e">
        <v>#N/A</v>
      </c>
      <c r="BR444" s="124" t="e">
        <v>#N/A</v>
      </c>
      <c r="BS444" s="124" t="e">
        <v>#N/A</v>
      </c>
      <c r="BT444" s="124" t="e">
        <v>#N/A</v>
      </c>
      <c r="BU444" s="124" t="e">
        <v>#N/A</v>
      </c>
      <c r="BV444" s="124" t="e">
        <v>#N/A</v>
      </c>
      <c r="BW444" s="124" t="e">
        <v>#N/A</v>
      </c>
      <c r="BX444" s="124" t="e">
        <v>#N/A</v>
      </c>
      <c r="BY444" s="124" t="e">
        <v>#N/A</v>
      </c>
      <c r="BZ444" s="124" t="e">
        <v>#N/A</v>
      </c>
      <c r="CA444" s="125"/>
      <c r="CB444" s="124" t="e">
        <v>#N/A</v>
      </c>
      <c r="CC444" s="126">
        <v>1</v>
      </c>
      <c r="CD444" s="127" t="s">
        <v>4188</v>
      </c>
      <c r="CE444" s="128"/>
      <c r="CF444" s="77" t="s">
        <v>4203</v>
      </c>
    </row>
    <row r="445" spans="1:85" ht="14.5" x14ac:dyDescent="0.35">
      <c r="A445" s="77">
        <v>444</v>
      </c>
      <c r="B445" s="106" t="s">
        <v>3270</v>
      </c>
      <c r="C445" s="107" t="s">
        <v>6466</v>
      </c>
      <c r="D445" s="108" t="s">
        <v>3271</v>
      </c>
      <c r="E445" s="109" t="s">
        <v>3272</v>
      </c>
      <c r="F445" s="110">
        <v>629152774</v>
      </c>
      <c r="G445" s="108" t="s">
        <v>1004</v>
      </c>
      <c r="H445" s="111" t="s">
        <v>191</v>
      </c>
      <c r="I445" s="111" t="s">
        <v>180</v>
      </c>
      <c r="J445" s="111" t="s">
        <v>4649</v>
      </c>
      <c r="K445" s="111" t="s">
        <v>3159</v>
      </c>
      <c r="L445" s="112">
        <v>45391</v>
      </c>
      <c r="M445" s="111" t="s">
        <v>2352</v>
      </c>
      <c r="N445" s="113"/>
      <c r="O445" s="114" t="s">
        <v>7558</v>
      </c>
      <c r="P445" s="114" t="s">
        <v>7558</v>
      </c>
      <c r="Q445" s="114" t="s">
        <v>4356</v>
      </c>
      <c r="R445" s="114" t="s">
        <v>4356</v>
      </c>
      <c r="S445" s="114" t="s">
        <v>7558</v>
      </c>
      <c r="T445" s="114" t="s">
        <v>7558</v>
      </c>
      <c r="U445" s="114" t="s">
        <v>7558</v>
      </c>
      <c r="V445" s="115"/>
      <c r="W445" s="116" t="s">
        <v>3273</v>
      </c>
      <c r="X445" s="116" t="s">
        <v>3274</v>
      </c>
      <c r="Y445" s="117">
        <v>3485889</v>
      </c>
      <c r="Z445" s="117">
        <v>3486460</v>
      </c>
      <c r="AA445" s="118"/>
      <c r="AB445" s="119" t="s">
        <v>5741</v>
      </c>
      <c r="AC445" s="119" t="s">
        <v>3275</v>
      </c>
      <c r="AD445" s="119">
        <v>5858</v>
      </c>
      <c r="AE445" s="119" t="s">
        <v>3408</v>
      </c>
      <c r="AF445" s="119" t="s">
        <v>7559</v>
      </c>
      <c r="AG445" s="120"/>
      <c r="AH445" s="121">
        <v>44733</v>
      </c>
      <c r="AI445" s="121">
        <v>44753</v>
      </c>
      <c r="AJ445" s="121">
        <v>45398</v>
      </c>
      <c r="AK445" s="122">
        <v>45951</v>
      </c>
      <c r="AL445" s="122" t="e">
        <v>#N/A</v>
      </c>
      <c r="AM445" s="121" t="e">
        <v>#N/A</v>
      </c>
      <c r="AN445" s="121" t="e">
        <v>#N/A</v>
      </c>
      <c r="AO445" s="121" t="e">
        <v>#N/A</v>
      </c>
      <c r="AP445" s="122" t="e">
        <v>#N/A</v>
      </c>
      <c r="AQ445" s="122" t="e">
        <v>#N/A</v>
      </c>
      <c r="AR445" s="122" t="e">
        <v>#N/A</v>
      </c>
      <c r="AS445" s="122" t="e">
        <v>#N/A</v>
      </c>
      <c r="AT445" s="122" t="e">
        <v>#N/A</v>
      </c>
      <c r="AU445" s="121" t="e">
        <v>#N/A</v>
      </c>
      <c r="AV445" s="122" t="e">
        <v>#N/A</v>
      </c>
      <c r="AW445" s="122" t="e">
        <v>#N/A</v>
      </c>
      <c r="AX445" s="122" t="e">
        <v>#N/A</v>
      </c>
      <c r="AY445" s="122" t="e">
        <v>#N/A</v>
      </c>
      <c r="AZ445" s="122" t="e">
        <v>#N/A</v>
      </c>
      <c r="BA445" s="122" t="e">
        <v>#N/A</v>
      </c>
      <c r="BB445" s="122" t="e">
        <v>#N/A</v>
      </c>
      <c r="BC445" s="122" t="e">
        <v>#N/A</v>
      </c>
      <c r="BD445" s="122" t="e">
        <v>#N/A</v>
      </c>
      <c r="BE445" s="122" t="e">
        <v>#N/A</v>
      </c>
      <c r="BF445" s="122" t="e">
        <v>#N/A</v>
      </c>
      <c r="BG445" s="122" t="e">
        <v>#N/A</v>
      </c>
      <c r="BH445" s="122" t="e">
        <v>#N/A</v>
      </c>
      <c r="BI445" s="122" t="e">
        <v>#N/A</v>
      </c>
      <c r="BJ445" s="122" t="e">
        <v>#N/A</v>
      </c>
      <c r="BK445" s="122">
        <v>45981</v>
      </c>
      <c r="BL445" s="123"/>
      <c r="BM445" s="124" t="e">
        <v>#N/A</v>
      </c>
      <c r="BN445" s="124" t="e">
        <v>#N/A</v>
      </c>
      <c r="BO445" s="124" t="e">
        <v>#N/A</v>
      </c>
      <c r="BP445" s="124" t="e">
        <v>#N/A</v>
      </c>
      <c r="BQ445" s="124" t="e">
        <v>#N/A</v>
      </c>
      <c r="BR445" s="124" t="e">
        <v>#N/A</v>
      </c>
      <c r="BS445" s="124" t="e">
        <v>#N/A</v>
      </c>
      <c r="BT445" s="124" t="e">
        <v>#N/A</v>
      </c>
      <c r="BU445" s="124" t="e">
        <v>#N/A</v>
      </c>
      <c r="BV445" s="124" t="e">
        <v>#N/A</v>
      </c>
      <c r="BW445" s="124" t="e">
        <v>#N/A</v>
      </c>
      <c r="BX445" s="124" t="e">
        <v>#N/A</v>
      </c>
      <c r="BY445" s="124" t="e">
        <v>#N/A</v>
      </c>
      <c r="BZ445" s="124" t="e">
        <v>#N/A</v>
      </c>
      <c r="CA445" s="125"/>
      <c r="CB445" s="124">
        <v>45728</v>
      </c>
      <c r="CC445" s="126">
        <v>1</v>
      </c>
      <c r="CD445" s="127" t="s">
        <v>4157</v>
      </c>
      <c r="CE445" s="128"/>
      <c r="CF445" s="77" t="s">
        <v>4203</v>
      </c>
    </row>
    <row r="446" spans="1:85" ht="14.5" x14ac:dyDescent="0.35">
      <c r="A446" s="77">
        <v>445</v>
      </c>
      <c r="B446" s="106" t="s">
        <v>147</v>
      </c>
      <c r="C446" s="107" t="s">
        <v>1358</v>
      </c>
      <c r="D446" s="108" t="s">
        <v>841</v>
      </c>
      <c r="E446" s="109" t="s">
        <v>842</v>
      </c>
      <c r="F446" s="110">
        <v>632110152</v>
      </c>
      <c r="G446" s="108" t="s">
        <v>1004</v>
      </c>
      <c r="H446" s="111" t="s">
        <v>191</v>
      </c>
      <c r="I446" s="111" t="s">
        <v>180</v>
      </c>
      <c r="J446" s="111" t="s">
        <v>4649</v>
      </c>
      <c r="K446" s="111" t="s">
        <v>3159</v>
      </c>
      <c r="L446" s="112">
        <v>44179</v>
      </c>
      <c r="M446" s="111" t="s">
        <v>2463</v>
      </c>
      <c r="N446" s="113"/>
      <c r="O446" s="114" t="s">
        <v>310</v>
      </c>
      <c r="P446" s="114" t="s">
        <v>694</v>
      </c>
      <c r="Q446" s="114" t="s">
        <v>183</v>
      </c>
      <c r="R446" s="114" t="s">
        <v>7462</v>
      </c>
      <c r="S446" s="114" t="s">
        <v>694</v>
      </c>
      <c r="T446" s="114" t="s">
        <v>6898</v>
      </c>
      <c r="U446" s="114" t="s">
        <v>6898</v>
      </c>
      <c r="V446" s="115"/>
      <c r="W446" s="116" t="s">
        <v>843</v>
      </c>
      <c r="X446" s="116" t="s">
        <v>844</v>
      </c>
      <c r="Y446" s="117">
        <v>3485153</v>
      </c>
      <c r="Z446" s="117">
        <v>3481194</v>
      </c>
      <c r="AA446" s="118"/>
      <c r="AB446" s="119" t="s">
        <v>5742</v>
      </c>
      <c r="AC446" s="119" t="s">
        <v>1359</v>
      </c>
      <c r="AD446" s="119">
        <v>4317</v>
      </c>
      <c r="AE446" s="119" t="s">
        <v>845</v>
      </c>
      <c r="AF446" s="119">
        <v>0</v>
      </c>
      <c r="AG446" s="120"/>
      <c r="AH446" s="121">
        <v>44197</v>
      </c>
      <c r="AI446" s="121">
        <v>44197</v>
      </c>
      <c r="AJ446" s="121">
        <v>44197</v>
      </c>
      <c r="AK446" s="122">
        <v>44197</v>
      </c>
      <c r="AL446" s="122" t="e">
        <v>#N/A</v>
      </c>
      <c r="AM446" s="121">
        <v>45614</v>
      </c>
      <c r="AN446" s="121" t="e">
        <v>#N/A</v>
      </c>
      <c r="AO446" s="121" t="e">
        <v>#N/A</v>
      </c>
      <c r="AP446" s="122" t="e">
        <v>#N/A</v>
      </c>
      <c r="AQ446" s="122" t="e">
        <v>#N/A</v>
      </c>
      <c r="AR446" s="122" t="e">
        <v>#N/A</v>
      </c>
      <c r="AS446" s="122" t="e">
        <v>#N/A</v>
      </c>
      <c r="AT446" s="122" t="e">
        <v>#N/A</v>
      </c>
      <c r="AU446" s="121" t="e">
        <v>#N/A</v>
      </c>
      <c r="AV446" s="122" t="e">
        <v>#N/A</v>
      </c>
      <c r="AW446" s="122" t="e">
        <v>#N/A</v>
      </c>
      <c r="AX446" s="122" t="e">
        <v>#N/A</v>
      </c>
      <c r="AY446" s="122" t="e">
        <v>#N/A</v>
      </c>
      <c r="AZ446" s="122" t="e">
        <v>#N/A</v>
      </c>
      <c r="BA446" s="122" t="e">
        <v>#N/A</v>
      </c>
      <c r="BB446" s="122" t="e">
        <v>#N/A</v>
      </c>
      <c r="BC446" s="122" t="e">
        <v>#N/A</v>
      </c>
      <c r="BD446" s="122" t="e">
        <v>#N/A</v>
      </c>
      <c r="BE446" s="122" t="e">
        <v>#N/A</v>
      </c>
      <c r="BF446" s="122" t="e">
        <v>#N/A</v>
      </c>
      <c r="BG446" s="122" t="e">
        <v>#N/A</v>
      </c>
      <c r="BH446" s="122" t="e">
        <v>#N/A</v>
      </c>
      <c r="BI446" s="122" t="e">
        <v>#N/A</v>
      </c>
      <c r="BJ446" s="122" t="e">
        <v>#N/A</v>
      </c>
      <c r="BK446" s="122" t="e">
        <v>#N/A</v>
      </c>
      <c r="BL446" s="123"/>
      <c r="BM446" s="124" t="e">
        <v>#N/A</v>
      </c>
      <c r="BN446" s="124" t="e">
        <v>#N/A</v>
      </c>
      <c r="BO446" s="124" t="e">
        <v>#N/A</v>
      </c>
      <c r="BP446" s="124" t="e">
        <v>#N/A</v>
      </c>
      <c r="BQ446" s="124" t="e">
        <v>#N/A</v>
      </c>
      <c r="BR446" s="124" t="e">
        <v>#N/A</v>
      </c>
      <c r="BS446" s="124" t="e">
        <v>#N/A</v>
      </c>
      <c r="BT446" s="124" t="e">
        <v>#N/A</v>
      </c>
      <c r="BU446" s="124" t="e">
        <v>#N/A</v>
      </c>
      <c r="BV446" s="124" t="e">
        <v>#N/A</v>
      </c>
      <c r="BW446" s="124" t="e">
        <v>#N/A</v>
      </c>
      <c r="BX446" s="124" t="e">
        <v>#N/A</v>
      </c>
      <c r="BY446" s="124" t="e">
        <v>#N/A</v>
      </c>
      <c r="BZ446" s="124" t="e">
        <v>#N/A</v>
      </c>
      <c r="CA446" s="125"/>
      <c r="CB446" s="124" t="e">
        <v>#N/A</v>
      </c>
      <c r="CC446" s="126">
        <v>1</v>
      </c>
      <c r="CD446" s="127" t="s">
        <v>4169</v>
      </c>
      <c r="CE446" s="128"/>
      <c r="CF446" s="77" t="s">
        <v>4197</v>
      </c>
    </row>
    <row r="447" spans="1:85" ht="14.5" x14ac:dyDescent="0.35">
      <c r="A447" s="77">
        <v>446</v>
      </c>
      <c r="B447" s="106" t="s">
        <v>4528</v>
      </c>
      <c r="C447" s="107" t="s">
        <v>6754</v>
      </c>
      <c r="D447" s="108" t="s">
        <v>4483</v>
      </c>
      <c r="E447" s="109" t="s">
        <v>4484</v>
      </c>
      <c r="F447" s="110">
        <v>722298517</v>
      </c>
      <c r="G447" s="108" t="s">
        <v>1004</v>
      </c>
      <c r="H447" s="111" t="s">
        <v>191</v>
      </c>
      <c r="I447" s="111" t="s">
        <v>180</v>
      </c>
      <c r="J447" s="111" t="s">
        <v>4649</v>
      </c>
      <c r="K447" s="111" t="s">
        <v>3159</v>
      </c>
      <c r="L447" s="112">
        <v>45810</v>
      </c>
      <c r="M447" s="111" t="s">
        <v>2463</v>
      </c>
      <c r="N447" s="113"/>
      <c r="O447" s="114" t="s">
        <v>567</v>
      </c>
      <c r="P447" s="114" t="s">
        <v>567</v>
      </c>
      <c r="Q447" s="114" t="s">
        <v>568</v>
      </c>
      <c r="R447" s="114" t="s">
        <v>7560</v>
      </c>
      <c r="S447" s="114" t="s">
        <v>183</v>
      </c>
      <c r="T447" s="114" t="s">
        <v>567</v>
      </c>
      <c r="U447" s="114" t="s">
        <v>567</v>
      </c>
      <c r="V447" s="115"/>
      <c r="W447" s="116" t="s">
        <v>4485</v>
      </c>
      <c r="X447" s="116" t="s">
        <v>4486</v>
      </c>
      <c r="Y447" s="117">
        <v>3485483</v>
      </c>
      <c r="Z447" s="117">
        <v>3486423</v>
      </c>
      <c r="AA447" s="118"/>
      <c r="AB447" s="119" t="s">
        <v>4487</v>
      </c>
      <c r="AC447" s="119" t="s">
        <v>4488</v>
      </c>
      <c r="AD447" s="119">
        <v>5539</v>
      </c>
      <c r="AE447" s="119" t="s">
        <v>4489</v>
      </c>
      <c r="AF447" s="119">
        <v>0</v>
      </c>
      <c r="AG447" s="120"/>
      <c r="AH447" s="121">
        <v>45810</v>
      </c>
      <c r="AI447" s="121">
        <v>45810</v>
      </c>
      <c r="AJ447" s="121">
        <v>45810</v>
      </c>
      <c r="AK447" s="122">
        <v>45810</v>
      </c>
      <c r="AL447" s="122" t="e">
        <v>#N/A</v>
      </c>
      <c r="AM447" s="121" t="e">
        <v>#N/A</v>
      </c>
      <c r="AN447" s="121" t="e">
        <v>#N/A</v>
      </c>
      <c r="AO447" s="121" t="e">
        <v>#N/A</v>
      </c>
      <c r="AP447" s="122" t="e">
        <v>#N/A</v>
      </c>
      <c r="AQ447" s="122" t="e">
        <v>#N/A</v>
      </c>
      <c r="AR447" s="122" t="e">
        <v>#N/A</v>
      </c>
      <c r="AS447" s="122" t="e">
        <v>#N/A</v>
      </c>
      <c r="AT447" s="122" t="e">
        <v>#N/A</v>
      </c>
      <c r="AU447" s="121" t="e">
        <v>#N/A</v>
      </c>
      <c r="AV447" s="122" t="e">
        <v>#N/A</v>
      </c>
      <c r="AW447" s="122">
        <v>45807</v>
      </c>
      <c r="AX447" s="122" t="e">
        <v>#N/A</v>
      </c>
      <c r="AY447" s="122" t="e">
        <v>#N/A</v>
      </c>
      <c r="AZ447" s="122" t="e">
        <v>#N/A</v>
      </c>
      <c r="BA447" s="122" t="e">
        <v>#N/A</v>
      </c>
      <c r="BB447" s="122" t="e">
        <v>#N/A</v>
      </c>
      <c r="BC447" s="122" t="e">
        <v>#N/A</v>
      </c>
      <c r="BD447" s="122" t="e">
        <v>#N/A</v>
      </c>
      <c r="BE447" s="122" t="e">
        <v>#N/A</v>
      </c>
      <c r="BF447" s="122" t="e">
        <v>#N/A</v>
      </c>
      <c r="BG447" s="122" t="e">
        <v>#N/A</v>
      </c>
      <c r="BH447" s="122" t="e">
        <v>#N/A</v>
      </c>
      <c r="BI447" s="122" t="e">
        <v>#N/A</v>
      </c>
      <c r="BJ447" s="122" t="e">
        <v>#N/A</v>
      </c>
      <c r="BK447" s="122" t="e">
        <v>#N/A</v>
      </c>
      <c r="BL447" s="123"/>
      <c r="BM447" s="124" t="e">
        <v>#N/A</v>
      </c>
      <c r="BN447" s="124" t="e">
        <v>#N/A</v>
      </c>
      <c r="BO447" s="124" t="e">
        <v>#N/A</v>
      </c>
      <c r="BP447" s="124" t="e">
        <v>#N/A</v>
      </c>
      <c r="BQ447" s="124" t="e">
        <v>#N/A</v>
      </c>
      <c r="BR447" s="124" t="e">
        <v>#N/A</v>
      </c>
      <c r="BS447" s="124" t="e">
        <v>#N/A</v>
      </c>
      <c r="BT447" s="124" t="e">
        <v>#N/A</v>
      </c>
      <c r="BU447" s="124" t="e">
        <v>#N/A</v>
      </c>
      <c r="BV447" s="124" t="e">
        <v>#N/A</v>
      </c>
      <c r="BW447" s="124" t="e">
        <v>#N/A</v>
      </c>
      <c r="BX447" s="124" t="e">
        <v>#N/A</v>
      </c>
      <c r="BY447" s="124" t="e">
        <v>#N/A</v>
      </c>
      <c r="BZ447" s="124" t="e">
        <v>#N/A</v>
      </c>
      <c r="CA447" s="125"/>
      <c r="CB447" s="124">
        <v>45821</v>
      </c>
      <c r="CC447" s="126">
        <v>1</v>
      </c>
      <c r="CD447" s="127" t="s">
        <v>4479</v>
      </c>
      <c r="CE447" s="128"/>
      <c r="CF447" s="77" t="s">
        <v>4197</v>
      </c>
    </row>
    <row r="448" spans="1:85" ht="14.5" x14ac:dyDescent="0.35">
      <c r="A448" s="77">
        <v>447</v>
      </c>
      <c r="B448" s="106" t="s">
        <v>1478</v>
      </c>
      <c r="C448" s="107" t="s">
        <v>1479</v>
      </c>
      <c r="D448" s="108" t="s">
        <v>1480</v>
      </c>
      <c r="E448" s="109" t="s">
        <v>1481</v>
      </c>
      <c r="F448" s="110">
        <v>692652860</v>
      </c>
      <c r="G448" s="108" t="s">
        <v>1004</v>
      </c>
      <c r="H448" s="111" t="s">
        <v>191</v>
      </c>
      <c r="I448" s="111" t="s">
        <v>180</v>
      </c>
      <c r="J448" s="111" t="s">
        <v>4649</v>
      </c>
      <c r="K448" s="111" t="s">
        <v>3159</v>
      </c>
      <c r="L448" s="112">
        <v>42999</v>
      </c>
      <c r="M448" s="111" t="s">
        <v>2352</v>
      </c>
      <c r="N448" s="113"/>
      <c r="O448" s="114" t="s">
        <v>225</v>
      </c>
      <c r="P448" s="114" t="s">
        <v>183</v>
      </c>
      <c r="Q448" s="114" t="s">
        <v>225</v>
      </c>
      <c r="R448" s="114" t="s">
        <v>7358</v>
      </c>
      <c r="S448" s="114" t="s">
        <v>183</v>
      </c>
      <c r="T448" s="114" t="s">
        <v>225</v>
      </c>
      <c r="U448" s="114" t="s">
        <v>225</v>
      </c>
      <c r="V448" s="115"/>
      <c r="W448" s="116" t="s">
        <v>1482</v>
      </c>
      <c r="X448" s="116" t="s">
        <v>1483</v>
      </c>
      <c r="Y448" s="117">
        <v>3485615</v>
      </c>
      <c r="Z448" s="117">
        <v>3486689</v>
      </c>
      <c r="AA448" s="118"/>
      <c r="AB448" s="119" t="s">
        <v>5847</v>
      </c>
      <c r="AC448" s="119" t="s">
        <v>1484</v>
      </c>
      <c r="AD448" s="119">
        <v>5062</v>
      </c>
      <c r="AE448" s="119" t="s">
        <v>4372</v>
      </c>
      <c r="AF448" s="119" t="s">
        <v>7561</v>
      </c>
      <c r="AG448" s="120"/>
      <c r="AH448" s="121">
        <v>44641</v>
      </c>
      <c r="AI448" s="121">
        <v>44641</v>
      </c>
      <c r="AJ448" s="121">
        <v>44641</v>
      </c>
      <c r="AK448" s="122">
        <v>44641</v>
      </c>
      <c r="AL448" s="122" t="e">
        <v>#N/A</v>
      </c>
      <c r="AM448" s="121" t="e">
        <v>#N/A</v>
      </c>
      <c r="AN448" s="121" t="e">
        <v>#N/A</v>
      </c>
      <c r="AO448" s="121" t="e">
        <v>#N/A</v>
      </c>
      <c r="AP448" s="122" t="e">
        <v>#N/A</v>
      </c>
      <c r="AQ448" s="122" t="e">
        <v>#N/A</v>
      </c>
      <c r="AR448" s="122" t="e">
        <v>#N/A</v>
      </c>
      <c r="AS448" s="122" t="e">
        <v>#N/A</v>
      </c>
      <c r="AT448" s="122">
        <v>44655</v>
      </c>
      <c r="AU448" s="121" t="e">
        <v>#N/A</v>
      </c>
      <c r="AV448" s="122" t="e">
        <v>#N/A</v>
      </c>
      <c r="AW448" s="122">
        <v>45733</v>
      </c>
      <c r="AX448" s="122" t="e">
        <v>#N/A</v>
      </c>
      <c r="AY448" s="122" t="e">
        <v>#N/A</v>
      </c>
      <c r="AZ448" s="122" t="e">
        <v>#N/A</v>
      </c>
      <c r="BA448" s="122" t="e">
        <v>#N/A</v>
      </c>
      <c r="BB448" s="122" t="e">
        <v>#N/A</v>
      </c>
      <c r="BC448" s="122" t="e">
        <v>#N/A</v>
      </c>
      <c r="BD448" s="122" t="e">
        <v>#N/A</v>
      </c>
      <c r="BE448" s="122" t="e">
        <v>#N/A</v>
      </c>
      <c r="BF448" s="122" t="e">
        <v>#N/A</v>
      </c>
      <c r="BG448" s="122" t="e">
        <v>#N/A</v>
      </c>
      <c r="BH448" s="122" t="e">
        <v>#N/A</v>
      </c>
      <c r="BI448" s="122" t="e">
        <v>#N/A</v>
      </c>
      <c r="BJ448" s="122" t="e">
        <v>#N/A</v>
      </c>
      <c r="BK448" s="122">
        <v>45978</v>
      </c>
      <c r="BL448" s="123"/>
      <c r="BM448" s="124" t="e">
        <v>#N/A</v>
      </c>
      <c r="BN448" s="124" t="e">
        <v>#N/A</v>
      </c>
      <c r="BO448" s="124" t="e">
        <v>#N/A</v>
      </c>
      <c r="BP448" s="124" t="e">
        <v>#N/A</v>
      </c>
      <c r="BQ448" s="124" t="e">
        <v>#N/A</v>
      </c>
      <c r="BR448" s="124" t="e">
        <v>#N/A</v>
      </c>
      <c r="BS448" s="124" t="e">
        <v>#N/A</v>
      </c>
      <c r="BT448" s="124" t="e">
        <v>#N/A</v>
      </c>
      <c r="BU448" s="124" t="e">
        <v>#N/A</v>
      </c>
      <c r="BV448" s="124" t="e">
        <v>#N/A</v>
      </c>
      <c r="BW448" s="124" t="e">
        <v>#N/A</v>
      </c>
      <c r="BX448" s="124" t="e">
        <v>#N/A</v>
      </c>
      <c r="BY448" s="124" t="e">
        <v>#N/A</v>
      </c>
      <c r="BZ448" s="124" t="e">
        <v>#N/A</v>
      </c>
      <c r="CA448" s="125"/>
      <c r="CB448" s="124" t="e">
        <v>#N/A</v>
      </c>
      <c r="CC448" s="126">
        <v>1</v>
      </c>
      <c r="CD448" s="127" t="s">
        <v>4151</v>
      </c>
      <c r="CE448" s="128"/>
      <c r="CF448" s="77" t="s">
        <v>4197</v>
      </c>
    </row>
    <row r="449" spans="1:85" ht="14.5" x14ac:dyDescent="0.35">
      <c r="A449" s="77">
        <v>448</v>
      </c>
      <c r="B449" s="106" t="s">
        <v>3790</v>
      </c>
      <c r="C449" s="107" t="s">
        <v>6685</v>
      </c>
      <c r="D449" s="108" t="s">
        <v>3791</v>
      </c>
      <c r="E449" s="109" t="s">
        <v>3792</v>
      </c>
      <c r="F449" s="110">
        <v>630648191</v>
      </c>
      <c r="G449" s="108" t="s">
        <v>190</v>
      </c>
      <c r="H449" s="111" t="s">
        <v>191</v>
      </c>
      <c r="I449" s="111" t="s">
        <v>180</v>
      </c>
      <c r="J449" s="111" t="s">
        <v>4649</v>
      </c>
      <c r="K449" s="111" t="s">
        <v>3159</v>
      </c>
      <c r="L449" s="112">
        <v>45505</v>
      </c>
      <c r="M449" s="111" t="s">
        <v>329</v>
      </c>
      <c r="N449" s="113"/>
      <c r="O449" s="114" t="s">
        <v>3064</v>
      </c>
      <c r="P449" s="114" t="s">
        <v>183</v>
      </c>
      <c r="Q449" s="114" t="s">
        <v>183</v>
      </c>
      <c r="R449" s="114" t="s">
        <v>7312</v>
      </c>
      <c r="S449" s="114" t="s">
        <v>3064</v>
      </c>
      <c r="T449" s="114" t="s">
        <v>3064</v>
      </c>
      <c r="U449" s="114" t="s">
        <v>3064</v>
      </c>
      <c r="V449" s="115"/>
      <c r="W449" s="116" t="s">
        <v>3793</v>
      </c>
      <c r="X449" s="116" t="s">
        <v>3794</v>
      </c>
      <c r="Y449" s="117">
        <v>3485868</v>
      </c>
      <c r="Z449" s="117">
        <v>3486351</v>
      </c>
      <c r="AA449" s="118"/>
      <c r="AB449" s="119" t="s">
        <v>5868</v>
      </c>
      <c r="AC449" s="119" t="s">
        <v>3795</v>
      </c>
      <c r="AD449" s="119">
        <v>5209</v>
      </c>
      <c r="AE449" s="119" t="s">
        <v>3796</v>
      </c>
      <c r="AF449" s="119">
        <v>0</v>
      </c>
      <c r="AG449" s="120"/>
      <c r="AH449" s="121">
        <v>45523</v>
      </c>
      <c r="AI449" s="121">
        <v>45523</v>
      </c>
      <c r="AJ449" s="121">
        <v>45523</v>
      </c>
      <c r="AK449" s="122">
        <v>45523</v>
      </c>
      <c r="AL449" s="122" t="e">
        <v>#N/A</v>
      </c>
      <c r="AM449" s="121" t="e">
        <v>#N/A</v>
      </c>
      <c r="AN449" s="121" t="e">
        <v>#N/A</v>
      </c>
      <c r="AO449" s="121" t="e">
        <v>#N/A</v>
      </c>
      <c r="AP449" s="122" t="e">
        <v>#N/A</v>
      </c>
      <c r="AQ449" s="122" t="e">
        <v>#N/A</v>
      </c>
      <c r="AR449" s="122" t="e">
        <v>#N/A</v>
      </c>
      <c r="AS449" s="122" t="e">
        <v>#N/A</v>
      </c>
      <c r="AT449" s="122" t="e">
        <v>#N/A</v>
      </c>
      <c r="AU449" s="121" t="e">
        <v>#N/A</v>
      </c>
      <c r="AV449" s="122" t="s">
        <v>4391</v>
      </c>
      <c r="AW449" s="122" t="e">
        <v>#N/A</v>
      </c>
      <c r="AX449" s="122" t="e">
        <v>#N/A</v>
      </c>
      <c r="AY449" s="122" t="e">
        <v>#N/A</v>
      </c>
      <c r="AZ449" s="122" t="e">
        <v>#N/A</v>
      </c>
      <c r="BA449" s="122" t="e">
        <v>#N/A</v>
      </c>
      <c r="BB449" s="122" t="e">
        <v>#N/A</v>
      </c>
      <c r="BC449" s="122" t="e">
        <v>#N/A</v>
      </c>
      <c r="BD449" s="122" t="e">
        <v>#N/A</v>
      </c>
      <c r="BE449" s="122" t="e">
        <v>#N/A</v>
      </c>
      <c r="BF449" s="122" t="e">
        <v>#N/A</v>
      </c>
      <c r="BG449" s="122" t="e">
        <v>#N/A</v>
      </c>
      <c r="BH449" s="122" t="e">
        <v>#N/A</v>
      </c>
      <c r="BI449" s="122" t="e">
        <v>#N/A</v>
      </c>
      <c r="BJ449" s="122" t="e">
        <v>#N/A</v>
      </c>
      <c r="BK449" s="122" t="e">
        <v>#N/A</v>
      </c>
      <c r="BL449" s="123"/>
      <c r="BM449" s="124" t="e">
        <v>#N/A</v>
      </c>
      <c r="BN449" s="124" t="e">
        <v>#N/A</v>
      </c>
      <c r="BO449" s="124" t="e">
        <v>#N/A</v>
      </c>
      <c r="BP449" s="124" t="e">
        <v>#N/A</v>
      </c>
      <c r="BQ449" s="124" t="e">
        <v>#N/A</v>
      </c>
      <c r="BR449" s="124" t="e">
        <v>#N/A</v>
      </c>
      <c r="BS449" s="124" t="e">
        <v>#N/A</v>
      </c>
      <c r="BT449" s="124" t="e">
        <v>#N/A</v>
      </c>
      <c r="BU449" s="124" t="e">
        <v>#N/A</v>
      </c>
      <c r="BV449" s="124" t="e">
        <v>#N/A</v>
      </c>
      <c r="BW449" s="124" t="e">
        <v>#N/A</v>
      </c>
      <c r="BX449" s="124" t="e">
        <v>#N/A</v>
      </c>
      <c r="BY449" s="124" t="e">
        <v>#N/A</v>
      </c>
      <c r="BZ449" s="124" t="e">
        <v>#N/A</v>
      </c>
      <c r="CA449" s="125"/>
      <c r="CB449" s="124" t="e">
        <v>#N/A</v>
      </c>
      <c r="CC449" s="126">
        <v>1</v>
      </c>
      <c r="CD449" s="127" t="s">
        <v>4206</v>
      </c>
      <c r="CE449" s="128"/>
      <c r="CF449" s="77" t="s">
        <v>4198</v>
      </c>
    </row>
    <row r="450" spans="1:85" ht="14.5" x14ac:dyDescent="0.35">
      <c r="A450" s="77">
        <v>449</v>
      </c>
      <c r="B450" s="106" t="s">
        <v>76</v>
      </c>
      <c r="C450" s="107" t="s">
        <v>1258</v>
      </c>
      <c r="D450" s="108" t="s">
        <v>604</v>
      </c>
      <c r="E450" s="109" t="s">
        <v>605</v>
      </c>
      <c r="F450" s="110" t="s">
        <v>606</v>
      </c>
      <c r="G450" s="108" t="s">
        <v>1004</v>
      </c>
      <c r="H450" s="111" t="s">
        <v>191</v>
      </c>
      <c r="I450" s="111" t="s">
        <v>180</v>
      </c>
      <c r="J450" s="111" t="s">
        <v>4649</v>
      </c>
      <c r="K450" s="111" t="s">
        <v>3159</v>
      </c>
      <c r="L450" s="112">
        <v>42683</v>
      </c>
      <c r="M450" s="111" t="s">
        <v>491</v>
      </c>
      <c r="N450" s="113"/>
      <c r="O450" s="114" t="s">
        <v>3366</v>
      </c>
      <c r="P450" s="114" t="s">
        <v>3366</v>
      </c>
      <c r="Q450" s="114" t="s">
        <v>478</v>
      </c>
      <c r="R450" s="114" t="s">
        <v>7391</v>
      </c>
      <c r="S450" s="114" t="s">
        <v>478</v>
      </c>
      <c r="T450" s="114" t="s">
        <v>183</v>
      </c>
      <c r="U450" s="114" t="s">
        <v>183</v>
      </c>
      <c r="V450" s="115"/>
      <c r="W450" s="116" t="s">
        <v>608</v>
      </c>
      <c r="X450" s="116" t="s">
        <v>1259</v>
      </c>
      <c r="Y450" s="117">
        <v>3485469</v>
      </c>
      <c r="Z450" s="117">
        <v>3481069</v>
      </c>
      <c r="AA450" s="118"/>
      <c r="AB450" s="119" t="s">
        <v>609</v>
      </c>
      <c r="AC450" s="119" t="s">
        <v>1260</v>
      </c>
      <c r="AD450" s="119">
        <v>2195</v>
      </c>
      <c r="AE450" s="119" t="s">
        <v>610</v>
      </c>
      <c r="AF450" s="119">
        <v>0</v>
      </c>
      <c r="AG450" s="120"/>
      <c r="AH450" s="121">
        <v>44197</v>
      </c>
      <c r="AI450" s="121">
        <v>44197</v>
      </c>
      <c r="AJ450" s="121">
        <v>44197</v>
      </c>
      <c r="AK450" s="122">
        <v>44197</v>
      </c>
      <c r="AL450" s="122" t="e">
        <v>#N/A</v>
      </c>
      <c r="AM450" s="121" t="e">
        <v>#N/A</v>
      </c>
      <c r="AN450" s="121" t="e">
        <v>#N/A</v>
      </c>
      <c r="AO450" s="121" t="e">
        <v>#N/A</v>
      </c>
      <c r="AP450" s="122" t="e">
        <v>#N/A</v>
      </c>
      <c r="AQ450" s="122" t="e">
        <v>#N/A</v>
      </c>
      <c r="AR450" s="122" t="e">
        <v>#N/A</v>
      </c>
      <c r="AS450" s="122" t="e">
        <v>#N/A</v>
      </c>
      <c r="AT450" s="122" t="e">
        <v>#N/A</v>
      </c>
      <c r="AU450" s="121" t="e">
        <v>#N/A</v>
      </c>
      <c r="AV450" s="122" t="e">
        <v>#N/A</v>
      </c>
      <c r="AW450" s="122" t="e">
        <v>#N/A</v>
      </c>
      <c r="AX450" s="122" t="e">
        <v>#N/A</v>
      </c>
      <c r="AY450" s="122" t="e">
        <v>#N/A</v>
      </c>
      <c r="AZ450" s="122" t="e">
        <v>#N/A</v>
      </c>
      <c r="BA450" s="122" t="e">
        <v>#N/A</v>
      </c>
      <c r="BB450" s="122" t="e">
        <v>#N/A</v>
      </c>
      <c r="BC450" s="122" t="e">
        <v>#N/A</v>
      </c>
      <c r="BD450" s="122" t="e">
        <v>#N/A</v>
      </c>
      <c r="BE450" s="122" t="e">
        <v>#N/A</v>
      </c>
      <c r="BF450" s="122" t="e">
        <v>#N/A</v>
      </c>
      <c r="BG450" s="122" t="e">
        <v>#N/A</v>
      </c>
      <c r="BH450" s="122" t="e">
        <v>#N/A</v>
      </c>
      <c r="BI450" s="122" t="e">
        <v>#N/A</v>
      </c>
      <c r="BJ450" s="122" t="e">
        <v>#N/A</v>
      </c>
      <c r="BK450" s="122" t="e">
        <v>#N/A</v>
      </c>
      <c r="BL450" s="123"/>
      <c r="BM450" s="124" t="e">
        <v>#N/A</v>
      </c>
      <c r="BN450" s="124" t="e">
        <v>#N/A</v>
      </c>
      <c r="BO450" s="124" t="e">
        <v>#N/A</v>
      </c>
      <c r="BP450" s="124" t="e">
        <v>#N/A</v>
      </c>
      <c r="BQ450" s="124" t="e">
        <v>#N/A</v>
      </c>
      <c r="BR450" s="124" t="e">
        <v>#N/A</v>
      </c>
      <c r="BS450" s="124" t="e">
        <v>#N/A</v>
      </c>
      <c r="BT450" s="124" t="e">
        <v>#N/A</v>
      </c>
      <c r="BU450" s="124" t="e">
        <v>#N/A</v>
      </c>
      <c r="BV450" s="124" t="e">
        <v>#N/A</v>
      </c>
      <c r="BW450" s="124" t="e">
        <v>#N/A</v>
      </c>
      <c r="BX450" s="124" t="e">
        <v>#N/A</v>
      </c>
      <c r="BY450" s="124" t="e">
        <v>#N/A</v>
      </c>
      <c r="BZ450" s="124" t="e">
        <v>#N/A</v>
      </c>
      <c r="CA450" s="125"/>
      <c r="CB450" s="124" t="e">
        <v>#N/A</v>
      </c>
      <c r="CC450" s="126">
        <v>1</v>
      </c>
      <c r="CD450" s="127" t="s">
        <v>4169</v>
      </c>
      <c r="CE450" s="128"/>
      <c r="CF450" s="77" t="s">
        <v>4198</v>
      </c>
    </row>
    <row r="451" spans="1:85" ht="14.5" x14ac:dyDescent="0.35">
      <c r="A451" s="77">
        <v>450</v>
      </c>
      <c r="B451" s="106" t="s">
        <v>3072</v>
      </c>
      <c r="C451" s="107" t="s">
        <v>6585</v>
      </c>
      <c r="D451" s="108" t="s">
        <v>3073</v>
      </c>
      <c r="E451" s="109" t="s">
        <v>3074</v>
      </c>
      <c r="F451" s="110">
        <v>672677764</v>
      </c>
      <c r="G451" s="108" t="s">
        <v>190</v>
      </c>
      <c r="H451" s="111" t="s">
        <v>191</v>
      </c>
      <c r="I451" s="111" t="s">
        <v>180</v>
      </c>
      <c r="J451" s="111" t="s">
        <v>4649</v>
      </c>
      <c r="K451" s="111" t="s">
        <v>3159</v>
      </c>
      <c r="L451" s="112">
        <v>45265</v>
      </c>
      <c r="M451" s="111" t="s">
        <v>2628</v>
      </c>
      <c r="N451" s="113"/>
      <c r="O451" s="114" t="s">
        <v>4496</v>
      </c>
      <c r="P451" s="114" t="s">
        <v>4496</v>
      </c>
      <c r="Q451" s="114" t="s">
        <v>4496</v>
      </c>
      <c r="R451" s="114" t="s">
        <v>7321</v>
      </c>
      <c r="S451" s="114" t="s">
        <v>4496</v>
      </c>
      <c r="T451" s="114" t="s">
        <v>183</v>
      </c>
      <c r="U451" s="114" t="s">
        <v>183</v>
      </c>
      <c r="V451" s="115"/>
      <c r="W451" s="116" t="s">
        <v>3075</v>
      </c>
      <c r="X451" s="116" t="s">
        <v>3076</v>
      </c>
      <c r="Y451" s="117">
        <v>3485878</v>
      </c>
      <c r="Z451" s="117">
        <v>3486448</v>
      </c>
      <c r="AA451" s="118"/>
      <c r="AB451" s="119" t="s">
        <v>3077</v>
      </c>
      <c r="AC451" s="119" t="s">
        <v>3078</v>
      </c>
      <c r="AD451" s="119">
        <v>5141</v>
      </c>
      <c r="AE451" s="119" t="s">
        <v>3261</v>
      </c>
      <c r="AF451" s="119">
        <v>0</v>
      </c>
      <c r="AG451" s="120"/>
      <c r="AH451" s="121">
        <v>45264</v>
      </c>
      <c r="AI451" s="121">
        <v>45359</v>
      </c>
      <c r="AJ451" s="121">
        <v>45264</v>
      </c>
      <c r="AK451" s="122">
        <v>45359</v>
      </c>
      <c r="AL451" s="122" t="e">
        <v>#N/A</v>
      </c>
      <c r="AM451" s="121" t="e">
        <v>#N/A</v>
      </c>
      <c r="AN451" s="121" t="e">
        <v>#N/A</v>
      </c>
      <c r="AO451" s="121" t="e">
        <v>#N/A</v>
      </c>
      <c r="AP451" s="122" t="e">
        <v>#N/A</v>
      </c>
      <c r="AQ451" s="122" t="e">
        <v>#N/A</v>
      </c>
      <c r="AR451" s="122" t="e">
        <v>#N/A</v>
      </c>
      <c r="AS451" s="122" t="e">
        <v>#N/A</v>
      </c>
      <c r="AT451" s="122" t="e">
        <v>#N/A</v>
      </c>
      <c r="AU451" s="121" t="e">
        <v>#N/A</v>
      </c>
      <c r="AV451" s="122" t="e">
        <v>#N/A</v>
      </c>
      <c r="AW451" s="122" t="e">
        <v>#N/A</v>
      </c>
      <c r="AX451" s="122" t="e">
        <v>#N/A</v>
      </c>
      <c r="AY451" s="122" t="e">
        <v>#N/A</v>
      </c>
      <c r="AZ451" s="122" t="e">
        <v>#N/A</v>
      </c>
      <c r="BA451" s="122" t="e">
        <v>#N/A</v>
      </c>
      <c r="BB451" s="122" t="e">
        <v>#N/A</v>
      </c>
      <c r="BC451" s="122" t="e">
        <v>#N/A</v>
      </c>
      <c r="BD451" s="122" t="e">
        <v>#N/A</v>
      </c>
      <c r="BE451" s="122" t="e">
        <v>#N/A</v>
      </c>
      <c r="BF451" s="122" t="e">
        <v>#N/A</v>
      </c>
      <c r="BG451" s="122" t="e">
        <v>#N/A</v>
      </c>
      <c r="BH451" s="122" t="e">
        <v>#N/A</v>
      </c>
      <c r="BI451" s="122" t="e">
        <v>#N/A</v>
      </c>
      <c r="BJ451" s="122" t="e">
        <v>#N/A</v>
      </c>
      <c r="BK451" s="122" t="e">
        <v>#N/A</v>
      </c>
      <c r="BL451" s="123"/>
      <c r="BM451" s="124">
        <v>45537</v>
      </c>
      <c r="BN451" s="124">
        <v>45537</v>
      </c>
      <c r="BO451" s="124">
        <v>45702</v>
      </c>
      <c r="BP451" s="124" t="e">
        <v>#N/A</v>
      </c>
      <c r="BQ451" s="124" t="e">
        <v>#N/A</v>
      </c>
      <c r="BR451" s="124" t="e">
        <v>#N/A</v>
      </c>
      <c r="BS451" s="124" t="e">
        <v>#N/A</v>
      </c>
      <c r="BT451" s="124" t="e">
        <v>#N/A</v>
      </c>
      <c r="BU451" s="124" t="e">
        <v>#N/A</v>
      </c>
      <c r="BV451" s="124" t="e">
        <v>#N/A</v>
      </c>
      <c r="BW451" s="124" t="e">
        <v>#N/A</v>
      </c>
      <c r="BX451" s="124" t="e">
        <v>#N/A</v>
      </c>
      <c r="BY451" s="124" t="e">
        <v>#N/A</v>
      </c>
      <c r="BZ451" s="124" t="e">
        <v>#N/A</v>
      </c>
      <c r="CA451" s="125"/>
      <c r="CB451" s="124" t="e">
        <v>#N/A</v>
      </c>
      <c r="CC451" s="126">
        <v>1</v>
      </c>
      <c r="CD451" s="127" t="s">
        <v>4195</v>
      </c>
      <c r="CE451" s="128"/>
      <c r="CF451" s="77" t="s">
        <v>4198</v>
      </c>
    </row>
    <row r="452" spans="1:85" ht="14.5" x14ac:dyDescent="0.35">
      <c r="A452" s="77">
        <v>451</v>
      </c>
      <c r="B452" s="106" t="s">
        <v>1066</v>
      </c>
      <c r="C452" s="107" t="s">
        <v>1623</v>
      </c>
      <c r="D452" s="108" t="s">
        <v>1067</v>
      </c>
      <c r="E452" s="109" t="s">
        <v>1068</v>
      </c>
      <c r="F452" s="110">
        <v>644810616</v>
      </c>
      <c r="G452" s="108" t="s">
        <v>1004</v>
      </c>
      <c r="H452" s="111" t="s">
        <v>191</v>
      </c>
      <c r="I452" s="111" t="s">
        <v>180</v>
      </c>
      <c r="J452" s="111" t="s">
        <v>4649</v>
      </c>
      <c r="K452" s="111" t="s">
        <v>3159</v>
      </c>
      <c r="L452" s="112">
        <v>44743</v>
      </c>
      <c r="M452" s="111" t="s">
        <v>253</v>
      </c>
      <c r="N452" s="113"/>
      <c r="O452" s="114" t="s">
        <v>246</v>
      </c>
      <c r="P452" s="114" t="s">
        <v>257</v>
      </c>
      <c r="Q452" s="114" t="s">
        <v>183</v>
      </c>
      <c r="R452" s="114" t="s">
        <v>7562</v>
      </c>
      <c r="S452" s="114" t="s">
        <v>257</v>
      </c>
      <c r="T452" s="114" t="s">
        <v>246</v>
      </c>
      <c r="U452" s="114" t="s">
        <v>246</v>
      </c>
      <c r="V452" s="115"/>
      <c r="W452" s="116" t="s">
        <v>1069</v>
      </c>
      <c r="X452" s="116" t="s">
        <v>1070</v>
      </c>
      <c r="Y452" s="117">
        <v>3485088</v>
      </c>
      <c r="Z452" s="117">
        <v>3486301</v>
      </c>
      <c r="AA452" s="118"/>
      <c r="AB452" s="119" t="s">
        <v>5743</v>
      </c>
      <c r="AC452" s="119" t="s">
        <v>1461</v>
      </c>
      <c r="AD452" s="119">
        <v>4270</v>
      </c>
      <c r="AE452" s="119" t="s">
        <v>1071</v>
      </c>
      <c r="AF452" s="119">
        <v>0</v>
      </c>
      <c r="AG452" s="120"/>
      <c r="AH452" s="121">
        <v>44606</v>
      </c>
      <c r="AI452" s="121">
        <v>44606</v>
      </c>
      <c r="AJ452" s="121">
        <v>44606</v>
      </c>
      <c r="AK452" s="122">
        <v>44606</v>
      </c>
      <c r="AL452" s="122">
        <v>45072</v>
      </c>
      <c r="AM452" s="121">
        <v>45082</v>
      </c>
      <c r="AN452" s="121" t="s">
        <v>7106</v>
      </c>
      <c r="AO452" s="121" t="s">
        <v>7065</v>
      </c>
      <c r="AP452" s="122" t="e">
        <v>#N/A</v>
      </c>
      <c r="AQ452" s="122">
        <v>45820</v>
      </c>
      <c r="AR452" s="122">
        <v>45072</v>
      </c>
      <c r="AS452" s="122" t="e">
        <v>#N/A</v>
      </c>
      <c r="AT452" s="122" t="e">
        <v>#N/A</v>
      </c>
      <c r="AU452" s="121">
        <v>45912</v>
      </c>
      <c r="AV452" s="122">
        <v>45737</v>
      </c>
      <c r="AW452" s="122">
        <v>45642</v>
      </c>
      <c r="AX452" s="122" t="e">
        <v>#N/A</v>
      </c>
      <c r="AY452" s="122" t="e">
        <v>#N/A</v>
      </c>
      <c r="AZ452" s="122" t="e">
        <v>#N/A</v>
      </c>
      <c r="BA452" s="122">
        <v>45082</v>
      </c>
      <c r="BB452" s="122" t="e">
        <v>#N/A</v>
      </c>
      <c r="BC452" s="122" t="e">
        <v>#N/A</v>
      </c>
      <c r="BD452" s="122" t="e">
        <v>#N/A</v>
      </c>
      <c r="BE452" s="122">
        <v>44991</v>
      </c>
      <c r="BF452" s="122" t="e">
        <v>#N/A</v>
      </c>
      <c r="BG452" s="122" t="e">
        <v>#N/A</v>
      </c>
      <c r="BH452" s="122" t="e">
        <v>#N/A</v>
      </c>
      <c r="BI452" s="122" t="e">
        <v>#N/A</v>
      </c>
      <c r="BJ452" s="122" t="e">
        <v>#N/A</v>
      </c>
      <c r="BK452" s="122" t="e">
        <v>#N/A</v>
      </c>
      <c r="BL452" s="123"/>
      <c r="BM452" s="124" t="e">
        <v>#N/A</v>
      </c>
      <c r="BN452" s="124" t="e">
        <v>#N/A</v>
      </c>
      <c r="BO452" s="124" t="e">
        <v>#N/A</v>
      </c>
      <c r="BP452" s="124" t="e">
        <v>#N/A</v>
      </c>
      <c r="BQ452" s="124" t="e">
        <v>#N/A</v>
      </c>
      <c r="BR452" s="124" t="e">
        <v>#N/A</v>
      </c>
      <c r="BS452" s="124" t="e">
        <v>#N/A</v>
      </c>
      <c r="BT452" s="124" t="e">
        <v>#N/A</v>
      </c>
      <c r="BU452" s="124" t="e">
        <v>#N/A</v>
      </c>
      <c r="BV452" s="124" t="e">
        <v>#N/A</v>
      </c>
      <c r="BW452" s="124" t="e">
        <v>#N/A</v>
      </c>
      <c r="BX452" s="124" t="e">
        <v>#N/A</v>
      </c>
      <c r="BY452" s="124" t="e">
        <v>#N/A</v>
      </c>
      <c r="BZ452" s="124" t="e">
        <v>#N/A</v>
      </c>
      <c r="CA452" s="125"/>
      <c r="CB452" s="124">
        <v>45727</v>
      </c>
      <c r="CC452" s="126">
        <v>1</v>
      </c>
      <c r="CD452" s="127" t="s">
        <v>4149</v>
      </c>
      <c r="CE452" s="128"/>
      <c r="CF452" s="77" t="s">
        <v>4198</v>
      </c>
    </row>
    <row r="453" spans="1:85" ht="14.5" x14ac:dyDescent="0.35">
      <c r="A453" s="77">
        <v>452</v>
      </c>
      <c r="B453" s="106" t="s">
        <v>3207</v>
      </c>
      <c r="C453" s="107" t="s">
        <v>6611</v>
      </c>
      <c r="D453" s="108" t="s">
        <v>3165</v>
      </c>
      <c r="E453" s="109" t="s">
        <v>3166</v>
      </c>
      <c r="F453" s="110">
        <v>670986129</v>
      </c>
      <c r="G453" s="108" t="s">
        <v>1004</v>
      </c>
      <c r="H453" s="111" t="s">
        <v>191</v>
      </c>
      <c r="I453" s="111" t="s">
        <v>180</v>
      </c>
      <c r="J453" s="111" t="s">
        <v>4649</v>
      </c>
      <c r="K453" s="111" t="s">
        <v>3159</v>
      </c>
      <c r="L453" s="112">
        <v>45348</v>
      </c>
      <c r="M453" s="111" t="s">
        <v>253</v>
      </c>
      <c r="N453" s="113"/>
      <c r="O453" s="114" t="s">
        <v>3122</v>
      </c>
      <c r="P453" s="114" t="s">
        <v>183</v>
      </c>
      <c r="Q453" s="114" t="s">
        <v>3122</v>
      </c>
      <c r="R453" s="114" t="s">
        <v>7563</v>
      </c>
      <c r="S453" s="114" t="s">
        <v>183</v>
      </c>
      <c r="T453" s="114" t="s">
        <v>3122</v>
      </c>
      <c r="U453" s="114" t="s">
        <v>3122</v>
      </c>
      <c r="V453" s="115"/>
      <c r="W453" s="116" t="s">
        <v>3167</v>
      </c>
      <c r="X453" s="116" t="s">
        <v>3168</v>
      </c>
      <c r="Y453" s="117">
        <v>3485776</v>
      </c>
      <c r="Z453" s="117">
        <v>3486340</v>
      </c>
      <c r="AA453" s="118"/>
      <c r="AB453" s="119" t="s">
        <v>5744</v>
      </c>
      <c r="AC453" s="119" t="s">
        <v>3169</v>
      </c>
      <c r="AD453" s="119">
        <v>5422</v>
      </c>
      <c r="AE453" s="119" t="s">
        <v>3170</v>
      </c>
      <c r="AF453" s="119" t="s">
        <v>7168</v>
      </c>
      <c r="AG453" s="120"/>
      <c r="AH453" s="121">
        <v>45345</v>
      </c>
      <c r="AI453" s="121">
        <v>45376</v>
      </c>
      <c r="AJ453" s="121">
        <v>45345</v>
      </c>
      <c r="AK453" s="122">
        <v>45478</v>
      </c>
      <c r="AL453" s="122">
        <v>45681</v>
      </c>
      <c r="AM453" s="122" t="e">
        <v>#N/A</v>
      </c>
      <c r="AN453" s="122" t="e">
        <v>#N/A</v>
      </c>
      <c r="AO453" s="121" t="e">
        <v>#N/A</v>
      </c>
      <c r="AP453" s="122" t="e">
        <v>#N/A</v>
      </c>
      <c r="AQ453" s="122" t="e">
        <v>#N/A</v>
      </c>
      <c r="AR453" s="122" t="e">
        <v>#N/A</v>
      </c>
      <c r="AS453" s="122" t="e">
        <v>#N/A</v>
      </c>
      <c r="AT453" s="122" t="e">
        <v>#N/A</v>
      </c>
      <c r="AU453" s="121" t="e">
        <v>#N/A</v>
      </c>
      <c r="AV453" s="122" t="e">
        <v>#N/A</v>
      </c>
      <c r="AW453" s="122">
        <v>45670</v>
      </c>
      <c r="AX453" s="122" t="e">
        <v>#N/A</v>
      </c>
      <c r="AY453" s="122" t="e">
        <v>#N/A</v>
      </c>
      <c r="AZ453" s="122" t="e">
        <v>#N/A</v>
      </c>
      <c r="BA453" s="122" t="e">
        <v>#N/A</v>
      </c>
      <c r="BB453" s="122" t="e">
        <v>#N/A</v>
      </c>
      <c r="BC453" s="122" t="e">
        <v>#N/A</v>
      </c>
      <c r="BD453" s="122" t="e">
        <v>#N/A</v>
      </c>
      <c r="BE453" s="122" t="e">
        <v>#N/A</v>
      </c>
      <c r="BF453" s="122" t="e">
        <v>#N/A</v>
      </c>
      <c r="BG453" s="122" t="e">
        <v>#N/A</v>
      </c>
      <c r="BH453" s="122" t="e">
        <v>#N/A</v>
      </c>
      <c r="BI453" s="122" t="e">
        <v>#N/A</v>
      </c>
      <c r="BJ453" s="122" t="e">
        <v>#N/A</v>
      </c>
      <c r="BK453" s="122">
        <v>45964</v>
      </c>
      <c r="BL453" s="123"/>
      <c r="BM453" s="124" t="e">
        <v>#N/A</v>
      </c>
      <c r="BN453" s="124" t="e">
        <v>#N/A</v>
      </c>
      <c r="BO453" s="124" t="e">
        <v>#N/A</v>
      </c>
      <c r="BP453" s="124" t="e">
        <v>#N/A</v>
      </c>
      <c r="BQ453" s="124" t="e">
        <v>#N/A</v>
      </c>
      <c r="BR453" s="124" t="e">
        <v>#N/A</v>
      </c>
      <c r="BS453" s="124" t="e">
        <v>#N/A</v>
      </c>
      <c r="BT453" s="124" t="e">
        <v>#N/A</v>
      </c>
      <c r="BU453" s="124" t="e">
        <v>#N/A</v>
      </c>
      <c r="BV453" s="124" t="e">
        <v>#N/A</v>
      </c>
      <c r="BW453" s="124" t="e">
        <v>#N/A</v>
      </c>
      <c r="BX453" s="124" t="e">
        <v>#N/A</v>
      </c>
      <c r="BY453" s="124" t="e">
        <v>#N/A</v>
      </c>
      <c r="BZ453" s="124" t="e">
        <v>#N/A</v>
      </c>
      <c r="CA453" s="125"/>
      <c r="CB453" s="124">
        <v>45728</v>
      </c>
      <c r="CC453" s="126">
        <v>1</v>
      </c>
      <c r="CD453" s="127" t="s">
        <v>4198</v>
      </c>
      <c r="CE453" s="128" t="e">
        <v>#REF!</v>
      </c>
      <c r="CF453" s="77" t="s">
        <v>4198</v>
      </c>
      <c r="CG453" s="77" t="e">
        <v>#REF!</v>
      </c>
    </row>
    <row r="454" spans="1:85" ht="14.5" x14ac:dyDescent="0.35">
      <c r="A454" s="77">
        <v>453</v>
      </c>
      <c r="B454" s="106" t="s">
        <v>3201</v>
      </c>
      <c r="C454" s="107" t="s">
        <v>6608</v>
      </c>
      <c r="D454" s="108" t="s">
        <v>3187</v>
      </c>
      <c r="E454" s="109" t="s">
        <v>3188</v>
      </c>
      <c r="F454" s="110">
        <v>625929079</v>
      </c>
      <c r="G454" s="108" t="s">
        <v>1004</v>
      </c>
      <c r="H454" s="111" t="s">
        <v>191</v>
      </c>
      <c r="I454" s="111" t="s">
        <v>180</v>
      </c>
      <c r="J454" s="111" t="s">
        <v>4649</v>
      </c>
      <c r="K454" s="111" t="s">
        <v>3159</v>
      </c>
      <c r="L454" s="112">
        <v>45348</v>
      </c>
      <c r="M454" s="111" t="s">
        <v>3172</v>
      </c>
      <c r="N454" s="113"/>
      <c r="O454" s="114" t="s">
        <v>607</v>
      </c>
      <c r="P454" s="114" t="s">
        <v>557</v>
      </c>
      <c r="Q454" s="114" t="s">
        <v>183</v>
      </c>
      <c r="R454" s="114" t="s">
        <v>7348</v>
      </c>
      <c r="S454" s="114" t="s">
        <v>557</v>
      </c>
      <c r="T454" s="114" t="s">
        <v>607</v>
      </c>
      <c r="U454" s="114" t="s">
        <v>607</v>
      </c>
      <c r="V454" s="115"/>
      <c r="W454" s="116" t="s">
        <v>3189</v>
      </c>
      <c r="X454" s="116" t="s">
        <v>3190</v>
      </c>
      <c r="Y454" s="117">
        <v>3485849</v>
      </c>
      <c r="Z454" s="117">
        <v>3481013</v>
      </c>
      <c r="AA454" s="118"/>
      <c r="AB454" s="119" t="s">
        <v>5662</v>
      </c>
      <c r="AC454" s="119" t="s">
        <v>3191</v>
      </c>
      <c r="AD454" s="119">
        <v>5482</v>
      </c>
      <c r="AE454" s="119" t="s">
        <v>3192</v>
      </c>
      <c r="AF454" s="119" t="s">
        <v>7564</v>
      </c>
      <c r="AG454" s="120"/>
      <c r="AH454" s="121">
        <v>44197</v>
      </c>
      <c r="AI454" s="121">
        <v>45376</v>
      </c>
      <c r="AJ454" s="121">
        <v>44197</v>
      </c>
      <c r="AK454" s="122">
        <v>45376</v>
      </c>
      <c r="AL454" s="122">
        <v>45482</v>
      </c>
      <c r="AM454" s="122" t="e">
        <v>#N/A</v>
      </c>
      <c r="AN454" s="122" t="s">
        <v>7133</v>
      </c>
      <c r="AO454" s="121" t="e">
        <v>#N/A</v>
      </c>
      <c r="AP454" s="122" t="e">
        <v>#N/A</v>
      </c>
      <c r="AQ454" s="122" t="e">
        <v>#N/A</v>
      </c>
      <c r="AR454" s="122">
        <v>45482</v>
      </c>
      <c r="AS454" s="122" t="e">
        <v>#N/A</v>
      </c>
      <c r="AT454" s="122" t="e">
        <v>#N/A</v>
      </c>
      <c r="AU454" s="121" t="e">
        <v>#N/A</v>
      </c>
      <c r="AV454" s="122" t="e">
        <v>#N/A</v>
      </c>
      <c r="AW454" s="122">
        <v>45700</v>
      </c>
      <c r="AX454" s="122" t="e">
        <v>#N/A</v>
      </c>
      <c r="AY454" s="122" t="e">
        <v>#N/A</v>
      </c>
      <c r="AZ454" s="122" t="e">
        <v>#N/A</v>
      </c>
      <c r="BA454" s="122" t="e">
        <v>#N/A</v>
      </c>
      <c r="BB454" s="122" t="e">
        <v>#N/A</v>
      </c>
      <c r="BC454" s="122" t="e">
        <v>#N/A</v>
      </c>
      <c r="BD454" s="122" t="e">
        <v>#N/A</v>
      </c>
      <c r="BE454" s="122" t="e">
        <v>#N/A</v>
      </c>
      <c r="BF454" s="122" t="e">
        <v>#N/A</v>
      </c>
      <c r="BG454" s="122" t="e">
        <v>#N/A</v>
      </c>
      <c r="BH454" s="122" t="e">
        <v>#N/A</v>
      </c>
      <c r="BI454" s="122" t="e">
        <v>#N/A</v>
      </c>
      <c r="BJ454" s="122" t="e">
        <v>#N/A</v>
      </c>
      <c r="BK454" s="122">
        <v>45982</v>
      </c>
      <c r="BL454" s="123"/>
      <c r="BM454" s="124" t="e">
        <v>#N/A</v>
      </c>
      <c r="BN454" s="124" t="e">
        <v>#N/A</v>
      </c>
      <c r="BO454" s="124" t="e">
        <v>#N/A</v>
      </c>
      <c r="BP454" s="124" t="e">
        <v>#N/A</v>
      </c>
      <c r="BQ454" s="124" t="e">
        <v>#N/A</v>
      </c>
      <c r="BR454" s="124" t="e">
        <v>#N/A</v>
      </c>
      <c r="BS454" s="124" t="e">
        <v>#N/A</v>
      </c>
      <c r="BT454" s="124" t="e">
        <v>#N/A</v>
      </c>
      <c r="BU454" s="124" t="e">
        <v>#N/A</v>
      </c>
      <c r="BV454" s="124" t="e">
        <v>#N/A</v>
      </c>
      <c r="BW454" s="124" t="e">
        <v>#N/A</v>
      </c>
      <c r="BX454" s="124" t="e">
        <v>#N/A</v>
      </c>
      <c r="BY454" s="124" t="e">
        <v>#N/A</v>
      </c>
      <c r="BZ454" s="124" t="e">
        <v>#N/A</v>
      </c>
      <c r="CA454" s="125"/>
      <c r="CB454" s="124" t="e">
        <v>#N/A</v>
      </c>
      <c r="CC454" s="126">
        <v>1</v>
      </c>
      <c r="CD454" s="127" t="s">
        <v>4198</v>
      </c>
      <c r="CE454" s="128"/>
      <c r="CF454" s="77" t="s">
        <v>4198</v>
      </c>
    </row>
    <row r="455" spans="1:85" ht="14.5" x14ac:dyDescent="0.35">
      <c r="A455" s="77">
        <v>454</v>
      </c>
      <c r="B455" s="106" t="s">
        <v>3206</v>
      </c>
      <c r="C455" s="107" t="s">
        <v>6604</v>
      </c>
      <c r="D455" s="108" t="s">
        <v>3182</v>
      </c>
      <c r="E455" s="109" t="s">
        <v>3183</v>
      </c>
      <c r="F455" s="110">
        <v>642487992</v>
      </c>
      <c r="G455" s="108" t="s">
        <v>190</v>
      </c>
      <c r="H455" s="111" t="s">
        <v>191</v>
      </c>
      <c r="I455" s="111" t="s">
        <v>180</v>
      </c>
      <c r="J455" s="111" t="s">
        <v>4649</v>
      </c>
      <c r="K455" s="111" t="s">
        <v>3159</v>
      </c>
      <c r="L455" s="112">
        <v>45348</v>
      </c>
      <c r="M455" s="111" t="s">
        <v>2628</v>
      </c>
      <c r="N455" s="113"/>
      <c r="O455" s="114" t="s">
        <v>4496</v>
      </c>
      <c r="P455" s="114" t="s">
        <v>4496</v>
      </c>
      <c r="Q455" s="114" t="s">
        <v>4496</v>
      </c>
      <c r="R455" s="114" t="s">
        <v>7321</v>
      </c>
      <c r="S455" s="114" t="s">
        <v>4496</v>
      </c>
      <c r="T455" s="114" t="s">
        <v>183</v>
      </c>
      <c r="U455" s="114" t="s">
        <v>183</v>
      </c>
      <c r="V455" s="115"/>
      <c r="W455" s="116" t="s">
        <v>3184</v>
      </c>
      <c r="X455" s="116" t="s">
        <v>3185</v>
      </c>
      <c r="Y455" s="117">
        <v>3485406</v>
      </c>
      <c r="Z455" s="117">
        <v>3486364</v>
      </c>
      <c r="AA455" s="118"/>
      <c r="AB455" s="119" t="s">
        <v>5533</v>
      </c>
      <c r="AC455" s="119" t="s">
        <v>3186</v>
      </c>
      <c r="AD455" s="119" t="s">
        <v>3923</v>
      </c>
      <c r="AE455" s="119" t="s">
        <v>3923</v>
      </c>
      <c r="AF455" s="119">
        <v>0</v>
      </c>
      <c r="AG455" s="120"/>
      <c r="AH455" s="121">
        <v>45345</v>
      </c>
      <c r="AI455" s="121">
        <v>45376</v>
      </c>
      <c r="AJ455" s="121">
        <v>45345</v>
      </c>
      <c r="AK455" s="122">
        <v>45376</v>
      </c>
      <c r="AL455" s="122" t="e">
        <v>#N/A</v>
      </c>
      <c r="AM455" s="121">
        <v>45614</v>
      </c>
      <c r="AN455" s="121" t="e">
        <v>#N/A</v>
      </c>
      <c r="AO455" s="121" t="e">
        <v>#N/A</v>
      </c>
      <c r="AP455" s="122" t="e">
        <v>#N/A</v>
      </c>
      <c r="AQ455" s="122" t="e">
        <v>#N/A</v>
      </c>
      <c r="AR455" s="122" t="e">
        <v>#N/A</v>
      </c>
      <c r="AS455" s="122" t="e">
        <v>#N/A</v>
      </c>
      <c r="AT455" s="122" t="e">
        <v>#N/A</v>
      </c>
      <c r="AU455" s="121" t="e">
        <v>#N/A</v>
      </c>
      <c r="AV455" s="122" t="e">
        <v>#N/A</v>
      </c>
      <c r="AW455" s="122" t="e">
        <v>#N/A</v>
      </c>
      <c r="AX455" s="122" t="e">
        <v>#N/A</v>
      </c>
      <c r="AY455" s="122" t="e">
        <v>#N/A</v>
      </c>
      <c r="AZ455" s="122" t="e">
        <v>#N/A</v>
      </c>
      <c r="BA455" s="122" t="e">
        <v>#N/A</v>
      </c>
      <c r="BB455" s="122" t="e">
        <v>#N/A</v>
      </c>
      <c r="BC455" s="122" t="e">
        <v>#N/A</v>
      </c>
      <c r="BD455" s="122" t="e">
        <v>#N/A</v>
      </c>
      <c r="BE455" s="122" t="e">
        <v>#N/A</v>
      </c>
      <c r="BF455" s="122" t="e">
        <v>#N/A</v>
      </c>
      <c r="BG455" s="122" t="e">
        <v>#N/A</v>
      </c>
      <c r="BH455" s="122" t="e">
        <v>#N/A</v>
      </c>
      <c r="BI455" s="122" t="e">
        <v>#N/A</v>
      </c>
      <c r="BJ455" s="122" t="e">
        <v>#N/A</v>
      </c>
      <c r="BK455" s="122" t="e">
        <v>#N/A</v>
      </c>
      <c r="BL455" s="123"/>
      <c r="BM455" s="124" t="e">
        <v>#N/A</v>
      </c>
      <c r="BN455" s="124" t="e">
        <v>#N/A</v>
      </c>
      <c r="BO455" s="124" t="e">
        <v>#N/A</v>
      </c>
      <c r="BP455" s="124" t="e">
        <v>#N/A</v>
      </c>
      <c r="BQ455" s="124" t="e">
        <v>#N/A</v>
      </c>
      <c r="BR455" s="124" t="e">
        <v>#N/A</v>
      </c>
      <c r="BS455" s="124" t="e">
        <v>#N/A</v>
      </c>
      <c r="BT455" s="124" t="e">
        <v>#N/A</v>
      </c>
      <c r="BU455" s="124" t="e">
        <v>#N/A</v>
      </c>
      <c r="BV455" s="124" t="e">
        <v>#N/A</v>
      </c>
      <c r="BW455" s="124" t="e">
        <v>#N/A</v>
      </c>
      <c r="BX455" s="124" t="e">
        <v>#N/A</v>
      </c>
      <c r="BY455" s="124" t="e">
        <v>#N/A</v>
      </c>
      <c r="BZ455" s="124" t="e">
        <v>#N/A</v>
      </c>
      <c r="CA455" s="125"/>
      <c r="CB455" s="124" t="e">
        <v>#N/A</v>
      </c>
      <c r="CC455" s="126">
        <v>1</v>
      </c>
      <c r="CD455" s="127" t="s">
        <v>4198</v>
      </c>
      <c r="CE455" s="128"/>
      <c r="CF455" s="77" t="s">
        <v>4198</v>
      </c>
    </row>
    <row r="456" spans="1:85" ht="14.5" x14ac:dyDescent="0.35">
      <c r="A456" s="77">
        <v>455</v>
      </c>
      <c r="B456" s="106" t="s">
        <v>3500</v>
      </c>
      <c r="C456" s="107" t="s">
        <v>6629</v>
      </c>
      <c r="D456" s="108" t="s">
        <v>3467</v>
      </c>
      <c r="E456" s="109" t="s">
        <v>3468</v>
      </c>
      <c r="F456" s="110">
        <v>631996605</v>
      </c>
      <c r="G456" s="108" t="s">
        <v>1004</v>
      </c>
      <c r="H456" s="111" t="s">
        <v>191</v>
      </c>
      <c r="I456" s="111" t="s">
        <v>180</v>
      </c>
      <c r="J456" s="111" t="s">
        <v>4649</v>
      </c>
      <c r="K456" s="111" t="s">
        <v>3159</v>
      </c>
      <c r="L456" s="112">
        <v>45464</v>
      </c>
      <c r="M456" s="111" t="s">
        <v>4022</v>
      </c>
      <c r="N456" s="113"/>
      <c r="O456" s="114" t="s">
        <v>813</v>
      </c>
      <c r="P456" s="114" t="s">
        <v>285</v>
      </c>
      <c r="Q456" s="114" t="s">
        <v>183</v>
      </c>
      <c r="R456" s="114" t="s">
        <v>7565</v>
      </c>
      <c r="S456" s="114" t="s">
        <v>813</v>
      </c>
      <c r="T456" s="114" t="s">
        <v>813</v>
      </c>
      <c r="U456" s="114" t="s">
        <v>813</v>
      </c>
      <c r="V456" s="115"/>
      <c r="W456" s="116" t="s">
        <v>3469</v>
      </c>
      <c r="X456" s="116" t="s">
        <v>3470</v>
      </c>
      <c r="Y456" s="117">
        <v>3485967</v>
      </c>
      <c r="Z456" s="117">
        <v>3486699</v>
      </c>
      <c r="AA456" s="118"/>
      <c r="AB456" s="119" t="s">
        <v>5870</v>
      </c>
      <c r="AC456" s="119" t="s">
        <v>3514</v>
      </c>
      <c r="AD456" s="119">
        <v>5058</v>
      </c>
      <c r="AE456" s="119" t="s">
        <v>6251</v>
      </c>
      <c r="AF456" s="119" t="s">
        <v>6630</v>
      </c>
      <c r="AG456" s="120"/>
      <c r="AH456" s="121">
        <v>45481</v>
      </c>
      <c r="AI456" s="121">
        <v>45481</v>
      </c>
      <c r="AJ456" s="121">
        <v>45481</v>
      </c>
      <c r="AK456" s="122">
        <v>45481</v>
      </c>
      <c r="AL456" s="122" t="e">
        <v>#N/A</v>
      </c>
      <c r="AM456" s="121" t="e">
        <v>#N/A</v>
      </c>
      <c r="AN456" s="121" t="e">
        <v>#N/A</v>
      </c>
      <c r="AO456" s="121" t="e">
        <v>#N/A</v>
      </c>
      <c r="AP456" s="122" t="e">
        <v>#N/A</v>
      </c>
      <c r="AQ456" s="122" t="e">
        <v>#N/A</v>
      </c>
      <c r="AR456" s="122" t="e">
        <v>#N/A</v>
      </c>
      <c r="AS456" s="122" t="e">
        <v>#N/A</v>
      </c>
      <c r="AT456" s="122" t="e">
        <v>#N/A</v>
      </c>
      <c r="AU456" s="121" t="e">
        <v>#N/A</v>
      </c>
      <c r="AV456" s="122">
        <v>45611</v>
      </c>
      <c r="AW456" s="122">
        <v>45582</v>
      </c>
      <c r="AX456" s="122" t="e">
        <v>#N/A</v>
      </c>
      <c r="AY456" s="122" t="e">
        <v>#N/A</v>
      </c>
      <c r="AZ456" s="122" t="e">
        <v>#N/A</v>
      </c>
      <c r="BA456" s="122" t="e">
        <v>#N/A</v>
      </c>
      <c r="BB456" s="122" t="e">
        <v>#N/A</v>
      </c>
      <c r="BC456" s="122" t="e">
        <v>#N/A</v>
      </c>
      <c r="BD456" s="122" t="e">
        <v>#N/A</v>
      </c>
      <c r="BE456" s="122" t="e">
        <v>#N/A</v>
      </c>
      <c r="BF456" s="122" t="e">
        <v>#N/A</v>
      </c>
      <c r="BG456" s="122" t="e">
        <v>#N/A</v>
      </c>
      <c r="BH456" s="122" t="e">
        <v>#N/A</v>
      </c>
      <c r="BI456" s="122" t="e">
        <v>#N/A</v>
      </c>
      <c r="BJ456" s="122" t="e">
        <v>#N/A</v>
      </c>
      <c r="BK456" s="122">
        <v>45953</v>
      </c>
      <c r="BL456" s="123"/>
      <c r="BM456" s="124" t="e">
        <v>#N/A</v>
      </c>
      <c r="BN456" s="124" t="e">
        <v>#N/A</v>
      </c>
      <c r="BO456" s="124" t="e">
        <v>#N/A</v>
      </c>
      <c r="BP456" s="124" t="e">
        <v>#N/A</v>
      </c>
      <c r="BQ456" s="124" t="e">
        <v>#N/A</v>
      </c>
      <c r="BR456" s="124" t="e">
        <v>#N/A</v>
      </c>
      <c r="BS456" s="124" t="e">
        <v>#N/A</v>
      </c>
      <c r="BT456" s="124" t="e">
        <v>#N/A</v>
      </c>
      <c r="BU456" s="124" t="e">
        <v>#N/A</v>
      </c>
      <c r="BV456" s="124" t="e">
        <v>#N/A</v>
      </c>
      <c r="BW456" s="124" t="e">
        <v>#N/A</v>
      </c>
      <c r="BX456" s="124" t="e">
        <v>#N/A</v>
      </c>
      <c r="BY456" s="124" t="e">
        <v>#N/A</v>
      </c>
      <c r="BZ456" s="124" t="e">
        <v>#N/A</v>
      </c>
      <c r="CA456" s="125"/>
      <c r="CB456" s="124" t="e">
        <v>#N/A</v>
      </c>
      <c r="CC456" s="126">
        <v>1</v>
      </c>
      <c r="CD456" s="127" t="s">
        <v>4202</v>
      </c>
      <c r="CE456" s="128"/>
      <c r="CF456" s="77" t="s">
        <v>4170</v>
      </c>
    </row>
    <row r="457" spans="1:85" ht="14.5" x14ac:dyDescent="0.35">
      <c r="A457" s="77">
        <v>456</v>
      </c>
      <c r="B457" s="106" t="s">
        <v>2320</v>
      </c>
      <c r="C457" s="107" t="s">
        <v>6445</v>
      </c>
      <c r="D457" s="108" t="s">
        <v>2321</v>
      </c>
      <c r="E457" s="109" t="s">
        <v>2322</v>
      </c>
      <c r="F457" s="110">
        <v>622457474</v>
      </c>
      <c r="G457" s="108" t="s">
        <v>1004</v>
      </c>
      <c r="H457" s="111" t="s">
        <v>191</v>
      </c>
      <c r="I457" s="111" t="s">
        <v>180</v>
      </c>
      <c r="J457" s="111" t="s">
        <v>4649</v>
      </c>
      <c r="K457" s="111" t="s">
        <v>3159</v>
      </c>
      <c r="L457" s="112">
        <v>43070</v>
      </c>
      <c r="M457" s="111" t="s">
        <v>224</v>
      </c>
      <c r="N457" s="113"/>
      <c r="O457" s="114" t="s">
        <v>7566</v>
      </c>
      <c r="P457" s="114" t="s">
        <v>7566</v>
      </c>
      <c r="Q457" s="114" t="s">
        <v>4356</v>
      </c>
      <c r="R457" s="114" t="s">
        <v>4356</v>
      </c>
      <c r="S457" s="114" t="s">
        <v>7566</v>
      </c>
      <c r="T457" s="114" t="s">
        <v>7566</v>
      </c>
      <c r="U457" s="114" t="s">
        <v>7566</v>
      </c>
      <c r="V457" s="115"/>
      <c r="W457" s="116" t="s">
        <v>2323</v>
      </c>
      <c r="X457" s="116" t="s">
        <v>2324</v>
      </c>
      <c r="Y457" s="117">
        <v>3485648</v>
      </c>
      <c r="Z457" s="117">
        <v>3486557</v>
      </c>
      <c r="AA457" s="118"/>
      <c r="AB457" s="119" t="s">
        <v>2325</v>
      </c>
      <c r="AC457" s="119" t="s">
        <v>2326</v>
      </c>
      <c r="AD457" s="119">
        <v>26375</v>
      </c>
      <c r="AE457" s="119" t="s">
        <v>4133</v>
      </c>
      <c r="AF457" s="119">
        <v>0</v>
      </c>
      <c r="AG457" s="120"/>
      <c r="AH457" s="121">
        <v>44826</v>
      </c>
      <c r="AI457" s="121">
        <v>44826</v>
      </c>
      <c r="AJ457" s="121">
        <v>44826</v>
      </c>
      <c r="AK457" s="122">
        <v>44894</v>
      </c>
      <c r="AL457" s="122" t="e">
        <v>#N/A</v>
      </c>
      <c r="AM457" s="121" t="e">
        <v>#N/A</v>
      </c>
      <c r="AN457" s="121" t="e">
        <v>#N/A</v>
      </c>
      <c r="AO457" s="121" t="e">
        <v>#N/A</v>
      </c>
      <c r="AP457" s="122" t="e">
        <v>#N/A</v>
      </c>
      <c r="AQ457" s="122" t="e">
        <v>#N/A</v>
      </c>
      <c r="AR457" s="122" t="e">
        <v>#N/A</v>
      </c>
      <c r="AS457" s="122" t="e">
        <v>#N/A</v>
      </c>
      <c r="AT457" s="122">
        <v>44826</v>
      </c>
      <c r="AU457" s="121" t="e">
        <v>#N/A</v>
      </c>
      <c r="AV457" s="122" t="e">
        <v>#N/A</v>
      </c>
      <c r="AW457" s="122">
        <v>45730</v>
      </c>
      <c r="AX457" s="122" t="e">
        <v>#N/A</v>
      </c>
      <c r="AY457" s="122" t="e">
        <v>#N/A</v>
      </c>
      <c r="AZ457" s="122" t="e">
        <v>#N/A</v>
      </c>
      <c r="BA457" s="122" t="e">
        <v>#N/A</v>
      </c>
      <c r="BB457" s="122" t="e">
        <v>#N/A</v>
      </c>
      <c r="BC457" s="122" t="e">
        <v>#N/A</v>
      </c>
      <c r="BD457" s="122" t="e">
        <v>#N/A</v>
      </c>
      <c r="BE457" s="122" t="e">
        <v>#N/A</v>
      </c>
      <c r="BF457" s="122" t="e">
        <v>#N/A</v>
      </c>
      <c r="BG457" s="122" t="e">
        <v>#N/A</v>
      </c>
      <c r="BH457" s="122" t="e">
        <v>#N/A</v>
      </c>
      <c r="BI457" s="122" t="e">
        <v>#N/A</v>
      </c>
      <c r="BJ457" s="122" t="e">
        <v>#N/A</v>
      </c>
      <c r="BK457" s="122" t="e">
        <v>#N/A</v>
      </c>
      <c r="BL457" s="123"/>
      <c r="BM457" s="124" t="e">
        <v>#N/A</v>
      </c>
      <c r="BN457" s="124" t="e">
        <v>#N/A</v>
      </c>
      <c r="BO457" s="124" t="e">
        <v>#N/A</v>
      </c>
      <c r="BP457" s="124" t="e">
        <v>#N/A</v>
      </c>
      <c r="BQ457" s="124" t="e">
        <v>#N/A</v>
      </c>
      <c r="BR457" s="124" t="e">
        <v>#N/A</v>
      </c>
      <c r="BS457" s="124" t="e">
        <v>#N/A</v>
      </c>
      <c r="BT457" s="124" t="e">
        <v>#N/A</v>
      </c>
      <c r="BU457" s="124" t="e">
        <v>#N/A</v>
      </c>
      <c r="BV457" s="124" t="e">
        <v>#N/A</v>
      </c>
      <c r="BW457" s="124" t="e">
        <v>#N/A</v>
      </c>
      <c r="BX457" s="124" t="e">
        <v>#N/A</v>
      </c>
      <c r="BY457" s="124" t="e">
        <v>#N/A</v>
      </c>
      <c r="BZ457" s="124" t="e">
        <v>#N/A</v>
      </c>
      <c r="CA457" s="125"/>
      <c r="CB457" s="124" t="e">
        <v>#N/A</v>
      </c>
      <c r="CC457" s="126">
        <v>1</v>
      </c>
      <c r="CD457" s="127" t="s">
        <v>4189</v>
      </c>
      <c r="CE457" s="128"/>
      <c r="CF457" s="77" t="s">
        <v>4200</v>
      </c>
    </row>
    <row r="458" spans="1:85" ht="14.5" x14ac:dyDescent="0.35">
      <c r="A458" s="77">
        <v>457</v>
      </c>
      <c r="B458" s="106" t="s">
        <v>2327</v>
      </c>
      <c r="C458" s="107" t="s">
        <v>6465</v>
      </c>
      <c r="D458" s="108" t="s">
        <v>2328</v>
      </c>
      <c r="E458" s="109" t="s">
        <v>2329</v>
      </c>
      <c r="F458" s="110">
        <v>687461931</v>
      </c>
      <c r="G458" s="108" t="s">
        <v>1004</v>
      </c>
      <c r="H458" s="111" t="s">
        <v>191</v>
      </c>
      <c r="I458" s="111" t="s">
        <v>180</v>
      </c>
      <c r="J458" s="111" t="s">
        <v>4649</v>
      </c>
      <c r="K458" s="111" t="s">
        <v>3159</v>
      </c>
      <c r="L458" s="112">
        <v>43227</v>
      </c>
      <c r="M458" s="111" t="s">
        <v>224</v>
      </c>
      <c r="N458" s="113"/>
      <c r="O458" s="114" t="s">
        <v>257</v>
      </c>
      <c r="P458" s="114" t="s">
        <v>183</v>
      </c>
      <c r="Q458" s="114" t="s">
        <v>257</v>
      </c>
      <c r="R458" s="114" t="s">
        <v>246</v>
      </c>
      <c r="S458" s="114" t="s">
        <v>183</v>
      </c>
      <c r="T458" s="114" t="s">
        <v>6198</v>
      </c>
      <c r="U458" s="114" t="s">
        <v>6198</v>
      </c>
      <c r="V458" s="115"/>
      <c r="W458" s="116" t="s">
        <v>2330</v>
      </c>
      <c r="X458" s="116" t="s">
        <v>6222</v>
      </c>
      <c r="Y458" s="117">
        <v>3485616</v>
      </c>
      <c r="Z458" s="117">
        <v>3486558</v>
      </c>
      <c r="AA458" s="118"/>
      <c r="AB458" s="119" t="s">
        <v>5806</v>
      </c>
      <c r="AC458" s="119" t="s">
        <v>2331</v>
      </c>
      <c r="AD458" s="119">
        <v>27911</v>
      </c>
      <c r="AE458" s="119" t="s">
        <v>2332</v>
      </c>
      <c r="AF458" s="119">
        <v>0</v>
      </c>
      <c r="AG458" s="120"/>
      <c r="AH458" s="121">
        <v>44826</v>
      </c>
      <c r="AI458" s="121">
        <v>44826</v>
      </c>
      <c r="AJ458" s="121">
        <v>44826</v>
      </c>
      <c r="AK458" s="122">
        <v>45006</v>
      </c>
      <c r="AL458" s="122" t="e">
        <v>#N/A</v>
      </c>
      <c r="AM458" s="121" t="e">
        <v>#N/A</v>
      </c>
      <c r="AN458" s="121" t="e">
        <v>#N/A</v>
      </c>
      <c r="AO458" s="121" t="e">
        <v>#N/A</v>
      </c>
      <c r="AP458" s="122" t="e">
        <v>#N/A</v>
      </c>
      <c r="AQ458" s="122" t="e">
        <v>#N/A</v>
      </c>
      <c r="AR458" s="122" t="e">
        <v>#N/A</v>
      </c>
      <c r="AS458" s="122" t="e">
        <v>#N/A</v>
      </c>
      <c r="AT458" s="122" t="e">
        <v>#N/A</v>
      </c>
      <c r="AU458" s="121" t="e">
        <v>#N/A</v>
      </c>
      <c r="AV458" s="122">
        <v>45623</v>
      </c>
      <c r="AW458" s="122">
        <v>45614</v>
      </c>
      <c r="AX458" s="122" t="e">
        <v>#N/A</v>
      </c>
      <c r="AY458" s="122" t="e">
        <v>#N/A</v>
      </c>
      <c r="AZ458" s="122" t="e">
        <v>#N/A</v>
      </c>
      <c r="BA458" s="122" t="e">
        <v>#N/A</v>
      </c>
      <c r="BB458" s="122" t="e">
        <v>#N/A</v>
      </c>
      <c r="BC458" s="122" t="e">
        <v>#N/A</v>
      </c>
      <c r="BD458" s="122" t="e">
        <v>#N/A</v>
      </c>
      <c r="BE458" s="122" t="e">
        <v>#N/A</v>
      </c>
      <c r="BF458" s="122" t="e">
        <v>#N/A</v>
      </c>
      <c r="BG458" s="122" t="e">
        <v>#N/A</v>
      </c>
      <c r="BH458" s="122" t="e">
        <v>#N/A</v>
      </c>
      <c r="BI458" s="122" t="e">
        <v>#N/A</v>
      </c>
      <c r="BJ458" s="122" t="e">
        <v>#N/A</v>
      </c>
      <c r="BK458" s="122" t="e">
        <v>#N/A</v>
      </c>
      <c r="BL458" s="123"/>
      <c r="BM458" s="124" t="e">
        <v>#N/A</v>
      </c>
      <c r="BN458" s="124" t="e">
        <v>#N/A</v>
      </c>
      <c r="BO458" s="124" t="e">
        <v>#N/A</v>
      </c>
      <c r="BP458" s="124" t="e">
        <v>#N/A</v>
      </c>
      <c r="BQ458" s="124" t="e">
        <v>#N/A</v>
      </c>
      <c r="BR458" s="124" t="e">
        <v>#N/A</v>
      </c>
      <c r="BS458" s="124" t="e">
        <v>#N/A</v>
      </c>
      <c r="BT458" s="124" t="e">
        <v>#N/A</v>
      </c>
      <c r="BU458" s="124" t="e">
        <v>#N/A</v>
      </c>
      <c r="BV458" s="124" t="e">
        <v>#N/A</v>
      </c>
      <c r="BW458" s="124" t="e">
        <v>#N/A</v>
      </c>
      <c r="BX458" s="124" t="e">
        <v>#N/A</v>
      </c>
      <c r="BY458" s="124" t="e">
        <v>#N/A</v>
      </c>
      <c r="BZ458" s="124" t="e">
        <v>#N/A</v>
      </c>
      <c r="CA458" s="125"/>
      <c r="CB458" s="124">
        <v>45722</v>
      </c>
      <c r="CC458" s="126">
        <v>1</v>
      </c>
      <c r="CD458" s="127" t="s">
        <v>4189</v>
      </c>
      <c r="CE458" s="128"/>
      <c r="CF458" s="77" t="s">
        <v>4170</v>
      </c>
    </row>
    <row r="459" spans="1:85" ht="14.5" x14ac:dyDescent="0.35">
      <c r="A459" s="77">
        <v>458</v>
      </c>
      <c r="B459" s="106" t="s">
        <v>92</v>
      </c>
      <c r="C459" s="107" t="s">
        <v>1262</v>
      </c>
      <c r="D459" s="108" t="s">
        <v>662</v>
      </c>
      <c r="E459" s="109" t="s">
        <v>663</v>
      </c>
      <c r="F459" s="110">
        <v>687494071</v>
      </c>
      <c r="G459" s="108" t="s">
        <v>1004</v>
      </c>
      <c r="H459" s="111" t="s">
        <v>191</v>
      </c>
      <c r="I459" s="111" t="s">
        <v>180</v>
      </c>
      <c r="J459" s="111" t="s">
        <v>4649</v>
      </c>
      <c r="K459" s="111" t="s">
        <v>3159</v>
      </c>
      <c r="L459" s="112">
        <v>45364</v>
      </c>
      <c r="M459" s="111" t="s">
        <v>4035</v>
      </c>
      <c r="N459" s="113"/>
      <c r="O459" s="114" t="s">
        <v>6448</v>
      </c>
      <c r="P459" s="114" t="s">
        <v>6448</v>
      </c>
      <c r="Q459" s="114" t="s">
        <v>6448</v>
      </c>
      <c r="R459" s="114" t="s">
        <v>6448</v>
      </c>
      <c r="S459" s="114" t="s">
        <v>6448</v>
      </c>
      <c r="T459" s="114" t="s">
        <v>4356</v>
      </c>
      <c r="U459" s="114" t="s">
        <v>4356</v>
      </c>
      <c r="V459" s="115"/>
      <c r="W459" s="116" t="s">
        <v>3212</v>
      </c>
      <c r="X459" s="116" t="s">
        <v>3213</v>
      </c>
      <c r="Y459" s="117">
        <v>3485024</v>
      </c>
      <c r="Z459" s="117">
        <v>3481180</v>
      </c>
      <c r="AA459" s="118"/>
      <c r="AB459" s="119" t="s">
        <v>5832</v>
      </c>
      <c r="AC459" s="119" t="s">
        <v>3214</v>
      </c>
      <c r="AD459" s="119">
        <v>5378</v>
      </c>
      <c r="AE459" s="119" t="s">
        <v>3352</v>
      </c>
      <c r="AF459" s="119" t="s">
        <v>7104</v>
      </c>
      <c r="AG459" s="120"/>
      <c r="AH459" s="121">
        <v>44197</v>
      </c>
      <c r="AI459" s="121">
        <v>45448</v>
      </c>
      <c r="AJ459" s="121">
        <v>45448</v>
      </c>
      <c r="AK459" s="122">
        <v>45448</v>
      </c>
      <c r="AL459" s="122">
        <v>44197</v>
      </c>
      <c r="AM459" s="122">
        <v>45482</v>
      </c>
      <c r="AN459" s="122" t="s">
        <v>7054</v>
      </c>
      <c r="AO459" s="121" t="e">
        <v>#N/A</v>
      </c>
      <c r="AP459" s="122">
        <v>44197</v>
      </c>
      <c r="AQ459" s="122">
        <v>45820</v>
      </c>
      <c r="AR459" s="122">
        <v>45482</v>
      </c>
      <c r="AS459" s="122" t="e">
        <v>#N/A</v>
      </c>
      <c r="AT459" s="122" t="e">
        <v>#N/A</v>
      </c>
      <c r="AU459" s="121" t="e">
        <v>#N/A</v>
      </c>
      <c r="AV459" s="122" t="e">
        <v>#N/A</v>
      </c>
      <c r="AW459" s="122">
        <v>45679</v>
      </c>
      <c r="AX459" s="122" t="e">
        <v>#N/A</v>
      </c>
      <c r="AY459" s="122" t="e">
        <v>#N/A</v>
      </c>
      <c r="AZ459" s="122" t="e">
        <v>#N/A</v>
      </c>
      <c r="BA459" s="122">
        <v>44197</v>
      </c>
      <c r="BB459" s="122" t="e">
        <v>#N/A</v>
      </c>
      <c r="BC459" s="122" t="e">
        <v>#N/A</v>
      </c>
      <c r="BD459" s="122" t="e">
        <v>#N/A</v>
      </c>
      <c r="BE459" s="122" t="e">
        <v>#N/A</v>
      </c>
      <c r="BF459" s="122" t="e">
        <v>#N/A</v>
      </c>
      <c r="BG459" s="122" t="e">
        <v>#N/A</v>
      </c>
      <c r="BH459" s="122" t="e">
        <v>#N/A</v>
      </c>
      <c r="BI459" s="122" t="e">
        <v>#N/A</v>
      </c>
      <c r="BJ459" s="122" t="e">
        <v>#N/A</v>
      </c>
      <c r="BK459" s="122">
        <v>45960</v>
      </c>
      <c r="BL459" s="123"/>
      <c r="BM459" s="124" t="e">
        <v>#N/A</v>
      </c>
      <c r="BN459" s="124" t="e">
        <v>#N/A</v>
      </c>
      <c r="BO459" s="124" t="e">
        <v>#N/A</v>
      </c>
      <c r="BP459" s="124" t="e">
        <v>#N/A</v>
      </c>
      <c r="BQ459" s="124" t="e">
        <v>#N/A</v>
      </c>
      <c r="BR459" s="124" t="e">
        <v>#N/A</v>
      </c>
      <c r="BS459" s="124" t="e">
        <v>#N/A</v>
      </c>
      <c r="BT459" s="124" t="e">
        <v>#N/A</v>
      </c>
      <c r="BU459" s="124" t="e">
        <v>#N/A</v>
      </c>
      <c r="BV459" s="124" t="e">
        <v>#N/A</v>
      </c>
      <c r="BW459" s="124" t="e">
        <v>#N/A</v>
      </c>
      <c r="BX459" s="124" t="e">
        <v>#N/A</v>
      </c>
      <c r="BY459" s="124" t="e">
        <v>#N/A</v>
      </c>
      <c r="BZ459" s="124" t="e">
        <v>#N/A</v>
      </c>
      <c r="CA459" s="125"/>
      <c r="CB459" s="124" t="e">
        <v>#N/A</v>
      </c>
      <c r="CC459" s="126">
        <v>1</v>
      </c>
      <c r="CD459" s="127" t="s">
        <v>4199</v>
      </c>
      <c r="CE459" s="128"/>
      <c r="CF459" s="77" t="s">
        <v>4200</v>
      </c>
    </row>
    <row r="460" spans="1:85" ht="14.5" x14ac:dyDescent="0.35">
      <c r="A460" s="77">
        <v>459</v>
      </c>
      <c r="B460" s="106" t="s">
        <v>3749</v>
      </c>
      <c r="C460" s="107" t="s">
        <v>6675</v>
      </c>
      <c r="D460" s="108" t="s">
        <v>3750</v>
      </c>
      <c r="E460" s="109" t="s">
        <v>3751</v>
      </c>
      <c r="F460" s="110">
        <v>684060335</v>
      </c>
      <c r="G460" s="108" t="s">
        <v>1004</v>
      </c>
      <c r="H460" s="111" t="s">
        <v>191</v>
      </c>
      <c r="I460" s="111" t="s">
        <v>180</v>
      </c>
      <c r="J460" s="111" t="s">
        <v>4649</v>
      </c>
      <c r="K460" s="111" t="s">
        <v>3159</v>
      </c>
      <c r="L460" s="112">
        <v>45502</v>
      </c>
      <c r="M460" s="111" t="s">
        <v>2463</v>
      </c>
      <c r="N460" s="113"/>
      <c r="O460" s="114" t="s">
        <v>7175</v>
      </c>
      <c r="P460" s="114" t="s">
        <v>4900</v>
      </c>
      <c r="Q460" s="114" t="s">
        <v>4900</v>
      </c>
      <c r="R460" s="114" t="s">
        <v>4900</v>
      </c>
      <c r="S460" s="114" t="s">
        <v>7175</v>
      </c>
      <c r="T460" s="114" t="s">
        <v>4356</v>
      </c>
      <c r="U460" s="114" t="s">
        <v>4356</v>
      </c>
      <c r="V460" s="115"/>
      <c r="W460" s="116" t="s">
        <v>3752</v>
      </c>
      <c r="X460" s="116" t="s">
        <v>3753</v>
      </c>
      <c r="Y460" s="117">
        <v>3487036</v>
      </c>
      <c r="Z460" s="117">
        <v>3481539</v>
      </c>
      <c r="AA460" s="118"/>
      <c r="AB460" s="119" t="s">
        <v>3754</v>
      </c>
      <c r="AC460" s="119" t="s">
        <v>3768</v>
      </c>
      <c r="AD460" s="119">
        <v>5991</v>
      </c>
      <c r="AE460" s="119" t="s">
        <v>3755</v>
      </c>
      <c r="AF460" s="119">
        <v>0</v>
      </c>
      <c r="AG460" s="120"/>
      <c r="AH460" s="121">
        <v>45514</v>
      </c>
      <c r="AI460" s="121">
        <v>45514</v>
      </c>
      <c r="AJ460" s="121">
        <v>45514</v>
      </c>
      <c r="AK460" s="122">
        <v>45514</v>
      </c>
      <c r="AL460" s="122" t="e">
        <v>#N/A</v>
      </c>
      <c r="AM460" s="121">
        <v>45614</v>
      </c>
      <c r="AN460" s="121" t="e">
        <v>#N/A</v>
      </c>
      <c r="AO460" s="121" t="e">
        <v>#N/A</v>
      </c>
      <c r="AP460" s="122" t="e">
        <v>#N/A</v>
      </c>
      <c r="AQ460" s="122" t="e">
        <v>#N/A</v>
      </c>
      <c r="AR460" s="122" t="e">
        <v>#N/A</v>
      </c>
      <c r="AS460" s="122" t="e">
        <v>#N/A</v>
      </c>
      <c r="AT460" s="122" t="e">
        <v>#N/A</v>
      </c>
      <c r="AU460" s="121" t="e">
        <v>#N/A</v>
      </c>
      <c r="AV460" s="122" t="e">
        <v>#N/A</v>
      </c>
      <c r="AW460" s="122" t="e">
        <v>#N/A</v>
      </c>
      <c r="AX460" s="122" t="e">
        <v>#N/A</v>
      </c>
      <c r="AY460" s="122" t="e">
        <v>#N/A</v>
      </c>
      <c r="AZ460" s="122" t="e">
        <v>#N/A</v>
      </c>
      <c r="BA460" s="122" t="e">
        <v>#N/A</v>
      </c>
      <c r="BB460" s="122" t="e">
        <v>#N/A</v>
      </c>
      <c r="BC460" s="122" t="e">
        <v>#N/A</v>
      </c>
      <c r="BD460" s="122" t="e">
        <v>#N/A</v>
      </c>
      <c r="BE460" s="122" t="e">
        <v>#N/A</v>
      </c>
      <c r="BF460" s="122" t="e">
        <v>#N/A</v>
      </c>
      <c r="BG460" s="122" t="e">
        <v>#N/A</v>
      </c>
      <c r="BH460" s="122" t="e">
        <v>#N/A</v>
      </c>
      <c r="BI460" s="122" t="e">
        <v>#N/A</v>
      </c>
      <c r="BJ460" s="122" t="e">
        <v>#N/A</v>
      </c>
      <c r="BK460" s="122" t="e">
        <v>#N/A</v>
      </c>
      <c r="BL460" s="123"/>
      <c r="BM460" s="124" t="e">
        <v>#N/A</v>
      </c>
      <c r="BN460" s="124" t="e">
        <v>#N/A</v>
      </c>
      <c r="BO460" s="124" t="e">
        <v>#N/A</v>
      </c>
      <c r="BP460" s="124" t="e">
        <v>#N/A</v>
      </c>
      <c r="BQ460" s="124" t="e">
        <v>#N/A</v>
      </c>
      <c r="BR460" s="124" t="e">
        <v>#N/A</v>
      </c>
      <c r="BS460" s="124" t="e">
        <v>#N/A</v>
      </c>
      <c r="BT460" s="124" t="e">
        <v>#N/A</v>
      </c>
      <c r="BU460" s="124" t="e">
        <v>#N/A</v>
      </c>
      <c r="BV460" s="124" t="e">
        <v>#N/A</v>
      </c>
      <c r="BW460" s="124" t="e">
        <v>#N/A</v>
      </c>
      <c r="BX460" s="124" t="e">
        <v>#N/A</v>
      </c>
      <c r="BY460" s="124" t="e">
        <v>#N/A</v>
      </c>
      <c r="BZ460" s="124" t="e">
        <v>#N/A</v>
      </c>
      <c r="CA460" s="125"/>
      <c r="CB460" s="124" t="e">
        <v>#N/A</v>
      </c>
      <c r="CC460" s="126">
        <v>1</v>
      </c>
      <c r="CD460" s="127" t="s">
        <v>4171</v>
      </c>
      <c r="CE460" s="128"/>
      <c r="CF460" s="77" t="s">
        <v>4170</v>
      </c>
    </row>
    <row r="461" spans="1:85" ht="14.5" x14ac:dyDescent="0.35">
      <c r="A461" s="77">
        <v>460</v>
      </c>
      <c r="B461" s="106" t="s">
        <v>4244</v>
      </c>
      <c r="C461" s="107" t="s">
        <v>6729</v>
      </c>
      <c r="D461" s="108" t="s">
        <v>4245</v>
      </c>
      <c r="E461" s="109" t="s">
        <v>4246</v>
      </c>
      <c r="F461" s="110">
        <v>661413800</v>
      </c>
      <c r="G461" s="108" t="s">
        <v>1004</v>
      </c>
      <c r="H461" s="111" t="s">
        <v>191</v>
      </c>
      <c r="I461" s="111" t="s">
        <v>180</v>
      </c>
      <c r="J461" s="111" t="s">
        <v>4649</v>
      </c>
      <c r="K461" s="111" t="s">
        <v>3367</v>
      </c>
      <c r="L461" s="112">
        <v>45644</v>
      </c>
      <c r="M461" s="111" t="s">
        <v>2463</v>
      </c>
      <c r="N461" s="113"/>
      <c r="O461" s="114" t="s">
        <v>6919</v>
      </c>
      <c r="P461" s="114" t="s">
        <v>6919</v>
      </c>
      <c r="Q461" s="114" t="s">
        <v>4482</v>
      </c>
      <c r="R461" s="114" t="s">
        <v>568</v>
      </c>
      <c r="S461" s="114" t="s">
        <v>568</v>
      </c>
      <c r="T461" s="114" t="s">
        <v>183</v>
      </c>
      <c r="U461" s="114" t="s">
        <v>183</v>
      </c>
      <c r="V461" s="115"/>
      <c r="W461" s="116" t="s">
        <v>4247</v>
      </c>
      <c r="X461" s="116" t="s">
        <v>4248</v>
      </c>
      <c r="Y461" s="117">
        <v>3485413</v>
      </c>
      <c r="Z461" s="117">
        <v>3486692</v>
      </c>
      <c r="AA461" s="118"/>
      <c r="AB461" s="119" t="s">
        <v>5731</v>
      </c>
      <c r="AC461" s="119" t="s">
        <v>4249</v>
      </c>
      <c r="AD461" s="119">
        <v>5188</v>
      </c>
      <c r="AE461" s="119" t="s">
        <v>4250</v>
      </c>
      <c r="AF461" s="119">
        <v>0</v>
      </c>
      <c r="AG461" s="120"/>
      <c r="AH461" s="121">
        <v>45644</v>
      </c>
      <c r="AI461" s="121">
        <v>45644</v>
      </c>
      <c r="AJ461" s="121">
        <v>45644</v>
      </c>
      <c r="AK461" s="122" t="e">
        <v>#N/A</v>
      </c>
      <c r="AL461" s="122" t="e">
        <v>#N/A</v>
      </c>
      <c r="AM461" s="121" t="e">
        <v>#N/A</v>
      </c>
      <c r="AN461" s="121" t="e">
        <v>#N/A</v>
      </c>
      <c r="AO461" s="121" t="e">
        <v>#N/A</v>
      </c>
      <c r="AP461" s="122" t="e">
        <v>#N/A</v>
      </c>
      <c r="AQ461" s="122" t="e">
        <v>#N/A</v>
      </c>
      <c r="AR461" s="122" t="e">
        <v>#N/A</v>
      </c>
      <c r="AS461" s="122" t="e">
        <v>#N/A</v>
      </c>
      <c r="AT461" s="122" t="e">
        <v>#N/A</v>
      </c>
      <c r="AU461" s="121" t="e">
        <v>#N/A</v>
      </c>
      <c r="AV461" s="122" t="e">
        <v>#N/A</v>
      </c>
      <c r="AW461" s="122" t="e">
        <v>#N/A</v>
      </c>
      <c r="AX461" s="122" t="e">
        <v>#N/A</v>
      </c>
      <c r="AY461" s="122" t="e">
        <v>#N/A</v>
      </c>
      <c r="AZ461" s="122" t="e">
        <v>#N/A</v>
      </c>
      <c r="BA461" s="122" t="e">
        <v>#N/A</v>
      </c>
      <c r="BB461" s="122" t="e">
        <v>#N/A</v>
      </c>
      <c r="BC461" s="122" t="e">
        <v>#N/A</v>
      </c>
      <c r="BD461" s="122" t="e">
        <v>#N/A</v>
      </c>
      <c r="BE461" s="122" t="e">
        <v>#N/A</v>
      </c>
      <c r="BF461" s="122" t="e">
        <v>#N/A</v>
      </c>
      <c r="BG461" s="122" t="e">
        <v>#N/A</v>
      </c>
      <c r="BH461" s="122" t="e">
        <v>#N/A</v>
      </c>
      <c r="BI461" s="122" t="e">
        <v>#N/A</v>
      </c>
      <c r="BJ461" s="122" t="e">
        <v>#N/A</v>
      </c>
      <c r="BK461" s="122" t="e">
        <v>#N/A</v>
      </c>
      <c r="BL461" s="123"/>
      <c r="BM461" s="124" t="e">
        <v>#N/A</v>
      </c>
      <c r="BN461" s="124" t="e">
        <v>#N/A</v>
      </c>
      <c r="BO461" s="124" t="e">
        <v>#N/A</v>
      </c>
      <c r="BP461" s="124" t="e">
        <v>#N/A</v>
      </c>
      <c r="BQ461" s="124" t="e">
        <v>#N/A</v>
      </c>
      <c r="BR461" s="124" t="e">
        <v>#N/A</v>
      </c>
      <c r="BS461" s="124" t="e">
        <v>#N/A</v>
      </c>
      <c r="BT461" s="124" t="e">
        <v>#N/A</v>
      </c>
      <c r="BU461" s="124" t="e">
        <v>#N/A</v>
      </c>
      <c r="BV461" s="124" t="e">
        <v>#N/A</v>
      </c>
      <c r="BW461" s="124" t="e">
        <v>#N/A</v>
      </c>
      <c r="BX461" s="124" t="e">
        <v>#N/A</v>
      </c>
      <c r="BY461" s="124" t="e">
        <v>#N/A</v>
      </c>
      <c r="BZ461" s="124" t="e">
        <v>#N/A</v>
      </c>
      <c r="CA461" s="125"/>
      <c r="CB461" s="124" t="e">
        <v>#N/A</v>
      </c>
      <c r="CC461" s="126">
        <v>1</v>
      </c>
      <c r="CD461" s="127" t="s">
        <v>4211</v>
      </c>
      <c r="CE461" s="128"/>
      <c r="CF461" s="77" t="s">
        <v>4199</v>
      </c>
    </row>
    <row r="462" spans="1:85" ht="14.5" x14ac:dyDescent="0.35">
      <c r="A462" s="77">
        <v>461</v>
      </c>
      <c r="B462" s="106" t="s">
        <v>3357</v>
      </c>
      <c r="C462" s="107" t="s">
        <v>6617</v>
      </c>
      <c r="D462" s="108" t="s">
        <v>3325</v>
      </c>
      <c r="E462" s="109" t="s">
        <v>3326</v>
      </c>
      <c r="F462" s="110">
        <v>652488177</v>
      </c>
      <c r="G462" s="108" t="s">
        <v>1004</v>
      </c>
      <c r="H462" s="111" t="s">
        <v>191</v>
      </c>
      <c r="I462" s="111" t="s">
        <v>180</v>
      </c>
      <c r="J462" s="111" t="s">
        <v>4649</v>
      </c>
      <c r="K462" s="111" t="s">
        <v>3159</v>
      </c>
      <c r="L462" s="112">
        <v>45432</v>
      </c>
      <c r="M462" s="111" t="s">
        <v>224</v>
      </c>
      <c r="N462" s="113"/>
      <c r="O462" s="114" t="s">
        <v>257</v>
      </c>
      <c r="P462" s="114" t="s">
        <v>257</v>
      </c>
      <c r="Q462" s="114" t="s">
        <v>183</v>
      </c>
      <c r="R462" s="114" t="s">
        <v>7562</v>
      </c>
      <c r="S462" s="114" t="s">
        <v>257</v>
      </c>
      <c r="T462" s="114" t="s">
        <v>257</v>
      </c>
      <c r="U462" s="114" t="s">
        <v>257</v>
      </c>
      <c r="V462" s="115"/>
      <c r="W462" s="116" t="s">
        <v>3327</v>
      </c>
      <c r="X462" s="116" t="s">
        <v>3328</v>
      </c>
      <c r="Y462" s="117">
        <v>3485855</v>
      </c>
      <c r="Z462" s="117">
        <v>3486432</v>
      </c>
      <c r="AA462" s="118"/>
      <c r="AB462" s="119" t="s">
        <v>5830</v>
      </c>
      <c r="AC462" s="119" t="s">
        <v>3358</v>
      </c>
      <c r="AD462" s="119">
        <v>5765</v>
      </c>
      <c r="AE462" s="119" t="s">
        <v>3329</v>
      </c>
      <c r="AF462" s="119" t="s">
        <v>7567</v>
      </c>
      <c r="AG462" s="120"/>
      <c r="AH462" s="121">
        <v>45448</v>
      </c>
      <c r="AI462" s="121">
        <v>45448</v>
      </c>
      <c r="AJ462" s="121">
        <v>45448</v>
      </c>
      <c r="AK462" s="122">
        <v>45448</v>
      </c>
      <c r="AL462" s="122">
        <v>45906</v>
      </c>
      <c r="AM462" s="121" t="e">
        <v>#N/A</v>
      </c>
      <c r="AN462" s="121" t="s">
        <v>7169</v>
      </c>
      <c r="AO462" s="121" t="e">
        <v>#N/A</v>
      </c>
      <c r="AP462" s="122" t="e">
        <v>#N/A</v>
      </c>
      <c r="AQ462" s="122" t="e">
        <v>#N/A</v>
      </c>
      <c r="AR462" s="122" t="e">
        <v>#N/A</v>
      </c>
      <c r="AS462" s="122" t="e">
        <v>#N/A</v>
      </c>
      <c r="AT462" s="122" t="e">
        <v>#N/A</v>
      </c>
      <c r="AU462" s="121" t="e">
        <v>#N/A</v>
      </c>
      <c r="AV462" s="122" t="e">
        <v>#N/A</v>
      </c>
      <c r="AW462" s="122">
        <v>45670</v>
      </c>
      <c r="AX462" s="122">
        <v>46008</v>
      </c>
      <c r="AY462" s="122" t="e">
        <v>#N/A</v>
      </c>
      <c r="AZ462" s="122" t="e">
        <v>#N/A</v>
      </c>
      <c r="BA462" s="122" t="e">
        <v>#N/A</v>
      </c>
      <c r="BB462" s="122" t="e">
        <v>#N/A</v>
      </c>
      <c r="BC462" s="122" t="e">
        <v>#N/A</v>
      </c>
      <c r="BD462" s="122" t="e">
        <v>#N/A</v>
      </c>
      <c r="BE462" s="122" t="e">
        <v>#N/A</v>
      </c>
      <c r="BF462" s="122" t="e">
        <v>#N/A</v>
      </c>
      <c r="BG462" s="122" t="e">
        <v>#N/A</v>
      </c>
      <c r="BH462" s="122" t="e">
        <v>#N/A</v>
      </c>
      <c r="BI462" s="122" t="e">
        <v>#N/A</v>
      </c>
      <c r="BJ462" s="122" t="e">
        <v>#N/A</v>
      </c>
      <c r="BK462" s="122" t="e">
        <v>#N/A</v>
      </c>
      <c r="BL462" s="123"/>
      <c r="BM462" s="124" t="e">
        <v>#N/A</v>
      </c>
      <c r="BN462" s="124" t="e">
        <v>#N/A</v>
      </c>
      <c r="BO462" s="124" t="e">
        <v>#N/A</v>
      </c>
      <c r="BP462" s="124" t="e">
        <v>#N/A</v>
      </c>
      <c r="BQ462" s="124" t="e">
        <v>#N/A</v>
      </c>
      <c r="BR462" s="124" t="e">
        <v>#N/A</v>
      </c>
      <c r="BS462" s="124" t="e">
        <v>#N/A</v>
      </c>
      <c r="BT462" s="124" t="e">
        <v>#N/A</v>
      </c>
      <c r="BU462" s="124" t="e">
        <v>#N/A</v>
      </c>
      <c r="BV462" s="124" t="e">
        <v>#N/A</v>
      </c>
      <c r="BW462" s="124" t="e">
        <v>#N/A</v>
      </c>
      <c r="BX462" s="124" t="e">
        <v>#N/A</v>
      </c>
      <c r="BY462" s="124" t="e">
        <v>#N/A</v>
      </c>
      <c r="BZ462" s="124" t="e">
        <v>#N/A</v>
      </c>
      <c r="CA462" s="125"/>
      <c r="CB462" s="124" t="e">
        <v>#N/A</v>
      </c>
      <c r="CC462" s="126">
        <v>1</v>
      </c>
      <c r="CD462" s="127" t="s">
        <v>4200</v>
      </c>
      <c r="CE462" s="128"/>
      <c r="CF462" s="77" t="s">
        <v>4170</v>
      </c>
    </row>
    <row r="463" spans="1:85" ht="14.5" x14ac:dyDescent="0.35">
      <c r="A463" s="77">
        <v>462</v>
      </c>
      <c r="B463" s="106" t="s">
        <v>3525</v>
      </c>
      <c r="C463" s="107" t="s">
        <v>6634</v>
      </c>
      <c r="D463" s="108" t="s">
        <v>3526</v>
      </c>
      <c r="E463" s="109" t="s">
        <v>3527</v>
      </c>
      <c r="F463" s="110">
        <v>653232641</v>
      </c>
      <c r="G463" s="108" t="s">
        <v>1004</v>
      </c>
      <c r="H463" s="111" t="s">
        <v>191</v>
      </c>
      <c r="I463" s="111" t="s">
        <v>180</v>
      </c>
      <c r="J463" s="111" t="s">
        <v>4649</v>
      </c>
      <c r="K463" s="111" t="s">
        <v>3159</v>
      </c>
      <c r="L463" s="112">
        <v>45481</v>
      </c>
      <c r="M463" s="111" t="s">
        <v>3172</v>
      </c>
      <c r="N463" s="113"/>
      <c r="O463" s="114" t="s">
        <v>226</v>
      </c>
      <c r="P463" s="114" t="s">
        <v>225</v>
      </c>
      <c r="Q463" s="114" t="s">
        <v>183</v>
      </c>
      <c r="R463" s="114" t="s">
        <v>7331</v>
      </c>
      <c r="S463" s="114" t="s">
        <v>183</v>
      </c>
      <c r="T463" s="114" t="s">
        <v>225</v>
      </c>
      <c r="U463" s="114" t="s">
        <v>226</v>
      </c>
      <c r="V463" s="115"/>
      <c r="W463" s="116" t="s">
        <v>3528</v>
      </c>
      <c r="X463" s="116" t="s">
        <v>3529</v>
      </c>
      <c r="Y463" s="117">
        <v>3485902</v>
      </c>
      <c r="Z463" s="117">
        <v>3486647</v>
      </c>
      <c r="AA463" s="118"/>
      <c r="AB463" s="119" t="s">
        <v>5835</v>
      </c>
      <c r="AC463" s="119" t="s">
        <v>3530</v>
      </c>
      <c r="AD463" s="119">
        <v>5599</v>
      </c>
      <c r="AE463" s="119" t="s">
        <v>3531</v>
      </c>
      <c r="AF463" s="119">
        <v>0</v>
      </c>
      <c r="AG463" s="120"/>
      <c r="AH463" s="121">
        <v>45497</v>
      </c>
      <c r="AI463" s="121">
        <v>45497</v>
      </c>
      <c r="AJ463" s="121">
        <v>45497</v>
      </c>
      <c r="AK463" s="122">
        <v>45497</v>
      </c>
      <c r="AL463" s="122">
        <v>45600</v>
      </c>
      <c r="AM463" s="121">
        <v>45600</v>
      </c>
      <c r="AN463" s="121" t="s">
        <v>4656</v>
      </c>
      <c r="AO463" s="121" t="e">
        <v>#N/A</v>
      </c>
      <c r="AP463" s="122" t="e">
        <v>#N/A</v>
      </c>
      <c r="AQ463" s="122" t="e">
        <v>#N/A</v>
      </c>
      <c r="AR463" s="122" t="e">
        <v>#N/A</v>
      </c>
      <c r="AS463" s="122" t="e">
        <v>#N/A</v>
      </c>
      <c r="AT463" s="122" t="e">
        <v>#N/A</v>
      </c>
      <c r="AU463" s="121" t="e">
        <v>#N/A</v>
      </c>
      <c r="AV463" s="122" t="e">
        <v>#N/A</v>
      </c>
      <c r="AW463" s="122">
        <v>45677</v>
      </c>
      <c r="AX463" s="122" t="e">
        <v>#N/A</v>
      </c>
      <c r="AY463" s="122" t="e">
        <v>#N/A</v>
      </c>
      <c r="AZ463" s="122" t="e">
        <v>#N/A</v>
      </c>
      <c r="BA463" s="122" t="e">
        <v>#N/A</v>
      </c>
      <c r="BB463" s="122" t="e">
        <v>#N/A</v>
      </c>
      <c r="BC463" s="122" t="e">
        <v>#N/A</v>
      </c>
      <c r="BD463" s="122" t="e">
        <v>#N/A</v>
      </c>
      <c r="BE463" s="122" t="e">
        <v>#N/A</v>
      </c>
      <c r="BF463" s="122" t="e">
        <v>#N/A</v>
      </c>
      <c r="BG463" s="122" t="e">
        <v>#N/A</v>
      </c>
      <c r="BH463" s="122" t="e">
        <v>#N/A</v>
      </c>
      <c r="BI463" s="122" t="e">
        <v>#N/A</v>
      </c>
      <c r="BJ463" s="122" t="e">
        <v>#N/A</v>
      </c>
      <c r="BK463" s="122" t="e">
        <v>#N/A</v>
      </c>
      <c r="BL463" s="123"/>
      <c r="BM463" s="124" t="e">
        <v>#N/A</v>
      </c>
      <c r="BN463" s="124" t="e">
        <v>#N/A</v>
      </c>
      <c r="BO463" s="124" t="e">
        <v>#N/A</v>
      </c>
      <c r="BP463" s="124" t="e">
        <v>#N/A</v>
      </c>
      <c r="BQ463" s="124" t="e">
        <v>#N/A</v>
      </c>
      <c r="BR463" s="124" t="e">
        <v>#N/A</v>
      </c>
      <c r="BS463" s="124" t="e">
        <v>#N/A</v>
      </c>
      <c r="BT463" s="124" t="e">
        <v>#N/A</v>
      </c>
      <c r="BU463" s="124" t="e">
        <v>#N/A</v>
      </c>
      <c r="BV463" s="124" t="e">
        <v>#N/A</v>
      </c>
      <c r="BW463" s="124" t="e">
        <v>#N/A</v>
      </c>
      <c r="BX463" s="124" t="e">
        <v>#N/A</v>
      </c>
      <c r="BY463" s="124" t="e">
        <v>#N/A</v>
      </c>
      <c r="BZ463" s="124" t="e">
        <v>#N/A</v>
      </c>
      <c r="CA463" s="125"/>
      <c r="CB463" s="124" t="e">
        <v>#N/A</v>
      </c>
      <c r="CC463" s="126">
        <v>1</v>
      </c>
      <c r="CD463" s="127" t="s">
        <v>4201</v>
      </c>
      <c r="CE463" s="128"/>
      <c r="CF463" s="77" t="s">
        <v>4188</v>
      </c>
    </row>
    <row r="464" spans="1:85" ht="14.5" x14ac:dyDescent="0.35">
      <c r="A464" s="77">
        <v>463</v>
      </c>
      <c r="B464" s="106" t="s">
        <v>3987</v>
      </c>
      <c r="C464" s="107" t="s">
        <v>6713</v>
      </c>
      <c r="D464" s="108" t="s">
        <v>3988</v>
      </c>
      <c r="E464" s="109" t="s">
        <v>3989</v>
      </c>
      <c r="F464" s="110">
        <v>647183274</v>
      </c>
      <c r="G464" s="108" t="s">
        <v>1004</v>
      </c>
      <c r="H464" s="111" t="s">
        <v>191</v>
      </c>
      <c r="I464" s="111" t="s">
        <v>180</v>
      </c>
      <c r="J464" s="111" t="s">
        <v>4649</v>
      </c>
      <c r="K464" s="111" t="s">
        <v>3159</v>
      </c>
      <c r="L464" s="112">
        <v>45582</v>
      </c>
      <c r="M464" s="111" t="s">
        <v>2352</v>
      </c>
      <c r="N464" s="113"/>
      <c r="O464" s="114" t="s">
        <v>246</v>
      </c>
      <c r="P464" s="114" t="s">
        <v>183</v>
      </c>
      <c r="Q464" s="114" t="s">
        <v>257</v>
      </c>
      <c r="R464" s="114" t="s">
        <v>7364</v>
      </c>
      <c r="S464" s="114" t="s">
        <v>183</v>
      </c>
      <c r="T464" s="114" t="s">
        <v>7266</v>
      </c>
      <c r="U464" s="114" t="s">
        <v>7568</v>
      </c>
      <c r="V464" s="115"/>
      <c r="W464" s="116" t="s">
        <v>3990</v>
      </c>
      <c r="X464" s="116" t="s">
        <v>3991</v>
      </c>
      <c r="Y464" s="117">
        <v>3485929</v>
      </c>
      <c r="Z464" s="117">
        <v>3486359</v>
      </c>
      <c r="AA464" s="118"/>
      <c r="AB464" s="119" t="s">
        <v>5834</v>
      </c>
      <c r="AC464" s="119" t="s">
        <v>3992</v>
      </c>
      <c r="AD464" s="119">
        <v>5319</v>
      </c>
      <c r="AE464" s="119" t="s">
        <v>3993</v>
      </c>
      <c r="AF464" s="119" t="s">
        <v>7192</v>
      </c>
      <c r="AG464" s="120"/>
      <c r="AH464" s="121">
        <v>45582</v>
      </c>
      <c r="AI464" s="121">
        <v>45582</v>
      </c>
      <c r="AJ464" s="121">
        <v>45582</v>
      </c>
      <c r="AK464" s="122">
        <v>45582</v>
      </c>
      <c r="AL464" s="122" t="e">
        <v>#N/A</v>
      </c>
      <c r="AM464" s="121" t="e">
        <v>#N/A</v>
      </c>
      <c r="AN464" s="121" t="e">
        <v>#N/A</v>
      </c>
      <c r="AO464" s="121" t="e">
        <v>#N/A</v>
      </c>
      <c r="AP464" s="122" t="e">
        <v>#N/A</v>
      </c>
      <c r="AQ464" s="122" t="e">
        <v>#N/A</v>
      </c>
      <c r="AR464" s="122" t="e">
        <v>#N/A</v>
      </c>
      <c r="AS464" s="122" t="e">
        <v>#N/A</v>
      </c>
      <c r="AT464" s="122" t="e">
        <v>#N/A</v>
      </c>
      <c r="AU464" s="121" t="e">
        <v>#N/A</v>
      </c>
      <c r="AV464" s="122" t="e">
        <v>#N/A</v>
      </c>
      <c r="AW464" s="122">
        <v>45755</v>
      </c>
      <c r="AX464" s="122" t="e">
        <v>#N/A</v>
      </c>
      <c r="AY464" s="122" t="e">
        <v>#N/A</v>
      </c>
      <c r="AZ464" s="122" t="e">
        <v>#N/A</v>
      </c>
      <c r="BA464" s="122" t="e">
        <v>#N/A</v>
      </c>
      <c r="BB464" s="122" t="e">
        <v>#N/A</v>
      </c>
      <c r="BC464" s="122" t="e">
        <v>#N/A</v>
      </c>
      <c r="BD464" s="122" t="e">
        <v>#N/A</v>
      </c>
      <c r="BE464" s="122" t="e">
        <v>#N/A</v>
      </c>
      <c r="BF464" s="122" t="e">
        <v>#N/A</v>
      </c>
      <c r="BG464" s="122" t="e">
        <v>#N/A</v>
      </c>
      <c r="BH464" s="122" t="e">
        <v>#N/A</v>
      </c>
      <c r="BI464" s="122" t="e">
        <v>#N/A</v>
      </c>
      <c r="BJ464" s="122" t="e">
        <v>#N/A</v>
      </c>
      <c r="BK464" s="122">
        <v>45957</v>
      </c>
      <c r="BL464" s="123"/>
      <c r="BM464" s="124" t="e">
        <v>#N/A</v>
      </c>
      <c r="BN464" s="124" t="e">
        <v>#N/A</v>
      </c>
      <c r="BO464" s="124" t="e">
        <v>#N/A</v>
      </c>
      <c r="BP464" s="124" t="e">
        <v>#N/A</v>
      </c>
      <c r="BQ464" s="124" t="e">
        <v>#N/A</v>
      </c>
      <c r="BR464" s="124" t="e">
        <v>#N/A</v>
      </c>
      <c r="BS464" s="124" t="e">
        <v>#N/A</v>
      </c>
      <c r="BT464" s="124" t="e">
        <v>#N/A</v>
      </c>
      <c r="BU464" s="124" t="e">
        <v>#N/A</v>
      </c>
      <c r="BV464" s="124" t="e">
        <v>#N/A</v>
      </c>
      <c r="BW464" s="124" t="e">
        <v>#N/A</v>
      </c>
      <c r="BX464" s="124" t="e">
        <v>#N/A</v>
      </c>
      <c r="BY464" s="124" t="e">
        <v>#N/A</v>
      </c>
      <c r="BZ464" s="124" t="e">
        <v>#N/A</v>
      </c>
      <c r="CA464" s="125"/>
      <c r="CB464" s="124" t="e">
        <v>#N/A</v>
      </c>
      <c r="CC464" s="126">
        <v>1</v>
      </c>
      <c r="CD464" s="127" t="s">
        <v>4213</v>
      </c>
      <c r="CE464" s="128"/>
      <c r="CF464" s="77" t="s">
        <v>4188</v>
      </c>
    </row>
    <row r="465" spans="1:84" ht="14.5" x14ac:dyDescent="0.35">
      <c r="A465" s="77">
        <v>464</v>
      </c>
      <c r="B465" s="106" t="s">
        <v>4008</v>
      </c>
      <c r="C465" s="107" t="s">
        <v>6714</v>
      </c>
      <c r="D465" s="108" t="s">
        <v>4009</v>
      </c>
      <c r="E465" s="109" t="s">
        <v>4010</v>
      </c>
      <c r="F465" s="110">
        <v>695874066</v>
      </c>
      <c r="G465" s="108" t="s">
        <v>190</v>
      </c>
      <c r="H465" s="111" t="s">
        <v>191</v>
      </c>
      <c r="I465" s="111" t="s">
        <v>180</v>
      </c>
      <c r="J465" s="111" t="s">
        <v>4649</v>
      </c>
      <c r="K465" s="111" t="s">
        <v>3159</v>
      </c>
      <c r="L465" s="112">
        <v>45582</v>
      </c>
      <c r="M465" s="111" t="s">
        <v>1920</v>
      </c>
      <c r="N465" s="113"/>
      <c r="O465" s="114" t="s">
        <v>7569</v>
      </c>
      <c r="P465" s="114" t="s">
        <v>183</v>
      </c>
      <c r="Q465" s="114" t="s">
        <v>7570</v>
      </c>
      <c r="R465" s="114" t="s">
        <v>7571</v>
      </c>
      <c r="S465" s="114" t="s">
        <v>183</v>
      </c>
      <c r="T465" s="114" t="s">
        <v>7569</v>
      </c>
      <c r="U465" s="114" t="s">
        <v>7569</v>
      </c>
      <c r="V465" s="115"/>
      <c r="W465" s="116" t="s">
        <v>4011</v>
      </c>
      <c r="X465" s="116" t="s">
        <v>4012</v>
      </c>
      <c r="Y465" s="117">
        <v>3485986</v>
      </c>
      <c r="Z465" s="117">
        <v>3486684</v>
      </c>
      <c r="AA465" s="118"/>
      <c r="AB465" s="119" t="s">
        <v>5833</v>
      </c>
      <c r="AC465" s="119" t="s">
        <v>4013</v>
      </c>
      <c r="AD465" s="119">
        <v>5904</v>
      </c>
      <c r="AE465" s="119" t="s">
        <v>4014</v>
      </c>
      <c r="AF465" s="119">
        <v>0</v>
      </c>
      <c r="AG465" s="120"/>
      <c r="AH465" s="121">
        <v>45582</v>
      </c>
      <c r="AI465" s="121">
        <v>45582</v>
      </c>
      <c r="AJ465" s="121">
        <v>45582</v>
      </c>
      <c r="AK465" s="122">
        <v>45582</v>
      </c>
      <c r="AL465" s="122" t="e">
        <v>#N/A</v>
      </c>
      <c r="AM465" s="121" t="e">
        <v>#N/A</v>
      </c>
      <c r="AN465" s="121" t="e">
        <v>#N/A</v>
      </c>
      <c r="AO465" s="121" t="e">
        <v>#N/A</v>
      </c>
      <c r="AP465" s="122" t="e">
        <v>#N/A</v>
      </c>
      <c r="AQ465" s="122" t="e">
        <v>#N/A</v>
      </c>
      <c r="AR465" s="122" t="e">
        <v>#N/A</v>
      </c>
      <c r="AS465" s="122" t="e">
        <v>#N/A</v>
      </c>
      <c r="AT465" s="122" t="e">
        <v>#N/A</v>
      </c>
      <c r="AU465" s="121" t="e">
        <v>#N/A</v>
      </c>
      <c r="AV465" s="122" t="e">
        <v>#N/A</v>
      </c>
      <c r="AW465" s="122">
        <v>45758</v>
      </c>
      <c r="AX465" s="122" t="e">
        <v>#N/A</v>
      </c>
      <c r="AY465" s="122" t="e">
        <v>#N/A</v>
      </c>
      <c r="AZ465" s="122" t="e">
        <v>#N/A</v>
      </c>
      <c r="BA465" s="122" t="e">
        <v>#N/A</v>
      </c>
      <c r="BB465" s="122" t="e">
        <v>#N/A</v>
      </c>
      <c r="BC465" s="122" t="e">
        <v>#N/A</v>
      </c>
      <c r="BD465" s="122" t="e">
        <v>#N/A</v>
      </c>
      <c r="BE465" s="122" t="e">
        <v>#N/A</v>
      </c>
      <c r="BF465" s="122" t="e">
        <v>#N/A</v>
      </c>
      <c r="BG465" s="122" t="e">
        <v>#N/A</v>
      </c>
      <c r="BH465" s="122" t="e">
        <v>#N/A</v>
      </c>
      <c r="BI465" s="122" t="e">
        <v>#N/A</v>
      </c>
      <c r="BJ465" s="122" t="e">
        <v>#N/A</v>
      </c>
      <c r="BK465" s="122" t="e">
        <v>#N/A</v>
      </c>
      <c r="BL465" s="123"/>
      <c r="BM465" s="124" t="e">
        <v>#N/A</v>
      </c>
      <c r="BN465" s="124" t="e">
        <v>#N/A</v>
      </c>
      <c r="BO465" s="124" t="e">
        <v>#N/A</v>
      </c>
      <c r="BP465" s="124" t="e">
        <v>#N/A</v>
      </c>
      <c r="BQ465" s="124" t="e">
        <v>#N/A</v>
      </c>
      <c r="BR465" s="124" t="e">
        <v>#N/A</v>
      </c>
      <c r="BS465" s="124" t="e">
        <v>#N/A</v>
      </c>
      <c r="BT465" s="124" t="e">
        <v>#N/A</v>
      </c>
      <c r="BU465" s="124" t="e">
        <v>#N/A</v>
      </c>
      <c r="BV465" s="124" t="e">
        <v>#N/A</v>
      </c>
      <c r="BW465" s="124" t="e">
        <v>#N/A</v>
      </c>
      <c r="BX465" s="124" t="e">
        <v>#N/A</v>
      </c>
      <c r="BY465" s="124" t="e">
        <v>#N/A</v>
      </c>
      <c r="BZ465" s="124" t="e">
        <v>#N/A</v>
      </c>
      <c r="CA465" s="125"/>
      <c r="CB465" s="124" t="e">
        <v>#N/A</v>
      </c>
      <c r="CC465" s="126">
        <v>1</v>
      </c>
      <c r="CD465" s="127" t="s">
        <v>4213</v>
      </c>
      <c r="CE465" s="128"/>
      <c r="CF465" s="77" t="s">
        <v>4188</v>
      </c>
    </row>
    <row r="466" spans="1:84" ht="14.5" x14ac:dyDescent="0.35">
      <c r="A466" s="77">
        <v>465</v>
      </c>
      <c r="B466" s="106" t="s">
        <v>1039</v>
      </c>
      <c r="C466" s="107" t="s">
        <v>1418</v>
      </c>
      <c r="D466" s="108" t="s">
        <v>1040</v>
      </c>
      <c r="E466" s="109" t="s">
        <v>1041</v>
      </c>
      <c r="F466" s="110">
        <v>645186144</v>
      </c>
      <c r="G466" s="108" t="s">
        <v>1004</v>
      </c>
      <c r="H466" s="111" t="s">
        <v>191</v>
      </c>
      <c r="I466" s="111" t="s">
        <v>180</v>
      </c>
      <c r="J466" s="111" t="s">
        <v>4649</v>
      </c>
      <c r="K466" s="111" t="s">
        <v>3159</v>
      </c>
      <c r="L466" s="112">
        <v>44743</v>
      </c>
      <c r="M466" s="111" t="s">
        <v>4035</v>
      </c>
      <c r="N466" s="113"/>
      <c r="O466" s="114" t="s">
        <v>286</v>
      </c>
      <c r="P466" s="114" t="s">
        <v>286</v>
      </c>
      <c r="Q466" s="114" t="s">
        <v>286</v>
      </c>
      <c r="R466" s="114" t="s">
        <v>7301</v>
      </c>
      <c r="S466" s="114" t="s">
        <v>286</v>
      </c>
      <c r="T466" s="114" t="s">
        <v>183</v>
      </c>
      <c r="U466" s="114" t="s">
        <v>183</v>
      </c>
      <c r="V466" s="115"/>
      <c r="W466" s="116" t="s">
        <v>1042</v>
      </c>
      <c r="X466" s="116" t="s">
        <v>1043</v>
      </c>
      <c r="Y466" s="117">
        <v>3485390</v>
      </c>
      <c r="Z466" s="117">
        <v>3486165</v>
      </c>
      <c r="AA466" s="118"/>
      <c r="AB466" s="119" t="s">
        <v>5866</v>
      </c>
      <c r="AC466" s="119" t="s">
        <v>1419</v>
      </c>
      <c r="AD466" s="119">
        <v>4305</v>
      </c>
      <c r="AE466" s="119" t="s">
        <v>1420</v>
      </c>
      <c r="AF466" s="119" t="s">
        <v>7572</v>
      </c>
      <c r="AG466" s="120"/>
      <c r="AH466" s="121">
        <v>44197</v>
      </c>
      <c r="AI466" s="121">
        <v>44593</v>
      </c>
      <c r="AJ466" s="121">
        <v>44593</v>
      </c>
      <c r="AK466" s="122">
        <v>44593</v>
      </c>
      <c r="AL466" s="122" t="e">
        <v>#N/A</v>
      </c>
      <c r="AM466" s="121" t="e">
        <v>#N/A</v>
      </c>
      <c r="AN466" s="121" t="e">
        <v>#N/A</v>
      </c>
      <c r="AO466" s="121" t="e">
        <v>#N/A</v>
      </c>
      <c r="AP466" s="122" t="e">
        <v>#N/A</v>
      </c>
      <c r="AQ466" s="122" t="e">
        <v>#N/A</v>
      </c>
      <c r="AR466" s="122" t="e">
        <v>#N/A</v>
      </c>
      <c r="AS466" s="122" t="e">
        <v>#N/A</v>
      </c>
      <c r="AT466" s="122" t="e">
        <v>#N/A</v>
      </c>
      <c r="AU466" s="121" t="e">
        <v>#N/A</v>
      </c>
      <c r="AV466" s="122" t="e">
        <v>#N/A</v>
      </c>
      <c r="AW466" s="122">
        <v>45034</v>
      </c>
      <c r="AX466" s="122" t="e">
        <v>#N/A</v>
      </c>
      <c r="AY466" s="122" t="e">
        <v>#N/A</v>
      </c>
      <c r="AZ466" s="122" t="e">
        <v>#N/A</v>
      </c>
      <c r="BA466" s="122" t="e">
        <v>#N/A</v>
      </c>
      <c r="BB466" s="122" t="e">
        <v>#N/A</v>
      </c>
      <c r="BC466" s="122" t="e">
        <v>#N/A</v>
      </c>
      <c r="BD466" s="122" t="e">
        <v>#N/A</v>
      </c>
      <c r="BE466" s="122" t="e">
        <v>#N/A</v>
      </c>
      <c r="BF466" s="122" t="e">
        <v>#N/A</v>
      </c>
      <c r="BG466" s="122" t="e">
        <v>#N/A</v>
      </c>
      <c r="BH466" s="122" t="e">
        <v>#N/A</v>
      </c>
      <c r="BI466" s="122" t="e">
        <v>#N/A</v>
      </c>
      <c r="BJ466" s="122" t="e">
        <v>#N/A</v>
      </c>
      <c r="BK466" s="122">
        <v>45973</v>
      </c>
      <c r="BL466" s="123"/>
      <c r="BM466" s="124">
        <v>45075</v>
      </c>
      <c r="BN466" s="124">
        <v>45078</v>
      </c>
      <c r="BO466" s="124">
        <v>45110</v>
      </c>
      <c r="BP466" s="124">
        <v>45369</v>
      </c>
      <c r="BQ466" s="124">
        <v>45110</v>
      </c>
      <c r="BR466" s="124" t="e">
        <v>#N/A</v>
      </c>
      <c r="BS466" s="124" t="e">
        <v>#N/A</v>
      </c>
      <c r="BT466" s="124" t="e">
        <v>#N/A</v>
      </c>
      <c r="BU466" s="124" t="e">
        <v>#N/A</v>
      </c>
      <c r="BV466" s="124" t="e">
        <v>#N/A</v>
      </c>
      <c r="BW466" s="124" t="e">
        <v>#N/A</v>
      </c>
      <c r="BX466" s="124" t="e">
        <v>#N/A</v>
      </c>
      <c r="BY466" s="124" t="e">
        <v>#N/A</v>
      </c>
      <c r="BZ466" s="124" t="e">
        <v>#N/A</v>
      </c>
      <c r="CA466" s="125"/>
      <c r="CB466" s="124" t="e">
        <v>#N/A</v>
      </c>
      <c r="CC466" s="126">
        <v>1</v>
      </c>
      <c r="CD466" s="127" t="s">
        <v>4148</v>
      </c>
      <c r="CE466" s="128"/>
      <c r="CF466" s="77" t="s">
        <v>4188</v>
      </c>
    </row>
    <row r="467" spans="1:84" ht="14.5" x14ac:dyDescent="0.35">
      <c r="A467" s="77">
        <v>466</v>
      </c>
      <c r="B467" s="106" t="s">
        <v>2903</v>
      </c>
      <c r="C467" s="107" t="s">
        <v>6396</v>
      </c>
      <c r="D467" s="108" t="s">
        <v>2904</v>
      </c>
      <c r="E467" s="109" t="s">
        <v>2905</v>
      </c>
      <c r="F467" s="110">
        <v>644560130</v>
      </c>
      <c r="G467" s="108" t="s">
        <v>1004</v>
      </c>
      <c r="H467" s="111" t="s">
        <v>191</v>
      </c>
      <c r="I467" s="111" t="s">
        <v>180</v>
      </c>
      <c r="J467" s="111" t="s">
        <v>4649</v>
      </c>
      <c r="K467" s="111" t="s">
        <v>3159</v>
      </c>
      <c r="L467" s="112">
        <v>40817</v>
      </c>
      <c r="M467" s="111" t="s">
        <v>2967</v>
      </c>
      <c r="N467" s="113"/>
      <c r="O467" s="114" t="s">
        <v>6168</v>
      </c>
      <c r="P467" s="114" t="s">
        <v>6168</v>
      </c>
      <c r="Q467" s="114" t="s">
        <v>6167</v>
      </c>
      <c r="R467" s="114" t="s">
        <v>7573</v>
      </c>
      <c r="S467" s="114" t="s">
        <v>6168</v>
      </c>
      <c r="T467" s="114" t="s">
        <v>183</v>
      </c>
      <c r="U467" s="114" t="s">
        <v>183</v>
      </c>
      <c r="V467" s="115"/>
      <c r="W467" s="116" t="s">
        <v>2906</v>
      </c>
      <c r="X467" s="116" t="s">
        <v>2907</v>
      </c>
      <c r="Y467" s="117">
        <v>3485822</v>
      </c>
      <c r="Z467" s="117">
        <v>3486348</v>
      </c>
      <c r="AA467" s="118"/>
      <c r="AB467" s="119" t="s">
        <v>5522</v>
      </c>
      <c r="AC467" s="119" t="s">
        <v>2908</v>
      </c>
      <c r="AD467" s="119">
        <v>4272</v>
      </c>
      <c r="AE467" s="119" t="s">
        <v>2909</v>
      </c>
      <c r="AF467" s="119">
        <v>0</v>
      </c>
      <c r="AG467" s="120"/>
      <c r="AH467" s="121">
        <v>45161</v>
      </c>
      <c r="AI467" s="121" t="e">
        <v>#N/A</v>
      </c>
      <c r="AJ467" s="121">
        <v>45161</v>
      </c>
      <c r="AK467" s="122" t="e">
        <v>#N/A</v>
      </c>
      <c r="AL467" s="122" t="e">
        <v>#N/A</v>
      </c>
      <c r="AM467" s="121" t="e">
        <v>#N/A</v>
      </c>
      <c r="AN467" s="121" t="e">
        <v>#N/A</v>
      </c>
      <c r="AO467" s="121" t="e">
        <v>#N/A</v>
      </c>
      <c r="AP467" s="122" t="e">
        <v>#N/A</v>
      </c>
      <c r="AQ467" s="122" t="e">
        <v>#N/A</v>
      </c>
      <c r="AR467" s="122" t="e">
        <v>#N/A</v>
      </c>
      <c r="AS467" s="122" t="e">
        <v>#N/A</v>
      </c>
      <c r="AT467" s="122" t="e">
        <v>#N/A</v>
      </c>
      <c r="AU467" s="121" t="e">
        <v>#N/A</v>
      </c>
      <c r="AV467" s="122" t="e">
        <v>#N/A</v>
      </c>
      <c r="AW467" s="122" t="e">
        <v>#N/A</v>
      </c>
      <c r="AX467" s="122" t="e">
        <v>#N/A</v>
      </c>
      <c r="AY467" s="122" t="e">
        <v>#N/A</v>
      </c>
      <c r="AZ467" s="122" t="e">
        <v>#N/A</v>
      </c>
      <c r="BA467" s="122" t="e">
        <v>#N/A</v>
      </c>
      <c r="BB467" s="122" t="e">
        <v>#N/A</v>
      </c>
      <c r="BC467" s="122" t="e">
        <v>#N/A</v>
      </c>
      <c r="BD467" s="122" t="e">
        <v>#N/A</v>
      </c>
      <c r="BE467" s="122" t="e">
        <v>#N/A</v>
      </c>
      <c r="BF467" s="122" t="e">
        <v>#N/A</v>
      </c>
      <c r="BG467" s="122" t="e">
        <v>#N/A</v>
      </c>
      <c r="BH467" s="122" t="e">
        <v>#N/A</v>
      </c>
      <c r="BI467" s="122" t="e">
        <v>#N/A</v>
      </c>
      <c r="BJ467" s="122" t="e">
        <v>#N/A</v>
      </c>
      <c r="BK467" s="122" t="e">
        <v>#N/A</v>
      </c>
      <c r="BL467" s="123"/>
      <c r="BM467" s="124" t="e">
        <v>#N/A</v>
      </c>
      <c r="BN467" s="124" t="e">
        <v>#N/A</v>
      </c>
      <c r="BO467" s="124" t="e">
        <v>#N/A</v>
      </c>
      <c r="BP467" s="124" t="e">
        <v>#N/A</v>
      </c>
      <c r="BQ467" s="124" t="e">
        <v>#N/A</v>
      </c>
      <c r="BR467" s="124" t="e">
        <v>#N/A</v>
      </c>
      <c r="BS467" s="124" t="e">
        <v>#N/A</v>
      </c>
      <c r="BT467" s="124" t="e">
        <v>#N/A</v>
      </c>
      <c r="BU467" s="124" t="e">
        <v>#N/A</v>
      </c>
      <c r="BV467" s="124" t="e">
        <v>#N/A</v>
      </c>
      <c r="BW467" s="124" t="e">
        <v>#N/A</v>
      </c>
      <c r="BX467" s="124" t="e">
        <v>#N/A</v>
      </c>
      <c r="BY467" s="124" t="e">
        <v>#N/A</v>
      </c>
      <c r="BZ467" s="124" t="e">
        <v>#N/A</v>
      </c>
      <c r="CA467" s="125"/>
      <c r="CB467" s="124" t="e">
        <v>#N/A</v>
      </c>
      <c r="CC467" s="126">
        <v>1</v>
      </c>
      <c r="CD467" s="127" t="s">
        <v>4179</v>
      </c>
      <c r="CE467" s="128"/>
      <c r="CF467" s="77" t="s">
        <v>4204</v>
      </c>
    </row>
    <row r="468" spans="1:84" ht="14.5" x14ac:dyDescent="0.35">
      <c r="A468" s="77">
        <v>467</v>
      </c>
      <c r="B468" s="106" t="s">
        <v>4985</v>
      </c>
      <c r="C468" s="107" t="s">
        <v>6795</v>
      </c>
      <c r="D468" s="108" t="s">
        <v>4892</v>
      </c>
      <c r="E468" s="109" t="s">
        <v>4893</v>
      </c>
      <c r="F468" s="110">
        <v>678207909</v>
      </c>
      <c r="G468" s="108" t="s">
        <v>1004</v>
      </c>
      <c r="H468" s="111" t="s">
        <v>191</v>
      </c>
      <c r="I468" s="111" t="s">
        <v>180</v>
      </c>
      <c r="J468" s="111" t="s">
        <v>4649</v>
      </c>
      <c r="K468" s="111" t="s">
        <v>3159</v>
      </c>
      <c r="L468" s="112">
        <v>45852</v>
      </c>
      <c r="M468" s="111" t="s">
        <v>2463</v>
      </c>
      <c r="N468" s="113"/>
      <c r="O468" s="114" t="s">
        <v>7574</v>
      </c>
      <c r="P468" s="114" t="s">
        <v>7575</v>
      </c>
      <c r="Q468" s="114" t="s">
        <v>568</v>
      </c>
      <c r="R468" s="114" t="s">
        <v>7447</v>
      </c>
      <c r="S468" s="114" t="s">
        <v>5315</v>
      </c>
      <c r="T468" s="114" t="s">
        <v>183</v>
      </c>
      <c r="U468" s="114" t="s">
        <v>183</v>
      </c>
      <c r="V468" s="115"/>
      <c r="W468" s="116" t="s">
        <v>4894</v>
      </c>
      <c r="X468" s="116" t="s">
        <v>4895</v>
      </c>
      <c r="Y468" s="117">
        <v>3485739</v>
      </c>
      <c r="Z468" s="117">
        <v>3486780</v>
      </c>
      <c r="AA468" s="118"/>
      <c r="AB468" s="119" t="s">
        <v>4896</v>
      </c>
      <c r="AC468" s="119" t="s">
        <v>4897</v>
      </c>
      <c r="AD468" s="119">
        <v>5409</v>
      </c>
      <c r="AE468" s="119" t="s">
        <v>4898</v>
      </c>
      <c r="AF468" s="119">
        <v>0</v>
      </c>
      <c r="AG468" s="120"/>
      <c r="AH468" s="121">
        <v>45853</v>
      </c>
      <c r="AI468" s="121">
        <v>45853</v>
      </c>
      <c r="AJ468" s="121">
        <v>45853</v>
      </c>
      <c r="AK468" s="122">
        <v>45853</v>
      </c>
      <c r="AL468" s="122" t="e">
        <v>#N/A</v>
      </c>
      <c r="AM468" s="121" t="e">
        <v>#N/A</v>
      </c>
      <c r="AN468" s="121" t="e">
        <v>#N/A</v>
      </c>
      <c r="AO468" s="121" t="e">
        <v>#N/A</v>
      </c>
      <c r="AP468" s="122" t="e">
        <v>#N/A</v>
      </c>
      <c r="AQ468" s="122" t="e">
        <v>#N/A</v>
      </c>
      <c r="AR468" s="122" t="e">
        <v>#N/A</v>
      </c>
      <c r="AS468" s="122" t="e">
        <v>#N/A</v>
      </c>
      <c r="AT468" s="122" t="e">
        <v>#N/A</v>
      </c>
      <c r="AU468" s="121" t="e">
        <v>#N/A</v>
      </c>
      <c r="AV468" s="122" t="e">
        <v>#N/A</v>
      </c>
      <c r="AW468" s="122">
        <v>45853</v>
      </c>
      <c r="AX468" s="122" t="e">
        <v>#N/A</v>
      </c>
      <c r="AY468" s="122" t="e">
        <v>#N/A</v>
      </c>
      <c r="AZ468" s="122" t="e">
        <v>#N/A</v>
      </c>
      <c r="BA468" s="122" t="e">
        <v>#N/A</v>
      </c>
      <c r="BB468" s="122" t="e">
        <v>#N/A</v>
      </c>
      <c r="BC468" s="122" t="e">
        <v>#N/A</v>
      </c>
      <c r="BD468" s="122" t="e">
        <v>#N/A</v>
      </c>
      <c r="BE468" s="122" t="e">
        <v>#N/A</v>
      </c>
      <c r="BF468" s="122" t="e">
        <v>#N/A</v>
      </c>
      <c r="BG468" s="122" t="e">
        <v>#N/A</v>
      </c>
      <c r="BH468" s="122" t="e">
        <v>#N/A</v>
      </c>
      <c r="BI468" s="122" t="e">
        <v>#N/A</v>
      </c>
      <c r="BJ468" s="122" t="e">
        <v>#N/A</v>
      </c>
      <c r="BK468" s="122" t="e">
        <v>#N/A</v>
      </c>
      <c r="BL468" s="123"/>
      <c r="BM468" s="124" t="e">
        <v>#N/A</v>
      </c>
      <c r="BN468" s="124" t="e">
        <v>#N/A</v>
      </c>
      <c r="BO468" s="124" t="e">
        <v>#N/A</v>
      </c>
      <c r="BP468" s="124" t="e">
        <v>#N/A</v>
      </c>
      <c r="BQ468" s="124" t="e">
        <v>#N/A</v>
      </c>
      <c r="BR468" s="124" t="e">
        <v>#N/A</v>
      </c>
      <c r="BS468" s="124" t="e">
        <v>#N/A</v>
      </c>
      <c r="BT468" s="124" t="e">
        <v>#N/A</v>
      </c>
      <c r="BU468" s="124" t="e">
        <v>#N/A</v>
      </c>
      <c r="BV468" s="124" t="e">
        <v>#N/A</v>
      </c>
      <c r="BW468" s="124" t="e">
        <v>#N/A</v>
      </c>
      <c r="BX468" s="124" t="e">
        <v>#N/A</v>
      </c>
      <c r="BY468" s="124" t="e">
        <v>#N/A</v>
      </c>
      <c r="BZ468" s="124" t="e">
        <v>#N/A</v>
      </c>
      <c r="CA468" s="125"/>
      <c r="CB468" s="124">
        <v>45853</v>
      </c>
      <c r="CC468" s="126">
        <v>1</v>
      </c>
      <c r="CD468" s="127" t="s">
        <v>4981</v>
      </c>
      <c r="CE468" s="128"/>
      <c r="CF468" s="77" t="s">
        <v>4202</v>
      </c>
    </row>
    <row r="469" spans="1:84" ht="14.5" x14ac:dyDescent="0.35">
      <c r="A469" s="77">
        <v>468</v>
      </c>
      <c r="B469" s="106" t="s">
        <v>4017</v>
      </c>
      <c r="C469" s="107" t="s">
        <v>6716</v>
      </c>
      <c r="D469" s="108" t="s">
        <v>4029</v>
      </c>
      <c r="E469" s="109" t="s">
        <v>4030</v>
      </c>
      <c r="F469" s="110">
        <v>622406948</v>
      </c>
      <c r="G469" s="108" t="s">
        <v>1004</v>
      </c>
      <c r="H469" s="111" t="s">
        <v>191</v>
      </c>
      <c r="I469" s="111" t="s">
        <v>180</v>
      </c>
      <c r="J469" s="111" t="s">
        <v>4649</v>
      </c>
      <c r="K469" s="111" t="s">
        <v>3159</v>
      </c>
      <c r="L469" s="112">
        <v>45589</v>
      </c>
      <c r="M469" s="111" t="s">
        <v>491</v>
      </c>
      <c r="N469" s="113"/>
      <c r="O469" s="114" t="s">
        <v>7175</v>
      </c>
      <c r="P469" s="114" t="s">
        <v>7175</v>
      </c>
      <c r="Q469" s="114" t="s">
        <v>7175</v>
      </c>
      <c r="R469" s="114" t="s">
        <v>7386</v>
      </c>
      <c r="S469" s="114" t="s">
        <v>183</v>
      </c>
      <c r="T469" s="114" t="s">
        <v>568</v>
      </c>
      <c r="U469" s="114" t="s">
        <v>568</v>
      </c>
      <c r="V469" s="115"/>
      <c r="W469" s="116" t="s">
        <v>4031</v>
      </c>
      <c r="X469" s="116" t="s">
        <v>4032</v>
      </c>
      <c r="Y469" s="117">
        <v>3485989</v>
      </c>
      <c r="Z469" s="117">
        <v>3486688</v>
      </c>
      <c r="AA469" s="118"/>
      <c r="AB469" s="119" t="s">
        <v>5642</v>
      </c>
      <c r="AC469" s="119" t="s">
        <v>4033</v>
      </c>
      <c r="AD469" s="119">
        <v>26185</v>
      </c>
      <c r="AE469" s="119" t="s">
        <v>4034</v>
      </c>
      <c r="AF469" s="119">
        <v>0</v>
      </c>
      <c r="AG469" s="120"/>
      <c r="AH469" s="121">
        <v>45589</v>
      </c>
      <c r="AI469" s="121">
        <v>45589</v>
      </c>
      <c r="AJ469" s="121">
        <v>45589</v>
      </c>
      <c r="AK469" s="122">
        <v>45589</v>
      </c>
      <c r="AL469" s="122">
        <v>45906</v>
      </c>
      <c r="AM469" s="121" t="e">
        <v>#N/A</v>
      </c>
      <c r="AN469" s="121" t="s">
        <v>7169</v>
      </c>
      <c r="AO469" s="121" t="s">
        <v>7183</v>
      </c>
      <c r="AP469" s="122" t="e">
        <v>#N/A</v>
      </c>
      <c r="AQ469" s="122">
        <v>45820</v>
      </c>
      <c r="AR469" s="122" t="e">
        <v>#N/A</v>
      </c>
      <c r="AS469" s="122" t="e">
        <v>#N/A</v>
      </c>
      <c r="AT469" s="122" t="e">
        <v>#N/A</v>
      </c>
      <c r="AU469" s="121" t="e">
        <v>#N/A</v>
      </c>
      <c r="AV469" s="122" t="e">
        <v>#N/A</v>
      </c>
      <c r="AW469" s="122">
        <v>45735</v>
      </c>
      <c r="AX469" s="122" t="e">
        <v>#N/A</v>
      </c>
      <c r="AY469" s="122" t="e">
        <v>#N/A</v>
      </c>
      <c r="AZ469" s="122" t="e">
        <v>#N/A</v>
      </c>
      <c r="BA469" s="122" t="e">
        <v>#N/A</v>
      </c>
      <c r="BB469" s="122" t="e">
        <v>#N/A</v>
      </c>
      <c r="BC469" s="122" t="e">
        <v>#N/A</v>
      </c>
      <c r="BD469" s="122" t="e">
        <v>#N/A</v>
      </c>
      <c r="BE469" s="122" t="e">
        <v>#N/A</v>
      </c>
      <c r="BF469" s="122" t="e">
        <v>#N/A</v>
      </c>
      <c r="BG469" s="122" t="e">
        <v>#N/A</v>
      </c>
      <c r="BH469" s="122" t="e">
        <v>#N/A</v>
      </c>
      <c r="BI469" s="122" t="e">
        <v>#N/A</v>
      </c>
      <c r="BJ469" s="122" t="e">
        <v>#N/A</v>
      </c>
      <c r="BK469" s="122" t="e">
        <v>#N/A</v>
      </c>
      <c r="BL469" s="123"/>
      <c r="BM469" s="124" t="e">
        <v>#N/A</v>
      </c>
      <c r="BN469" s="124" t="e">
        <v>#N/A</v>
      </c>
      <c r="BO469" s="124" t="e">
        <v>#N/A</v>
      </c>
      <c r="BP469" s="124" t="e">
        <v>#N/A</v>
      </c>
      <c r="BQ469" s="124" t="e">
        <v>#N/A</v>
      </c>
      <c r="BR469" s="124" t="e">
        <v>#N/A</v>
      </c>
      <c r="BS469" s="124" t="e">
        <v>#N/A</v>
      </c>
      <c r="BT469" s="124" t="e">
        <v>#N/A</v>
      </c>
      <c r="BU469" s="124" t="e">
        <v>#N/A</v>
      </c>
      <c r="BV469" s="124" t="e">
        <v>#N/A</v>
      </c>
      <c r="BW469" s="124" t="e">
        <v>#N/A</v>
      </c>
      <c r="BX469" s="124" t="e">
        <v>#N/A</v>
      </c>
      <c r="BY469" s="124" t="e">
        <v>#N/A</v>
      </c>
      <c r="BZ469" s="124" t="e">
        <v>#N/A</v>
      </c>
      <c r="CA469" s="125"/>
      <c r="CB469" s="124" t="e">
        <v>#N/A</v>
      </c>
      <c r="CC469" s="126">
        <v>1</v>
      </c>
      <c r="CD469" s="127" t="s">
        <v>4214</v>
      </c>
      <c r="CE469" s="128"/>
      <c r="CF469" s="77" t="s">
        <v>4204</v>
      </c>
    </row>
    <row r="470" spans="1:84" ht="14.5" x14ac:dyDescent="0.35">
      <c r="A470" s="77">
        <v>469</v>
      </c>
      <c r="B470" s="106" t="s">
        <v>3577</v>
      </c>
      <c r="C470" s="107" t="s">
        <v>6570</v>
      </c>
      <c r="D470" s="108" t="s">
        <v>3578</v>
      </c>
      <c r="E470" s="109" t="s">
        <v>3579</v>
      </c>
      <c r="F470" s="110">
        <v>673344868</v>
      </c>
      <c r="G470" s="108" t="s">
        <v>1004</v>
      </c>
      <c r="H470" s="111" t="s">
        <v>191</v>
      </c>
      <c r="I470" s="111" t="s">
        <v>180</v>
      </c>
      <c r="J470" s="111" t="s">
        <v>4649</v>
      </c>
      <c r="K470" s="111" t="s">
        <v>3159</v>
      </c>
      <c r="L470" s="112">
        <v>45481</v>
      </c>
      <c r="M470" s="111" t="s">
        <v>284</v>
      </c>
      <c r="N470" s="113"/>
      <c r="O470" s="114" t="s">
        <v>501</v>
      </c>
      <c r="P470" s="114" t="s">
        <v>183</v>
      </c>
      <c r="Q470" s="114" t="s">
        <v>501</v>
      </c>
      <c r="R470" s="114" t="s">
        <v>7321</v>
      </c>
      <c r="S470" s="114" t="s">
        <v>183</v>
      </c>
      <c r="T470" s="114" t="s">
        <v>501</v>
      </c>
      <c r="U470" s="114" t="s">
        <v>501</v>
      </c>
      <c r="V470" s="115"/>
      <c r="W470" s="116" t="s">
        <v>3580</v>
      </c>
      <c r="X470" s="116" t="s">
        <v>3581</v>
      </c>
      <c r="Y470" s="117">
        <v>3485942</v>
      </c>
      <c r="Z470" s="117">
        <v>3486656</v>
      </c>
      <c r="AA470" s="118"/>
      <c r="AB470" s="119" t="s">
        <v>5503</v>
      </c>
      <c r="AC470" s="119" t="s">
        <v>3582</v>
      </c>
      <c r="AD470" s="119">
        <v>5705</v>
      </c>
      <c r="AE470" s="119" t="s">
        <v>3583</v>
      </c>
      <c r="AF470" s="119" t="s">
        <v>7159</v>
      </c>
      <c r="AG470" s="120"/>
      <c r="AH470" s="121">
        <v>45195</v>
      </c>
      <c r="AI470" s="121">
        <v>45497</v>
      </c>
      <c r="AJ470" s="121">
        <v>45497</v>
      </c>
      <c r="AK470" s="122">
        <v>45497</v>
      </c>
      <c r="AL470" s="122" t="e">
        <v>#N/A</v>
      </c>
      <c r="AM470" s="121" t="e">
        <v>#N/A</v>
      </c>
      <c r="AN470" s="121" t="e">
        <v>#N/A</v>
      </c>
      <c r="AO470" s="121" t="e">
        <v>#N/A</v>
      </c>
      <c r="AP470" s="122" t="e">
        <v>#N/A</v>
      </c>
      <c r="AQ470" s="122" t="e">
        <v>#N/A</v>
      </c>
      <c r="AR470" s="122" t="e">
        <v>#N/A</v>
      </c>
      <c r="AS470" s="122" t="e">
        <v>#N/A</v>
      </c>
      <c r="AT470" s="122" t="e">
        <v>#N/A</v>
      </c>
      <c r="AU470" s="121" t="e">
        <v>#N/A</v>
      </c>
      <c r="AV470" s="122" t="e">
        <v>#N/A</v>
      </c>
      <c r="AW470" s="122">
        <v>45873</v>
      </c>
      <c r="AX470" s="122" t="e">
        <v>#N/A</v>
      </c>
      <c r="AY470" s="122" t="e">
        <v>#N/A</v>
      </c>
      <c r="AZ470" s="122" t="e">
        <v>#N/A</v>
      </c>
      <c r="BA470" s="122" t="e">
        <v>#N/A</v>
      </c>
      <c r="BB470" s="122" t="e">
        <v>#N/A</v>
      </c>
      <c r="BC470" s="122" t="e">
        <v>#N/A</v>
      </c>
      <c r="BD470" s="122" t="e">
        <v>#N/A</v>
      </c>
      <c r="BE470" s="122" t="e">
        <v>#N/A</v>
      </c>
      <c r="BF470" s="122" t="e">
        <v>#N/A</v>
      </c>
      <c r="BG470" s="122" t="e">
        <v>#N/A</v>
      </c>
      <c r="BH470" s="122">
        <v>45547</v>
      </c>
      <c r="BI470" s="122" t="e">
        <v>#N/A</v>
      </c>
      <c r="BJ470" s="122" t="e">
        <v>#N/A</v>
      </c>
      <c r="BK470" s="122">
        <v>45967</v>
      </c>
      <c r="BL470" s="123"/>
      <c r="BM470" s="124" t="e">
        <v>#N/A</v>
      </c>
      <c r="BN470" s="124" t="e">
        <v>#N/A</v>
      </c>
      <c r="BO470" s="124" t="e">
        <v>#N/A</v>
      </c>
      <c r="BP470" s="124" t="e">
        <v>#N/A</v>
      </c>
      <c r="BQ470" s="124" t="e">
        <v>#N/A</v>
      </c>
      <c r="BR470" s="124" t="e">
        <v>#N/A</v>
      </c>
      <c r="BS470" s="124" t="e">
        <v>#N/A</v>
      </c>
      <c r="BT470" s="124" t="e">
        <v>#N/A</v>
      </c>
      <c r="BU470" s="124" t="e">
        <v>#N/A</v>
      </c>
      <c r="BV470" s="124" t="e">
        <v>#N/A</v>
      </c>
      <c r="BW470" s="124" t="e">
        <v>#N/A</v>
      </c>
      <c r="BX470" s="124" t="e">
        <v>#N/A</v>
      </c>
      <c r="BY470" s="124" t="e">
        <v>#N/A</v>
      </c>
      <c r="BZ470" s="124" t="e">
        <v>#N/A</v>
      </c>
      <c r="CA470" s="125"/>
      <c r="CB470" s="124">
        <v>45729</v>
      </c>
      <c r="CC470" s="126">
        <v>1</v>
      </c>
      <c r="CD470" s="127" t="s">
        <v>4201</v>
      </c>
      <c r="CE470" s="128"/>
      <c r="CF470" s="77" t="s">
        <v>4204</v>
      </c>
    </row>
    <row r="471" spans="1:84" ht="14.5" x14ac:dyDescent="0.35">
      <c r="A471" s="77">
        <v>470</v>
      </c>
      <c r="B471" s="106" t="s">
        <v>93</v>
      </c>
      <c r="C471" s="107" t="s">
        <v>1327</v>
      </c>
      <c r="D471" s="108" t="s">
        <v>664</v>
      </c>
      <c r="E471" s="109" t="s">
        <v>665</v>
      </c>
      <c r="F471" s="110">
        <v>692375076</v>
      </c>
      <c r="G471" s="108" t="s">
        <v>190</v>
      </c>
      <c r="H471" s="111" t="s">
        <v>191</v>
      </c>
      <c r="I471" s="111" t="s">
        <v>180</v>
      </c>
      <c r="J471" s="111" t="s">
        <v>4649</v>
      </c>
      <c r="K471" s="111" t="s">
        <v>3159</v>
      </c>
      <c r="L471" s="112">
        <v>43230</v>
      </c>
      <c r="M471" s="111" t="s">
        <v>329</v>
      </c>
      <c r="N471" s="113"/>
      <c r="O471" s="114" t="s">
        <v>3798</v>
      </c>
      <c r="P471" s="114" t="s">
        <v>183</v>
      </c>
      <c r="Q471" s="114" t="s">
        <v>3798</v>
      </c>
      <c r="R471" s="114" t="s">
        <v>7364</v>
      </c>
      <c r="S471" s="114" t="s">
        <v>183</v>
      </c>
      <c r="T471" s="114" t="s">
        <v>3797</v>
      </c>
      <c r="U471" s="114" t="s">
        <v>3797</v>
      </c>
      <c r="V471" s="115"/>
      <c r="W471" s="116" t="s">
        <v>666</v>
      </c>
      <c r="X471" s="116" t="s">
        <v>667</v>
      </c>
      <c r="Y471" s="117">
        <v>3485530</v>
      </c>
      <c r="Z471" s="117">
        <v>3481015</v>
      </c>
      <c r="AA471" s="118"/>
      <c r="AB471" s="119" t="s">
        <v>5673</v>
      </c>
      <c r="AC471" s="119" t="s">
        <v>1328</v>
      </c>
      <c r="AD471" s="119">
        <v>4113</v>
      </c>
      <c r="AE471" s="119" t="s">
        <v>668</v>
      </c>
      <c r="AF471" s="119">
        <v>0</v>
      </c>
      <c r="AG471" s="120"/>
      <c r="AH471" s="121">
        <v>44197</v>
      </c>
      <c r="AI471" s="121">
        <v>44197</v>
      </c>
      <c r="AJ471" s="121">
        <v>44197</v>
      </c>
      <c r="AK471" s="122">
        <v>44197</v>
      </c>
      <c r="AL471" s="122">
        <v>44740</v>
      </c>
      <c r="AM471" s="121" t="e">
        <v>#N/A</v>
      </c>
      <c r="AN471" s="121" t="e">
        <v>#N/A</v>
      </c>
      <c r="AO471" s="121" t="e">
        <v>#N/A</v>
      </c>
      <c r="AP471" s="122" t="e">
        <v>#N/A</v>
      </c>
      <c r="AQ471" s="122" t="e">
        <v>#N/A</v>
      </c>
      <c r="AR471" s="122" t="e">
        <v>#N/A</v>
      </c>
      <c r="AS471" s="122" t="e">
        <v>#N/A</v>
      </c>
      <c r="AT471" s="122" t="e">
        <v>#N/A</v>
      </c>
      <c r="AU471" s="121" t="e">
        <v>#N/A</v>
      </c>
      <c r="AV471" s="122" t="e">
        <v>#N/A</v>
      </c>
      <c r="AW471" s="122">
        <v>45033</v>
      </c>
      <c r="AX471" s="122" t="e">
        <v>#N/A</v>
      </c>
      <c r="AY471" s="122" t="e">
        <v>#N/A</v>
      </c>
      <c r="AZ471" s="122" t="e">
        <v>#N/A</v>
      </c>
      <c r="BA471" s="122" t="e">
        <v>#N/A</v>
      </c>
      <c r="BB471" s="122" t="e">
        <v>#N/A</v>
      </c>
      <c r="BC471" s="122" t="e">
        <v>#N/A</v>
      </c>
      <c r="BD471" s="122" t="e">
        <v>#N/A</v>
      </c>
      <c r="BE471" s="122" t="e">
        <v>#N/A</v>
      </c>
      <c r="BF471" s="122" t="e">
        <v>#N/A</v>
      </c>
      <c r="BG471" s="122" t="e">
        <v>#N/A</v>
      </c>
      <c r="BH471" s="122" t="e">
        <v>#N/A</v>
      </c>
      <c r="BI471" s="122" t="e">
        <v>#N/A</v>
      </c>
      <c r="BJ471" s="122" t="e">
        <v>#N/A</v>
      </c>
      <c r="BK471" s="122" t="e">
        <v>#N/A</v>
      </c>
      <c r="BL471" s="123"/>
      <c r="BM471" s="124">
        <v>45075</v>
      </c>
      <c r="BN471" s="124">
        <v>45078</v>
      </c>
      <c r="BO471" s="124">
        <v>45272</v>
      </c>
      <c r="BP471" s="124">
        <v>45369</v>
      </c>
      <c r="BQ471" s="124">
        <v>45272</v>
      </c>
      <c r="BR471" s="124" t="e">
        <v>#N/A</v>
      </c>
      <c r="BS471" s="124">
        <v>45272</v>
      </c>
      <c r="BT471" s="124">
        <v>45272</v>
      </c>
      <c r="BU471" s="124" t="e">
        <v>#N/A</v>
      </c>
      <c r="BV471" s="124" t="e">
        <v>#N/A</v>
      </c>
      <c r="BW471" s="124" t="e">
        <v>#N/A</v>
      </c>
      <c r="BX471" s="124" t="e">
        <v>#N/A</v>
      </c>
      <c r="BY471" s="124" t="e">
        <v>#N/A</v>
      </c>
      <c r="BZ471" s="124" t="e">
        <v>#N/A</v>
      </c>
      <c r="CA471" s="125"/>
      <c r="CB471" s="124" t="e">
        <v>#N/A</v>
      </c>
      <c r="CC471" s="126">
        <v>1</v>
      </c>
      <c r="CD471" s="127" t="s">
        <v>4169</v>
      </c>
      <c r="CE471" s="128"/>
      <c r="CF471" s="77" t="s">
        <v>4201</v>
      </c>
    </row>
    <row r="472" spans="1:84" ht="14.5" x14ac:dyDescent="0.35">
      <c r="A472" s="77">
        <v>471</v>
      </c>
      <c r="B472" s="106" t="s">
        <v>2985</v>
      </c>
      <c r="C472" s="107" t="s">
        <v>6574</v>
      </c>
      <c r="D472" s="108" t="s">
        <v>2969</v>
      </c>
      <c r="E472" s="109" t="s">
        <v>2970</v>
      </c>
      <c r="F472" s="110">
        <v>695183370</v>
      </c>
      <c r="G472" s="108" t="s">
        <v>1004</v>
      </c>
      <c r="H472" s="111" t="s">
        <v>191</v>
      </c>
      <c r="I472" s="111" t="s">
        <v>180</v>
      </c>
      <c r="J472" s="111" t="s">
        <v>4649</v>
      </c>
      <c r="K472" s="111" t="s">
        <v>3159</v>
      </c>
      <c r="L472" s="112">
        <v>45195</v>
      </c>
      <c r="M472" s="111" t="s">
        <v>3172</v>
      </c>
      <c r="N472" s="113"/>
      <c r="O472" s="114" t="s">
        <v>7576</v>
      </c>
      <c r="P472" s="114" t="s">
        <v>7577</v>
      </c>
      <c r="Q472" s="114" t="s">
        <v>7577</v>
      </c>
      <c r="R472" s="114" t="s">
        <v>7577</v>
      </c>
      <c r="S472" s="114" t="s">
        <v>7577</v>
      </c>
      <c r="T472" s="114" t="s">
        <v>4356</v>
      </c>
      <c r="U472" s="114" t="s">
        <v>4356</v>
      </c>
      <c r="V472" s="115"/>
      <c r="W472" s="116" t="s">
        <v>2971</v>
      </c>
      <c r="X472" s="116" t="s">
        <v>2972</v>
      </c>
      <c r="Y472" s="117">
        <v>3485785</v>
      </c>
      <c r="Z472" s="117">
        <v>3486323</v>
      </c>
      <c r="AA472" s="118"/>
      <c r="AB472" s="119" t="s">
        <v>5867</v>
      </c>
      <c r="AC472" s="119" t="s">
        <v>2993</v>
      </c>
      <c r="AD472" s="119" t="s">
        <v>6165</v>
      </c>
      <c r="AE472" s="119" t="s">
        <v>6166</v>
      </c>
      <c r="AF472" s="119">
        <v>0</v>
      </c>
      <c r="AG472" s="120"/>
      <c r="AH472" s="121">
        <v>45195</v>
      </c>
      <c r="AI472" s="121">
        <v>45237</v>
      </c>
      <c r="AJ472" s="121">
        <v>45195</v>
      </c>
      <c r="AK472" s="122">
        <v>45237</v>
      </c>
      <c r="AL472" s="122">
        <v>45238</v>
      </c>
      <c r="AM472" s="122">
        <v>45240</v>
      </c>
      <c r="AN472" s="122" t="e">
        <v>#N/A</v>
      </c>
      <c r="AO472" s="121" t="e">
        <v>#N/A</v>
      </c>
      <c r="AP472" s="122" t="e">
        <v>#N/A</v>
      </c>
      <c r="AQ472" s="122" t="e">
        <v>#N/A</v>
      </c>
      <c r="AR472" s="122">
        <v>45239</v>
      </c>
      <c r="AS472" s="122" t="e">
        <v>#N/A</v>
      </c>
      <c r="AT472" s="122" t="e">
        <v>#N/A</v>
      </c>
      <c r="AU472" s="121" t="e">
        <v>#N/A</v>
      </c>
      <c r="AV472" s="122" t="e">
        <v>#N/A</v>
      </c>
      <c r="AW472" s="122">
        <v>45883</v>
      </c>
      <c r="AX472" s="122" t="e">
        <v>#N/A</v>
      </c>
      <c r="AY472" s="122" t="e">
        <v>#N/A</v>
      </c>
      <c r="AZ472" s="122" t="e">
        <v>#N/A</v>
      </c>
      <c r="BA472" s="122" t="e">
        <v>#N/A</v>
      </c>
      <c r="BB472" s="122" t="e">
        <v>#N/A</v>
      </c>
      <c r="BC472" s="122" t="e">
        <v>#N/A</v>
      </c>
      <c r="BD472" s="122" t="e">
        <v>#N/A</v>
      </c>
      <c r="BE472" s="122" t="e">
        <v>#N/A</v>
      </c>
      <c r="BF472" s="122" t="e">
        <v>#N/A</v>
      </c>
      <c r="BG472" s="122" t="e">
        <v>#N/A</v>
      </c>
      <c r="BH472" s="122" t="e">
        <v>#N/A</v>
      </c>
      <c r="BI472" s="122" t="e">
        <v>#N/A</v>
      </c>
      <c r="BJ472" s="122" t="e">
        <v>#N/A</v>
      </c>
      <c r="BK472" s="122" t="e">
        <v>#N/A</v>
      </c>
      <c r="BL472" s="123"/>
      <c r="BM472" s="124" t="e">
        <v>#N/A</v>
      </c>
      <c r="BN472" s="124" t="e">
        <v>#N/A</v>
      </c>
      <c r="BO472" s="124" t="e">
        <v>#N/A</v>
      </c>
      <c r="BP472" s="124" t="e">
        <v>#N/A</v>
      </c>
      <c r="BQ472" s="124" t="e">
        <v>#N/A</v>
      </c>
      <c r="BR472" s="124" t="e">
        <v>#N/A</v>
      </c>
      <c r="BS472" s="124" t="e">
        <v>#N/A</v>
      </c>
      <c r="BT472" s="124" t="e">
        <v>#N/A</v>
      </c>
      <c r="BU472" s="124" t="e">
        <v>#N/A</v>
      </c>
      <c r="BV472" s="124" t="e">
        <v>#N/A</v>
      </c>
      <c r="BW472" s="124" t="e">
        <v>#N/A</v>
      </c>
      <c r="BX472" s="124" t="e">
        <v>#N/A</v>
      </c>
      <c r="BY472" s="124" t="e">
        <v>#N/A</v>
      </c>
      <c r="BZ472" s="124" t="e">
        <v>#N/A</v>
      </c>
      <c r="CA472" s="125"/>
      <c r="CB472" s="124" t="e">
        <v>#N/A</v>
      </c>
      <c r="CC472" s="126">
        <v>1</v>
      </c>
      <c r="CD472" s="127" t="s">
        <v>4183</v>
      </c>
      <c r="CE472" s="128"/>
      <c r="CF472" s="77" t="s">
        <v>4201</v>
      </c>
    </row>
    <row r="473" spans="1:84" ht="14.5" x14ac:dyDescent="0.35">
      <c r="A473" s="77">
        <v>472</v>
      </c>
      <c r="B473" s="106" t="s">
        <v>3065</v>
      </c>
      <c r="C473" s="107" t="s">
        <v>6586</v>
      </c>
      <c r="D473" s="108" t="s">
        <v>3066</v>
      </c>
      <c r="E473" s="109" t="s">
        <v>3067</v>
      </c>
      <c r="F473" s="110" t="s">
        <v>3068</v>
      </c>
      <c r="G473" s="108" t="s">
        <v>1004</v>
      </c>
      <c r="H473" s="111" t="s">
        <v>191</v>
      </c>
      <c r="I473" s="111" t="s">
        <v>180</v>
      </c>
      <c r="J473" s="111" t="s">
        <v>4649</v>
      </c>
      <c r="K473" s="111" t="s">
        <v>3159</v>
      </c>
      <c r="L473" s="112">
        <v>45265</v>
      </c>
      <c r="M473" s="111" t="s">
        <v>224</v>
      </c>
      <c r="N473" s="113"/>
      <c r="O473" s="114" t="s">
        <v>6095</v>
      </c>
      <c r="P473" s="114" t="s">
        <v>6095</v>
      </c>
      <c r="Q473" s="114" t="s">
        <v>6095</v>
      </c>
      <c r="R473" s="114" t="s">
        <v>6095</v>
      </c>
      <c r="S473" s="114" t="s">
        <v>6095</v>
      </c>
      <c r="T473" s="114" t="s">
        <v>4356</v>
      </c>
      <c r="U473" s="114" t="s">
        <v>4356</v>
      </c>
      <c r="V473" s="115"/>
      <c r="W473" s="116" t="s">
        <v>3069</v>
      </c>
      <c r="X473" s="116" t="s">
        <v>3070</v>
      </c>
      <c r="Y473" s="117">
        <v>3485877</v>
      </c>
      <c r="Z473" s="117">
        <v>3486447</v>
      </c>
      <c r="AA473" s="118"/>
      <c r="AB473" s="119" t="s">
        <v>5660</v>
      </c>
      <c r="AC473" s="119" t="s">
        <v>3071</v>
      </c>
      <c r="AD473" s="119">
        <v>5726</v>
      </c>
      <c r="AE473" s="119" t="s">
        <v>6907</v>
      </c>
      <c r="AF473" s="119">
        <v>0</v>
      </c>
      <c r="AG473" s="120"/>
      <c r="AH473" s="121">
        <v>45264</v>
      </c>
      <c r="AI473" s="121">
        <v>45359</v>
      </c>
      <c r="AJ473" s="121">
        <v>45264</v>
      </c>
      <c r="AK473" s="122">
        <v>45359</v>
      </c>
      <c r="AL473" s="122" t="e">
        <v>#N/A</v>
      </c>
      <c r="AM473" s="121" t="e">
        <v>#N/A</v>
      </c>
      <c r="AN473" s="121" t="e">
        <v>#N/A</v>
      </c>
      <c r="AO473" s="121" t="e">
        <v>#N/A</v>
      </c>
      <c r="AP473" s="122" t="e">
        <v>#N/A</v>
      </c>
      <c r="AQ473" s="122" t="e">
        <v>#N/A</v>
      </c>
      <c r="AR473" s="122" t="e">
        <v>#N/A</v>
      </c>
      <c r="AS473" s="122" t="e">
        <v>#N/A</v>
      </c>
      <c r="AT473" s="122" t="e">
        <v>#N/A</v>
      </c>
      <c r="AU473" s="121" t="e">
        <v>#N/A</v>
      </c>
      <c r="AV473" s="122" t="e">
        <v>#N/A</v>
      </c>
      <c r="AW473" s="122">
        <v>45849</v>
      </c>
      <c r="AX473" s="122" t="e">
        <v>#N/A</v>
      </c>
      <c r="AY473" s="122" t="e">
        <v>#N/A</v>
      </c>
      <c r="AZ473" s="122" t="e">
        <v>#N/A</v>
      </c>
      <c r="BA473" s="122" t="e">
        <v>#N/A</v>
      </c>
      <c r="BB473" s="122" t="e">
        <v>#N/A</v>
      </c>
      <c r="BC473" s="122" t="e">
        <v>#N/A</v>
      </c>
      <c r="BD473" s="122" t="e">
        <v>#N/A</v>
      </c>
      <c r="BE473" s="122" t="e">
        <v>#N/A</v>
      </c>
      <c r="BF473" s="122" t="e">
        <v>#N/A</v>
      </c>
      <c r="BG473" s="122" t="e">
        <v>#N/A</v>
      </c>
      <c r="BH473" s="122" t="e">
        <v>#N/A</v>
      </c>
      <c r="BI473" s="122" t="e">
        <v>#N/A</v>
      </c>
      <c r="BJ473" s="122" t="e">
        <v>#N/A</v>
      </c>
      <c r="BK473" s="122" t="e">
        <v>#N/A</v>
      </c>
      <c r="BL473" s="123"/>
      <c r="BM473" s="124">
        <v>45537</v>
      </c>
      <c r="BN473" s="124">
        <v>45537</v>
      </c>
      <c r="BO473" s="124">
        <v>45702</v>
      </c>
      <c r="BP473" s="124" t="e">
        <v>#N/A</v>
      </c>
      <c r="BQ473" s="124" t="e">
        <v>#N/A</v>
      </c>
      <c r="BR473" s="124" t="e">
        <v>#N/A</v>
      </c>
      <c r="BS473" s="124" t="e">
        <v>#N/A</v>
      </c>
      <c r="BT473" s="124" t="e">
        <v>#N/A</v>
      </c>
      <c r="BU473" s="124" t="e">
        <v>#N/A</v>
      </c>
      <c r="BV473" s="124" t="e">
        <v>#N/A</v>
      </c>
      <c r="BW473" s="124" t="e">
        <v>#N/A</v>
      </c>
      <c r="BX473" s="124" t="e">
        <v>#N/A</v>
      </c>
      <c r="BY473" s="124" t="e">
        <v>#N/A</v>
      </c>
      <c r="BZ473" s="124" t="e">
        <v>#N/A</v>
      </c>
      <c r="CA473" s="125"/>
      <c r="CB473" s="124" t="e">
        <v>#N/A</v>
      </c>
      <c r="CC473" s="126">
        <v>1</v>
      </c>
      <c r="CD473" s="127" t="s">
        <v>4195</v>
      </c>
      <c r="CE473" s="128"/>
      <c r="CF473" s="77" t="s">
        <v>4201</v>
      </c>
    </row>
    <row r="474" spans="1:84" ht="14.5" x14ac:dyDescent="0.35">
      <c r="A474" s="77">
        <v>473</v>
      </c>
      <c r="B474" s="106" t="s">
        <v>3086</v>
      </c>
      <c r="C474" s="107" t="s">
        <v>6587</v>
      </c>
      <c r="D474" s="108" t="s">
        <v>3087</v>
      </c>
      <c r="E474" s="109" t="s">
        <v>3088</v>
      </c>
      <c r="F474" s="110">
        <v>657664775</v>
      </c>
      <c r="G474" s="108" t="s">
        <v>1004</v>
      </c>
      <c r="H474" s="111" t="s">
        <v>191</v>
      </c>
      <c r="I474" s="111" t="s">
        <v>180</v>
      </c>
      <c r="J474" s="111" t="s">
        <v>4649</v>
      </c>
      <c r="K474" s="111" t="s">
        <v>3159</v>
      </c>
      <c r="L474" s="112">
        <v>45265</v>
      </c>
      <c r="M474" s="111" t="s">
        <v>2933</v>
      </c>
      <c r="N474" s="113"/>
      <c r="O474" s="114" t="s">
        <v>557</v>
      </c>
      <c r="P474" s="114" t="s">
        <v>557</v>
      </c>
      <c r="Q474" s="114" t="s">
        <v>183</v>
      </c>
      <c r="R474" s="114" t="s">
        <v>7578</v>
      </c>
      <c r="S474" s="114" t="s">
        <v>557</v>
      </c>
      <c r="T474" s="114" t="s">
        <v>557</v>
      </c>
      <c r="U474" s="114" t="s">
        <v>557</v>
      </c>
      <c r="V474" s="115"/>
      <c r="W474" s="116" t="s">
        <v>3089</v>
      </c>
      <c r="X474" s="116" t="s">
        <v>3090</v>
      </c>
      <c r="Y474" s="117">
        <v>3485881</v>
      </c>
      <c r="Z474" s="117">
        <v>3486451</v>
      </c>
      <c r="AA474" s="118"/>
      <c r="AB474" s="119" t="s">
        <v>3091</v>
      </c>
      <c r="AC474" s="119" t="s">
        <v>3092</v>
      </c>
      <c r="AD474" s="119">
        <v>5113</v>
      </c>
      <c r="AE474" s="119" t="s">
        <v>3262</v>
      </c>
      <c r="AF474" s="119" t="s">
        <v>7579</v>
      </c>
      <c r="AG474" s="120"/>
      <c r="AH474" s="121">
        <v>45264</v>
      </c>
      <c r="AI474" s="121">
        <v>45359</v>
      </c>
      <c r="AJ474" s="121">
        <v>45264</v>
      </c>
      <c r="AK474" s="122">
        <v>45359</v>
      </c>
      <c r="AL474" s="122" t="e">
        <v>#N/A</v>
      </c>
      <c r="AM474" s="121" t="e">
        <v>#N/A</v>
      </c>
      <c r="AN474" s="121" t="e">
        <v>#N/A</v>
      </c>
      <c r="AO474" s="121" t="e">
        <v>#N/A</v>
      </c>
      <c r="AP474" s="122" t="e">
        <v>#N/A</v>
      </c>
      <c r="AQ474" s="122" t="e">
        <v>#N/A</v>
      </c>
      <c r="AR474" s="122" t="e">
        <v>#N/A</v>
      </c>
      <c r="AS474" s="122" t="e">
        <v>#N/A</v>
      </c>
      <c r="AT474" s="122" t="e">
        <v>#N/A</v>
      </c>
      <c r="AU474" s="121" t="e">
        <v>#N/A</v>
      </c>
      <c r="AV474" s="122" t="e">
        <v>#N/A</v>
      </c>
      <c r="AW474" s="122">
        <v>45747</v>
      </c>
      <c r="AX474" s="122" t="e">
        <v>#N/A</v>
      </c>
      <c r="AY474" s="122" t="e">
        <v>#N/A</v>
      </c>
      <c r="AZ474" s="122" t="e">
        <v>#N/A</v>
      </c>
      <c r="BA474" s="122" t="e">
        <v>#N/A</v>
      </c>
      <c r="BB474" s="122" t="e">
        <v>#N/A</v>
      </c>
      <c r="BC474" s="122" t="e">
        <v>#N/A</v>
      </c>
      <c r="BD474" s="122" t="e">
        <v>#N/A</v>
      </c>
      <c r="BE474" s="122" t="e">
        <v>#N/A</v>
      </c>
      <c r="BF474" s="122" t="e">
        <v>#N/A</v>
      </c>
      <c r="BG474" s="122" t="e">
        <v>#N/A</v>
      </c>
      <c r="BH474" s="122" t="e">
        <v>#N/A</v>
      </c>
      <c r="BI474" s="122" t="e">
        <v>#N/A</v>
      </c>
      <c r="BJ474" s="122" t="e">
        <v>#N/A</v>
      </c>
      <c r="BK474" s="122">
        <v>45978</v>
      </c>
      <c r="BL474" s="123"/>
      <c r="BM474" s="124">
        <v>45537</v>
      </c>
      <c r="BN474" s="124">
        <v>45537</v>
      </c>
      <c r="BO474" s="124" t="e">
        <v>#N/A</v>
      </c>
      <c r="BP474" s="124" t="e">
        <v>#N/A</v>
      </c>
      <c r="BQ474" s="124" t="e">
        <v>#N/A</v>
      </c>
      <c r="BR474" s="124" t="e">
        <v>#N/A</v>
      </c>
      <c r="BS474" s="124" t="e">
        <v>#N/A</v>
      </c>
      <c r="BT474" s="124" t="e">
        <v>#N/A</v>
      </c>
      <c r="BU474" s="124" t="e">
        <v>#N/A</v>
      </c>
      <c r="BV474" s="124" t="e">
        <v>#N/A</v>
      </c>
      <c r="BW474" s="124" t="e">
        <v>#N/A</v>
      </c>
      <c r="BX474" s="124" t="e">
        <v>#N/A</v>
      </c>
      <c r="BY474" s="124" t="e">
        <v>#N/A</v>
      </c>
      <c r="BZ474" s="124" t="e">
        <v>#N/A</v>
      </c>
      <c r="CA474" s="125"/>
      <c r="CB474" s="124" t="e">
        <v>#N/A</v>
      </c>
      <c r="CC474" s="126">
        <v>1</v>
      </c>
      <c r="CD474" s="127" t="s">
        <v>4195</v>
      </c>
      <c r="CE474" s="128"/>
      <c r="CF474" s="77" t="s">
        <v>4201</v>
      </c>
    </row>
    <row r="475" spans="1:84" ht="14.5" x14ac:dyDescent="0.35">
      <c r="A475" s="77">
        <v>474</v>
      </c>
      <c r="B475" s="106" t="s">
        <v>1667</v>
      </c>
      <c r="C475" s="107" t="s">
        <v>1668</v>
      </c>
      <c r="D475" s="108" t="s">
        <v>1687</v>
      </c>
      <c r="E475" s="109" t="s">
        <v>1669</v>
      </c>
      <c r="F475" s="110">
        <v>611410783</v>
      </c>
      <c r="G475" s="108" t="s">
        <v>1004</v>
      </c>
      <c r="H475" s="111" t="s">
        <v>191</v>
      </c>
      <c r="I475" s="111" t="s">
        <v>180</v>
      </c>
      <c r="J475" s="111" t="s">
        <v>4649</v>
      </c>
      <c r="K475" s="111" t="s">
        <v>3159</v>
      </c>
      <c r="L475" s="112">
        <v>44013</v>
      </c>
      <c r="M475" s="111" t="s">
        <v>2352</v>
      </c>
      <c r="N475" s="113"/>
      <c r="O475" s="114" t="s">
        <v>6899</v>
      </c>
      <c r="P475" s="114" t="s">
        <v>6899</v>
      </c>
      <c r="Q475" s="114" t="s">
        <v>6899</v>
      </c>
      <c r="R475" s="114" t="s">
        <v>6899</v>
      </c>
      <c r="S475" s="114" t="s">
        <v>6899</v>
      </c>
      <c r="T475" s="114" t="s">
        <v>6899</v>
      </c>
      <c r="U475" s="114" t="s">
        <v>6899</v>
      </c>
      <c r="V475" s="115"/>
      <c r="W475" s="116" t="s">
        <v>1670</v>
      </c>
      <c r="X475" s="116" t="s">
        <v>1671</v>
      </c>
      <c r="Y475" s="117">
        <v>3485319</v>
      </c>
      <c r="Z475" s="117">
        <v>3486395</v>
      </c>
      <c r="AA475" s="118"/>
      <c r="AB475" s="119" t="s">
        <v>5882</v>
      </c>
      <c r="AC475" s="119" t="s">
        <v>1690</v>
      </c>
      <c r="AD475" s="119" t="s">
        <v>5905</v>
      </c>
      <c r="AE475" s="119" t="s">
        <v>5906</v>
      </c>
      <c r="AF475" s="119" t="s">
        <v>7580</v>
      </c>
      <c r="AG475" s="120"/>
      <c r="AH475" s="121">
        <v>44687</v>
      </c>
      <c r="AI475" s="121">
        <v>44690</v>
      </c>
      <c r="AJ475" s="121">
        <v>44690</v>
      </c>
      <c r="AK475" s="122">
        <v>44690</v>
      </c>
      <c r="AL475" s="122" t="e">
        <v>#N/A</v>
      </c>
      <c r="AM475" s="121" t="e">
        <v>#N/A</v>
      </c>
      <c r="AN475" s="121" t="e">
        <v>#N/A</v>
      </c>
      <c r="AO475" s="121" t="e">
        <v>#N/A</v>
      </c>
      <c r="AP475" s="122" t="e">
        <v>#N/A</v>
      </c>
      <c r="AQ475" s="122" t="e">
        <v>#N/A</v>
      </c>
      <c r="AR475" s="122" t="e">
        <v>#N/A</v>
      </c>
      <c r="AS475" s="122" t="e">
        <v>#N/A</v>
      </c>
      <c r="AT475" s="122" t="e">
        <v>#N/A</v>
      </c>
      <c r="AU475" s="121" t="e">
        <v>#N/A</v>
      </c>
      <c r="AV475" s="122" t="e">
        <v>#N/A</v>
      </c>
      <c r="AW475" s="122">
        <v>45882</v>
      </c>
      <c r="AX475" s="122" t="e">
        <v>#N/A</v>
      </c>
      <c r="AY475" s="122" t="e">
        <v>#N/A</v>
      </c>
      <c r="AZ475" s="122" t="e">
        <v>#N/A</v>
      </c>
      <c r="BA475" s="122" t="e">
        <v>#N/A</v>
      </c>
      <c r="BB475" s="122" t="e">
        <v>#N/A</v>
      </c>
      <c r="BC475" s="122" t="e">
        <v>#N/A</v>
      </c>
      <c r="BD475" s="122" t="e">
        <v>#N/A</v>
      </c>
      <c r="BE475" s="122" t="e">
        <v>#N/A</v>
      </c>
      <c r="BF475" s="122" t="e">
        <v>#N/A</v>
      </c>
      <c r="BG475" s="122" t="e">
        <v>#N/A</v>
      </c>
      <c r="BH475" s="122" t="e">
        <v>#N/A</v>
      </c>
      <c r="BI475" s="122" t="e">
        <v>#N/A</v>
      </c>
      <c r="BJ475" s="122" t="e">
        <v>#N/A</v>
      </c>
      <c r="BK475" s="122">
        <v>46000</v>
      </c>
      <c r="BL475" s="123"/>
      <c r="BM475" s="124">
        <v>45204</v>
      </c>
      <c r="BN475" s="124">
        <v>45205</v>
      </c>
      <c r="BO475" s="124" t="e">
        <v>#N/A</v>
      </c>
      <c r="BP475" s="124" t="e">
        <v>#N/A</v>
      </c>
      <c r="BQ475" s="124" t="e">
        <v>#N/A</v>
      </c>
      <c r="BR475" s="124" t="e">
        <v>#N/A</v>
      </c>
      <c r="BS475" s="124">
        <v>45205</v>
      </c>
      <c r="BT475" s="124">
        <v>45205</v>
      </c>
      <c r="BU475" s="124" t="e">
        <v>#N/A</v>
      </c>
      <c r="BV475" s="124" t="e">
        <v>#N/A</v>
      </c>
      <c r="BW475" s="124" t="e">
        <v>#N/A</v>
      </c>
      <c r="BX475" s="124" t="e">
        <v>#N/A</v>
      </c>
      <c r="BY475" s="124" t="e">
        <v>#N/A</v>
      </c>
      <c r="BZ475" s="124" t="e">
        <v>#N/A</v>
      </c>
      <c r="CA475" s="125"/>
      <c r="CB475" s="124" t="e">
        <v>#N/A</v>
      </c>
      <c r="CC475" s="126">
        <v>1</v>
      </c>
      <c r="CD475" s="127" t="s">
        <v>4153</v>
      </c>
      <c r="CE475" s="128"/>
      <c r="CF475" s="77" t="s">
        <v>4201</v>
      </c>
    </row>
    <row r="476" spans="1:84" ht="14.5" x14ac:dyDescent="0.35">
      <c r="A476" s="77">
        <v>475</v>
      </c>
      <c r="B476" s="106" t="s">
        <v>5463</v>
      </c>
      <c r="C476" s="107" t="s">
        <v>6402</v>
      </c>
      <c r="D476" s="108" t="s">
        <v>5464</v>
      </c>
      <c r="E476" s="109" t="s">
        <v>5465</v>
      </c>
      <c r="F476" s="110">
        <v>633040183</v>
      </c>
      <c r="G476" s="108" t="s">
        <v>1004</v>
      </c>
      <c r="H476" s="111" t="s">
        <v>191</v>
      </c>
      <c r="I476" s="111" t="s">
        <v>180</v>
      </c>
      <c r="J476" s="111" t="s">
        <v>4649</v>
      </c>
      <c r="K476" s="111" t="s">
        <v>3159</v>
      </c>
      <c r="L476" s="112">
        <v>44901</v>
      </c>
      <c r="M476" s="111" t="s">
        <v>4035</v>
      </c>
      <c r="N476" s="113"/>
      <c r="O476" s="114" t="s">
        <v>4477</v>
      </c>
      <c r="P476" s="114" t="s">
        <v>4477</v>
      </c>
      <c r="Q476" s="114" t="s">
        <v>4356</v>
      </c>
      <c r="R476" s="114" t="s">
        <v>4477</v>
      </c>
      <c r="S476" s="114" t="s">
        <v>4477</v>
      </c>
      <c r="T476" s="114" t="s">
        <v>183</v>
      </c>
      <c r="U476" s="114" t="s">
        <v>585</v>
      </c>
      <c r="V476" s="115"/>
      <c r="W476" s="116" t="s">
        <v>5466</v>
      </c>
      <c r="X476" s="116" t="s">
        <v>5467</v>
      </c>
      <c r="Y476" s="117">
        <v>3485756</v>
      </c>
      <c r="Z476" s="117">
        <v>3486587</v>
      </c>
      <c r="AA476" s="118"/>
      <c r="AB476" s="119" t="s">
        <v>5624</v>
      </c>
      <c r="AC476" s="119" t="s">
        <v>5468</v>
      </c>
      <c r="AD476" s="119">
        <v>4408</v>
      </c>
      <c r="AE476" s="119" t="s">
        <v>5469</v>
      </c>
      <c r="AF476" s="119" t="s">
        <v>6169</v>
      </c>
      <c r="AG476" s="120"/>
      <c r="AH476" s="121">
        <v>44824</v>
      </c>
      <c r="AI476" s="121">
        <v>45237</v>
      </c>
      <c r="AJ476" s="121">
        <v>45195</v>
      </c>
      <c r="AK476" s="122">
        <v>45237</v>
      </c>
      <c r="AL476" s="122">
        <v>45238</v>
      </c>
      <c r="AM476" s="122">
        <v>45240</v>
      </c>
      <c r="AN476" s="122">
        <v>45482</v>
      </c>
      <c r="AO476" s="121">
        <v>45973</v>
      </c>
      <c r="AP476" s="122" t="e">
        <v>#N/A</v>
      </c>
      <c r="AQ476" s="122" t="e">
        <v>#N/A</v>
      </c>
      <c r="AR476" s="122">
        <v>45239</v>
      </c>
      <c r="AS476" s="122" t="e">
        <v>#N/A</v>
      </c>
      <c r="AT476" s="122" t="e">
        <v>#N/A</v>
      </c>
      <c r="AU476" s="121" t="e">
        <v>#N/A</v>
      </c>
      <c r="AV476" s="122" t="e">
        <v>#N/A</v>
      </c>
      <c r="AW476" s="122">
        <v>45586</v>
      </c>
      <c r="AX476" s="122" t="e">
        <v>#N/A</v>
      </c>
      <c r="AY476" s="122" t="e">
        <v>#N/A</v>
      </c>
      <c r="AZ476" s="122" t="e">
        <v>#N/A</v>
      </c>
      <c r="BA476" s="122" t="e">
        <v>#N/A</v>
      </c>
      <c r="BB476" s="122" t="e">
        <v>#N/A</v>
      </c>
      <c r="BC476" s="122" t="e">
        <v>#N/A</v>
      </c>
      <c r="BD476" s="122" t="e">
        <v>#N/A</v>
      </c>
      <c r="BE476" s="122" t="e">
        <v>#N/A</v>
      </c>
      <c r="BF476" s="122" t="e">
        <v>#N/A</v>
      </c>
      <c r="BG476" s="122" t="e">
        <v>#N/A</v>
      </c>
      <c r="BH476" s="122">
        <v>45586</v>
      </c>
      <c r="BI476" s="122" t="e">
        <v>#N/A</v>
      </c>
      <c r="BJ476" s="122" t="e">
        <v>#N/A</v>
      </c>
      <c r="BK476" s="122">
        <v>45953</v>
      </c>
      <c r="BL476" s="123"/>
      <c r="BM476" s="124" t="e">
        <v>#N/A</v>
      </c>
      <c r="BN476" s="124" t="e">
        <v>#N/A</v>
      </c>
      <c r="BO476" s="124" t="e">
        <v>#N/A</v>
      </c>
      <c r="BP476" s="124" t="e">
        <v>#N/A</v>
      </c>
      <c r="BQ476" s="124" t="e">
        <v>#N/A</v>
      </c>
      <c r="BR476" s="124" t="e">
        <v>#N/A</v>
      </c>
      <c r="BS476" s="124" t="e">
        <v>#N/A</v>
      </c>
      <c r="BT476" s="124" t="e">
        <v>#N/A</v>
      </c>
      <c r="BU476" s="124" t="e">
        <v>#N/A</v>
      </c>
      <c r="BV476" s="124" t="e">
        <v>#N/A</v>
      </c>
      <c r="BW476" s="124" t="e">
        <v>#N/A</v>
      </c>
      <c r="BX476" s="124" t="e">
        <v>#N/A</v>
      </c>
      <c r="BY476" s="124" t="e">
        <v>#N/A</v>
      </c>
      <c r="BZ476" s="124" t="e">
        <v>#N/A</v>
      </c>
      <c r="CA476" s="125"/>
      <c r="CB476" s="124" t="e">
        <v>#N/A</v>
      </c>
      <c r="CC476" s="126">
        <v>1</v>
      </c>
      <c r="CD476" s="127" t="s">
        <v>4187</v>
      </c>
      <c r="CE476" s="128"/>
      <c r="CF476" s="77" t="s">
        <v>4904</v>
      </c>
    </row>
    <row r="477" spans="1:84" ht="14.5" x14ac:dyDescent="0.35">
      <c r="A477" s="77">
        <v>476</v>
      </c>
      <c r="B477" s="106" t="s">
        <v>3203</v>
      </c>
      <c r="C477" s="107" t="s">
        <v>6606</v>
      </c>
      <c r="D477" s="108" t="s">
        <v>3193</v>
      </c>
      <c r="E477" s="109" t="s">
        <v>3194</v>
      </c>
      <c r="F477" s="110">
        <v>622904398</v>
      </c>
      <c r="G477" s="108" t="s">
        <v>1004</v>
      </c>
      <c r="H477" s="111" t="s">
        <v>191</v>
      </c>
      <c r="I477" s="111" t="s">
        <v>180</v>
      </c>
      <c r="J477" s="111" t="s">
        <v>4649</v>
      </c>
      <c r="K477" s="111" t="s">
        <v>3159</v>
      </c>
      <c r="L477" s="112">
        <v>45348</v>
      </c>
      <c r="M477" s="111" t="s">
        <v>4035</v>
      </c>
      <c r="N477" s="113"/>
      <c r="O477" s="114" t="s">
        <v>4393</v>
      </c>
      <c r="P477" s="114" t="s">
        <v>4393</v>
      </c>
      <c r="Q477" s="114" t="s">
        <v>4356</v>
      </c>
      <c r="R477" s="114" t="s">
        <v>4356</v>
      </c>
      <c r="S477" s="114" t="s">
        <v>4393</v>
      </c>
      <c r="T477" s="114" t="s">
        <v>4393</v>
      </c>
      <c r="U477" s="114" t="s">
        <v>4393</v>
      </c>
      <c r="V477" s="115"/>
      <c r="W477" s="116" t="s">
        <v>3195</v>
      </c>
      <c r="X477" s="116" t="s">
        <v>3196</v>
      </c>
      <c r="Y477" s="117">
        <v>3485733</v>
      </c>
      <c r="Z477" s="117">
        <v>3481415</v>
      </c>
      <c r="AA477" s="118"/>
      <c r="AB477" s="119" t="s">
        <v>5869</v>
      </c>
      <c r="AC477" s="119" t="s">
        <v>3197</v>
      </c>
      <c r="AD477" s="119">
        <v>5491</v>
      </c>
      <c r="AE477" s="119" t="s">
        <v>3198</v>
      </c>
      <c r="AF477" s="119" t="s">
        <v>6607</v>
      </c>
      <c r="AG477" s="120"/>
      <c r="AH477" s="121">
        <v>45330</v>
      </c>
      <c r="AI477" s="121">
        <v>45376</v>
      </c>
      <c r="AJ477" s="121">
        <v>45345</v>
      </c>
      <c r="AK477" s="122">
        <v>45478</v>
      </c>
      <c r="AL477" s="122">
        <v>45681</v>
      </c>
      <c r="AM477" s="122" t="e">
        <v>#N/A</v>
      </c>
      <c r="AN477" s="122" t="e">
        <v>#N/A</v>
      </c>
      <c r="AO477" s="121" t="e">
        <v>#N/A</v>
      </c>
      <c r="AP477" s="122" t="s">
        <v>5234</v>
      </c>
      <c r="AQ477" s="122" t="e">
        <v>#N/A</v>
      </c>
      <c r="AR477" s="122" t="e">
        <v>#N/A</v>
      </c>
      <c r="AS477" s="122" t="e">
        <v>#N/A</v>
      </c>
      <c r="AT477" s="122" t="e">
        <v>#N/A</v>
      </c>
      <c r="AU477" s="121" t="e">
        <v>#N/A</v>
      </c>
      <c r="AV477" s="122" t="e">
        <v>#N/A</v>
      </c>
      <c r="AW477" s="122">
        <v>45734</v>
      </c>
      <c r="AX477" s="122" t="e">
        <v>#N/A</v>
      </c>
      <c r="AY477" s="122" t="e">
        <v>#N/A</v>
      </c>
      <c r="AZ477" s="122" t="e">
        <v>#N/A</v>
      </c>
      <c r="BA477" s="122" t="e">
        <v>#N/A</v>
      </c>
      <c r="BB477" s="122" t="e">
        <v>#N/A</v>
      </c>
      <c r="BC477" s="122" t="e">
        <v>#N/A</v>
      </c>
      <c r="BD477" s="122" t="e">
        <v>#N/A</v>
      </c>
      <c r="BE477" s="122" t="e">
        <v>#N/A</v>
      </c>
      <c r="BF477" s="122" t="e">
        <v>#N/A</v>
      </c>
      <c r="BG477" s="122" t="e">
        <v>#N/A</v>
      </c>
      <c r="BH477" s="122" t="e">
        <v>#N/A</v>
      </c>
      <c r="BI477" s="122" t="e">
        <v>#N/A</v>
      </c>
      <c r="BJ477" s="122" t="e">
        <v>#N/A</v>
      </c>
      <c r="BK477" s="122">
        <v>45953</v>
      </c>
      <c r="BL477" s="123"/>
      <c r="BM477" s="124" t="e">
        <v>#N/A</v>
      </c>
      <c r="BN477" s="124" t="e">
        <v>#N/A</v>
      </c>
      <c r="BO477" s="124" t="e">
        <v>#N/A</v>
      </c>
      <c r="BP477" s="124" t="e">
        <v>#N/A</v>
      </c>
      <c r="BQ477" s="124" t="e">
        <v>#N/A</v>
      </c>
      <c r="BR477" s="124" t="e">
        <v>#N/A</v>
      </c>
      <c r="BS477" s="124" t="e">
        <v>#N/A</v>
      </c>
      <c r="BT477" s="124" t="e">
        <v>#N/A</v>
      </c>
      <c r="BU477" s="124" t="e">
        <v>#N/A</v>
      </c>
      <c r="BV477" s="124" t="e">
        <v>#N/A</v>
      </c>
      <c r="BW477" s="124" t="e">
        <v>#N/A</v>
      </c>
      <c r="BX477" s="124" t="e">
        <v>#N/A</v>
      </c>
      <c r="BY477" s="124" t="e">
        <v>#N/A</v>
      </c>
      <c r="BZ477" s="124" t="e">
        <v>#N/A</v>
      </c>
      <c r="CA477" s="125"/>
      <c r="CB477" s="124" t="e">
        <v>#N/A</v>
      </c>
      <c r="CC477" s="126">
        <v>1</v>
      </c>
      <c r="CD477" s="127" t="s">
        <v>4198</v>
      </c>
      <c r="CE477" s="128"/>
      <c r="CF477" s="77" t="s">
        <v>4201</v>
      </c>
    </row>
    <row r="478" spans="1:84" ht="14.5" x14ac:dyDescent="0.35">
      <c r="A478" s="77">
        <v>477</v>
      </c>
      <c r="B478" s="106" t="s">
        <v>3776</v>
      </c>
      <c r="C478" s="107" t="s">
        <v>6683</v>
      </c>
      <c r="D478" s="108" t="s">
        <v>3777</v>
      </c>
      <c r="E478" s="109" t="s">
        <v>3778</v>
      </c>
      <c r="F478" s="110">
        <v>667642990</v>
      </c>
      <c r="G478" s="108" t="s">
        <v>1004</v>
      </c>
      <c r="H478" s="111" t="s">
        <v>191</v>
      </c>
      <c r="I478" s="111" t="s">
        <v>180</v>
      </c>
      <c r="J478" s="111" t="s">
        <v>4649</v>
      </c>
      <c r="K478" s="111" t="s">
        <v>3159</v>
      </c>
      <c r="L478" s="112">
        <v>45505</v>
      </c>
      <c r="M478" s="111" t="s">
        <v>2967</v>
      </c>
      <c r="N478" s="113"/>
      <c r="O478" s="114" t="s">
        <v>285</v>
      </c>
      <c r="P478" s="114" t="s">
        <v>285</v>
      </c>
      <c r="Q478" s="114" t="s">
        <v>183</v>
      </c>
      <c r="R478" s="114" t="s">
        <v>7312</v>
      </c>
      <c r="S478" s="114" t="s">
        <v>183</v>
      </c>
      <c r="T478" s="114" t="s">
        <v>285</v>
      </c>
      <c r="U478" s="114" t="s">
        <v>285</v>
      </c>
      <c r="V478" s="115"/>
      <c r="W478" s="116" t="s">
        <v>3779</v>
      </c>
      <c r="X478" s="116" t="s">
        <v>3780</v>
      </c>
      <c r="Y478" s="117">
        <v>3485660</v>
      </c>
      <c r="Z478" s="117">
        <v>3481475</v>
      </c>
      <c r="AA478" s="118"/>
      <c r="AB478" s="119" t="s">
        <v>5860</v>
      </c>
      <c r="AC478" s="119" t="s">
        <v>3781</v>
      </c>
      <c r="AD478" s="119">
        <v>5149</v>
      </c>
      <c r="AE478" s="119" t="s">
        <v>3782</v>
      </c>
      <c r="AF478" s="119" t="s">
        <v>6684</v>
      </c>
      <c r="AG478" s="120"/>
      <c r="AH478" s="121">
        <v>45523</v>
      </c>
      <c r="AI478" s="121">
        <v>45523</v>
      </c>
      <c r="AJ478" s="121">
        <v>45523</v>
      </c>
      <c r="AK478" s="122">
        <v>45523</v>
      </c>
      <c r="AL478" s="122">
        <v>45906</v>
      </c>
      <c r="AM478" s="121" t="e">
        <v>#N/A</v>
      </c>
      <c r="AN478" s="121" t="s">
        <v>7169</v>
      </c>
      <c r="AO478" s="121" t="e">
        <v>#N/A</v>
      </c>
      <c r="AP478" s="122" t="e">
        <v>#N/A</v>
      </c>
      <c r="AQ478" s="122" t="e">
        <v>#N/A</v>
      </c>
      <c r="AR478" s="122" t="e">
        <v>#N/A</v>
      </c>
      <c r="AS478" s="122" t="e">
        <v>#N/A</v>
      </c>
      <c r="AT478" s="122" t="e">
        <v>#N/A</v>
      </c>
      <c r="AU478" s="121" t="e">
        <v>#N/A</v>
      </c>
      <c r="AV478" s="122" t="e">
        <v>#N/A</v>
      </c>
      <c r="AW478" s="122">
        <v>45754</v>
      </c>
      <c r="AX478" s="122" t="e">
        <v>#N/A</v>
      </c>
      <c r="AY478" s="122" t="e">
        <v>#N/A</v>
      </c>
      <c r="AZ478" s="122" t="e">
        <v>#N/A</v>
      </c>
      <c r="BA478" s="122" t="e">
        <v>#N/A</v>
      </c>
      <c r="BB478" s="122" t="e">
        <v>#N/A</v>
      </c>
      <c r="BC478" s="122" t="e">
        <v>#N/A</v>
      </c>
      <c r="BD478" s="122" t="e">
        <v>#N/A</v>
      </c>
      <c r="BE478" s="122" t="e">
        <v>#N/A</v>
      </c>
      <c r="BF478" s="122" t="e">
        <v>#N/A</v>
      </c>
      <c r="BG478" s="122" t="e">
        <v>#N/A</v>
      </c>
      <c r="BH478" s="122" t="e">
        <v>#N/A</v>
      </c>
      <c r="BI478" s="122" t="e">
        <v>#N/A</v>
      </c>
      <c r="BJ478" s="122" t="e">
        <v>#N/A</v>
      </c>
      <c r="BK478" s="122">
        <v>45957</v>
      </c>
      <c r="BL478" s="123"/>
      <c r="BM478" s="124" t="e">
        <v>#N/A</v>
      </c>
      <c r="BN478" s="124" t="e">
        <v>#N/A</v>
      </c>
      <c r="BO478" s="124" t="e">
        <v>#N/A</v>
      </c>
      <c r="BP478" s="124" t="e">
        <v>#N/A</v>
      </c>
      <c r="BQ478" s="124" t="e">
        <v>#N/A</v>
      </c>
      <c r="BR478" s="124" t="e">
        <v>#N/A</v>
      </c>
      <c r="BS478" s="124" t="e">
        <v>#N/A</v>
      </c>
      <c r="BT478" s="124" t="e">
        <v>#N/A</v>
      </c>
      <c r="BU478" s="124" t="e">
        <v>#N/A</v>
      </c>
      <c r="BV478" s="124" t="e">
        <v>#N/A</v>
      </c>
      <c r="BW478" s="124" t="e">
        <v>#N/A</v>
      </c>
      <c r="BX478" s="124" t="e">
        <v>#N/A</v>
      </c>
      <c r="BY478" s="124" t="e">
        <v>#N/A</v>
      </c>
      <c r="BZ478" s="124" t="e">
        <v>#N/A</v>
      </c>
      <c r="CA478" s="125"/>
      <c r="CB478" s="124" t="e">
        <v>#N/A</v>
      </c>
      <c r="CC478" s="126">
        <v>1</v>
      </c>
      <c r="CD478" s="127" t="s">
        <v>4206</v>
      </c>
      <c r="CE478" s="128"/>
      <c r="CF478" s="77" t="s">
        <v>4984</v>
      </c>
    </row>
    <row r="479" spans="1:84" ht="14.5" x14ac:dyDescent="0.35">
      <c r="A479" s="77">
        <v>478</v>
      </c>
      <c r="B479" s="106" t="s">
        <v>6261</v>
      </c>
      <c r="C479" s="107" t="s">
        <v>6262</v>
      </c>
      <c r="D479" s="108" t="s">
        <v>4913</v>
      </c>
      <c r="E479" s="109" t="s">
        <v>4914</v>
      </c>
      <c r="F479" s="110">
        <v>687533388</v>
      </c>
      <c r="G479" s="108" t="s">
        <v>1004</v>
      </c>
      <c r="H479" s="111" t="s">
        <v>191</v>
      </c>
      <c r="I479" s="111" t="s">
        <v>180</v>
      </c>
      <c r="J479" s="111" t="s">
        <v>4649</v>
      </c>
      <c r="K479" s="111" t="s">
        <v>4654</v>
      </c>
      <c r="L479" s="112">
        <v>36804</v>
      </c>
      <c r="M479" s="111" t="s">
        <v>1477</v>
      </c>
      <c r="N479" s="113"/>
      <c r="O479" s="114" t="s">
        <v>7581</v>
      </c>
      <c r="P479" s="114" t="s">
        <v>226</v>
      </c>
      <c r="Q479" s="114" t="s">
        <v>226</v>
      </c>
      <c r="R479" s="114" t="s">
        <v>7331</v>
      </c>
      <c r="S479" s="114" t="s">
        <v>225</v>
      </c>
      <c r="T479" s="114" t="s">
        <v>183</v>
      </c>
      <c r="U479" s="114" t="s">
        <v>183</v>
      </c>
      <c r="V479" s="115"/>
      <c r="W479" s="116" t="s">
        <v>4915</v>
      </c>
      <c r="X479" s="116" t="s">
        <v>4916</v>
      </c>
      <c r="Y479" s="117">
        <v>3485859</v>
      </c>
      <c r="Z479" s="117">
        <v>3486732</v>
      </c>
      <c r="AA479" s="118"/>
      <c r="AB479" s="119" t="s">
        <v>5294</v>
      </c>
      <c r="AC479" s="119" t="s">
        <v>4917</v>
      </c>
      <c r="AD479" s="119" t="s">
        <v>4918</v>
      </c>
      <c r="AE479" s="119" t="s">
        <v>4919</v>
      </c>
      <c r="AF479" s="119" t="s">
        <v>7582</v>
      </c>
      <c r="AG479" s="120"/>
      <c r="AH479" s="121">
        <v>45866</v>
      </c>
      <c r="AI479" s="121">
        <v>45866</v>
      </c>
      <c r="AJ479" s="121">
        <v>45866</v>
      </c>
      <c r="AK479" s="122">
        <v>45866</v>
      </c>
      <c r="AL479" s="122" t="e">
        <v>#N/A</v>
      </c>
      <c r="AM479" s="122" t="e">
        <v>#N/A</v>
      </c>
      <c r="AN479" s="122" t="e">
        <v>#N/A</v>
      </c>
      <c r="AO479" s="121" t="e">
        <v>#N/A</v>
      </c>
      <c r="AP479" s="122" t="e">
        <v>#N/A</v>
      </c>
      <c r="AQ479" s="122" t="e">
        <v>#N/A</v>
      </c>
      <c r="AR479" s="122" t="e">
        <v>#N/A</v>
      </c>
      <c r="AS479" s="122" t="e">
        <v>#N/A</v>
      </c>
      <c r="AT479" s="122" t="e">
        <v>#N/A</v>
      </c>
      <c r="AU479" s="121" t="e">
        <v>#N/A</v>
      </c>
      <c r="AV479" s="122" t="e">
        <v>#N/A</v>
      </c>
      <c r="AW479" s="122">
        <v>45866</v>
      </c>
      <c r="AX479" s="122" t="e">
        <v>#N/A</v>
      </c>
      <c r="AY479" s="122" t="e">
        <v>#N/A</v>
      </c>
      <c r="AZ479" s="122" t="e">
        <v>#N/A</v>
      </c>
      <c r="BA479" s="122" t="e">
        <v>#N/A</v>
      </c>
      <c r="BB479" s="122" t="e">
        <v>#N/A</v>
      </c>
      <c r="BC479" s="122" t="e">
        <v>#N/A</v>
      </c>
      <c r="BD479" s="122" t="e">
        <v>#N/A</v>
      </c>
      <c r="BE479" s="122" t="e">
        <v>#N/A</v>
      </c>
      <c r="BF479" s="122" t="e">
        <v>#N/A</v>
      </c>
      <c r="BG479" s="122" t="e">
        <v>#N/A</v>
      </c>
      <c r="BH479" s="122" t="e">
        <v>#N/A</v>
      </c>
      <c r="BI479" s="122" t="e">
        <v>#N/A</v>
      </c>
      <c r="BJ479" s="122" t="e">
        <v>#N/A</v>
      </c>
      <c r="BK479" s="122">
        <v>45975</v>
      </c>
      <c r="BL479" s="123"/>
      <c r="BM479" s="124" t="e">
        <v>#N/A</v>
      </c>
      <c r="BN479" s="124" t="e">
        <v>#N/A</v>
      </c>
      <c r="BO479" s="124" t="e">
        <v>#N/A</v>
      </c>
      <c r="BP479" s="124" t="e">
        <v>#N/A</v>
      </c>
      <c r="BQ479" s="124" t="e">
        <v>#N/A</v>
      </c>
      <c r="BR479" s="124" t="e">
        <v>#N/A</v>
      </c>
      <c r="BS479" s="124" t="e">
        <v>#N/A</v>
      </c>
      <c r="BT479" s="124" t="e">
        <v>#N/A</v>
      </c>
      <c r="BU479" s="124" t="e">
        <v>#N/A</v>
      </c>
      <c r="BV479" s="124" t="e">
        <v>#N/A</v>
      </c>
      <c r="BW479" s="124" t="e">
        <v>#N/A</v>
      </c>
      <c r="BX479" s="124" t="e">
        <v>#N/A</v>
      </c>
      <c r="BY479" s="124" t="e">
        <v>#N/A</v>
      </c>
      <c r="BZ479" s="124" t="e">
        <v>#N/A</v>
      </c>
      <c r="CA479" s="125"/>
      <c r="CB479" s="124" t="e">
        <v>#N/A</v>
      </c>
      <c r="CC479" s="126">
        <v>1</v>
      </c>
      <c r="CD479" s="127" t="e">
        <v>#N/A</v>
      </c>
      <c r="CE479" s="128"/>
      <c r="CF479" s="77" t="s">
        <v>4203</v>
      </c>
    </row>
    <row r="480" spans="1:84" ht="14.5" x14ac:dyDescent="0.35">
      <c r="A480" s="77">
        <v>479</v>
      </c>
      <c r="B480" s="106" t="s">
        <v>152</v>
      </c>
      <c r="C480" s="107" t="s">
        <v>1245</v>
      </c>
      <c r="D480" s="108" t="s">
        <v>859</v>
      </c>
      <c r="E480" s="109" t="s">
        <v>860</v>
      </c>
      <c r="F480" s="110">
        <v>722236393</v>
      </c>
      <c r="G480" s="108" t="s">
        <v>1004</v>
      </c>
      <c r="H480" s="111" t="s">
        <v>191</v>
      </c>
      <c r="I480" s="111" t="s">
        <v>180</v>
      </c>
      <c r="J480" s="111" t="s">
        <v>4649</v>
      </c>
      <c r="K480" s="111" t="s">
        <v>3159</v>
      </c>
      <c r="L480" s="112">
        <v>45922</v>
      </c>
      <c r="M480" s="111" t="s">
        <v>491</v>
      </c>
      <c r="N480" s="113"/>
      <c r="O480" s="114" t="s">
        <v>6016</v>
      </c>
      <c r="P480" s="114" t="s">
        <v>6016</v>
      </c>
      <c r="Q480" s="114" t="s">
        <v>6016</v>
      </c>
      <c r="R480" s="114" t="s">
        <v>7583</v>
      </c>
      <c r="S480" s="114" t="s">
        <v>183</v>
      </c>
      <c r="T480" s="114" t="s">
        <v>6016</v>
      </c>
      <c r="U480" s="114" t="s">
        <v>6016</v>
      </c>
      <c r="V480" s="115"/>
      <c r="W480" s="116" t="s">
        <v>6001</v>
      </c>
      <c r="X480" s="116" t="s">
        <v>6002</v>
      </c>
      <c r="Y480" s="117">
        <v>3485892</v>
      </c>
      <c r="Z480" s="117">
        <v>3486454</v>
      </c>
      <c r="AA480" s="118"/>
      <c r="AB480" s="119" t="s">
        <v>6003</v>
      </c>
      <c r="AC480" s="119" t="s">
        <v>6471</v>
      </c>
      <c r="AD480" s="119">
        <v>5118</v>
      </c>
      <c r="AE480" s="119" t="s">
        <v>6227</v>
      </c>
      <c r="AF480" s="119" t="s">
        <v>7119</v>
      </c>
      <c r="AG480" s="120"/>
      <c r="AH480" s="121">
        <v>44197</v>
      </c>
      <c r="AI480" s="121">
        <v>44197</v>
      </c>
      <c r="AJ480" s="121">
        <v>44197</v>
      </c>
      <c r="AK480" s="122">
        <v>44197</v>
      </c>
      <c r="AL480" s="122" t="e">
        <v>#N/A</v>
      </c>
      <c r="AM480" s="121" t="e">
        <v>#N/A</v>
      </c>
      <c r="AN480" s="121" t="e">
        <v>#N/A</v>
      </c>
      <c r="AO480" s="121" t="e">
        <v>#N/A</v>
      </c>
      <c r="AP480" s="122" t="e">
        <v>#N/A</v>
      </c>
      <c r="AQ480" s="122" t="e">
        <v>#N/A</v>
      </c>
      <c r="AR480" s="122" t="e">
        <v>#N/A</v>
      </c>
      <c r="AS480" s="122" t="e">
        <v>#N/A</v>
      </c>
      <c r="AT480" s="122" t="e">
        <v>#N/A</v>
      </c>
      <c r="AU480" s="121" t="e">
        <v>#N/A</v>
      </c>
      <c r="AV480" s="122" t="e">
        <v>#N/A</v>
      </c>
      <c r="AW480" s="122" t="e">
        <v>#N/A</v>
      </c>
      <c r="AX480" s="122" t="e">
        <v>#N/A</v>
      </c>
      <c r="AY480" s="122" t="e">
        <v>#N/A</v>
      </c>
      <c r="AZ480" s="122" t="e">
        <v>#N/A</v>
      </c>
      <c r="BA480" s="122" t="e">
        <v>#N/A</v>
      </c>
      <c r="BB480" s="122" t="e">
        <v>#N/A</v>
      </c>
      <c r="BC480" s="122" t="e">
        <v>#N/A</v>
      </c>
      <c r="BD480" s="122" t="e">
        <v>#N/A</v>
      </c>
      <c r="BE480" s="122" t="e">
        <v>#N/A</v>
      </c>
      <c r="BF480" s="122" t="e">
        <v>#N/A</v>
      </c>
      <c r="BG480" s="122" t="e">
        <v>#N/A</v>
      </c>
      <c r="BH480" s="122" t="e">
        <v>#N/A</v>
      </c>
      <c r="BI480" s="122" t="e">
        <v>#N/A</v>
      </c>
      <c r="BJ480" s="122" t="e">
        <v>#N/A</v>
      </c>
      <c r="BK480" s="122">
        <v>45982</v>
      </c>
      <c r="BL480" s="123"/>
      <c r="BM480" s="124" t="e">
        <v>#N/A</v>
      </c>
      <c r="BN480" s="124" t="e">
        <v>#N/A</v>
      </c>
      <c r="BO480" s="124" t="e">
        <v>#N/A</v>
      </c>
      <c r="BP480" s="124" t="e">
        <v>#N/A</v>
      </c>
      <c r="BQ480" s="124" t="e">
        <v>#N/A</v>
      </c>
      <c r="BR480" s="124" t="e">
        <v>#N/A</v>
      </c>
      <c r="BS480" s="124" t="e">
        <v>#N/A</v>
      </c>
      <c r="BT480" s="124" t="e">
        <v>#N/A</v>
      </c>
      <c r="BU480" s="124" t="e">
        <v>#N/A</v>
      </c>
      <c r="BV480" s="124" t="e">
        <v>#N/A</v>
      </c>
      <c r="BW480" s="124" t="e">
        <v>#N/A</v>
      </c>
      <c r="BX480" s="124" t="e">
        <v>#N/A</v>
      </c>
      <c r="BY480" s="124" t="e">
        <v>#N/A</v>
      </c>
      <c r="BZ480" s="124" t="e">
        <v>#N/A</v>
      </c>
      <c r="CA480" s="125"/>
      <c r="CB480" s="124" t="e">
        <v>#N/A</v>
      </c>
      <c r="CC480" s="126">
        <v>1</v>
      </c>
      <c r="CD480" s="127" t="s">
        <v>4169</v>
      </c>
      <c r="CE480" s="128"/>
      <c r="CF480" s="77" t="s">
        <v>4203</v>
      </c>
    </row>
    <row r="481" spans="1:85" ht="14.5" x14ac:dyDescent="0.35">
      <c r="A481" s="77">
        <v>480</v>
      </c>
      <c r="B481" s="106" t="s">
        <v>3570</v>
      </c>
      <c r="C481" s="107" t="s">
        <v>6633</v>
      </c>
      <c r="D481" s="108" t="s">
        <v>3571</v>
      </c>
      <c r="E481" s="109" t="s">
        <v>3572</v>
      </c>
      <c r="F481" s="110">
        <v>621381132</v>
      </c>
      <c r="G481" s="108" t="s">
        <v>1004</v>
      </c>
      <c r="H481" s="111" t="s">
        <v>191</v>
      </c>
      <c r="I481" s="111" t="s">
        <v>180</v>
      </c>
      <c r="J481" s="111" t="s">
        <v>4649</v>
      </c>
      <c r="K481" s="111" t="s">
        <v>3159</v>
      </c>
      <c r="L481" s="112">
        <v>45481</v>
      </c>
      <c r="M481" s="111" t="s">
        <v>4035</v>
      </c>
      <c r="N481" s="113"/>
      <c r="O481" s="114" t="s">
        <v>501</v>
      </c>
      <c r="P481" s="114" t="s">
        <v>501</v>
      </c>
      <c r="Q481" s="114" t="s">
        <v>501</v>
      </c>
      <c r="R481" s="114" t="s">
        <v>7321</v>
      </c>
      <c r="S481" s="114" t="s">
        <v>501</v>
      </c>
      <c r="T481" s="114" t="s">
        <v>183</v>
      </c>
      <c r="U481" s="114" t="s">
        <v>183</v>
      </c>
      <c r="V481" s="115"/>
      <c r="W481" s="116" t="s">
        <v>3573</v>
      </c>
      <c r="X481" s="116" t="s">
        <v>3574</v>
      </c>
      <c r="Y481" s="117">
        <v>3485882</v>
      </c>
      <c r="Z481" s="117">
        <v>3486561</v>
      </c>
      <c r="AA481" s="118"/>
      <c r="AB481" s="119" t="s">
        <v>5644</v>
      </c>
      <c r="AC481" s="119" t="s">
        <v>3575</v>
      </c>
      <c r="AD481" s="119">
        <v>5086</v>
      </c>
      <c r="AE481" s="119" t="s">
        <v>3576</v>
      </c>
      <c r="AF481" s="119">
        <v>0</v>
      </c>
      <c r="AG481" s="120"/>
      <c r="AH481" s="121">
        <v>45497</v>
      </c>
      <c r="AI481" s="121">
        <v>45497</v>
      </c>
      <c r="AJ481" s="121">
        <v>45497</v>
      </c>
      <c r="AK481" s="122">
        <v>45497</v>
      </c>
      <c r="AL481" s="122">
        <v>45681</v>
      </c>
      <c r="AM481" s="121" t="e">
        <v>#N/A</v>
      </c>
      <c r="AN481" s="121" t="e">
        <v>#N/A</v>
      </c>
      <c r="AO481" s="121" t="e">
        <v>#N/A</v>
      </c>
      <c r="AP481" s="122">
        <v>45681</v>
      </c>
      <c r="AQ481" s="122" t="e">
        <v>#N/A</v>
      </c>
      <c r="AR481" s="122" t="e">
        <v>#N/A</v>
      </c>
      <c r="AS481" s="122" t="e">
        <v>#N/A</v>
      </c>
      <c r="AT481" s="122" t="e">
        <v>#N/A</v>
      </c>
      <c r="AU481" s="121" t="e">
        <v>#N/A</v>
      </c>
      <c r="AV481" s="122" t="e">
        <v>#N/A</v>
      </c>
      <c r="AW481" s="122">
        <v>45614</v>
      </c>
      <c r="AX481" s="122" t="e">
        <v>#N/A</v>
      </c>
      <c r="AY481" s="122" t="e">
        <v>#N/A</v>
      </c>
      <c r="AZ481" s="122" t="e">
        <v>#N/A</v>
      </c>
      <c r="BA481" s="122" t="e">
        <v>#N/A</v>
      </c>
      <c r="BB481" s="122" t="e">
        <v>#N/A</v>
      </c>
      <c r="BC481" s="122" t="e">
        <v>#N/A</v>
      </c>
      <c r="BD481" s="122" t="e">
        <v>#N/A</v>
      </c>
      <c r="BE481" s="122" t="e">
        <v>#N/A</v>
      </c>
      <c r="BF481" s="122" t="e">
        <v>#N/A</v>
      </c>
      <c r="BG481" s="122" t="e">
        <v>#N/A</v>
      </c>
      <c r="BH481" s="122" t="e">
        <v>#N/A</v>
      </c>
      <c r="BI481" s="122" t="e">
        <v>#N/A</v>
      </c>
      <c r="BJ481" s="122" t="e">
        <v>#N/A</v>
      </c>
      <c r="BK481" s="122" t="e">
        <v>#N/A</v>
      </c>
      <c r="BL481" s="123"/>
      <c r="BM481" s="124" t="e">
        <v>#N/A</v>
      </c>
      <c r="BN481" s="124" t="e">
        <v>#N/A</v>
      </c>
      <c r="BO481" s="124" t="e">
        <v>#N/A</v>
      </c>
      <c r="BP481" s="124" t="e">
        <v>#N/A</v>
      </c>
      <c r="BQ481" s="124" t="e">
        <v>#N/A</v>
      </c>
      <c r="BR481" s="124" t="e">
        <v>#N/A</v>
      </c>
      <c r="BS481" s="124" t="e">
        <v>#N/A</v>
      </c>
      <c r="BT481" s="124" t="e">
        <v>#N/A</v>
      </c>
      <c r="BU481" s="124" t="e">
        <v>#N/A</v>
      </c>
      <c r="BV481" s="124" t="e">
        <v>#N/A</v>
      </c>
      <c r="BW481" s="124" t="e">
        <v>#N/A</v>
      </c>
      <c r="BX481" s="124" t="e">
        <v>#N/A</v>
      </c>
      <c r="BY481" s="124" t="e">
        <v>#N/A</v>
      </c>
      <c r="BZ481" s="124" t="e">
        <v>#N/A</v>
      </c>
      <c r="CA481" s="125"/>
      <c r="CB481" s="124">
        <v>45729</v>
      </c>
      <c r="CC481" s="126">
        <v>1</v>
      </c>
      <c r="CD481" s="127" t="s">
        <v>4201</v>
      </c>
      <c r="CE481" s="128"/>
      <c r="CF481" s="77" t="s">
        <v>4203</v>
      </c>
    </row>
    <row r="482" spans="1:85" ht="14.5" x14ac:dyDescent="0.35">
      <c r="A482" s="77">
        <v>481</v>
      </c>
      <c r="B482" s="106" t="s">
        <v>4016</v>
      </c>
      <c r="C482" s="107" t="s">
        <v>6715</v>
      </c>
      <c r="D482" s="108" t="s">
        <v>4023</v>
      </c>
      <c r="E482" s="109" t="s">
        <v>4028</v>
      </c>
      <c r="F482" s="110">
        <v>656971745</v>
      </c>
      <c r="G482" s="108" t="s">
        <v>1004</v>
      </c>
      <c r="H482" s="111" t="s">
        <v>191</v>
      </c>
      <c r="I482" s="111" t="s">
        <v>180</v>
      </c>
      <c r="J482" s="111" t="s">
        <v>4649</v>
      </c>
      <c r="K482" s="111" t="s">
        <v>3159</v>
      </c>
      <c r="L482" s="112">
        <v>45589</v>
      </c>
      <c r="M482" s="111" t="s">
        <v>3172</v>
      </c>
      <c r="N482" s="113"/>
      <c r="O482" s="114" t="s">
        <v>4469</v>
      </c>
      <c r="P482" s="114" t="s">
        <v>4469</v>
      </c>
      <c r="Q482" s="114" t="s">
        <v>4356</v>
      </c>
      <c r="R482" s="114" t="s">
        <v>4356</v>
      </c>
      <c r="S482" s="114" t="s">
        <v>4469</v>
      </c>
      <c r="T482" s="114" t="s">
        <v>4469</v>
      </c>
      <c r="U482" s="114" t="s">
        <v>4469</v>
      </c>
      <c r="V482" s="115"/>
      <c r="W482" s="116" t="s">
        <v>4024</v>
      </c>
      <c r="X482" s="116" t="s">
        <v>4025</v>
      </c>
      <c r="Y482" s="117">
        <v>3487026</v>
      </c>
      <c r="Z482" s="117">
        <v>3481533</v>
      </c>
      <c r="AA482" s="118"/>
      <c r="AB482" s="119" t="s">
        <v>5643</v>
      </c>
      <c r="AC482" s="119" t="s">
        <v>4026</v>
      </c>
      <c r="AD482" s="119">
        <v>26179</v>
      </c>
      <c r="AE482" s="119" t="s">
        <v>4027</v>
      </c>
      <c r="AF482" s="119" t="s">
        <v>7193</v>
      </c>
      <c r="AG482" s="120"/>
      <c r="AH482" s="121">
        <v>45589</v>
      </c>
      <c r="AI482" s="121">
        <v>45589</v>
      </c>
      <c r="AJ482" s="121">
        <v>45589</v>
      </c>
      <c r="AK482" s="122">
        <v>45589</v>
      </c>
      <c r="AL482" s="122">
        <v>45681</v>
      </c>
      <c r="AM482" s="121" t="e">
        <v>#N/A</v>
      </c>
      <c r="AN482" s="121">
        <v>45906</v>
      </c>
      <c r="AO482" s="121" t="e">
        <v>#N/A</v>
      </c>
      <c r="AP482" s="122" t="e">
        <v>#N/A</v>
      </c>
      <c r="AQ482" s="122" t="e">
        <v>#N/A</v>
      </c>
      <c r="AR482" s="122" t="e">
        <v>#N/A</v>
      </c>
      <c r="AS482" s="122" t="e">
        <v>#N/A</v>
      </c>
      <c r="AT482" s="122" t="e">
        <v>#N/A</v>
      </c>
      <c r="AU482" s="121" t="e">
        <v>#N/A</v>
      </c>
      <c r="AV482" s="122" t="e">
        <v>#N/A</v>
      </c>
      <c r="AW482" s="122">
        <v>45642</v>
      </c>
      <c r="AX482" s="122" t="e">
        <v>#N/A</v>
      </c>
      <c r="AY482" s="122" t="e">
        <v>#N/A</v>
      </c>
      <c r="AZ482" s="122" t="e">
        <v>#N/A</v>
      </c>
      <c r="BA482" s="122" t="e">
        <v>#N/A</v>
      </c>
      <c r="BB482" s="122" t="e">
        <v>#N/A</v>
      </c>
      <c r="BC482" s="122" t="e">
        <v>#N/A</v>
      </c>
      <c r="BD482" s="122" t="e">
        <v>#N/A</v>
      </c>
      <c r="BE482" s="122" t="e">
        <v>#N/A</v>
      </c>
      <c r="BF482" s="122" t="e">
        <v>#N/A</v>
      </c>
      <c r="BG482" s="122" t="e">
        <v>#N/A</v>
      </c>
      <c r="BH482" s="122" t="e">
        <v>#N/A</v>
      </c>
      <c r="BI482" s="122" t="e">
        <v>#N/A</v>
      </c>
      <c r="BJ482" s="122" t="e">
        <v>#N/A</v>
      </c>
      <c r="BK482" s="122">
        <v>45964</v>
      </c>
      <c r="BL482" s="123"/>
      <c r="BM482" s="124" t="e">
        <v>#N/A</v>
      </c>
      <c r="BN482" s="124" t="e">
        <v>#N/A</v>
      </c>
      <c r="BO482" s="124" t="e">
        <v>#N/A</v>
      </c>
      <c r="BP482" s="124" t="e">
        <v>#N/A</v>
      </c>
      <c r="BQ482" s="124" t="e">
        <v>#N/A</v>
      </c>
      <c r="BR482" s="124" t="e">
        <v>#N/A</v>
      </c>
      <c r="BS482" s="124" t="e">
        <v>#N/A</v>
      </c>
      <c r="BT482" s="124" t="e">
        <v>#N/A</v>
      </c>
      <c r="BU482" s="124" t="e">
        <v>#N/A</v>
      </c>
      <c r="BV482" s="124" t="e">
        <v>#N/A</v>
      </c>
      <c r="BW482" s="124" t="e">
        <v>#N/A</v>
      </c>
      <c r="BX482" s="124" t="e">
        <v>#N/A</v>
      </c>
      <c r="BY482" s="124" t="e">
        <v>#N/A</v>
      </c>
      <c r="BZ482" s="124" t="e">
        <v>#N/A</v>
      </c>
      <c r="CA482" s="125"/>
      <c r="CB482" s="124" t="e">
        <v>#N/A</v>
      </c>
      <c r="CC482" s="126">
        <v>1</v>
      </c>
      <c r="CD482" s="127" t="s">
        <v>4214</v>
      </c>
      <c r="CE482" s="128"/>
      <c r="CF482" s="77" t="s">
        <v>4203</v>
      </c>
    </row>
    <row r="483" spans="1:85" ht="14.5" x14ac:dyDescent="0.35">
      <c r="A483" s="77">
        <v>482</v>
      </c>
      <c r="B483" s="106" t="s">
        <v>3502</v>
      </c>
      <c r="C483" s="107" t="s">
        <v>6631</v>
      </c>
      <c r="D483" s="108" t="s">
        <v>3482</v>
      </c>
      <c r="E483" s="109" t="s">
        <v>3503</v>
      </c>
      <c r="F483" s="110">
        <v>642353004</v>
      </c>
      <c r="G483" s="108" t="s">
        <v>1004</v>
      </c>
      <c r="H483" s="111" t="s">
        <v>1688</v>
      </c>
      <c r="I483" s="111" t="s">
        <v>180</v>
      </c>
      <c r="J483" s="111" t="s">
        <v>4649</v>
      </c>
      <c r="K483" s="111" t="s">
        <v>3159</v>
      </c>
      <c r="L483" s="112">
        <v>45464</v>
      </c>
      <c r="M483" s="111" t="s">
        <v>1719</v>
      </c>
      <c r="N483" s="113"/>
      <c r="O483" s="114" t="s">
        <v>557</v>
      </c>
      <c r="P483" s="114" t="s">
        <v>557</v>
      </c>
      <c r="Q483" s="114" t="s">
        <v>557</v>
      </c>
      <c r="R483" s="114" t="s">
        <v>557</v>
      </c>
      <c r="S483" s="114" t="s">
        <v>557</v>
      </c>
      <c r="T483" s="114" t="s">
        <v>183</v>
      </c>
      <c r="U483" s="114" t="s">
        <v>183</v>
      </c>
      <c r="V483" s="115"/>
      <c r="W483" s="116" t="s">
        <v>3483</v>
      </c>
      <c r="X483" s="116" t="s">
        <v>3484</v>
      </c>
      <c r="Y483" s="117">
        <v>3485939</v>
      </c>
      <c r="Z483" s="117">
        <v>3486493</v>
      </c>
      <c r="AA483" s="118"/>
      <c r="AB483" s="119" t="s">
        <v>5498</v>
      </c>
      <c r="AC483" s="119" t="s">
        <v>3516</v>
      </c>
      <c r="AD483" s="119">
        <v>5769</v>
      </c>
      <c r="AE483" s="119" t="s">
        <v>3485</v>
      </c>
      <c r="AF483" s="119" t="s">
        <v>7584</v>
      </c>
      <c r="AG483" s="120"/>
      <c r="AH483" s="121">
        <v>45481</v>
      </c>
      <c r="AI483" s="121">
        <v>45481</v>
      </c>
      <c r="AJ483" s="121">
        <v>45481</v>
      </c>
      <c r="AK483" s="122">
        <v>45481</v>
      </c>
      <c r="AL483" s="122" t="e">
        <v>#N/A</v>
      </c>
      <c r="AM483" s="121" t="e">
        <v>#N/A</v>
      </c>
      <c r="AN483" s="121" t="e">
        <v>#N/A</v>
      </c>
      <c r="AO483" s="121" t="e">
        <v>#N/A</v>
      </c>
      <c r="AP483" s="122" t="e">
        <v>#N/A</v>
      </c>
      <c r="AQ483" s="122" t="e">
        <v>#N/A</v>
      </c>
      <c r="AR483" s="122" t="e">
        <v>#N/A</v>
      </c>
      <c r="AS483" s="122" t="e">
        <v>#N/A</v>
      </c>
      <c r="AT483" s="122" t="e">
        <v>#N/A</v>
      </c>
      <c r="AU483" s="121" t="e">
        <v>#N/A</v>
      </c>
      <c r="AV483" s="122" t="e">
        <v>#N/A</v>
      </c>
      <c r="AW483" s="122">
        <v>45754</v>
      </c>
      <c r="AX483" s="122" t="e">
        <v>#N/A</v>
      </c>
      <c r="AY483" s="122" t="e">
        <v>#N/A</v>
      </c>
      <c r="AZ483" s="122" t="e">
        <v>#N/A</v>
      </c>
      <c r="BA483" s="122" t="e">
        <v>#N/A</v>
      </c>
      <c r="BB483" s="122" t="e">
        <v>#N/A</v>
      </c>
      <c r="BC483" s="122" t="e">
        <v>#N/A</v>
      </c>
      <c r="BD483" s="122" t="e">
        <v>#N/A</v>
      </c>
      <c r="BE483" s="122" t="e">
        <v>#N/A</v>
      </c>
      <c r="BF483" s="122" t="e">
        <v>#N/A</v>
      </c>
      <c r="BG483" s="122" t="e">
        <v>#N/A</v>
      </c>
      <c r="BH483" s="122" t="e">
        <v>#N/A</v>
      </c>
      <c r="BI483" s="122" t="e">
        <v>#N/A</v>
      </c>
      <c r="BJ483" s="122" t="e">
        <v>#N/A</v>
      </c>
      <c r="BK483" s="122">
        <v>46001</v>
      </c>
      <c r="BL483" s="123"/>
      <c r="BM483" s="124" t="e">
        <v>#N/A</v>
      </c>
      <c r="BN483" s="124" t="e">
        <v>#N/A</v>
      </c>
      <c r="BO483" s="124" t="e">
        <v>#N/A</v>
      </c>
      <c r="BP483" s="124" t="e">
        <v>#N/A</v>
      </c>
      <c r="BQ483" s="124" t="e">
        <v>#N/A</v>
      </c>
      <c r="BR483" s="124" t="e">
        <v>#N/A</v>
      </c>
      <c r="BS483" s="124" t="e">
        <v>#N/A</v>
      </c>
      <c r="BT483" s="124" t="e">
        <v>#N/A</v>
      </c>
      <c r="BU483" s="124" t="e">
        <v>#N/A</v>
      </c>
      <c r="BV483" s="124" t="e">
        <v>#N/A</v>
      </c>
      <c r="BW483" s="124" t="e">
        <v>#N/A</v>
      </c>
      <c r="BX483" s="124" t="e">
        <v>#N/A</v>
      </c>
      <c r="BY483" s="124" t="e">
        <v>#N/A</v>
      </c>
      <c r="BZ483" s="124" t="e">
        <v>#N/A</v>
      </c>
      <c r="CA483" s="125"/>
      <c r="CB483" s="124">
        <v>45734</v>
      </c>
      <c r="CC483" s="126">
        <v>1</v>
      </c>
      <c r="CD483" s="127" t="s">
        <v>4204</v>
      </c>
      <c r="CE483" s="128"/>
      <c r="CF483" s="77" t="s">
        <v>4205</v>
      </c>
    </row>
    <row r="484" spans="1:85" ht="14.5" x14ac:dyDescent="0.35">
      <c r="A484" s="77">
        <v>483</v>
      </c>
      <c r="B484" s="106" t="s">
        <v>5264</v>
      </c>
      <c r="C484" s="107" t="s">
        <v>6831</v>
      </c>
      <c r="D484" s="108" t="s">
        <v>5304</v>
      </c>
      <c r="E484" s="109" t="s">
        <v>5265</v>
      </c>
      <c r="F484" s="110">
        <v>674785588</v>
      </c>
      <c r="G484" s="108" t="s">
        <v>1004</v>
      </c>
      <c r="H484" s="111" t="s">
        <v>1688</v>
      </c>
      <c r="I484" s="111" t="s">
        <v>180</v>
      </c>
      <c r="J484" s="111" t="s">
        <v>4649</v>
      </c>
      <c r="K484" s="111" t="s">
        <v>305</v>
      </c>
      <c r="L484" s="112">
        <v>45880</v>
      </c>
      <c r="M484" s="111" t="s">
        <v>181</v>
      </c>
      <c r="N484" s="113"/>
      <c r="O484" s="114" t="s">
        <v>3831</v>
      </c>
      <c r="P484" s="114" t="s">
        <v>3831</v>
      </c>
      <c r="Q484" s="114" t="s">
        <v>585</v>
      </c>
      <c r="R484" s="114" t="s">
        <v>7382</v>
      </c>
      <c r="S484" s="114" t="s">
        <v>3831</v>
      </c>
      <c r="T484" s="114" t="s">
        <v>183</v>
      </c>
      <c r="U484" s="114" t="s">
        <v>183</v>
      </c>
      <c r="V484" s="115"/>
      <c r="W484" s="116" t="s">
        <v>5266</v>
      </c>
      <c r="X484" s="116" t="s">
        <v>5267</v>
      </c>
      <c r="Y484" s="117">
        <v>3487110</v>
      </c>
      <c r="Z484" s="117">
        <v>3481569</v>
      </c>
      <c r="AA484" s="118"/>
      <c r="AB484" s="119" t="s">
        <v>5268</v>
      </c>
      <c r="AC484" s="119" t="s">
        <v>5269</v>
      </c>
      <c r="AD484" s="119" t="s">
        <v>5270</v>
      </c>
      <c r="AE484" s="119" t="s">
        <v>5271</v>
      </c>
      <c r="AF484" s="119" t="s">
        <v>7238</v>
      </c>
      <c r="AG484" s="120"/>
      <c r="AH484" s="121">
        <v>45880</v>
      </c>
      <c r="AI484" s="121">
        <v>45880</v>
      </c>
      <c r="AJ484" s="121">
        <v>45880</v>
      </c>
      <c r="AK484" s="122">
        <v>45880</v>
      </c>
      <c r="AL484" s="122" t="e">
        <v>#N/A</v>
      </c>
      <c r="AM484" s="121" t="e">
        <v>#N/A</v>
      </c>
      <c r="AN484" s="121" t="e">
        <v>#N/A</v>
      </c>
      <c r="AO484" s="121" t="e">
        <v>#N/A</v>
      </c>
      <c r="AP484" s="122" t="e">
        <v>#N/A</v>
      </c>
      <c r="AQ484" s="122" t="e">
        <v>#N/A</v>
      </c>
      <c r="AR484" s="122" t="e">
        <v>#N/A</v>
      </c>
      <c r="AS484" s="122" t="e">
        <v>#N/A</v>
      </c>
      <c r="AT484" s="122" t="e">
        <v>#N/A</v>
      </c>
      <c r="AU484" s="121" t="e">
        <v>#N/A</v>
      </c>
      <c r="AV484" s="122" t="e">
        <v>#N/A</v>
      </c>
      <c r="AW484" s="122">
        <v>45880</v>
      </c>
      <c r="AX484" s="122" t="e">
        <v>#N/A</v>
      </c>
      <c r="AY484" s="122" t="e">
        <v>#N/A</v>
      </c>
      <c r="AZ484" s="122" t="e">
        <v>#N/A</v>
      </c>
      <c r="BA484" s="122" t="e">
        <v>#N/A</v>
      </c>
      <c r="BB484" s="122" t="e">
        <v>#N/A</v>
      </c>
      <c r="BC484" s="122" t="e">
        <v>#N/A</v>
      </c>
      <c r="BD484" s="122" t="e">
        <v>#N/A</v>
      </c>
      <c r="BE484" s="122" t="e">
        <v>#N/A</v>
      </c>
      <c r="BF484" s="122" t="e">
        <v>#N/A</v>
      </c>
      <c r="BG484" s="122" t="e">
        <v>#N/A</v>
      </c>
      <c r="BH484" s="122" t="e">
        <v>#N/A</v>
      </c>
      <c r="BI484" s="122" t="e">
        <v>#N/A</v>
      </c>
      <c r="BJ484" s="122" t="e">
        <v>#N/A</v>
      </c>
      <c r="BK484" s="122">
        <v>45965</v>
      </c>
      <c r="BL484" s="123"/>
      <c r="BM484" s="124" t="e">
        <v>#N/A</v>
      </c>
      <c r="BN484" s="124" t="e">
        <v>#N/A</v>
      </c>
      <c r="BO484" s="124" t="e">
        <v>#N/A</v>
      </c>
      <c r="BP484" s="124" t="e">
        <v>#N/A</v>
      </c>
      <c r="BQ484" s="124" t="e">
        <v>#N/A</v>
      </c>
      <c r="BR484" s="124" t="e">
        <v>#N/A</v>
      </c>
      <c r="BS484" s="124" t="e">
        <v>#N/A</v>
      </c>
      <c r="BT484" s="124" t="e">
        <v>#N/A</v>
      </c>
      <c r="BU484" s="124" t="e">
        <v>#N/A</v>
      </c>
      <c r="BV484" s="124" t="e">
        <v>#N/A</v>
      </c>
      <c r="BW484" s="124" t="e">
        <v>#N/A</v>
      </c>
      <c r="BX484" s="124" t="e">
        <v>#N/A</v>
      </c>
      <c r="BY484" s="124" t="e">
        <v>#N/A</v>
      </c>
      <c r="BZ484" s="124" t="e">
        <v>#N/A</v>
      </c>
      <c r="CA484" s="125"/>
      <c r="CB484" s="124" t="e">
        <v>#N/A</v>
      </c>
      <c r="CC484" s="126">
        <v>1</v>
      </c>
      <c r="CD484" s="127" t="s">
        <v>5329</v>
      </c>
      <c r="CE484" s="128"/>
      <c r="CF484" s="77" t="s">
        <v>4205</v>
      </c>
    </row>
    <row r="485" spans="1:85" ht="14.5" x14ac:dyDescent="0.35">
      <c r="A485" s="77">
        <v>484</v>
      </c>
      <c r="B485" s="106" t="s">
        <v>5181</v>
      </c>
      <c r="C485" s="107" t="s">
        <v>6827</v>
      </c>
      <c r="D485" s="108" t="s">
        <v>5298</v>
      </c>
      <c r="E485" s="109" t="s">
        <v>5182</v>
      </c>
      <c r="F485" s="110">
        <v>660679181</v>
      </c>
      <c r="G485" s="108" t="s">
        <v>1004</v>
      </c>
      <c r="H485" s="111" t="s">
        <v>1688</v>
      </c>
      <c r="I485" s="111" t="s">
        <v>180</v>
      </c>
      <c r="J485" s="111" t="s">
        <v>4649</v>
      </c>
      <c r="K485" s="111" t="s">
        <v>305</v>
      </c>
      <c r="L485" s="112">
        <v>45880</v>
      </c>
      <c r="M485" s="111" t="s">
        <v>1037</v>
      </c>
      <c r="N485" s="113"/>
      <c r="O485" s="114" t="s">
        <v>813</v>
      </c>
      <c r="P485" s="114" t="s">
        <v>285</v>
      </c>
      <c r="Q485" s="114" t="s">
        <v>183</v>
      </c>
      <c r="R485" s="114" t="s">
        <v>7444</v>
      </c>
      <c r="S485" s="114" t="s">
        <v>285</v>
      </c>
      <c r="T485" s="114" t="s">
        <v>285</v>
      </c>
      <c r="U485" s="114" t="s">
        <v>285</v>
      </c>
      <c r="V485" s="115"/>
      <c r="W485" s="116" t="s">
        <v>5183</v>
      </c>
      <c r="X485" s="116" t="s">
        <v>5184</v>
      </c>
      <c r="Y485" s="117">
        <v>3487154</v>
      </c>
      <c r="Z485" s="117">
        <v>3486474</v>
      </c>
      <c r="AA485" s="118"/>
      <c r="AB485" s="119" t="s">
        <v>5331</v>
      </c>
      <c r="AC485" s="119" t="s">
        <v>5185</v>
      </c>
      <c r="AD485" s="119" t="s">
        <v>5186</v>
      </c>
      <c r="AE485" s="119" t="s">
        <v>5187</v>
      </c>
      <c r="AF485" s="119" t="s">
        <v>7585</v>
      </c>
      <c r="AG485" s="120"/>
      <c r="AH485" s="121">
        <v>45880</v>
      </c>
      <c r="AI485" s="121">
        <v>45880</v>
      </c>
      <c r="AJ485" s="121">
        <v>45880</v>
      </c>
      <c r="AK485" s="122">
        <v>45880</v>
      </c>
      <c r="AL485" s="122" t="e">
        <v>#N/A</v>
      </c>
      <c r="AM485" s="121" t="e">
        <v>#N/A</v>
      </c>
      <c r="AN485" s="121" t="e">
        <v>#N/A</v>
      </c>
      <c r="AO485" s="121" t="e">
        <v>#N/A</v>
      </c>
      <c r="AP485" s="122" t="e">
        <v>#N/A</v>
      </c>
      <c r="AQ485" s="122" t="e">
        <v>#N/A</v>
      </c>
      <c r="AR485" s="122" t="e">
        <v>#N/A</v>
      </c>
      <c r="AS485" s="122" t="e">
        <v>#N/A</v>
      </c>
      <c r="AT485" s="122" t="e">
        <v>#N/A</v>
      </c>
      <c r="AU485" s="121" t="e">
        <v>#N/A</v>
      </c>
      <c r="AV485" s="122" t="e">
        <v>#N/A</v>
      </c>
      <c r="AW485" s="122">
        <v>45880</v>
      </c>
      <c r="AX485" s="122" t="e">
        <v>#N/A</v>
      </c>
      <c r="AY485" s="122" t="e">
        <v>#N/A</v>
      </c>
      <c r="AZ485" s="122" t="e">
        <v>#N/A</v>
      </c>
      <c r="BA485" s="122" t="e">
        <v>#N/A</v>
      </c>
      <c r="BB485" s="122" t="e">
        <v>#N/A</v>
      </c>
      <c r="BC485" s="122" t="e">
        <v>#N/A</v>
      </c>
      <c r="BD485" s="122" t="e">
        <v>#N/A</v>
      </c>
      <c r="BE485" s="122" t="e">
        <v>#N/A</v>
      </c>
      <c r="BF485" s="122" t="e">
        <v>#N/A</v>
      </c>
      <c r="BG485" s="122" t="e">
        <v>#N/A</v>
      </c>
      <c r="BH485" s="122" t="e">
        <v>#N/A</v>
      </c>
      <c r="BI485" s="122" t="e">
        <v>#N/A</v>
      </c>
      <c r="BJ485" s="122" t="e">
        <v>#N/A</v>
      </c>
      <c r="BK485" s="122">
        <v>45971</v>
      </c>
      <c r="BL485" s="123"/>
      <c r="BM485" s="124" t="e">
        <v>#N/A</v>
      </c>
      <c r="BN485" s="124" t="e">
        <v>#N/A</v>
      </c>
      <c r="BO485" s="124" t="e">
        <v>#N/A</v>
      </c>
      <c r="BP485" s="124" t="e">
        <v>#N/A</v>
      </c>
      <c r="BQ485" s="124" t="e">
        <v>#N/A</v>
      </c>
      <c r="BR485" s="124" t="e">
        <v>#N/A</v>
      </c>
      <c r="BS485" s="124" t="e">
        <v>#N/A</v>
      </c>
      <c r="BT485" s="124" t="e">
        <v>#N/A</v>
      </c>
      <c r="BU485" s="124" t="e">
        <v>#N/A</v>
      </c>
      <c r="BV485" s="124" t="e">
        <v>#N/A</v>
      </c>
      <c r="BW485" s="124" t="e">
        <v>#N/A</v>
      </c>
      <c r="BX485" s="124" t="e">
        <v>#N/A</v>
      </c>
      <c r="BY485" s="124" t="e">
        <v>#N/A</v>
      </c>
      <c r="BZ485" s="124" t="e">
        <v>#N/A</v>
      </c>
      <c r="CA485" s="125"/>
      <c r="CB485" s="124" t="e">
        <v>#N/A</v>
      </c>
      <c r="CC485" s="126">
        <v>1</v>
      </c>
      <c r="CD485" s="127" t="s">
        <v>5329</v>
      </c>
      <c r="CE485" s="128"/>
      <c r="CF485" s="77" t="s">
        <v>4205</v>
      </c>
    </row>
    <row r="486" spans="1:85" ht="14.5" x14ac:dyDescent="0.35">
      <c r="A486" s="77">
        <v>485</v>
      </c>
      <c r="B486" s="106" t="s">
        <v>4929</v>
      </c>
      <c r="C486" s="107" t="s">
        <v>6400</v>
      </c>
      <c r="D486" s="108" t="s">
        <v>4930</v>
      </c>
      <c r="E486" s="109" t="s">
        <v>4931</v>
      </c>
      <c r="F486" s="110">
        <v>653104125</v>
      </c>
      <c r="G486" s="108" t="s">
        <v>1004</v>
      </c>
      <c r="H486" s="111" t="s">
        <v>1688</v>
      </c>
      <c r="I486" s="111" t="s">
        <v>180</v>
      </c>
      <c r="J486" s="111" t="s">
        <v>4649</v>
      </c>
      <c r="K486" s="111" t="s">
        <v>305</v>
      </c>
      <c r="L486" s="112">
        <v>45391</v>
      </c>
      <c r="M486" s="111" t="s">
        <v>181</v>
      </c>
      <c r="N486" s="113"/>
      <c r="O486" s="114" t="s">
        <v>182</v>
      </c>
      <c r="P486" s="114" t="s">
        <v>184</v>
      </c>
      <c r="Q486" s="114" t="s">
        <v>183</v>
      </c>
      <c r="R486" s="114" t="s">
        <v>7509</v>
      </c>
      <c r="S486" s="114" t="s">
        <v>184</v>
      </c>
      <c r="T486" s="114" t="s">
        <v>182</v>
      </c>
      <c r="U486" s="114" t="s">
        <v>182</v>
      </c>
      <c r="V486" s="115"/>
      <c r="W486" s="116" t="s">
        <v>4932</v>
      </c>
      <c r="X486" s="116" t="s">
        <v>4933</v>
      </c>
      <c r="Y486" s="117">
        <v>3485994</v>
      </c>
      <c r="Z486" s="117">
        <v>3486654</v>
      </c>
      <c r="AA486" s="118"/>
      <c r="AB486" s="119" t="s">
        <v>5663</v>
      </c>
      <c r="AC486" s="119" t="s">
        <v>4934</v>
      </c>
      <c r="AD486" s="119" t="s">
        <v>4935</v>
      </c>
      <c r="AE486" s="119" t="s">
        <v>4936</v>
      </c>
      <c r="AF486" s="119">
        <v>0</v>
      </c>
      <c r="AG486" s="120"/>
      <c r="AH486" s="121">
        <v>45866</v>
      </c>
      <c r="AI486" s="121">
        <v>45866</v>
      </c>
      <c r="AJ486" s="121">
        <v>45866</v>
      </c>
      <c r="AK486" s="122">
        <v>45866</v>
      </c>
      <c r="AL486" s="122" t="e">
        <v>#N/A</v>
      </c>
      <c r="AM486" s="121" t="e">
        <v>#N/A</v>
      </c>
      <c r="AN486" s="121" t="e">
        <v>#N/A</v>
      </c>
      <c r="AO486" s="121" t="e">
        <v>#N/A</v>
      </c>
      <c r="AP486" s="122" t="e">
        <v>#N/A</v>
      </c>
      <c r="AQ486" s="122" t="e">
        <v>#N/A</v>
      </c>
      <c r="AR486" s="122" t="e">
        <v>#N/A</v>
      </c>
      <c r="AS486" s="122" t="e">
        <v>#N/A</v>
      </c>
      <c r="AT486" s="122" t="e">
        <v>#N/A</v>
      </c>
      <c r="AU486" s="121" t="e">
        <v>#N/A</v>
      </c>
      <c r="AV486" s="122" t="e">
        <v>#N/A</v>
      </c>
      <c r="AW486" s="122">
        <v>45866</v>
      </c>
      <c r="AX486" s="122" t="e">
        <v>#N/A</v>
      </c>
      <c r="AY486" s="122" t="e">
        <v>#N/A</v>
      </c>
      <c r="AZ486" s="122" t="e">
        <v>#N/A</v>
      </c>
      <c r="BA486" s="122" t="e">
        <v>#N/A</v>
      </c>
      <c r="BB486" s="122" t="e">
        <v>#N/A</v>
      </c>
      <c r="BC486" s="122" t="e">
        <v>#N/A</v>
      </c>
      <c r="BD486" s="122" t="e">
        <v>#N/A</v>
      </c>
      <c r="BE486" s="122" t="e">
        <v>#N/A</v>
      </c>
      <c r="BF486" s="122" t="e">
        <v>#N/A</v>
      </c>
      <c r="BG486" s="122" t="e">
        <v>#N/A</v>
      </c>
      <c r="BH486" s="122" t="e">
        <v>#N/A</v>
      </c>
      <c r="BI486" s="122" t="e">
        <v>#N/A</v>
      </c>
      <c r="BJ486" s="122" t="e">
        <v>#N/A</v>
      </c>
      <c r="BK486" s="122" t="e">
        <v>#N/A</v>
      </c>
      <c r="BL486" s="123"/>
      <c r="BM486" s="124" t="e">
        <v>#N/A</v>
      </c>
      <c r="BN486" s="124" t="e">
        <v>#N/A</v>
      </c>
      <c r="BO486" s="124" t="e">
        <v>#N/A</v>
      </c>
      <c r="BP486" s="124" t="e">
        <v>#N/A</v>
      </c>
      <c r="BQ486" s="124" t="e">
        <v>#N/A</v>
      </c>
      <c r="BR486" s="124" t="e">
        <v>#N/A</v>
      </c>
      <c r="BS486" s="124" t="e">
        <v>#N/A</v>
      </c>
      <c r="BT486" s="124" t="e">
        <v>#N/A</v>
      </c>
      <c r="BU486" s="124" t="e">
        <v>#N/A</v>
      </c>
      <c r="BV486" s="124" t="e">
        <v>#N/A</v>
      </c>
      <c r="BW486" s="124" t="e">
        <v>#N/A</v>
      </c>
      <c r="BX486" s="124" t="e">
        <v>#N/A</v>
      </c>
      <c r="BY486" s="124" t="e">
        <v>#N/A</v>
      </c>
      <c r="BZ486" s="124" t="e">
        <v>#N/A</v>
      </c>
      <c r="CA486" s="125"/>
      <c r="CB486" s="124" t="e">
        <v>#N/A</v>
      </c>
      <c r="CC486" s="126">
        <v>1</v>
      </c>
      <c r="CD486" s="127" t="s">
        <v>4920</v>
      </c>
      <c r="CE486" s="128"/>
      <c r="CF486" s="77" t="s">
        <v>4205</v>
      </c>
    </row>
    <row r="487" spans="1:85" ht="14.5" x14ac:dyDescent="0.35">
      <c r="A487" s="77">
        <v>486</v>
      </c>
      <c r="B487" s="106" t="s">
        <v>4539</v>
      </c>
      <c r="C487" s="107" t="s">
        <v>6760</v>
      </c>
      <c r="D487" s="108" t="s">
        <v>4540</v>
      </c>
      <c r="E487" s="109" t="s">
        <v>4541</v>
      </c>
      <c r="F487" s="110" t="s">
        <v>4542</v>
      </c>
      <c r="G487" s="108" t="s">
        <v>1004</v>
      </c>
      <c r="H487" s="111" t="s">
        <v>1688</v>
      </c>
      <c r="I487" s="111" t="s">
        <v>180</v>
      </c>
      <c r="J487" s="111" t="s">
        <v>4649</v>
      </c>
      <c r="K487" s="111" t="s">
        <v>305</v>
      </c>
      <c r="L487" s="112">
        <v>45818</v>
      </c>
      <c r="M487" s="111" t="s">
        <v>1037</v>
      </c>
      <c r="N487" s="113"/>
      <c r="O487" s="114" t="s">
        <v>285</v>
      </c>
      <c r="P487" s="114" t="s">
        <v>184</v>
      </c>
      <c r="Q487" s="114" t="s">
        <v>183</v>
      </c>
      <c r="R487" s="114" t="s">
        <v>7444</v>
      </c>
      <c r="S487" s="114" t="s">
        <v>285</v>
      </c>
      <c r="T487" s="114" t="s">
        <v>7586</v>
      </c>
      <c r="U487" s="114" t="s">
        <v>285</v>
      </c>
      <c r="V487" s="115"/>
      <c r="W487" s="116" t="s">
        <v>4543</v>
      </c>
      <c r="X487" s="116" t="s">
        <v>4544</v>
      </c>
      <c r="Y487" s="117">
        <v>3485602</v>
      </c>
      <c r="Z487" s="117">
        <v>3486703</v>
      </c>
      <c r="AA487" s="118"/>
      <c r="AB487" s="119" t="s">
        <v>4545</v>
      </c>
      <c r="AC487" s="119" t="s">
        <v>4546</v>
      </c>
      <c r="AD487" s="119">
        <v>5506</v>
      </c>
      <c r="AE487" s="119" t="s">
        <v>4547</v>
      </c>
      <c r="AF487" s="119" t="s">
        <v>6171</v>
      </c>
      <c r="AG487" s="120"/>
      <c r="AH487" s="121">
        <v>45818</v>
      </c>
      <c r="AI487" s="121">
        <v>45818</v>
      </c>
      <c r="AJ487" s="121">
        <v>45818</v>
      </c>
      <c r="AK487" s="122">
        <v>45818</v>
      </c>
      <c r="AL487" s="122" t="e">
        <v>#N/A</v>
      </c>
      <c r="AM487" s="122" t="e">
        <v>#N/A</v>
      </c>
      <c r="AN487" s="122" t="e">
        <v>#N/A</v>
      </c>
      <c r="AO487" s="121" t="e">
        <v>#N/A</v>
      </c>
      <c r="AP487" s="122" t="e">
        <v>#N/A</v>
      </c>
      <c r="AQ487" s="122" t="e">
        <v>#N/A</v>
      </c>
      <c r="AR487" s="122" t="e">
        <v>#N/A</v>
      </c>
      <c r="AS487" s="122" t="e">
        <v>#N/A</v>
      </c>
      <c r="AT487" s="122" t="e">
        <v>#N/A</v>
      </c>
      <c r="AU487" s="121" t="e">
        <v>#N/A</v>
      </c>
      <c r="AV487" s="122" t="e">
        <v>#N/A</v>
      </c>
      <c r="AW487" s="122">
        <v>45817</v>
      </c>
      <c r="AX487" s="122" t="e">
        <v>#N/A</v>
      </c>
      <c r="AY487" s="122" t="e">
        <v>#N/A</v>
      </c>
      <c r="AZ487" s="122" t="e">
        <v>#N/A</v>
      </c>
      <c r="BA487" s="122" t="e">
        <v>#N/A</v>
      </c>
      <c r="BB487" s="122" t="e">
        <v>#N/A</v>
      </c>
      <c r="BC487" s="122" t="e">
        <v>#N/A</v>
      </c>
      <c r="BD487" s="122" t="e">
        <v>#N/A</v>
      </c>
      <c r="BE487" s="122" t="e">
        <v>#N/A</v>
      </c>
      <c r="BF487" s="122" t="e">
        <v>#N/A</v>
      </c>
      <c r="BG487" s="122" t="e">
        <v>#N/A</v>
      </c>
      <c r="BH487" s="122" t="e">
        <v>#N/A</v>
      </c>
      <c r="BI487" s="122" t="e">
        <v>#N/A</v>
      </c>
      <c r="BJ487" s="122" t="e">
        <v>#N/A</v>
      </c>
      <c r="BK487" s="122">
        <v>45953</v>
      </c>
      <c r="BL487" s="123"/>
      <c r="BM487" s="124" t="e">
        <v>#N/A</v>
      </c>
      <c r="BN487" s="124" t="e">
        <v>#N/A</v>
      </c>
      <c r="BO487" s="124" t="e">
        <v>#N/A</v>
      </c>
      <c r="BP487" s="124" t="e">
        <v>#N/A</v>
      </c>
      <c r="BQ487" s="124" t="e">
        <v>#N/A</v>
      </c>
      <c r="BR487" s="124" t="e">
        <v>#N/A</v>
      </c>
      <c r="BS487" s="124" t="e">
        <v>#N/A</v>
      </c>
      <c r="BT487" s="124" t="e">
        <v>#N/A</v>
      </c>
      <c r="BU487" s="124" t="e">
        <v>#N/A</v>
      </c>
      <c r="BV487" s="124" t="e">
        <v>#N/A</v>
      </c>
      <c r="BW487" s="124" t="e">
        <v>#N/A</v>
      </c>
      <c r="BX487" s="124" t="e">
        <v>#N/A</v>
      </c>
      <c r="BY487" s="124" t="e">
        <v>#N/A</v>
      </c>
      <c r="BZ487" s="124" t="e">
        <v>#N/A</v>
      </c>
      <c r="CA487" s="125"/>
      <c r="CB487" s="124">
        <v>45817</v>
      </c>
      <c r="CC487" s="126">
        <v>1</v>
      </c>
      <c r="CD487" s="127" t="s">
        <v>4450</v>
      </c>
      <c r="CE487" s="128" t="e">
        <v>#REF!</v>
      </c>
      <c r="CF487" s="77" t="s">
        <v>4205</v>
      </c>
      <c r="CG487" s="77" t="e">
        <v>#REF!</v>
      </c>
    </row>
    <row r="488" spans="1:85" ht="14.5" x14ac:dyDescent="0.35">
      <c r="A488" s="77">
        <v>487</v>
      </c>
      <c r="B488" s="106" t="s">
        <v>4625</v>
      </c>
      <c r="C488" s="107" t="s">
        <v>6769</v>
      </c>
      <c r="D488" s="108" t="s">
        <v>4626</v>
      </c>
      <c r="E488" s="109" t="s">
        <v>4627</v>
      </c>
      <c r="F488" s="110">
        <v>614308278</v>
      </c>
      <c r="G488" s="108" t="s">
        <v>1004</v>
      </c>
      <c r="H488" s="111" t="s">
        <v>1688</v>
      </c>
      <c r="I488" s="111" t="s">
        <v>180</v>
      </c>
      <c r="J488" s="111" t="s">
        <v>4649</v>
      </c>
      <c r="K488" s="111" t="s">
        <v>305</v>
      </c>
      <c r="L488" s="112">
        <v>45824</v>
      </c>
      <c r="M488" s="111" t="s">
        <v>2122</v>
      </c>
      <c r="N488" s="113"/>
      <c r="O488" s="114" t="s">
        <v>585</v>
      </c>
      <c r="P488" s="114" t="s">
        <v>585</v>
      </c>
      <c r="Q488" s="114" t="s">
        <v>585</v>
      </c>
      <c r="R488" s="114" t="s">
        <v>585</v>
      </c>
      <c r="S488" s="114" t="s">
        <v>585</v>
      </c>
      <c r="T488" s="114" t="s">
        <v>183</v>
      </c>
      <c r="U488" s="114" t="s">
        <v>183</v>
      </c>
      <c r="V488" s="115"/>
      <c r="W488" s="116" t="s">
        <v>4628</v>
      </c>
      <c r="X488" s="116" t="s">
        <v>4629</v>
      </c>
      <c r="Y488" s="117">
        <v>3485806</v>
      </c>
      <c r="Z488" s="117">
        <v>3481074</v>
      </c>
      <c r="AA488" s="118"/>
      <c r="AB488" s="119" t="s">
        <v>5506</v>
      </c>
      <c r="AC488" s="119" t="s">
        <v>4641</v>
      </c>
      <c r="AD488" s="119">
        <v>5298</v>
      </c>
      <c r="AE488" s="119" t="s">
        <v>4630</v>
      </c>
      <c r="AF488" s="119" t="s">
        <v>6170</v>
      </c>
      <c r="AG488" s="120"/>
      <c r="AH488" s="121">
        <v>45824</v>
      </c>
      <c r="AI488" s="121">
        <v>45824</v>
      </c>
      <c r="AJ488" s="121">
        <v>45824</v>
      </c>
      <c r="AK488" s="122">
        <v>45824</v>
      </c>
      <c r="AL488" s="122" t="e">
        <v>#N/A</v>
      </c>
      <c r="AM488" s="122" t="e">
        <v>#N/A</v>
      </c>
      <c r="AN488" s="122" t="e">
        <v>#N/A</v>
      </c>
      <c r="AO488" s="121" t="e">
        <v>#N/A</v>
      </c>
      <c r="AP488" s="122" t="e">
        <v>#N/A</v>
      </c>
      <c r="AQ488" s="122" t="e">
        <v>#N/A</v>
      </c>
      <c r="AR488" s="122" t="e">
        <v>#N/A</v>
      </c>
      <c r="AS488" s="122" t="e">
        <v>#N/A</v>
      </c>
      <c r="AT488" s="122" t="e">
        <v>#N/A</v>
      </c>
      <c r="AU488" s="121" t="e">
        <v>#N/A</v>
      </c>
      <c r="AV488" s="122" t="e">
        <v>#N/A</v>
      </c>
      <c r="AW488" s="122">
        <v>45819</v>
      </c>
      <c r="AX488" s="122" t="e">
        <v>#N/A</v>
      </c>
      <c r="AY488" s="122" t="e">
        <v>#N/A</v>
      </c>
      <c r="AZ488" s="122" t="e">
        <v>#N/A</v>
      </c>
      <c r="BA488" s="122" t="e">
        <v>#N/A</v>
      </c>
      <c r="BB488" s="122" t="e">
        <v>#N/A</v>
      </c>
      <c r="BC488" s="122" t="e">
        <v>#N/A</v>
      </c>
      <c r="BD488" s="122" t="e">
        <v>#N/A</v>
      </c>
      <c r="BE488" s="122" t="e">
        <v>#N/A</v>
      </c>
      <c r="BF488" s="122" t="e">
        <v>#N/A</v>
      </c>
      <c r="BG488" s="122" t="e">
        <v>#N/A</v>
      </c>
      <c r="BH488" s="122" t="e">
        <v>#N/A</v>
      </c>
      <c r="BI488" s="122" t="e">
        <v>#N/A</v>
      </c>
      <c r="BJ488" s="122" t="e">
        <v>#N/A</v>
      </c>
      <c r="BK488" s="122">
        <v>45958</v>
      </c>
      <c r="BL488" s="123"/>
      <c r="BM488" s="124" t="e">
        <v>#N/A</v>
      </c>
      <c r="BN488" s="124" t="e">
        <v>#N/A</v>
      </c>
      <c r="BO488" s="124" t="e">
        <v>#N/A</v>
      </c>
      <c r="BP488" s="124" t="e">
        <v>#N/A</v>
      </c>
      <c r="BQ488" s="124" t="e">
        <v>#N/A</v>
      </c>
      <c r="BR488" s="124" t="e">
        <v>#N/A</v>
      </c>
      <c r="BS488" s="124" t="e">
        <v>#N/A</v>
      </c>
      <c r="BT488" s="124" t="e">
        <v>#N/A</v>
      </c>
      <c r="BU488" s="124" t="e">
        <v>#N/A</v>
      </c>
      <c r="BV488" s="124" t="e">
        <v>#N/A</v>
      </c>
      <c r="BW488" s="124" t="e">
        <v>#N/A</v>
      </c>
      <c r="BX488" s="124" t="e">
        <v>#N/A</v>
      </c>
      <c r="BY488" s="124" t="e">
        <v>#N/A</v>
      </c>
      <c r="BZ488" s="124" t="e">
        <v>#N/A</v>
      </c>
      <c r="CA488" s="125"/>
      <c r="CB488" s="124">
        <v>45820</v>
      </c>
      <c r="CC488" s="126">
        <v>1</v>
      </c>
      <c r="CD488" s="127" t="s">
        <v>4617</v>
      </c>
      <c r="CE488" s="128"/>
      <c r="CF488" s="77" t="s">
        <v>4205</v>
      </c>
    </row>
    <row r="489" spans="1:85" ht="14.5" x14ac:dyDescent="0.35">
      <c r="A489" s="77">
        <v>488</v>
      </c>
      <c r="B489" s="106" t="s">
        <v>7026</v>
      </c>
      <c r="C489" s="107" t="s">
        <v>7287</v>
      </c>
      <c r="D489" s="108" t="s">
        <v>7027</v>
      </c>
      <c r="E489" s="109" t="s">
        <v>7028</v>
      </c>
      <c r="F489" s="110">
        <v>607610809</v>
      </c>
      <c r="G489" s="108" t="s">
        <v>1004</v>
      </c>
      <c r="H489" s="111" t="s">
        <v>1688</v>
      </c>
      <c r="I489" s="111" t="s">
        <v>180</v>
      </c>
      <c r="J489" s="111" t="s">
        <v>4649</v>
      </c>
      <c r="K489" s="111" t="s">
        <v>305</v>
      </c>
      <c r="L489" s="112">
        <v>46000</v>
      </c>
      <c r="M489" s="111" t="s">
        <v>2646</v>
      </c>
      <c r="N489" s="113"/>
      <c r="O489" s="114" t="s">
        <v>330</v>
      </c>
      <c r="P489" s="114" t="s">
        <v>330</v>
      </c>
      <c r="Q489" s="114" t="s">
        <v>330</v>
      </c>
      <c r="R489" s="114" t="s">
        <v>7380</v>
      </c>
      <c r="S489" s="114" t="s">
        <v>330</v>
      </c>
      <c r="T489" s="114" t="s">
        <v>183</v>
      </c>
      <c r="U489" s="114" t="s">
        <v>183</v>
      </c>
      <c r="V489" s="115"/>
      <c r="W489" s="116" t="s">
        <v>7029</v>
      </c>
      <c r="X489" s="116" t="s">
        <v>7030</v>
      </c>
      <c r="Y489" s="117">
        <v>3487128</v>
      </c>
      <c r="Z489" s="117">
        <v>3486537</v>
      </c>
      <c r="AA489" s="118"/>
      <c r="AB489" s="119" t="s">
        <v>7031</v>
      </c>
      <c r="AC489" s="119" t="s">
        <v>7032</v>
      </c>
      <c r="AD489" s="119">
        <v>5410</v>
      </c>
      <c r="AE489" s="119" t="s">
        <v>7587</v>
      </c>
      <c r="AF489" s="119" t="s">
        <v>7588</v>
      </c>
      <c r="AG489" s="120"/>
      <c r="AH489" s="121">
        <v>45995</v>
      </c>
      <c r="AI489" s="121">
        <v>45995</v>
      </c>
      <c r="AJ489" s="121">
        <v>45995</v>
      </c>
      <c r="AK489" s="122">
        <v>45995</v>
      </c>
      <c r="AL489" s="122" t="e">
        <v>#N/A</v>
      </c>
      <c r="AM489" s="121" t="e">
        <v>#N/A</v>
      </c>
      <c r="AN489" s="121" t="e">
        <v>#N/A</v>
      </c>
      <c r="AO489" s="121" t="e">
        <v>#N/A</v>
      </c>
      <c r="AP489" s="122" t="e">
        <v>#N/A</v>
      </c>
      <c r="AQ489" s="122" t="e">
        <v>#N/A</v>
      </c>
      <c r="AR489" s="122" t="e">
        <v>#N/A</v>
      </c>
      <c r="AS489" s="122" t="e">
        <v>#N/A</v>
      </c>
      <c r="AT489" s="122" t="e">
        <v>#N/A</v>
      </c>
      <c r="AU489" s="121" t="e">
        <v>#N/A</v>
      </c>
      <c r="AV489" s="122" t="e">
        <v>#N/A</v>
      </c>
      <c r="AW489" s="122">
        <v>45995</v>
      </c>
      <c r="AX489" s="122" t="e">
        <v>#N/A</v>
      </c>
      <c r="AY489" s="122" t="e">
        <v>#N/A</v>
      </c>
      <c r="AZ489" s="122" t="e">
        <v>#N/A</v>
      </c>
      <c r="BA489" s="122" t="e">
        <v>#N/A</v>
      </c>
      <c r="BB489" s="122" t="e">
        <v>#N/A</v>
      </c>
      <c r="BC489" s="122" t="e">
        <v>#N/A</v>
      </c>
      <c r="BD489" s="122" t="e">
        <v>#N/A</v>
      </c>
      <c r="BE489" s="122" t="e">
        <v>#N/A</v>
      </c>
      <c r="BF489" s="122" t="e">
        <v>#N/A</v>
      </c>
      <c r="BG489" s="122" t="e">
        <v>#N/A</v>
      </c>
      <c r="BH489" s="122" t="e">
        <v>#N/A</v>
      </c>
      <c r="BI489" s="122" t="e">
        <v>#N/A</v>
      </c>
      <c r="BJ489" s="122" t="e">
        <v>#N/A</v>
      </c>
      <c r="BK489" s="122">
        <v>45995</v>
      </c>
      <c r="BL489" s="123"/>
      <c r="BM489" s="124" t="e">
        <v>#N/A</v>
      </c>
      <c r="BN489" s="124" t="e">
        <v>#N/A</v>
      </c>
      <c r="BO489" s="124" t="e">
        <v>#N/A</v>
      </c>
      <c r="BP489" s="124" t="e">
        <v>#N/A</v>
      </c>
      <c r="BQ489" s="124" t="e">
        <v>#N/A</v>
      </c>
      <c r="BR489" s="124" t="e">
        <v>#N/A</v>
      </c>
      <c r="BS489" s="124" t="e">
        <v>#N/A</v>
      </c>
      <c r="BT489" s="124" t="e">
        <v>#N/A</v>
      </c>
      <c r="BU489" s="124" t="e">
        <v>#N/A</v>
      </c>
      <c r="BV489" s="124" t="e">
        <v>#N/A</v>
      </c>
      <c r="BW489" s="124" t="e">
        <v>#N/A</v>
      </c>
      <c r="BX489" s="124" t="e">
        <v>#N/A</v>
      </c>
      <c r="BY489" s="124" t="e">
        <v>#N/A</v>
      </c>
      <c r="BZ489" s="124" t="e">
        <v>#N/A</v>
      </c>
      <c r="CA489" s="125"/>
      <c r="CB489" s="124">
        <v>45995</v>
      </c>
      <c r="CC489" s="126">
        <v>1</v>
      </c>
      <c r="CD489" s="127" t="s">
        <v>7003</v>
      </c>
      <c r="CE489" s="128"/>
      <c r="CF489" s="77" t="s">
        <v>4205</v>
      </c>
    </row>
    <row r="490" spans="1:85" ht="14.5" x14ac:dyDescent="0.35">
      <c r="A490" s="77">
        <v>489</v>
      </c>
      <c r="B490" s="106" t="s">
        <v>7011</v>
      </c>
      <c r="C490" s="107" t="s">
        <v>7283</v>
      </c>
      <c r="D490" s="108" t="s">
        <v>7012</v>
      </c>
      <c r="E490" s="109" t="s">
        <v>7013</v>
      </c>
      <c r="F490" s="110">
        <v>678615357</v>
      </c>
      <c r="G490" s="108" t="s">
        <v>1004</v>
      </c>
      <c r="H490" s="111" t="s">
        <v>1688</v>
      </c>
      <c r="I490" s="111" t="s">
        <v>180</v>
      </c>
      <c r="J490" s="111" t="s">
        <v>4649</v>
      </c>
      <c r="K490" s="111" t="s">
        <v>305</v>
      </c>
      <c r="L490" s="112">
        <v>46000</v>
      </c>
      <c r="M490" s="111" t="s">
        <v>2122</v>
      </c>
      <c r="N490" s="113"/>
      <c r="O490" s="114" t="s">
        <v>330</v>
      </c>
      <c r="P490" s="114" t="s">
        <v>330</v>
      </c>
      <c r="Q490" s="114" t="s">
        <v>330</v>
      </c>
      <c r="R490" s="114" t="s">
        <v>7380</v>
      </c>
      <c r="S490" s="114" t="s">
        <v>330</v>
      </c>
      <c r="T490" s="114" t="s">
        <v>183</v>
      </c>
      <c r="U490" s="114" t="s">
        <v>183</v>
      </c>
      <c r="V490" s="115"/>
      <c r="W490" s="116" t="s">
        <v>7014</v>
      </c>
      <c r="X490" s="116" t="s">
        <v>7015</v>
      </c>
      <c r="Y490" s="117">
        <v>3487132</v>
      </c>
      <c r="Z490" s="117">
        <v>3486538</v>
      </c>
      <c r="AA490" s="118"/>
      <c r="AB490" s="119" t="s">
        <v>7016</v>
      </c>
      <c r="AC490" s="119" t="s">
        <v>7017</v>
      </c>
      <c r="AD490" s="119">
        <v>5388</v>
      </c>
      <c r="AE490" s="119" t="s">
        <v>7589</v>
      </c>
      <c r="AF490" s="119" t="s">
        <v>7590</v>
      </c>
      <c r="AG490" s="120"/>
      <c r="AH490" s="121">
        <v>45995</v>
      </c>
      <c r="AI490" s="121">
        <v>45995</v>
      </c>
      <c r="AJ490" s="121">
        <v>45995</v>
      </c>
      <c r="AK490" s="122">
        <v>45995</v>
      </c>
      <c r="AL490" s="122" t="e">
        <v>#N/A</v>
      </c>
      <c r="AM490" s="121" t="e">
        <v>#N/A</v>
      </c>
      <c r="AN490" s="121" t="e">
        <v>#N/A</v>
      </c>
      <c r="AO490" s="121" t="e">
        <v>#N/A</v>
      </c>
      <c r="AP490" s="122" t="e">
        <v>#N/A</v>
      </c>
      <c r="AQ490" s="122" t="e">
        <v>#N/A</v>
      </c>
      <c r="AR490" s="122" t="e">
        <v>#N/A</v>
      </c>
      <c r="AS490" s="122" t="e">
        <v>#N/A</v>
      </c>
      <c r="AT490" s="122" t="e">
        <v>#N/A</v>
      </c>
      <c r="AU490" s="121" t="e">
        <v>#N/A</v>
      </c>
      <c r="AV490" s="122" t="e">
        <v>#N/A</v>
      </c>
      <c r="AW490" s="122" t="e">
        <v>#N/A</v>
      </c>
      <c r="AX490" s="122" t="e">
        <v>#N/A</v>
      </c>
      <c r="AY490" s="122" t="e">
        <v>#N/A</v>
      </c>
      <c r="AZ490" s="122" t="e">
        <v>#N/A</v>
      </c>
      <c r="BA490" s="122" t="e">
        <v>#N/A</v>
      </c>
      <c r="BB490" s="122" t="e">
        <v>#N/A</v>
      </c>
      <c r="BC490" s="122" t="e">
        <v>#N/A</v>
      </c>
      <c r="BD490" s="122" t="e">
        <v>#N/A</v>
      </c>
      <c r="BE490" s="122" t="e">
        <v>#N/A</v>
      </c>
      <c r="BF490" s="122" t="e">
        <v>#N/A</v>
      </c>
      <c r="BG490" s="122" t="e">
        <v>#N/A</v>
      </c>
      <c r="BH490" s="122" t="e">
        <v>#N/A</v>
      </c>
      <c r="BI490" s="122" t="e">
        <v>#N/A</v>
      </c>
      <c r="BJ490" s="122" t="e">
        <v>#N/A</v>
      </c>
      <c r="BK490" s="122">
        <v>45995</v>
      </c>
      <c r="BL490" s="123"/>
      <c r="BM490" s="124" t="e">
        <v>#N/A</v>
      </c>
      <c r="BN490" s="124" t="e">
        <v>#N/A</v>
      </c>
      <c r="BO490" s="124" t="e">
        <v>#N/A</v>
      </c>
      <c r="BP490" s="124" t="e">
        <v>#N/A</v>
      </c>
      <c r="BQ490" s="124" t="e">
        <v>#N/A</v>
      </c>
      <c r="BR490" s="124" t="e">
        <v>#N/A</v>
      </c>
      <c r="BS490" s="124" t="e">
        <v>#N/A</v>
      </c>
      <c r="BT490" s="124" t="e">
        <v>#N/A</v>
      </c>
      <c r="BU490" s="124" t="e">
        <v>#N/A</v>
      </c>
      <c r="BV490" s="124" t="e">
        <v>#N/A</v>
      </c>
      <c r="BW490" s="124" t="e">
        <v>#N/A</v>
      </c>
      <c r="BX490" s="124" t="e">
        <v>#N/A</v>
      </c>
      <c r="BY490" s="124" t="e">
        <v>#N/A</v>
      </c>
      <c r="BZ490" s="124" t="e">
        <v>#N/A</v>
      </c>
      <c r="CA490" s="125"/>
      <c r="CB490" s="124">
        <v>45995</v>
      </c>
      <c r="CC490" s="126">
        <v>1</v>
      </c>
      <c r="CD490" s="127" t="s">
        <v>7003</v>
      </c>
      <c r="CE490" s="128"/>
      <c r="CF490" s="77" t="s">
        <v>4205</v>
      </c>
    </row>
    <row r="491" spans="1:85" ht="14.5" x14ac:dyDescent="0.35">
      <c r="A491" s="77">
        <v>490</v>
      </c>
      <c r="B491" s="106" t="s">
        <v>7018</v>
      </c>
      <c r="C491" s="107" t="s">
        <v>7281</v>
      </c>
      <c r="D491" s="108" t="s">
        <v>7019</v>
      </c>
      <c r="E491" s="109" t="s">
        <v>7020</v>
      </c>
      <c r="F491" s="110" t="s">
        <v>7021</v>
      </c>
      <c r="G491" s="108" t="s">
        <v>1004</v>
      </c>
      <c r="H491" s="111" t="s">
        <v>1688</v>
      </c>
      <c r="I491" s="111" t="s">
        <v>180</v>
      </c>
      <c r="J491" s="111" t="s">
        <v>4649</v>
      </c>
      <c r="K491" s="111" t="s">
        <v>305</v>
      </c>
      <c r="L491" s="112">
        <v>46000</v>
      </c>
      <c r="M491" s="111" t="s">
        <v>2646</v>
      </c>
      <c r="N491" s="113"/>
      <c r="O491" s="114" t="s">
        <v>330</v>
      </c>
      <c r="P491" s="114" t="s">
        <v>330</v>
      </c>
      <c r="Q491" s="114" t="s">
        <v>330</v>
      </c>
      <c r="R491" s="114" t="s">
        <v>7380</v>
      </c>
      <c r="S491" s="114" t="s">
        <v>330</v>
      </c>
      <c r="T491" s="114" t="s">
        <v>183</v>
      </c>
      <c r="U491" s="114" t="s">
        <v>183</v>
      </c>
      <c r="V491" s="115"/>
      <c r="W491" s="116" t="s">
        <v>7022</v>
      </c>
      <c r="X491" s="116" t="s">
        <v>7023</v>
      </c>
      <c r="Y491" s="117">
        <v>3487117</v>
      </c>
      <c r="Z491" s="117">
        <v>3486442</v>
      </c>
      <c r="AA491" s="118"/>
      <c r="AB491" s="119" t="s">
        <v>7024</v>
      </c>
      <c r="AC491" s="119" t="s">
        <v>7025</v>
      </c>
      <c r="AD491" s="119">
        <v>5510</v>
      </c>
      <c r="AE491" s="119" t="s">
        <v>7591</v>
      </c>
      <c r="AF491" s="119" t="s">
        <v>7592</v>
      </c>
      <c r="AG491" s="120"/>
      <c r="AH491" s="121">
        <v>45995</v>
      </c>
      <c r="AI491" s="121">
        <v>45995</v>
      </c>
      <c r="AJ491" s="121">
        <v>45995</v>
      </c>
      <c r="AK491" s="122">
        <v>45995</v>
      </c>
      <c r="AL491" s="122" t="e">
        <v>#N/A</v>
      </c>
      <c r="AM491" s="121" t="e">
        <v>#N/A</v>
      </c>
      <c r="AN491" s="121" t="e">
        <v>#N/A</v>
      </c>
      <c r="AO491" s="121" t="e">
        <v>#N/A</v>
      </c>
      <c r="AP491" s="122" t="e">
        <v>#N/A</v>
      </c>
      <c r="AQ491" s="122" t="e">
        <v>#N/A</v>
      </c>
      <c r="AR491" s="122" t="e">
        <v>#N/A</v>
      </c>
      <c r="AS491" s="122" t="e">
        <v>#N/A</v>
      </c>
      <c r="AT491" s="122" t="e">
        <v>#N/A</v>
      </c>
      <c r="AU491" s="121" t="e">
        <v>#N/A</v>
      </c>
      <c r="AV491" s="122" t="e">
        <v>#N/A</v>
      </c>
      <c r="AW491" s="122" t="e">
        <v>#N/A</v>
      </c>
      <c r="AX491" s="122" t="e">
        <v>#N/A</v>
      </c>
      <c r="AY491" s="122" t="e">
        <v>#N/A</v>
      </c>
      <c r="AZ491" s="122" t="e">
        <v>#N/A</v>
      </c>
      <c r="BA491" s="122" t="e">
        <v>#N/A</v>
      </c>
      <c r="BB491" s="122" t="e">
        <v>#N/A</v>
      </c>
      <c r="BC491" s="122" t="e">
        <v>#N/A</v>
      </c>
      <c r="BD491" s="122" t="e">
        <v>#N/A</v>
      </c>
      <c r="BE491" s="122" t="e">
        <v>#N/A</v>
      </c>
      <c r="BF491" s="122" t="e">
        <v>#N/A</v>
      </c>
      <c r="BG491" s="122" t="e">
        <v>#N/A</v>
      </c>
      <c r="BH491" s="122" t="e">
        <v>#N/A</v>
      </c>
      <c r="BI491" s="122" t="e">
        <v>#N/A</v>
      </c>
      <c r="BJ491" s="122" t="e">
        <v>#N/A</v>
      </c>
      <c r="BK491" s="122">
        <v>45995</v>
      </c>
      <c r="BL491" s="123"/>
      <c r="BM491" s="124" t="e">
        <v>#N/A</v>
      </c>
      <c r="BN491" s="124" t="e">
        <v>#N/A</v>
      </c>
      <c r="BO491" s="124" t="e">
        <v>#N/A</v>
      </c>
      <c r="BP491" s="124" t="e">
        <v>#N/A</v>
      </c>
      <c r="BQ491" s="124" t="e">
        <v>#N/A</v>
      </c>
      <c r="BR491" s="124" t="e">
        <v>#N/A</v>
      </c>
      <c r="BS491" s="124" t="e">
        <v>#N/A</v>
      </c>
      <c r="BT491" s="124" t="e">
        <v>#N/A</v>
      </c>
      <c r="BU491" s="124" t="e">
        <v>#N/A</v>
      </c>
      <c r="BV491" s="124" t="e">
        <v>#N/A</v>
      </c>
      <c r="BW491" s="124" t="e">
        <v>#N/A</v>
      </c>
      <c r="BX491" s="124" t="e">
        <v>#N/A</v>
      </c>
      <c r="BY491" s="124" t="e">
        <v>#N/A</v>
      </c>
      <c r="BZ491" s="124" t="e">
        <v>#N/A</v>
      </c>
      <c r="CA491" s="125"/>
      <c r="CB491" s="124">
        <v>45995</v>
      </c>
      <c r="CC491" s="126">
        <v>1</v>
      </c>
      <c r="CD491" s="127" t="s">
        <v>7003</v>
      </c>
      <c r="CE491" s="128"/>
      <c r="CF491" s="77" t="s">
        <v>4205</v>
      </c>
    </row>
    <row r="492" spans="1:85" ht="14.5" x14ac:dyDescent="0.35">
      <c r="A492" s="77">
        <v>491</v>
      </c>
      <c r="B492" s="106" t="s">
        <v>1660</v>
      </c>
      <c r="C492" s="107" t="s">
        <v>1661</v>
      </c>
      <c r="D492" s="108" t="s">
        <v>1686</v>
      </c>
      <c r="E492" s="109" t="s">
        <v>1662</v>
      </c>
      <c r="F492" s="110">
        <v>633439857</v>
      </c>
      <c r="G492" s="108" t="s">
        <v>1004</v>
      </c>
      <c r="H492" s="111" t="s">
        <v>304</v>
      </c>
      <c r="I492" s="111" t="s">
        <v>180</v>
      </c>
      <c r="J492" s="111" t="s">
        <v>4649</v>
      </c>
      <c r="K492" s="111" t="s">
        <v>305</v>
      </c>
      <c r="L492" s="112">
        <v>42999</v>
      </c>
      <c r="M492" s="111" t="s">
        <v>984</v>
      </c>
      <c r="N492" s="113"/>
      <c r="O492" s="114" t="s">
        <v>2910</v>
      </c>
      <c r="P492" s="114" t="s">
        <v>183</v>
      </c>
      <c r="Q492" s="114" t="s">
        <v>2910</v>
      </c>
      <c r="R492" s="114" t="s">
        <v>2910</v>
      </c>
      <c r="S492" s="114" t="s">
        <v>183</v>
      </c>
      <c r="T492" s="114" t="s">
        <v>2910</v>
      </c>
      <c r="U492" s="114" t="s">
        <v>2910</v>
      </c>
      <c r="V492" s="115"/>
      <c r="W492" s="116" t="s">
        <v>1663</v>
      </c>
      <c r="X492" s="116" t="s">
        <v>1664</v>
      </c>
      <c r="Y492" s="117">
        <v>3485618</v>
      </c>
      <c r="Z492" s="117">
        <v>3481321</v>
      </c>
      <c r="AA492" s="118"/>
      <c r="AB492" s="119" t="s">
        <v>1665</v>
      </c>
      <c r="AC492" s="119" t="s">
        <v>1666</v>
      </c>
      <c r="AD492" s="119" t="s">
        <v>3923</v>
      </c>
      <c r="AE492" s="119" t="s">
        <v>3923</v>
      </c>
      <c r="AF492" s="119">
        <v>0</v>
      </c>
      <c r="AG492" s="120"/>
      <c r="AH492" s="121">
        <v>44690</v>
      </c>
      <c r="AI492" s="121">
        <v>44690</v>
      </c>
      <c r="AJ492" s="121">
        <v>44690</v>
      </c>
      <c r="AK492" s="122">
        <v>44690</v>
      </c>
      <c r="AL492" s="122" t="e">
        <v>#N/A</v>
      </c>
      <c r="AM492" s="121" t="e">
        <v>#N/A</v>
      </c>
      <c r="AN492" s="121" t="e">
        <v>#N/A</v>
      </c>
      <c r="AO492" s="121" t="e">
        <v>#N/A</v>
      </c>
      <c r="AP492" s="122" t="e">
        <v>#N/A</v>
      </c>
      <c r="AQ492" s="122" t="e">
        <v>#N/A</v>
      </c>
      <c r="AR492" s="122" t="e">
        <v>#N/A</v>
      </c>
      <c r="AS492" s="122" t="e">
        <v>#N/A</v>
      </c>
      <c r="AT492" s="122">
        <v>44690</v>
      </c>
      <c r="AU492" s="121" t="e">
        <v>#N/A</v>
      </c>
      <c r="AV492" s="122" t="e">
        <v>#N/A</v>
      </c>
      <c r="AW492" s="122">
        <v>45751</v>
      </c>
      <c r="AX492" s="122" t="e">
        <v>#N/A</v>
      </c>
      <c r="AY492" s="122" t="e">
        <v>#N/A</v>
      </c>
      <c r="AZ492" s="122" t="e">
        <v>#N/A</v>
      </c>
      <c r="BA492" s="122" t="e">
        <v>#N/A</v>
      </c>
      <c r="BB492" s="122" t="e">
        <v>#N/A</v>
      </c>
      <c r="BC492" s="122" t="e">
        <v>#N/A</v>
      </c>
      <c r="BD492" s="122" t="e">
        <v>#N/A</v>
      </c>
      <c r="BE492" s="122" t="e">
        <v>#N/A</v>
      </c>
      <c r="BF492" s="122" t="e">
        <v>#N/A</v>
      </c>
      <c r="BG492" s="122" t="e">
        <v>#N/A</v>
      </c>
      <c r="BH492" s="122" t="e">
        <v>#N/A</v>
      </c>
      <c r="BI492" s="122" t="e">
        <v>#N/A</v>
      </c>
      <c r="BJ492" s="122" t="e">
        <v>#N/A</v>
      </c>
      <c r="BK492" s="122" t="e">
        <v>#N/A</v>
      </c>
      <c r="BL492" s="123"/>
      <c r="BM492" s="124">
        <v>44746</v>
      </c>
      <c r="BN492" s="124">
        <v>44881</v>
      </c>
      <c r="BO492" s="124">
        <v>44883</v>
      </c>
      <c r="BP492" s="124">
        <v>44886</v>
      </c>
      <c r="BQ492" s="124">
        <v>44888</v>
      </c>
      <c r="BR492" s="124">
        <v>44889</v>
      </c>
      <c r="BS492" s="124">
        <v>44944</v>
      </c>
      <c r="BT492" s="124" t="e">
        <v>#N/A</v>
      </c>
      <c r="BU492" s="124" t="e">
        <v>#N/A</v>
      </c>
      <c r="BV492" s="124" t="e">
        <v>#N/A</v>
      </c>
      <c r="BW492" s="124" t="e">
        <v>#N/A</v>
      </c>
      <c r="BX492" s="124" t="e">
        <v>#N/A</v>
      </c>
      <c r="BY492" s="124" t="e">
        <v>#N/A</v>
      </c>
      <c r="BZ492" s="124" t="e">
        <v>#N/A</v>
      </c>
      <c r="CA492" s="125"/>
      <c r="CB492" s="124">
        <v>45727</v>
      </c>
      <c r="CC492" s="126">
        <v>1</v>
      </c>
      <c r="CD492" s="127" t="s">
        <v>4153</v>
      </c>
      <c r="CE492" s="128"/>
      <c r="CF492" s="77" t="s">
        <v>4205</v>
      </c>
    </row>
    <row r="493" spans="1:85" ht="14.5" x14ac:dyDescent="0.35">
      <c r="A493" s="77">
        <v>492</v>
      </c>
      <c r="B493" s="106" t="s">
        <v>3504</v>
      </c>
      <c r="C493" s="107" t="s">
        <v>6632</v>
      </c>
      <c r="D493" s="108" t="s">
        <v>3471</v>
      </c>
      <c r="E493" s="109" t="s">
        <v>3472</v>
      </c>
      <c r="F493" s="110">
        <v>954574718</v>
      </c>
      <c r="G493" s="108" t="s">
        <v>1004</v>
      </c>
      <c r="H493" s="111" t="s">
        <v>304</v>
      </c>
      <c r="I493" s="111" t="s">
        <v>180</v>
      </c>
      <c r="J493" s="111" t="s">
        <v>4649</v>
      </c>
      <c r="K493" s="111" t="s">
        <v>3159</v>
      </c>
      <c r="L493" s="112">
        <v>45464</v>
      </c>
      <c r="M493" s="111" t="s">
        <v>1719</v>
      </c>
      <c r="N493" s="113"/>
      <c r="O493" s="114" t="s">
        <v>4451</v>
      </c>
      <c r="P493" s="114" t="s">
        <v>4451</v>
      </c>
      <c r="Q493" s="114" t="s">
        <v>4356</v>
      </c>
      <c r="R493" s="114" t="s">
        <v>4356</v>
      </c>
      <c r="S493" s="114" t="s">
        <v>4451</v>
      </c>
      <c r="T493" s="114" t="s">
        <v>557</v>
      </c>
      <c r="U493" s="114" t="s">
        <v>557</v>
      </c>
      <c r="V493" s="115"/>
      <c r="W493" s="116" t="s">
        <v>3473</v>
      </c>
      <c r="X493" s="116" t="s">
        <v>3474</v>
      </c>
      <c r="Y493" s="117">
        <v>3485940</v>
      </c>
      <c r="Z493" s="117">
        <v>3486500</v>
      </c>
      <c r="AA493" s="118"/>
      <c r="AB493" s="119" t="s">
        <v>5665</v>
      </c>
      <c r="AC493" s="119" t="s">
        <v>3517</v>
      </c>
      <c r="AD493" s="119">
        <v>5770</v>
      </c>
      <c r="AE493" s="119" t="s">
        <v>3475</v>
      </c>
      <c r="AF493" s="119" t="s">
        <v>7593</v>
      </c>
      <c r="AG493" s="120"/>
      <c r="AH493" s="121">
        <v>45481</v>
      </c>
      <c r="AI493" s="121">
        <v>45481</v>
      </c>
      <c r="AJ493" s="121">
        <v>45481</v>
      </c>
      <c r="AK493" s="122">
        <v>45481</v>
      </c>
      <c r="AL493" s="122" t="e">
        <v>#N/A</v>
      </c>
      <c r="AM493" s="121" t="e">
        <v>#N/A</v>
      </c>
      <c r="AN493" s="121" t="e">
        <v>#N/A</v>
      </c>
      <c r="AO493" s="121" t="e">
        <v>#N/A</v>
      </c>
      <c r="AP493" s="122" t="e">
        <v>#N/A</v>
      </c>
      <c r="AQ493" s="122" t="e">
        <v>#N/A</v>
      </c>
      <c r="AR493" s="122" t="e">
        <v>#N/A</v>
      </c>
      <c r="AS493" s="122" t="e">
        <v>#N/A</v>
      </c>
      <c r="AT493" s="122" t="e">
        <v>#N/A</v>
      </c>
      <c r="AU493" s="121" t="e">
        <v>#N/A</v>
      </c>
      <c r="AV493" s="122" t="e">
        <v>#N/A</v>
      </c>
      <c r="AW493" s="122">
        <v>45684</v>
      </c>
      <c r="AX493" s="122" t="e">
        <v>#N/A</v>
      </c>
      <c r="AY493" s="122" t="e">
        <v>#N/A</v>
      </c>
      <c r="AZ493" s="122" t="e">
        <v>#N/A</v>
      </c>
      <c r="BA493" s="122" t="e">
        <v>#N/A</v>
      </c>
      <c r="BB493" s="122" t="e">
        <v>#N/A</v>
      </c>
      <c r="BC493" s="122" t="e">
        <v>#N/A</v>
      </c>
      <c r="BD493" s="122" t="e">
        <v>#N/A</v>
      </c>
      <c r="BE493" s="122" t="e">
        <v>#N/A</v>
      </c>
      <c r="BF493" s="122" t="e">
        <v>#N/A</v>
      </c>
      <c r="BG493" s="122" t="e">
        <v>#N/A</v>
      </c>
      <c r="BH493" s="122" t="e">
        <v>#N/A</v>
      </c>
      <c r="BI493" s="122" t="e">
        <v>#N/A</v>
      </c>
      <c r="BJ493" s="122" t="e">
        <v>#N/A</v>
      </c>
      <c r="BK493" s="122">
        <v>45981</v>
      </c>
      <c r="BL493" s="123"/>
      <c r="BM493" s="124" t="e">
        <v>#N/A</v>
      </c>
      <c r="BN493" s="124" t="e">
        <v>#N/A</v>
      </c>
      <c r="BO493" s="124" t="e">
        <v>#N/A</v>
      </c>
      <c r="BP493" s="124" t="e">
        <v>#N/A</v>
      </c>
      <c r="BQ493" s="124" t="e">
        <v>#N/A</v>
      </c>
      <c r="BR493" s="124" t="e">
        <v>#N/A</v>
      </c>
      <c r="BS493" s="124" t="e">
        <v>#N/A</v>
      </c>
      <c r="BT493" s="124" t="e">
        <v>#N/A</v>
      </c>
      <c r="BU493" s="124" t="e">
        <v>#N/A</v>
      </c>
      <c r="BV493" s="124" t="e">
        <v>#N/A</v>
      </c>
      <c r="BW493" s="124" t="e">
        <v>#N/A</v>
      </c>
      <c r="BX493" s="124" t="e">
        <v>#N/A</v>
      </c>
      <c r="BY493" s="124" t="e">
        <v>#N/A</v>
      </c>
      <c r="BZ493" s="124" t="e">
        <v>#N/A</v>
      </c>
      <c r="CA493" s="125"/>
      <c r="CB493" s="124" t="e">
        <v>#N/A</v>
      </c>
      <c r="CC493" s="126">
        <v>1</v>
      </c>
      <c r="CD493" s="127" t="s">
        <v>4204</v>
      </c>
      <c r="CE493" s="128"/>
      <c r="CF493" s="77" t="s">
        <v>4205</v>
      </c>
    </row>
    <row r="494" spans="1:85" ht="14.5" x14ac:dyDescent="0.35">
      <c r="A494" s="77">
        <v>493</v>
      </c>
      <c r="B494" s="106" t="s">
        <v>124</v>
      </c>
      <c r="C494" s="107" t="s">
        <v>1112</v>
      </c>
      <c r="D494" s="108" t="s">
        <v>762</v>
      </c>
      <c r="E494" s="109" t="s">
        <v>763</v>
      </c>
      <c r="F494" s="110">
        <v>651542226</v>
      </c>
      <c r="G494" s="108" t="s">
        <v>1004</v>
      </c>
      <c r="H494" s="111" t="s">
        <v>304</v>
      </c>
      <c r="I494" s="111" t="s">
        <v>180</v>
      </c>
      <c r="J494" s="111" t="s">
        <v>4649</v>
      </c>
      <c r="K494" s="111" t="s">
        <v>305</v>
      </c>
      <c r="L494" s="112">
        <v>43248</v>
      </c>
      <c r="M494" s="111" t="s">
        <v>1719</v>
      </c>
      <c r="N494" s="113"/>
      <c r="O494" s="114" t="s">
        <v>7594</v>
      </c>
      <c r="P494" s="114" t="s">
        <v>183</v>
      </c>
      <c r="Q494" s="114" t="s">
        <v>183</v>
      </c>
      <c r="R494" s="114" t="s">
        <v>7595</v>
      </c>
      <c r="S494" s="114" t="s">
        <v>7456</v>
      </c>
      <c r="T494" s="114" t="s">
        <v>7456</v>
      </c>
      <c r="U494" s="114" t="s">
        <v>7456</v>
      </c>
      <c r="V494" s="115"/>
      <c r="W494" s="116" t="s">
        <v>764</v>
      </c>
      <c r="X494" s="116" t="s">
        <v>765</v>
      </c>
      <c r="Y494" s="117">
        <v>3485573</v>
      </c>
      <c r="Z494" s="117">
        <v>3481184</v>
      </c>
      <c r="AA494" s="118"/>
      <c r="AB494" s="119" t="s">
        <v>5479</v>
      </c>
      <c r="AC494" s="119" t="s">
        <v>1113</v>
      </c>
      <c r="AD494" s="119">
        <v>5064</v>
      </c>
      <c r="AE494" s="119" t="s">
        <v>4374</v>
      </c>
      <c r="AF494" s="119">
        <v>0</v>
      </c>
      <c r="AG494" s="120"/>
      <c r="AH494" s="121">
        <v>44197</v>
      </c>
      <c r="AI494" s="121">
        <v>45376</v>
      </c>
      <c r="AJ494" s="121">
        <v>45384</v>
      </c>
      <c r="AK494" s="122">
        <v>45384</v>
      </c>
      <c r="AL494" s="122" t="e">
        <v>#N/A</v>
      </c>
      <c r="AM494" s="122" t="e">
        <v>#N/A</v>
      </c>
      <c r="AN494" s="122" t="e">
        <v>#N/A</v>
      </c>
      <c r="AO494" s="121" t="e">
        <v>#N/A</v>
      </c>
      <c r="AP494" s="122" t="e">
        <v>#N/A</v>
      </c>
      <c r="AQ494" s="122" t="e">
        <v>#N/A</v>
      </c>
      <c r="AR494" s="122" t="e">
        <v>#N/A</v>
      </c>
      <c r="AS494" s="122" t="e">
        <v>#N/A</v>
      </c>
      <c r="AT494" s="122" t="e">
        <v>#N/A</v>
      </c>
      <c r="AU494" s="121" t="e">
        <v>#N/A</v>
      </c>
      <c r="AV494" s="122" t="e">
        <v>#N/A</v>
      </c>
      <c r="AW494" s="122">
        <v>45938</v>
      </c>
      <c r="AX494" s="122" t="e">
        <v>#N/A</v>
      </c>
      <c r="AY494" s="122" t="e">
        <v>#N/A</v>
      </c>
      <c r="AZ494" s="122" t="e">
        <v>#N/A</v>
      </c>
      <c r="BA494" s="122" t="e">
        <v>#N/A</v>
      </c>
      <c r="BB494" s="122" t="e">
        <v>#N/A</v>
      </c>
      <c r="BC494" s="122" t="e">
        <v>#N/A</v>
      </c>
      <c r="BD494" s="122" t="e">
        <v>#N/A</v>
      </c>
      <c r="BE494" s="122" t="e">
        <v>#N/A</v>
      </c>
      <c r="BF494" s="122" t="e">
        <v>#N/A</v>
      </c>
      <c r="BG494" s="122" t="e">
        <v>#N/A</v>
      </c>
      <c r="BH494" s="122" t="e">
        <v>#N/A</v>
      </c>
      <c r="BI494" s="122" t="e">
        <v>#N/A</v>
      </c>
      <c r="BJ494" s="122" t="e">
        <v>#N/A</v>
      </c>
      <c r="BK494" s="122" t="e">
        <v>#N/A</v>
      </c>
      <c r="BL494" s="123"/>
      <c r="BM494" s="124" t="e">
        <v>#N/A</v>
      </c>
      <c r="BN494" s="124" t="e">
        <v>#N/A</v>
      </c>
      <c r="BO494" s="124" t="e">
        <v>#N/A</v>
      </c>
      <c r="BP494" s="124" t="e">
        <v>#N/A</v>
      </c>
      <c r="BQ494" s="124" t="e">
        <v>#N/A</v>
      </c>
      <c r="BR494" s="124" t="e">
        <v>#N/A</v>
      </c>
      <c r="BS494" s="124" t="e">
        <v>#N/A</v>
      </c>
      <c r="BT494" s="124" t="e">
        <v>#N/A</v>
      </c>
      <c r="BU494" s="124" t="e">
        <v>#N/A</v>
      </c>
      <c r="BV494" s="124" t="e">
        <v>#N/A</v>
      </c>
      <c r="BW494" s="124" t="e">
        <v>#N/A</v>
      </c>
      <c r="BX494" s="124" t="e">
        <v>#N/A</v>
      </c>
      <c r="BY494" s="124" t="e">
        <v>#N/A</v>
      </c>
      <c r="BZ494" s="124" t="e">
        <v>#N/A</v>
      </c>
      <c r="CA494" s="125"/>
      <c r="CB494" s="124" t="e">
        <v>#N/A</v>
      </c>
      <c r="CC494" s="126">
        <v>1</v>
      </c>
      <c r="CD494" s="127" t="s">
        <v>4169</v>
      </c>
      <c r="CE494" s="128"/>
      <c r="CF494" s="77" t="s">
        <v>4205</v>
      </c>
    </row>
    <row r="495" spans="1:85" ht="14.5" x14ac:dyDescent="0.35">
      <c r="A495" s="77">
        <v>494</v>
      </c>
      <c r="B495" s="106" t="s">
        <v>3240</v>
      </c>
      <c r="C495" s="107" t="s">
        <v>6508</v>
      </c>
      <c r="D495" s="108" t="s">
        <v>3241</v>
      </c>
      <c r="E495" s="109" t="s">
        <v>3242</v>
      </c>
      <c r="F495" s="110" t="s">
        <v>3243</v>
      </c>
      <c r="G495" s="108" t="s">
        <v>1004</v>
      </c>
      <c r="H495" s="111" t="s">
        <v>304</v>
      </c>
      <c r="I495" s="111" t="s">
        <v>180</v>
      </c>
      <c r="J495" s="111" t="s">
        <v>4649</v>
      </c>
      <c r="K495" s="111" t="s">
        <v>305</v>
      </c>
      <c r="L495" s="112">
        <v>44922</v>
      </c>
      <c r="M495" s="111" t="s">
        <v>3172</v>
      </c>
      <c r="N495" s="113"/>
      <c r="O495" s="114" t="s">
        <v>607</v>
      </c>
      <c r="P495" s="114" t="s">
        <v>557</v>
      </c>
      <c r="Q495" s="114" t="s">
        <v>183</v>
      </c>
      <c r="R495" s="114" t="s">
        <v>7348</v>
      </c>
      <c r="S495" s="114" t="s">
        <v>557</v>
      </c>
      <c r="T495" s="114" t="s">
        <v>607</v>
      </c>
      <c r="U495" s="114" t="s">
        <v>607</v>
      </c>
      <c r="V495" s="115"/>
      <c r="W495" s="116" t="s">
        <v>3244</v>
      </c>
      <c r="X495" s="116" t="s">
        <v>3245</v>
      </c>
      <c r="Y495" s="117">
        <v>3485761</v>
      </c>
      <c r="Z495" s="117">
        <v>3481439</v>
      </c>
      <c r="AA495" s="118"/>
      <c r="AB495" s="119" t="s">
        <v>5666</v>
      </c>
      <c r="AC495" s="119" t="s">
        <v>3246</v>
      </c>
      <c r="AD495" s="119">
        <v>4456</v>
      </c>
      <c r="AE495" s="119" t="s">
        <v>3247</v>
      </c>
      <c r="AF495" s="119">
        <v>0</v>
      </c>
      <c r="AG495" s="120"/>
      <c r="AH495" s="121">
        <v>44802</v>
      </c>
      <c r="AI495" s="121">
        <v>44802</v>
      </c>
      <c r="AJ495" s="121">
        <v>44802</v>
      </c>
      <c r="AK495" s="122">
        <v>45006</v>
      </c>
      <c r="AL495" s="122">
        <v>45769</v>
      </c>
      <c r="AM495" s="121" t="e">
        <v>#N/A</v>
      </c>
      <c r="AN495" s="121" t="s">
        <v>7134</v>
      </c>
      <c r="AO495" s="121" t="e">
        <v>#N/A</v>
      </c>
      <c r="AP495" s="122" t="e">
        <v>#N/A</v>
      </c>
      <c r="AQ495" s="122" t="e">
        <v>#N/A</v>
      </c>
      <c r="AR495" s="122">
        <v>45771</v>
      </c>
      <c r="AS495" s="122" t="e">
        <v>#N/A</v>
      </c>
      <c r="AT495" s="122" t="e">
        <v>#N/A</v>
      </c>
      <c r="AU495" s="121" t="e">
        <v>#N/A</v>
      </c>
      <c r="AV495" s="122" t="e">
        <v>#N/A</v>
      </c>
      <c r="AW495" s="122">
        <v>45755</v>
      </c>
      <c r="AX495" s="122" t="e">
        <v>#N/A</v>
      </c>
      <c r="AY495" s="122" t="e">
        <v>#N/A</v>
      </c>
      <c r="AZ495" s="122" t="e">
        <v>#N/A</v>
      </c>
      <c r="BA495" s="122" t="e">
        <v>#N/A</v>
      </c>
      <c r="BB495" s="122" t="e">
        <v>#N/A</v>
      </c>
      <c r="BC495" s="122" t="e">
        <v>#N/A</v>
      </c>
      <c r="BD495" s="122" t="e">
        <v>#N/A</v>
      </c>
      <c r="BE495" s="122" t="e">
        <v>#N/A</v>
      </c>
      <c r="BF495" s="122" t="e">
        <v>#N/A</v>
      </c>
      <c r="BG495" s="122" t="e">
        <v>#N/A</v>
      </c>
      <c r="BH495" s="122" t="e">
        <v>#N/A</v>
      </c>
      <c r="BI495" s="122" t="e">
        <v>#N/A</v>
      </c>
      <c r="BJ495" s="122" t="e">
        <v>#N/A</v>
      </c>
      <c r="BK495" s="122">
        <v>45975</v>
      </c>
      <c r="BL495" s="123"/>
      <c r="BM495" s="124" t="e">
        <v>#N/A</v>
      </c>
      <c r="BN495" s="124" t="e">
        <v>#N/A</v>
      </c>
      <c r="BO495" s="124" t="e">
        <v>#N/A</v>
      </c>
      <c r="BP495" s="124" t="e">
        <v>#N/A</v>
      </c>
      <c r="BQ495" s="124" t="e">
        <v>#N/A</v>
      </c>
      <c r="BR495" s="124" t="e">
        <v>#N/A</v>
      </c>
      <c r="BS495" s="124" t="e">
        <v>#N/A</v>
      </c>
      <c r="BT495" s="124" t="e">
        <v>#N/A</v>
      </c>
      <c r="BU495" s="124" t="e">
        <v>#N/A</v>
      </c>
      <c r="BV495" s="124" t="e">
        <v>#N/A</v>
      </c>
      <c r="BW495" s="124" t="e">
        <v>#N/A</v>
      </c>
      <c r="BX495" s="124" t="e">
        <v>#N/A</v>
      </c>
      <c r="BY495" s="124" t="e">
        <v>#N/A</v>
      </c>
      <c r="BZ495" s="124" t="e">
        <v>#N/A</v>
      </c>
      <c r="CA495" s="125"/>
      <c r="CB495" s="124">
        <v>45729</v>
      </c>
      <c r="CC495" s="126">
        <v>1</v>
      </c>
      <c r="CD495" s="127" t="s">
        <v>4185</v>
      </c>
      <c r="CE495" s="128"/>
      <c r="CF495" s="77" t="s">
        <v>4205</v>
      </c>
    </row>
    <row r="496" spans="1:85" ht="14.5" x14ac:dyDescent="0.35">
      <c r="A496" s="77">
        <v>495</v>
      </c>
      <c r="B496" s="106" t="s">
        <v>99</v>
      </c>
      <c r="C496" s="107" t="s">
        <v>1223</v>
      </c>
      <c r="D496" s="108" t="s">
        <v>681</v>
      </c>
      <c r="E496" s="109" t="s">
        <v>682</v>
      </c>
      <c r="F496" s="110">
        <v>661178409</v>
      </c>
      <c r="G496" s="108" t="s">
        <v>1004</v>
      </c>
      <c r="H496" s="111" t="s">
        <v>304</v>
      </c>
      <c r="I496" s="111" t="s">
        <v>180</v>
      </c>
      <c r="J496" s="111" t="s">
        <v>4649</v>
      </c>
      <c r="K496" s="111" t="s">
        <v>305</v>
      </c>
      <c r="L496" s="112">
        <v>43639</v>
      </c>
      <c r="M496" s="111" t="s">
        <v>253</v>
      </c>
      <c r="N496" s="113"/>
      <c r="O496" s="114" t="s">
        <v>7261</v>
      </c>
      <c r="P496" s="114" t="s">
        <v>7596</v>
      </c>
      <c r="Q496" s="114" t="s">
        <v>7261</v>
      </c>
      <c r="R496" s="114" t="s">
        <v>7261</v>
      </c>
      <c r="S496" s="114" t="s">
        <v>7596</v>
      </c>
      <c r="T496" s="114" t="s">
        <v>183</v>
      </c>
      <c r="U496" s="114" t="s">
        <v>183</v>
      </c>
      <c r="V496" s="115"/>
      <c r="W496" s="116" t="s">
        <v>683</v>
      </c>
      <c r="X496" s="116" t="s">
        <v>684</v>
      </c>
      <c r="Y496" s="117">
        <v>3485381</v>
      </c>
      <c r="Z496" s="117">
        <v>3481129</v>
      </c>
      <c r="AA496" s="118"/>
      <c r="AB496" s="119" t="s">
        <v>2469</v>
      </c>
      <c r="AC496" s="119" t="s">
        <v>1224</v>
      </c>
      <c r="AD496" s="119">
        <v>4387</v>
      </c>
      <c r="AE496" s="119" t="s">
        <v>1689</v>
      </c>
      <c r="AF496" s="119" t="s">
        <v>7105</v>
      </c>
      <c r="AG496" s="120"/>
      <c r="AH496" s="121">
        <v>44197</v>
      </c>
      <c r="AI496" s="121">
        <v>44197</v>
      </c>
      <c r="AJ496" s="121">
        <v>44197</v>
      </c>
      <c r="AK496" s="122">
        <v>44197</v>
      </c>
      <c r="AL496" s="122">
        <v>45072</v>
      </c>
      <c r="AM496" s="121">
        <v>45084</v>
      </c>
      <c r="AN496" s="121" t="s">
        <v>7106</v>
      </c>
      <c r="AO496" s="121" t="e">
        <v>#N/A</v>
      </c>
      <c r="AP496" s="122" t="e">
        <v>#N/A</v>
      </c>
      <c r="AQ496" s="122" t="e">
        <v>#N/A</v>
      </c>
      <c r="AR496" s="122">
        <v>45084</v>
      </c>
      <c r="AS496" s="122" t="e">
        <v>#N/A</v>
      </c>
      <c r="AT496" s="122" t="e">
        <v>#N/A</v>
      </c>
      <c r="AU496" s="121" t="e">
        <v>#N/A</v>
      </c>
      <c r="AV496" s="122" t="e">
        <v>#N/A</v>
      </c>
      <c r="AW496" s="122">
        <v>45688</v>
      </c>
      <c r="AX496" s="122" t="e">
        <v>#N/A</v>
      </c>
      <c r="AY496" s="122" t="e">
        <v>#N/A</v>
      </c>
      <c r="AZ496" s="122" t="e">
        <v>#N/A</v>
      </c>
      <c r="BA496" s="122">
        <v>45084</v>
      </c>
      <c r="BB496" s="122" t="e">
        <v>#N/A</v>
      </c>
      <c r="BC496" s="122" t="e">
        <v>#N/A</v>
      </c>
      <c r="BD496" s="122" t="e">
        <v>#N/A</v>
      </c>
      <c r="BE496" s="122" t="e">
        <v>#N/A</v>
      </c>
      <c r="BF496" s="122" t="e">
        <v>#N/A</v>
      </c>
      <c r="BG496" s="122" t="e">
        <v>#N/A</v>
      </c>
      <c r="BH496" s="122" t="e">
        <v>#N/A</v>
      </c>
      <c r="BI496" s="122" t="e">
        <v>#N/A</v>
      </c>
      <c r="BJ496" s="122" t="e">
        <v>#N/A</v>
      </c>
      <c r="BK496" s="122">
        <v>45960</v>
      </c>
      <c r="BL496" s="123"/>
      <c r="BM496" s="124" t="e">
        <v>#N/A</v>
      </c>
      <c r="BN496" s="124" t="e">
        <v>#N/A</v>
      </c>
      <c r="BO496" s="124" t="e">
        <v>#N/A</v>
      </c>
      <c r="BP496" s="124" t="e">
        <v>#N/A</v>
      </c>
      <c r="BQ496" s="124" t="e">
        <v>#N/A</v>
      </c>
      <c r="BR496" s="124" t="e">
        <v>#N/A</v>
      </c>
      <c r="BS496" s="124" t="e">
        <v>#N/A</v>
      </c>
      <c r="BT496" s="124" t="e">
        <v>#N/A</v>
      </c>
      <c r="BU496" s="124" t="e">
        <v>#N/A</v>
      </c>
      <c r="BV496" s="124" t="e">
        <v>#N/A</v>
      </c>
      <c r="BW496" s="124" t="e">
        <v>#N/A</v>
      </c>
      <c r="BX496" s="124" t="e">
        <v>#N/A</v>
      </c>
      <c r="BY496" s="124" t="e">
        <v>#N/A</v>
      </c>
      <c r="BZ496" s="124" t="e">
        <v>#N/A</v>
      </c>
      <c r="CA496" s="125"/>
      <c r="CB496" s="124" t="e">
        <v>#N/A</v>
      </c>
      <c r="CC496" s="126">
        <v>1</v>
      </c>
      <c r="CD496" s="127" t="s">
        <v>4169</v>
      </c>
      <c r="CE496" s="128" t="e">
        <v>#REF!</v>
      </c>
      <c r="CF496" s="77" t="s">
        <v>4904</v>
      </c>
      <c r="CG496" s="77" t="e">
        <v>#REF!</v>
      </c>
    </row>
    <row r="497" spans="1:85" ht="14.5" x14ac:dyDescent="0.35">
      <c r="A497" s="77">
        <v>496</v>
      </c>
      <c r="B497" s="106" t="s">
        <v>1692</v>
      </c>
      <c r="C497" s="107" t="s">
        <v>1693</v>
      </c>
      <c r="D497" s="108" t="s">
        <v>1694</v>
      </c>
      <c r="E497" s="109" t="s">
        <v>4352</v>
      </c>
      <c r="F497" s="110">
        <v>655565653</v>
      </c>
      <c r="G497" s="108" t="s">
        <v>1004</v>
      </c>
      <c r="H497" s="111" t="s">
        <v>304</v>
      </c>
      <c r="I497" s="111" t="s">
        <v>180</v>
      </c>
      <c r="J497" s="111" t="s">
        <v>4649</v>
      </c>
      <c r="K497" s="111" t="s">
        <v>305</v>
      </c>
      <c r="L497" s="112">
        <v>43242</v>
      </c>
      <c r="M497" s="111" t="s">
        <v>2646</v>
      </c>
      <c r="N497" s="113"/>
      <c r="O497" s="114" t="s">
        <v>4451</v>
      </c>
      <c r="P497" s="114" t="s">
        <v>4356</v>
      </c>
      <c r="Q497" s="114" t="s">
        <v>4451</v>
      </c>
      <c r="R497" s="114" t="s">
        <v>4451</v>
      </c>
      <c r="S497" s="114" t="s">
        <v>4356</v>
      </c>
      <c r="T497" s="114" t="s">
        <v>4451</v>
      </c>
      <c r="U497" s="114" t="s">
        <v>4451</v>
      </c>
      <c r="V497" s="115"/>
      <c r="W497" s="116" t="s">
        <v>1696</v>
      </c>
      <c r="X497" s="116" t="s">
        <v>1697</v>
      </c>
      <c r="Y497" s="117">
        <v>3485199</v>
      </c>
      <c r="Z497" s="117">
        <v>3481066</v>
      </c>
      <c r="AA497" s="118"/>
      <c r="AB497" s="119" t="s">
        <v>2051</v>
      </c>
      <c r="AC497" s="119" t="s">
        <v>1698</v>
      </c>
      <c r="AD497" s="119">
        <v>4199</v>
      </c>
      <c r="AE497" s="119" t="s">
        <v>3129</v>
      </c>
      <c r="AF497" s="119">
        <v>0</v>
      </c>
      <c r="AG497" s="120"/>
      <c r="AH497" s="121">
        <v>44715</v>
      </c>
      <c r="AI497" s="121">
        <v>44715</v>
      </c>
      <c r="AJ497" s="121">
        <v>44715</v>
      </c>
      <c r="AK497" s="122">
        <v>44715</v>
      </c>
      <c r="AL497" s="122" t="e">
        <v>#N/A</v>
      </c>
      <c r="AM497" s="121">
        <v>44741</v>
      </c>
      <c r="AN497" s="121" t="e">
        <v>#N/A</v>
      </c>
      <c r="AO497" s="121" t="e">
        <v>#N/A</v>
      </c>
      <c r="AP497" s="122" t="e">
        <v>#N/A</v>
      </c>
      <c r="AQ497" s="122" t="e">
        <v>#N/A</v>
      </c>
      <c r="AR497" s="122" t="e">
        <v>#N/A</v>
      </c>
      <c r="AS497" s="122" t="e">
        <v>#N/A</v>
      </c>
      <c r="AT497" s="122">
        <v>44690</v>
      </c>
      <c r="AU497" s="121" t="e">
        <v>#N/A</v>
      </c>
      <c r="AV497" s="122" t="e">
        <v>#N/A</v>
      </c>
      <c r="AW497" s="122">
        <v>45778</v>
      </c>
      <c r="AX497" s="122" t="e">
        <v>#N/A</v>
      </c>
      <c r="AY497" s="122" t="e">
        <v>#N/A</v>
      </c>
      <c r="AZ497" s="122" t="e">
        <v>#N/A</v>
      </c>
      <c r="BA497" s="122" t="e">
        <v>#N/A</v>
      </c>
      <c r="BB497" s="122" t="e">
        <v>#N/A</v>
      </c>
      <c r="BC497" s="122" t="e">
        <v>#N/A</v>
      </c>
      <c r="BD497" s="122" t="e">
        <v>#N/A</v>
      </c>
      <c r="BE497" s="122" t="e">
        <v>#N/A</v>
      </c>
      <c r="BF497" s="122" t="e">
        <v>#N/A</v>
      </c>
      <c r="BG497" s="122" t="e">
        <v>#N/A</v>
      </c>
      <c r="BH497" s="122" t="e">
        <v>#N/A</v>
      </c>
      <c r="BI497" s="122" t="e">
        <v>#N/A</v>
      </c>
      <c r="BJ497" s="122" t="e">
        <v>#N/A</v>
      </c>
      <c r="BK497" s="122" t="e">
        <v>#N/A</v>
      </c>
      <c r="BL497" s="123"/>
      <c r="BM497" s="124">
        <v>44781</v>
      </c>
      <c r="BN497" s="124" t="e">
        <v>#N/A</v>
      </c>
      <c r="BO497" s="124" t="e">
        <v>#N/A</v>
      </c>
      <c r="BP497" s="124" t="e">
        <v>#N/A</v>
      </c>
      <c r="BQ497" s="124" t="e">
        <v>#N/A</v>
      </c>
      <c r="BR497" s="124" t="e">
        <v>#N/A</v>
      </c>
      <c r="BS497" s="124" t="e">
        <v>#N/A</v>
      </c>
      <c r="BT497" s="124" t="e">
        <v>#N/A</v>
      </c>
      <c r="BU497" s="124" t="e">
        <v>#N/A</v>
      </c>
      <c r="BV497" s="124" t="e">
        <v>#N/A</v>
      </c>
      <c r="BW497" s="124" t="e">
        <v>#N/A</v>
      </c>
      <c r="BX497" s="124" t="e">
        <v>#N/A</v>
      </c>
      <c r="BY497" s="124" t="e">
        <v>#N/A</v>
      </c>
      <c r="BZ497" s="124" t="e">
        <v>#N/A</v>
      </c>
      <c r="CA497" s="125"/>
      <c r="CB497" s="124" t="e">
        <v>#N/A</v>
      </c>
      <c r="CC497" s="126">
        <v>1</v>
      </c>
      <c r="CD497" s="127" t="s">
        <v>4154</v>
      </c>
      <c r="CE497" s="128" t="e">
        <v>#REF!</v>
      </c>
      <c r="CF497" s="77" t="s">
        <v>4171</v>
      </c>
      <c r="CG497" s="77" t="e">
        <v>#REF!</v>
      </c>
    </row>
    <row r="498" spans="1:85" ht="14.5" x14ac:dyDescent="0.35">
      <c r="A498" s="77">
        <v>497</v>
      </c>
      <c r="B498" s="106" t="s">
        <v>2866</v>
      </c>
      <c r="C498" s="107" t="s">
        <v>6557</v>
      </c>
      <c r="D498" s="108" t="s">
        <v>2813</v>
      </c>
      <c r="E498" s="109" t="s">
        <v>2830</v>
      </c>
      <c r="F498" s="110">
        <v>661332093</v>
      </c>
      <c r="G498" s="108" t="s">
        <v>1004</v>
      </c>
      <c r="H498" s="111" t="s">
        <v>304</v>
      </c>
      <c r="I498" s="111" t="s">
        <v>180</v>
      </c>
      <c r="J498" s="111" t="s">
        <v>4649</v>
      </c>
      <c r="K498" s="111" t="s">
        <v>305</v>
      </c>
      <c r="L498" s="112">
        <v>45131</v>
      </c>
      <c r="M498" s="111" t="s">
        <v>2646</v>
      </c>
      <c r="N498" s="113"/>
      <c r="O498" s="114" t="s">
        <v>501</v>
      </c>
      <c r="P498" s="114" t="s">
        <v>501</v>
      </c>
      <c r="Q498" s="114" t="s">
        <v>7275</v>
      </c>
      <c r="R498" s="114" t="s">
        <v>7275</v>
      </c>
      <c r="S498" s="114" t="s">
        <v>7275</v>
      </c>
      <c r="T498" s="114" t="s">
        <v>4356</v>
      </c>
      <c r="U498" s="114" t="s">
        <v>4356</v>
      </c>
      <c r="V498" s="115"/>
      <c r="W498" s="116" t="s">
        <v>2814</v>
      </c>
      <c r="X498" s="116" t="s">
        <v>2815</v>
      </c>
      <c r="Y498" s="117">
        <v>3485804</v>
      </c>
      <c r="Z498" s="117">
        <v>3486334</v>
      </c>
      <c r="AA498" s="118"/>
      <c r="AB498" s="119" t="s">
        <v>2816</v>
      </c>
      <c r="AC498" s="119" t="s">
        <v>2817</v>
      </c>
      <c r="AD498" s="119">
        <v>4224</v>
      </c>
      <c r="AE498" s="119" t="s">
        <v>2818</v>
      </c>
      <c r="AF498" s="119" t="s">
        <v>7597</v>
      </c>
      <c r="AG498" s="120"/>
      <c r="AH498" s="121">
        <v>45128</v>
      </c>
      <c r="AI498" s="121">
        <v>45175</v>
      </c>
      <c r="AJ498" s="121">
        <v>45128</v>
      </c>
      <c r="AK498" s="122">
        <v>45175</v>
      </c>
      <c r="AL498" s="122">
        <v>45973</v>
      </c>
      <c r="AM498" s="121" t="e">
        <v>#N/A</v>
      </c>
      <c r="AN498" s="121">
        <v>45973</v>
      </c>
      <c r="AO498" s="121">
        <v>45973</v>
      </c>
      <c r="AP498" s="122" t="e">
        <v>#N/A</v>
      </c>
      <c r="AQ498" s="122" t="e">
        <v>#N/A</v>
      </c>
      <c r="AR498" s="122">
        <v>45973</v>
      </c>
      <c r="AS498" s="122" t="e">
        <v>#N/A</v>
      </c>
      <c r="AT498" s="122" t="e">
        <v>#N/A</v>
      </c>
      <c r="AU498" s="121" t="e">
        <v>#N/A</v>
      </c>
      <c r="AV498" s="122" t="e">
        <v>#N/A</v>
      </c>
      <c r="AW498" s="122">
        <v>45947</v>
      </c>
      <c r="AX498" s="122" t="e">
        <v>#N/A</v>
      </c>
      <c r="AY498" s="122" t="e">
        <v>#N/A</v>
      </c>
      <c r="AZ498" s="122" t="e">
        <v>#N/A</v>
      </c>
      <c r="BA498" s="122" t="e">
        <v>#N/A</v>
      </c>
      <c r="BB498" s="122" t="e">
        <v>#N/A</v>
      </c>
      <c r="BC498" s="122" t="e">
        <v>#N/A</v>
      </c>
      <c r="BD498" s="122" t="e">
        <v>#N/A</v>
      </c>
      <c r="BE498" s="122" t="e">
        <v>#N/A</v>
      </c>
      <c r="BF498" s="122" t="e">
        <v>#N/A</v>
      </c>
      <c r="BG498" s="122" t="e">
        <v>#N/A</v>
      </c>
      <c r="BH498" s="122" t="e">
        <v>#N/A</v>
      </c>
      <c r="BI498" s="122" t="e">
        <v>#N/A</v>
      </c>
      <c r="BJ498" s="122" t="e">
        <v>#N/A</v>
      </c>
      <c r="BK498" s="122">
        <v>45975</v>
      </c>
      <c r="BL498" s="123"/>
      <c r="BM498" s="124" t="e">
        <v>#N/A</v>
      </c>
      <c r="BN498" s="124" t="e">
        <v>#N/A</v>
      </c>
      <c r="BO498" s="124" t="e">
        <v>#N/A</v>
      </c>
      <c r="BP498" s="124" t="e">
        <v>#N/A</v>
      </c>
      <c r="BQ498" s="124" t="e">
        <v>#N/A</v>
      </c>
      <c r="BR498" s="124" t="e">
        <v>#N/A</v>
      </c>
      <c r="BS498" s="124" t="e">
        <v>#N/A</v>
      </c>
      <c r="BT498" s="124" t="e">
        <v>#N/A</v>
      </c>
      <c r="BU498" s="124" t="e">
        <v>#N/A</v>
      </c>
      <c r="BV498" s="124" t="e">
        <v>#N/A</v>
      </c>
      <c r="BW498" s="124" t="e">
        <v>#N/A</v>
      </c>
      <c r="BX498" s="124" t="e">
        <v>#N/A</v>
      </c>
      <c r="BY498" s="124" t="e">
        <v>#N/A</v>
      </c>
      <c r="BZ498" s="124" t="e">
        <v>#N/A</v>
      </c>
      <c r="CA498" s="125"/>
      <c r="CB498" s="124" t="e">
        <v>#N/A</v>
      </c>
      <c r="CC498" s="126">
        <v>1</v>
      </c>
      <c r="CD498" s="127" t="s">
        <v>4173</v>
      </c>
      <c r="CE498" s="128"/>
      <c r="CF498" s="77" t="s">
        <v>4171</v>
      </c>
    </row>
    <row r="499" spans="1:85" ht="14.5" x14ac:dyDescent="0.35">
      <c r="A499" s="77">
        <v>498</v>
      </c>
      <c r="B499" s="106" t="s">
        <v>2871</v>
      </c>
      <c r="C499" s="107" t="s">
        <v>6551</v>
      </c>
      <c r="D499" s="108" t="s">
        <v>2795</v>
      </c>
      <c r="E499" s="109" t="s">
        <v>2796</v>
      </c>
      <c r="F499" s="110">
        <v>657908823</v>
      </c>
      <c r="G499" s="108" t="s">
        <v>1004</v>
      </c>
      <c r="H499" s="111" t="s">
        <v>304</v>
      </c>
      <c r="I499" s="111" t="s">
        <v>180</v>
      </c>
      <c r="J499" s="111" t="s">
        <v>4649</v>
      </c>
      <c r="K499" s="111" t="s">
        <v>305</v>
      </c>
      <c r="L499" s="112">
        <v>45125</v>
      </c>
      <c r="M499" s="111" t="s">
        <v>796</v>
      </c>
      <c r="N499" s="113"/>
      <c r="O499" s="114" t="s">
        <v>6893</v>
      </c>
      <c r="P499" s="114" t="s">
        <v>7274</v>
      </c>
      <c r="Q499" s="114" t="s">
        <v>7586</v>
      </c>
      <c r="R499" s="114" t="s">
        <v>7598</v>
      </c>
      <c r="S499" s="114" t="s">
        <v>6893</v>
      </c>
      <c r="T499" s="114" t="s">
        <v>813</v>
      </c>
      <c r="U499" s="114" t="s">
        <v>183</v>
      </c>
      <c r="V499" s="115"/>
      <c r="W499" s="116" t="s">
        <v>2797</v>
      </c>
      <c r="X499" s="116" t="s">
        <v>2798</v>
      </c>
      <c r="Y499" s="117">
        <v>3485793</v>
      </c>
      <c r="Z499" s="117">
        <v>3486324</v>
      </c>
      <c r="AA499" s="118"/>
      <c r="AB499" s="119" t="s">
        <v>5664</v>
      </c>
      <c r="AC499" s="119" t="s">
        <v>2799</v>
      </c>
      <c r="AD499" s="119">
        <v>5796</v>
      </c>
      <c r="AE499" s="119" t="s">
        <v>4476</v>
      </c>
      <c r="AF499" s="119" t="s">
        <v>6245</v>
      </c>
      <c r="AG499" s="120"/>
      <c r="AH499" s="121">
        <v>45124</v>
      </c>
      <c r="AI499" s="121">
        <v>45166</v>
      </c>
      <c r="AJ499" s="121">
        <v>45124</v>
      </c>
      <c r="AK499" s="122">
        <v>45166</v>
      </c>
      <c r="AL499" s="122" t="e">
        <v>#N/A</v>
      </c>
      <c r="AM499" s="121" t="e">
        <v>#N/A</v>
      </c>
      <c r="AN499" s="121" t="e">
        <v>#N/A</v>
      </c>
      <c r="AO499" s="121" t="e">
        <v>#N/A</v>
      </c>
      <c r="AP499" s="122" t="e">
        <v>#N/A</v>
      </c>
      <c r="AQ499" s="122" t="e">
        <v>#N/A</v>
      </c>
      <c r="AR499" s="122" t="e">
        <v>#N/A</v>
      </c>
      <c r="AS499" s="122" t="e">
        <v>#N/A</v>
      </c>
      <c r="AT499" s="122" t="e">
        <v>#N/A</v>
      </c>
      <c r="AU499" s="121" t="e">
        <v>#N/A</v>
      </c>
      <c r="AV499" s="122" t="e">
        <v>#N/A</v>
      </c>
      <c r="AW499" s="122">
        <v>45124</v>
      </c>
      <c r="AX499" s="122" t="e">
        <v>#N/A</v>
      </c>
      <c r="AY499" s="122" t="e">
        <v>#N/A</v>
      </c>
      <c r="AZ499" s="122" t="e">
        <v>#N/A</v>
      </c>
      <c r="BA499" s="122" t="e">
        <v>#N/A</v>
      </c>
      <c r="BB499" s="122" t="e">
        <v>#N/A</v>
      </c>
      <c r="BC499" s="122" t="e">
        <v>#N/A</v>
      </c>
      <c r="BD499" s="122" t="e">
        <v>#N/A</v>
      </c>
      <c r="BE499" s="122" t="e">
        <v>#N/A</v>
      </c>
      <c r="BF499" s="122" t="e">
        <v>#N/A</v>
      </c>
      <c r="BG499" s="122" t="e">
        <v>#N/A</v>
      </c>
      <c r="BH499" s="122" t="e">
        <v>#N/A</v>
      </c>
      <c r="BI499" s="122" t="e">
        <v>#N/A</v>
      </c>
      <c r="BJ499" s="122" t="e">
        <v>#N/A</v>
      </c>
      <c r="BK499" s="122">
        <v>45953</v>
      </c>
      <c r="BL499" s="123"/>
      <c r="BM499" s="124" t="e">
        <v>#N/A</v>
      </c>
      <c r="BN499" s="124" t="e">
        <v>#N/A</v>
      </c>
      <c r="BO499" s="124" t="e">
        <v>#N/A</v>
      </c>
      <c r="BP499" s="124" t="e">
        <v>#N/A</v>
      </c>
      <c r="BQ499" s="124" t="e">
        <v>#N/A</v>
      </c>
      <c r="BR499" s="124" t="e">
        <v>#N/A</v>
      </c>
      <c r="BS499" s="124" t="e">
        <v>#N/A</v>
      </c>
      <c r="BT499" s="124" t="e">
        <v>#N/A</v>
      </c>
      <c r="BU499" s="124" t="e">
        <v>#N/A</v>
      </c>
      <c r="BV499" s="124" t="e">
        <v>#N/A</v>
      </c>
      <c r="BW499" s="124" t="e">
        <v>#N/A</v>
      </c>
      <c r="BX499" s="124" t="e">
        <v>#N/A</v>
      </c>
      <c r="BY499" s="124" t="e">
        <v>#N/A</v>
      </c>
      <c r="BZ499" s="124" t="e">
        <v>#N/A</v>
      </c>
      <c r="CA499" s="125"/>
      <c r="CB499" s="124" t="e">
        <v>#N/A</v>
      </c>
      <c r="CC499" s="126">
        <v>1</v>
      </c>
      <c r="CD499" s="127" t="s">
        <v>4168</v>
      </c>
      <c r="CE499" s="128"/>
      <c r="CF499" s="77" t="s">
        <v>4171</v>
      </c>
    </row>
    <row r="500" spans="1:85" ht="14.5" x14ac:dyDescent="0.35">
      <c r="A500" s="77">
        <v>499</v>
      </c>
      <c r="B500" s="106" t="s">
        <v>2185</v>
      </c>
      <c r="C500" s="107" t="s">
        <v>6501</v>
      </c>
      <c r="D500" s="108" t="s">
        <v>2116</v>
      </c>
      <c r="E500" s="109" t="s">
        <v>2117</v>
      </c>
      <c r="F500" s="110" t="s">
        <v>2118</v>
      </c>
      <c r="G500" s="108" t="s">
        <v>1004</v>
      </c>
      <c r="H500" s="111" t="s">
        <v>304</v>
      </c>
      <c r="I500" s="111" t="s">
        <v>180</v>
      </c>
      <c r="J500" s="111" t="s">
        <v>4649</v>
      </c>
      <c r="K500" s="111" t="s">
        <v>305</v>
      </c>
      <c r="L500" s="112">
        <v>44966</v>
      </c>
      <c r="M500" s="111" t="s">
        <v>2646</v>
      </c>
      <c r="N500" s="113"/>
      <c r="O500" s="114" t="s">
        <v>1009</v>
      </c>
      <c r="P500" s="114" t="s">
        <v>1009</v>
      </c>
      <c r="Q500" s="114" t="s">
        <v>1009</v>
      </c>
      <c r="R500" s="114" t="s">
        <v>1009</v>
      </c>
      <c r="S500" s="114" t="s">
        <v>1009</v>
      </c>
      <c r="T500" s="114" t="s">
        <v>183</v>
      </c>
      <c r="U500" s="114" t="s">
        <v>183</v>
      </c>
      <c r="V500" s="115"/>
      <c r="W500" s="116" t="s">
        <v>2119</v>
      </c>
      <c r="X500" s="116" t="s">
        <v>2120</v>
      </c>
      <c r="Y500" s="117">
        <v>3485740</v>
      </c>
      <c r="Z500" s="117">
        <v>3481412</v>
      </c>
      <c r="AA500" s="118"/>
      <c r="AB500" s="119" t="s">
        <v>5837</v>
      </c>
      <c r="AC500" s="119" t="s">
        <v>2174</v>
      </c>
      <c r="AD500" s="119">
        <v>4049</v>
      </c>
      <c r="AE500" s="119" t="s">
        <v>2175</v>
      </c>
      <c r="AF500" s="119" t="s">
        <v>7599</v>
      </c>
      <c r="AG500" s="120"/>
      <c r="AH500" s="121">
        <v>44782</v>
      </c>
      <c r="AI500" s="121">
        <v>44782</v>
      </c>
      <c r="AJ500" s="121">
        <v>44782</v>
      </c>
      <c r="AK500" s="122">
        <v>44984</v>
      </c>
      <c r="AL500" s="122" t="e">
        <v>#N/A</v>
      </c>
      <c r="AM500" s="121" t="e">
        <v>#N/A</v>
      </c>
      <c r="AN500" s="121" t="e">
        <v>#N/A</v>
      </c>
      <c r="AO500" s="121" t="e">
        <v>#N/A</v>
      </c>
      <c r="AP500" s="122" t="e">
        <v>#N/A</v>
      </c>
      <c r="AQ500" s="122" t="e">
        <v>#N/A</v>
      </c>
      <c r="AR500" s="122" t="e">
        <v>#N/A</v>
      </c>
      <c r="AS500" s="122" t="e">
        <v>#N/A</v>
      </c>
      <c r="AT500" s="122" t="e">
        <v>#N/A</v>
      </c>
      <c r="AU500" s="121" t="e">
        <v>#N/A</v>
      </c>
      <c r="AV500" s="122" t="e">
        <v>#N/A</v>
      </c>
      <c r="AW500" s="122">
        <v>45947</v>
      </c>
      <c r="AX500" s="122" t="e">
        <v>#N/A</v>
      </c>
      <c r="AY500" s="122" t="e">
        <v>#N/A</v>
      </c>
      <c r="AZ500" s="122" t="e">
        <v>#N/A</v>
      </c>
      <c r="BA500" s="122" t="e">
        <v>#N/A</v>
      </c>
      <c r="BB500" s="122" t="e">
        <v>#N/A</v>
      </c>
      <c r="BC500" s="122" t="e">
        <v>#N/A</v>
      </c>
      <c r="BD500" s="122" t="e">
        <v>#N/A</v>
      </c>
      <c r="BE500" s="122" t="e">
        <v>#N/A</v>
      </c>
      <c r="BF500" s="122" t="e">
        <v>#N/A</v>
      </c>
      <c r="BG500" s="122" t="e">
        <v>#N/A</v>
      </c>
      <c r="BH500" s="122" t="e">
        <v>#N/A</v>
      </c>
      <c r="BI500" s="122" t="e">
        <v>#N/A</v>
      </c>
      <c r="BJ500" s="122" t="e">
        <v>#N/A</v>
      </c>
      <c r="BK500" s="122">
        <v>45973</v>
      </c>
      <c r="BL500" s="123"/>
      <c r="BM500" s="124" t="e">
        <v>#N/A</v>
      </c>
      <c r="BN500" s="124" t="e">
        <v>#N/A</v>
      </c>
      <c r="BO500" s="124" t="e">
        <v>#N/A</v>
      </c>
      <c r="BP500" s="124" t="e">
        <v>#N/A</v>
      </c>
      <c r="BQ500" s="124" t="e">
        <v>#N/A</v>
      </c>
      <c r="BR500" s="124" t="e">
        <v>#N/A</v>
      </c>
      <c r="BS500" s="124" t="e">
        <v>#N/A</v>
      </c>
      <c r="BT500" s="124" t="e">
        <v>#N/A</v>
      </c>
      <c r="BU500" s="124" t="e">
        <v>#N/A</v>
      </c>
      <c r="BV500" s="124" t="e">
        <v>#N/A</v>
      </c>
      <c r="BW500" s="124" t="e">
        <v>#N/A</v>
      </c>
      <c r="BX500" s="124" t="e">
        <v>#N/A</v>
      </c>
      <c r="BY500" s="124" t="e">
        <v>#N/A</v>
      </c>
      <c r="BZ500" s="124" t="e">
        <v>#N/A</v>
      </c>
      <c r="CA500" s="125"/>
      <c r="CB500" s="124">
        <v>45734</v>
      </c>
      <c r="CC500" s="126">
        <v>1</v>
      </c>
      <c r="CD500" s="127" t="s">
        <v>4178</v>
      </c>
      <c r="CE500" s="128"/>
      <c r="CF500" s="77" t="s">
        <v>4171</v>
      </c>
    </row>
    <row r="501" spans="1:85" ht="14.5" x14ac:dyDescent="0.35">
      <c r="A501" s="77">
        <v>500</v>
      </c>
      <c r="B501" s="106" t="s">
        <v>2865</v>
      </c>
      <c r="C501" s="107" t="s">
        <v>6556</v>
      </c>
      <c r="D501" s="108" t="s">
        <v>2806</v>
      </c>
      <c r="E501" s="109" t="s">
        <v>2807</v>
      </c>
      <c r="F501" s="110">
        <v>685109996</v>
      </c>
      <c r="G501" s="108" t="s">
        <v>1004</v>
      </c>
      <c r="H501" s="111" t="s">
        <v>304</v>
      </c>
      <c r="I501" s="111" t="s">
        <v>180</v>
      </c>
      <c r="J501" s="111" t="s">
        <v>4649</v>
      </c>
      <c r="K501" s="111" t="s">
        <v>305</v>
      </c>
      <c r="L501" s="112">
        <v>45131</v>
      </c>
      <c r="M501" s="111" t="s">
        <v>181</v>
      </c>
      <c r="N501" s="113"/>
      <c r="O501" s="114" t="s">
        <v>330</v>
      </c>
      <c r="P501" s="114" t="s">
        <v>330</v>
      </c>
      <c r="Q501" s="114" t="s">
        <v>330</v>
      </c>
      <c r="R501" s="114" t="s">
        <v>330</v>
      </c>
      <c r="S501" s="114" t="s">
        <v>330</v>
      </c>
      <c r="T501" s="114" t="s">
        <v>183</v>
      </c>
      <c r="U501" s="114" t="s">
        <v>183</v>
      </c>
      <c r="V501" s="115"/>
      <c r="W501" s="116" t="s">
        <v>2808</v>
      </c>
      <c r="X501" s="116" t="s">
        <v>2809</v>
      </c>
      <c r="Y501" s="117">
        <v>3485802</v>
      </c>
      <c r="Z501" s="117">
        <v>3486332</v>
      </c>
      <c r="AA501" s="118"/>
      <c r="AB501" s="119" t="s">
        <v>2810</v>
      </c>
      <c r="AC501" s="119" t="s">
        <v>2811</v>
      </c>
      <c r="AD501" s="119">
        <v>4214</v>
      </c>
      <c r="AE501" s="119" t="s">
        <v>2812</v>
      </c>
      <c r="AF501" s="119">
        <v>0</v>
      </c>
      <c r="AG501" s="120"/>
      <c r="AH501" s="121">
        <v>45128</v>
      </c>
      <c r="AI501" s="121">
        <v>45175</v>
      </c>
      <c r="AJ501" s="121">
        <v>45128</v>
      </c>
      <c r="AK501" s="122">
        <v>45175</v>
      </c>
      <c r="AL501" s="122" t="e">
        <v>#N/A</v>
      </c>
      <c r="AM501" s="121" t="e">
        <v>#N/A</v>
      </c>
      <c r="AN501" s="121" t="e">
        <v>#N/A</v>
      </c>
      <c r="AO501" s="121" t="e">
        <v>#N/A</v>
      </c>
      <c r="AP501" s="122" t="e">
        <v>#N/A</v>
      </c>
      <c r="AQ501" s="122" t="e">
        <v>#N/A</v>
      </c>
      <c r="AR501" s="122" t="e">
        <v>#N/A</v>
      </c>
      <c r="AS501" s="122" t="e">
        <v>#N/A</v>
      </c>
      <c r="AT501" s="122" t="e">
        <v>#N/A</v>
      </c>
      <c r="AU501" s="121" t="e">
        <v>#N/A</v>
      </c>
      <c r="AV501" s="122" t="e">
        <v>#N/A</v>
      </c>
      <c r="AW501" s="122">
        <v>45756</v>
      </c>
      <c r="AX501" s="122" t="e">
        <v>#N/A</v>
      </c>
      <c r="AY501" s="122" t="e">
        <v>#N/A</v>
      </c>
      <c r="AZ501" s="122" t="e">
        <v>#N/A</v>
      </c>
      <c r="BA501" s="122" t="e">
        <v>#N/A</v>
      </c>
      <c r="BB501" s="122" t="e">
        <v>#N/A</v>
      </c>
      <c r="BC501" s="122" t="e">
        <v>#N/A</v>
      </c>
      <c r="BD501" s="122" t="e">
        <v>#N/A</v>
      </c>
      <c r="BE501" s="122" t="e">
        <v>#N/A</v>
      </c>
      <c r="BF501" s="122" t="e">
        <v>#N/A</v>
      </c>
      <c r="BG501" s="122" t="e">
        <v>#N/A</v>
      </c>
      <c r="BH501" s="122" t="e">
        <v>#N/A</v>
      </c>
      <c r="BI501" s="122" t="e">
        <v>#N/A</v>
      </c>
      <c r="BJ501" s="122" t="e">
        <v>#N/A</v>
      </c>
      <c r="BK501" s="122" t="e">
        <v>#N/A</v>
      </c>
      <c r="BL501" s="123"/>
      <c r="BM501" s="124" t="e">
        <v>#N/A</v>
      </c>
      <c r="BN501" s="124" t="e">
        <v>#N/A</v>
      </c>
      <c r="BO501" s="124" t="e">
        <v>#N/A</v>
      </c>
      <c r="BP501" s="124" t="e">
        <v>#N/A</v>
      </c>
      <c r="BQ501" s="124" t="e">
        <v>#N/A</v>
      </c>
      <c r="BR501" s="124" t="e">
        <v>#N/A</v>
      </c>
      <c r="BS501" s="124" t="e">
        <v>#N/A</v>
      </c>
      <c r="BT501" s="124" t="e">
        <v>#N/A</v>
      </c>
      <c r="BU501" s="124" t="e">
        <v>#N/A</v>
      </c>
      <c r="BV501" s="124" t="e">
        <v>#N/A</v>
      </c>
      <c r="BW501" s="124" t="e">
        <v>#N/A</v>
      </c>
      <c r="BX501" s="124" t="e">
        <v>#N/A</v>
      </c>
      <c r="BY501" s="124" t="e">
        <v>#N/A</v>
      </c>
      <c r="BZ501" s="124" t="e">
        <v>#N/A</v>
      </c>
      <c r="CA501" s="125"/>
      <c r="CB501" s="124" t="e">
        <v>#N/A</v>
      </c>
      <c r="CC501" s="126">
        <v>1</v>
      </c>
      <c r="CD501" s="127" t="s">
        <v>4173</v>
      </c>
      <c r="CE501" s="128"/>
      <c r="CF501" s="77" t="s">
        <v>4171</v>
      </c>
    </row>
    <row r="502" spans="1:85" ht="14.5" x14ac:dyDescent="0.35">
      <c r="A502" s="77">
        <v>501</v>
      </c>
      <c r="B502" s="106" t="s">
        <v>2919</v>
      </c>
      <c r="C502" s="107" t="s">
        <v>6562</v>
      </c>
      <c r="D502" s="108" t="s">
        <v>2920</v>
      </c>
      <c r="E502" s="109" t="s">
        <v>2921</v>
      </c>
      <c r="F502" s="110">
        <v>671832421</v>
      </c>
      <c r="G502" s="108" t="s">
        <v>1004</v>
      </c>
      <c r="H502" s="111" t="s">
        <v>304</v>
      </c>
      <c r="I502" s="111" t="s">
        <v>180</v>
      </c>
      <c r="J502" s="111" t="s">
        <v>4649</v>
      </c>
      <c r="K502" s="111" t="s">
        <v>305</v>
      </c>
      <c r="L502" s="112">
        <v>45161</v>
      </c>
      <c r="M502" s="111" t="s">
        <v>3172</v>
      </c>
      <c r="N502" s="113"/>
      <c r="O502" s="114" t="s">
        <v>225</v>
      </c>
      <c r="P502" s="114" t="s">
        <v>225</v>
      </c>
      <c r="Q502" s="114" t="s">
        <v>183</v>
      </c>
      <c r="R502" s="114" t="s">
        <v>7398</v>
      </c>
      <c r="S502" s="114" t="s">
        <v>225</v>
      </c>
      <c r="T502" s="114" t="s">
        <v>225</v>
      </c>
      <c r="U502" s="114" t="s">
        <v>225</v>
      </c>
      <c r="V502" s="115"/>
      <c r="W502" s="116" t="s">
        <v>2922</v>
      </c>
      <c r="X502" s="116" t="s">
        <v>2923</v>
      </c>
      <c r="Y502" s="117">
        <v>3485824</v>
      </c>
      <c r="Z502" s="117">
        <v>3486350</v>
      </c>
      <c r="AA502" s="118"/>
      <c r="AB502" s="119" t="s">
        <v>5445</v>
      </c>
      <c r="AC502" s="119" t="s">
        <v>2924</v>
      </c>
      <c r="AD502" s="119">
        <v>4273</v>
      </c>
      <c r="AE502" s="119" t="s">
        <v>2925</v>
      </c>
      <c r="AF502" s="119" t="s">
        <v>7600</v>
      </c>
      <c r="AG502" s="120"/>
      <c r="AH502" s="121">
        <v>45155</v>
      </c>
      <c r="AI502" s="121">
        <v>45376</v>
      </c>
      <c r="AJ502" s="121">
        <v>45161</v>
      </c>
      <c r="AK502" s="122">
        <v>45376</v>
      </c>
      <c r="AL502" s="122">
        <v>45769</v>
      </c>
      <c r="AM502" s="122" t="e">
        <v>#N/A</v>
      </c>
      <c r="AN502" s="122">
        <v>45769</v>
      </c>
      <c r="AO502" s="121">
        <v>45974</v>
      </c>
      <c r="AP502" s="122" t="e">
        <v>#N/A</v>
      </c>
      <c r="AQ502" s="122" t="e">
        <v>#N/A</v>
      </c>
      <c r="AR502" s="122">
        <v>45771</v>
      </c>
      <c r="AS502" s="122" t="e">
        <v>#N/A</v>
      </c>
      <c r="AT502" s="122" t="e">
        <v>#N/A</v>
      </c>
      <c r="AU502" s="121" t="e">
        <v>#N/A</v>
      </c>
      <c r="AV502" s="122">
        <v>45616</v>
      </c>
      <c r="AW502" s="122">
        <v>45495</v>
      </c>
      <c r="AX502" s="122" t="e">
        <v>#N/A</v>
      </c>
      <c r="AY502" s="122" t="e">
        <v>#N/A</v>
      </c>
      <c r="AZ502" s="122" t="e">
        <v>#N/A</v>
      </c>
      <c r="BA502" s="122" t="e">
        <v>#N/A</v>
      </c>
      <c r="BB502" s="122" t="e">
        <v>#N/A</v>
      </c>
      <c r="BC502" s="122" t="e">
        <v>#N/A</v>
      </c>
      <c r="BD502" s="122" t="e">
        <v>#N/A</v>
      </c>
      <c r="BE502" s="122" t="e">
        <v>#N/A</v>
      </c>
      <c r="BF502" s="122" t="e">
        <v>#N/A</v>
      </c>
      <c r="BG502" s="122">
        <v>45827</v>
      </c>
      <c r="BH502" s="122" t="e">
        <v>#N/A</v>
      </c>
      <c r="BI502" s="122" t="e">
        <v>#N/A</v>
      </c>
      <c r="BJ502" s="122" t="e">
        <v>#N/A</v>
      </c>
      <c r="BK502" s="122">
        <v>45975</v>
      </c>
      <c r="BL502" s="123"/>
      <c r="BM502" s="124" t="e">
        <v>#N/A</v>
      </c>
      <c r="BN502" s="124" t="e">
        <v>#N/A</v>
      </c>
      <c r="BO502" s="124" t="e">
        <v>#N/A</v>
      </c>
      <c r="BP502" s="124" t="e">
        <v>#N/A</v>
      </c>
      <c r="BQ502" s="124" t="e">
        <v>#N/A</v>
      </c>
      <c r="BR502" s="124" t="e">
        <v>#N/A</v>
      </c>
      <c r="BS502" s="124" t="e">
        <v>#N/A</v>
      </c>
      <c r="BT502" s="124" t="e">
        <v>#N/A</v>
      </c>
      <c r="BU502" s="124" t="e">
        <v>#N/A</v>
      </c>
      <c r="BV502" s="124" t="e">
        <v>#N/A</v>
      </c>
      <c r="BW502" s="124" t="e">
        <v>#N/A</v>
      </c>
      <c r="BX502" s="124" t="e">
        <v>#N/A</v>
      </c>
      <c r="BY502" s="124" t="e">
        <v>#N/A</v>
      </c>
      <c r="BZ502" s="124" t="e">
        <v>#N/A</v>
      </c>
      <c r="CA502" s="125"/>
      <c r="CB502" s="124">
        <v>45842</v>
      </c>
      <c r="CC502" s="126">
        <v>1</v>
      </c>
      <c r="CD502" s="127" t="s">
        <v>4179</v>
      </c>
      <c r="CE502" s="128"/>
      <c r="CF502" s="77" t="s">
        <v>4171</v>
      </c>
    </row>
    <row r="503" spans="1:85" ht="14.5" x14ac:dyDescent="0.35">
      <c r="A503" s="77">
        <v>502</v>
      </c>
      <c r="B503" s="106" t="s">
        <v>2869</v>
      </c>
      <c r="C503" s="107" t="s">
        <v>6549</v>
      </c>
      <c r="D503" s="108" t="s">
        <v>2785</v>
      </c>
      <c r="E503" s="109" t="s">
        <v>2786</v>
      </c>
      <c r="F503" s="110">
        <v>697834923</v>
      </c>
      <c r="G503" s="108" t="s">
        <v>1004</v>
      </c>
      <c r="H503" s="111" t="s">
        <v>304</v>
      </c>
      <c r="I503" s="111" t="s">
        <v>180</v>
      </c>
      <c r="J503" s="111" t="s">
        <v>4649</v>
      </c>
      <c r="K503" s="111" t="s">
        <v>305</v>
      </c>
      <c r="L503" s="112">
        <v>45125</v>
      </c>
      <c r="M503" s="111" t="s">
        <v>2646</v>
      </c>
      <c r="N503" s="113"/>
      <c r="O503" s="114" t="s">
        <v>182</v>
      </c>
      <c r="P503" s="114" t="s">
        <v>183</v>
      </c>
      <c r="Q503" s="114" t="s">
        <v>184</v>
      </c>
      <c r="R503" s="114" t="s">
        <v>7316</v>
      </c>
      <c r="S503" s="114" t="s">
        <v>183</v>
      </c>
      <c r="T503" s="114" t="s">
        <v>182</v>
      </c>
      <c r="U503" s="114" t="s">
        <v>182</v>
      </c>
      <c r="V503" s="115"/>
      <c r="W503" s="116" t="s">
        <v>2787</v>
      </c>
      <c r="X503" s="116" t="s">
        <v>2788</v>
      </c>
      <c r="Y503" s="117">
        <v>3485795</v>
      </c>
      <c r="Z503" s="117">
        <v>3486386</v>
      </c>
      <c r="AA503" s="118"/>
      <c r="AB503" s="119" t="s">
        <v>2789</v>
      </c>
      <c r="AC503" s="119" t="s">
        <v>2790</v>
      </c>
      <c r="AD503" s="119">
        <v>5025</v>
      </c>
      <c r="AE503" s="119" t="s">
        <v>4370</v>
      </c>
      <c r="AF503" s="119" t="s">
        <v>6243</v>
      </c>
      <c r="AG503" s="120"/>
      <c r="AH503" s="121">
        <v>45124</v>
      </c>
      <c r="AI503" s="121">
        <v>45166</v>
      </c>
      <c r="AJ503" s="121">
        <v>45124</v>
      </c>
      <c r="AK503" s="122">
        <v>45166</v>
      </c>
      <c r="AL503" s="122" t="e">
        <v>#N/A</v>
      </c>
      <c r="AM503" s="121" t="e">
        <v>#N/A</v>
      </c>
      <c r="AN503" s="121" t="e">
        <v>#N/A</v>
      </c>
      <c r="AO503" s="121" t="e">
        <v>#N/A</v>
      </c>
      <c r="AP503" s="122" t="e">
        <v>#N/A</v>
      </c>
      <c r="AQ503" s="122" t="e">
        <v>#N/A</v>
      </c>
      <c r="AR503" s="122" t="e">
        <v>#N/A</v>
      </c>
      <c r="AS503" s="122" t="e">
        <v>#N/A</v>
      </c>
      <c r="AT503" s="122" t="e">
        <v>#N/A</v>
      </c>
      <c r="AU503" s="121" t="e">
        <v>#N/A</v>
      </c>
      <c r="AV503" s="122">
        <v>36526</v>
      </c>
      <c r="AW503" s="122">
        <v>45756</v>
      </c>
      <c r="AX503" s="122" t="e">
        <v>#N/A</v>
      </c>
      <c r="AY503" s="122" t="e">
        <v>#N/A</v>
      </c>
      <c r="AZ503" s="122" t="e">
        <v>#N/A</v>
      </c>
      <c r="BA503" s="122" t="e">
        <v>#N/A</v>
      </c>
      <c r="BB503" s="122" t="e">
        <v>#N/A</v>
      </c>
      <c r="BC503" s="122" t="e">
        <v>#N/A</v>
      </c>
      <c r="BD503" s="122" t="e">
        <v>#N/A</v>
      </c>
      <c r="BE503" s="122" t="e">
        <v>#N/A</v>
      </c>
      <c r="BF503" s="122" t="e">
        <v>#N/A</v>
      </c>
      <c r="BG503" s="122" t="e">
        <v>#N/A</v>
      </c>
      <c r="BH503" s="122" t="e">
        <v>#N/A</v>
      </c>
      <c r="BI503" s="122" t="e">
        <v>#N/A</v>
      </c>
      <c r="BJ503" s="122" t="e">
        <v>#N/A</v>
      </c>
      <c r="BK503" s="122">
        <v>45951</v>
      </c>
      <c r="BL503" s="123"/>
      <c r="BM503" s="124" t="e">
        <v>#N/A</v>
      </c>
      <c r="BN503" s="124" t="e">
        <v>#N/A</v>
      </c>
      <c r="BO503" s="124" t="e">
        <v>#N/A</v>
      </c>
      <c r="BP503" s="124" t="e">
        <v>#N/A</v>
      </c>
      <c r="BQ503" s="124" t="e">
        <v>#N/A</v>
      </c>
      <c r="BR503" s="124" t="e">
        <v>#N/A</v>
      </c>
      <c r="BS503" s="124" t="e">
        <v>#N/A</v>
      </c>
      <c r="BT503" s="124" t="e">
        <v>#N/A</v>
      </c>
      <c r="BU503" s="124" t="e">
        <v>#N/A</v>
      </c>
      <c r="BV503" s="124" t="e">
        <v>#N/A</v>
      </c>
      <c r="BW503" s="124" t="e">
        <v>#N/A</v>
      </c>
      <c r="BX503" s="124" t="e">
        <v>#N/A</v>
      </c>
      <c r="BY503" s="124" t="e">
        <v>#N/A</v>
      </c>
      <c r="BZ503" s="124" t="e">
        <v>#N/A</v>
      </c>
      <c r="CA503" s="125"/>
      <c r="CB503" s="124" t="e">
        <v>#N/A</v>
      </c>
      <c r="CC503" s="126">
        <v>1</v>
      </c>
      <c r="CD503" s="127" t="s">
        <v>4168</v>
      </c>
      <c r="CE503" s="128"/>
      <c r="CF503" s="77" t="s">
        <v>4171</v>
      </c>
    </row>
    <row r="504" spans="1:85" ht="14.5" x14ac:dyDescent="0.35">
      <c r="A504" s="77">
        <v>503</v>
      </c>
      <c r="B504" s="106" t="s">
        <v>113</v>
      </c>
      <c r="C504" s="107" t="s">
        <v>1227</v>
      </c>
      <c r="D504" s="108" t="s">
        <v>731</v>
      </c>
      <c r="E504" s="109" t="s">
        <v>732</v>
      </c>
      <c r="F504" s="110">
        <v>601151761</v>
      </c>
      <c r="G504" s="108" t="s">
        <v>1004</v>
      </c>
      <c r="H504" s="111" t="s">
        <v>304</v>
      </c>
      <c r="I504" s="111" t="s">
        <v>180</v>
      </c>
      <c r="J504" s="111" t="s">
        <v>4649</v>
      </c>
      <c r="K504" s="111" t="s">
        <v>305</v>
      </c>
      <c r="L504" s="112">
        <v>43519</v>
      </c>
      <c r="M504" s="111" t="s">
        <v>2651</v>
      </c>
      <c r="N504" s="113"/>
      <c r="O504" s="114" t="s">
        <v>607</v>
      </c>
      <c r="P504" s="114" t="s">
        <v>607</v>
      </c>
      <c r="Q504" s="114" t="s">
        <v>557</v>
      </c>
      <c r="R504" s="114" t="s">
        <v>7297</v>
      </c>
      <c r="S504" s="114" t="s">
        <v>607</v>
      </c>
      <c r="T504" s="114" t="s">
        <v>183</v>
      </c>
      <c r="U504" s="114" t="s">
        <v>183</v>
      </c>
      <c r="V504" s="115"/>
      <c r="W504" s="116" t="s">
        <v>1895</v>
      </c>
      <c r="X504" s="116" t="s">
        <v>4120</v>
      </c>
      <c r="Y504" s="117">
        <v>3485562</v>
      </c>
      <c r="Z504" s="117">
        <v>3481135</v>
      </c>
      <c r="AA504" s="118"/>
      <c r="AB504" s="119" t="s">
        <v>1896</v>
      </c>
      <c r="AC504" s="119" t="s">
        <v>1897</v>
      </c>
      <c r="AD504" s="119" t="s">
        <v>6172</v>
      </c>
      <c r="AE504" s="119" t="s">
        <v>6173</v>
      </c>
      <c r="AF504" s="119" t="s">
        <v>6174</v>
      </c>
      <c r="AG504" s="120"/>
      <c r="AH504" s="121">
        <v>44197</v>
      </c>
      <c r="AI504" s="121">
        <v>44197</v>
      </c>
      <c r="AJ504" s="121">
        <v>44197</v>
      </c>
      <c r="AK504" s="122">
        <v>44197</v>
      </c>
      <c r="AL504" s="122" t="e">
        <v>#N/A</v>
      </c>
      <c r="AM504" s="122" t="e">
        <v>#N/A</v>
      </c>
      <c r="AN504" s="122" t="e">
        <v>#N/A</v>
      </c>
      <c r="AO504" s="121" t="e">
        <v>#N/A</v>
      </c>
      <c r="AP504" s="122" t="e">
        <v>#N/A</v>
      </c>
      <c r="AQ504" s="122" t="e">
        <v>#N/A</v>
      </c>
      <c r="AR504" s="122" t="e">
        <v>#N/A</v>
      </c>
      <c r="AS504" s="122" t="e">
        <v>#N/A</v>
      </c>
      <c r="AT504" s="122" t="e">
        <v>#N/A</v>
      </c>
      <c r="AU504" s="121" t="e">
        <v>#N/A</v>
      </c>
      <c r="AV504" s="122" t="e">
        <v>#N/A</v>
      </c>
      <c r="AW504" s="122">
        <v>45595</v>
      </c>
      <c r="AX504" s="122" t="e">
        <v>#N/A</v>
      </c>
      <c r="AY504" s="122" t="e">
        <v>#N/A</v>
      </c>
      <c r="AZ504" s="122" t="e">
        <v>#N/A</v>
      </c>
      <c r="BA504" s="122" t="e">
        <v>#N/A</v>
      </c>
      <c r="BB504" s="122" t="e">
        <v>#N/A</v>
      </c>
      <c r="BC504" s="122" t="e">
        <v>#N/A</v>
      </c>
      <c r="BD504" s="122" t="e">
        <v>#N/A</v>
      </c>
      <c r="BE504" s="122" t="e">
        <v>#N/A</v>
      </c>
      <c r="BF504" s="122" t="e">
        <v>#N/A</v>
      </c>
      <c r="BG504" s="122" t="e">
        <v>#N/A</v>
      </c>
      <c r="BH504" s="122" t="e">
        <v>#N/A</v>
      </c>
      <c r="BI504" s="122" t="e">
        <v>#N/A</v>
      </c>
      <c r="BJ504" s="122" t="e">
        <v>#N/A</v>
      </c>
      <c r="BK504" s="122">
        <v>45964</v>
      </c>
      <c r="BL504" s="123"/>
      <c r="BM504" s="124">
        <v>44197</v>
      </c>
      <c r="BN504" s="124">
        <v>44197</v>
      </c>
      <c r="BO504" s="124">
        <v>44197</v>
      </c>
      <c r="BP504" s="124">
        <v>44197</v>
      </c>
      <c r="BQ504" s="124">
        <v>44697</v>
      </c>
      <c r="BR504" s="124">
        <v>44742</v>
      </c>
      <c r="BS504" s="124">
        <v>44804</v>
      </c>
      <c r="BT504" s="124" t="s">
        <v>2223</v>
      </c>
      <c r="BU504" s="124" t="e">
        <v>#N/A</v>
      </c>
      <c r="BV504" s="124" t="e">
        <v>#N/A</v>
      </c>
      <c r="BW504" s="124" t="e">
        <v>#N/A</v>
      </c>
      <c r="BX504" s="124" t="e">
        <v>#N/A</v>
      </c>
      <c r="BY504" s="124" t="e">
        <v>#N/A</v>
      </c>
      <c r="BZ504" s="124" t="e">
        <v>#N/A</v>
      </c>
      <c r="CA504" s="125"/>
      <c r="CB504" s="124" t="e">
        <v>#N/A</v>
      </c>
      <c r="CC504" s="126">
        <v>1</v>
      </c>
      <c r="CD504" s="127" t="s">
        <v>4169</v>
      </c>
      <c r="CE504" s="128"/>
      <c r="CF504" s="77" t="s">
        <v>4171</v>
      </c>
    </row>
    <row r="505" spans="1:85" ht="14.5" x14ac:dyDescent="0.35">
      <c r="A505" s="77">
        <v>504</v>
      </c>
      <c r="B505" s="106" t="s">
        <v>132</v>
      </c>
      <c r="C505" s="107" t="s">
        <v>1372</v>
      </c>
      <c r="D505" s="108" t="s">
        <v>793</v>
      </c>
      <c r="E505" s="109" t="s">
        <v>794</v>
      </c>
      <c r="F505" s="110">
        <v>625443508</v>
      </c>
      <c r="G505" s="108" t="s">
        <v>1004</v>
      </c>
      <c r="H505" s="111" t="s">
        <v>304</v>
      </c>
      <c r="I505" s="111" t="s">
        <v>180</v>
      </c>
      <c r="J505" s="111" t="s">
        <v>4649</v>
      </c>
      <c r="K505" s="111" t="s">
        <v>305</v>
      </c>
      <c r="L505" s="112">
        <v>43831</v>
      </c>
      <c r="M505" s="111" t="s">
        <v>181</v>
      </c>
      <c r="N505" s="113"/>
      <c r="O505" s="114" t="s">
        <v>7601</v>
      </c>
      <c r="P505" s="114" t="s">
        <v>7602</v>
      </c>
      <c r="Q505" s="114" t="s">
        <v>7601</v>
      </c>
      <c r="R505" s="114" t="s">
        <v>7601</v>
      </c>
      <c r="S505" s="114" t="s">
        <v>7602</v>
      </c>
      <c r="T505" s="114" t="s">
        <v>4356</v>
      </c>
      <c r="U505" s="114" t="s">
        <v>4356</v>
      </c>
      <c r="V505" s="115"/>
      <c r="W505" s="116" t="s">
        <v>3236</v>
      </c>
      <c r="X505" s="116" t="s">
        <v>3237</v>
      </c>
      <c r="Y505" s="117">
        <v>3485272</v>
      </c>
      <c r="Z505" s="117">
        <v>3481122</v>
      </c>
      <c r="AA505" s="118"/>
      <c r="AB505" s="119" t="s">
        <v>5531</v>
      </c>
      <c r="AC505" s="119" t="s">
        <v>3238</v>
      </c>
      <c r="AD505" s="119">
        <v>27921</v>
      </c>
      <c r="AE505" s="119" t="s">
        <v>3239</v>
      </c>
      <c r="AF505" s="119" t="s">
        <v>7114</v>
      </c>
      <c r="AG505" s="120"/>
      <c r="AH505" s="121">
        <v>44687</v>
      </c>
      <c r="AI505" s="121">
        <v>44687</v>
      </c>
      <c r="AJ505" s="121">
        <v>45386</v>
      </c>
      <c r="AK505" s="122">
        <v>45386</v>
      </c>
      <c r="AL505" s="122" t="e">
        <v>#N/A</v>
      </c>
      <c r="AM505" s="121" t="e">
        <v>#N/A</v>
      </c>
      <c r="AN505" s="121" t="e">
        <v>#N/A</v>
      </c>
      <c r="AO505" s="121" t="e">
        <v>#N/A</v>
      </c>
      <c r="AP505" s="122" t="e">
        <v>#N/A</v>
      </c>
      <c r="AQ505" s="122" t="e">
        <v>#N/A</v>
      </c>
      <c r="AR505" s="122" t="e">
        <v>#N/A</v>
      </c>
      <c r="AS505" s="122" t="e">
        <v>#N/A</v>
      </c>
      <c r="AT505" s="122" t="e">
        <v>#N/A</v>
      </c>
      <c r="AU505" s="121" t="e">
        <v>#N/A</v>
      </c>
      <c r="AV505" s="122" t="e">
        <v>#N/A</v>
      </c>
      <c r="AW505" s="122">
        <v>45677</v>
      </c>
      <c r="AX505" s="122" t="e">
        <v>#N/A</v>
      </c>
      <c r="AY505" s="122" t="e">
        <v>#N/A</v>
      </c>
      <c r="AZ505" s="122" t="e">
        <v>#N/A</v>
      </c>
      <c r="BA505" s="122" t="e">
        <v>#N/A</v>
      </c>
      <c r="BB505" s="122" t="e">
        <v>#N/A</v>
      </c>
      <c r="BC505" s="122" t="e">
        <v>#N/A</v>
      </c>
      <c r="BD505" s="122" t="e">
        <v>#N/A</v>
      </c>
      <c r="BE505" s="122" t="e">
        <v>#N/A</v>
      </c>
      <c r="BF505" s="122" t="e">
        <v>#N/A</v>
      </c>
      <c r="BG505" s="122" t="e">
        <v>#N/A</v>
      </c>
      <c r="BH505" s="122" t="e">
        <v>#N/A</v>
      </c>
      <c r="BI505" s="122" t="e">
        <v>#N/A</v>
      </c>
      <c r="BJ505" s="122" t="e">
        <v>#N/A</v>
      </c>
      <c r="BK505" s="122">
        <v>45960</v>
      </c>
      <c r="BL505" s="123"/>
      <c r="BM505" s="124">
        <v>44519</v>
      </c>
      <c r="BN505" s="124">
        <v>44519</v>
      </c>
      <c r="BO505" s="124">
        <v>44519</v>
      </c>
      <c r="BP505" s="124">
        <v>44519</v>
      </c>
      <c r="BQ505" s="124">
        <v>44519</v>
      </c>
      <c r="BR505" s="124">
        <v>44519</v>
      </c>
      <c r="BS505" s="124" t="e">
        <v>#N/A</v>
      </c>
      <c r="BT505" s="124" t="e">
        <v>#N/A</v>
      </c>
      <c r="BU505" s="124" t="e">
        <v>#N/A</v>
      </c>
      <c r="BV505" s="124" t="e">
        <v>#N/A</v>
      </c>
      <c r="BW505" s="124" t="e">
        <v>#N/A</v>
      </c>
      <c r="BX505" s="124" t="e">
        <v>#N/A</v>
      </c>
      <c r="BY505" s="124" t="e">
        <v>#N/A</v>
      </c>
      <c r="BZ505" s="124" t="e">
        <v>#N/A</v>
      </c>
      <c r="CA505" s="125"/>
      <c r="CB505" s="124" t="e">
        <v>#N/A</v>
      </c>
      <c r="CC505" s="126">
        <v>1</v>
      </c>
      <c r="CD505" s="127" t="s">
        <v>4169</v>
      </c>
      <c r="CE505" s="128"/>
      <c r="CF505" s="77" t="s">
        <v>4171</v>
      </c>
    </row>
    <row r="506" spans="1:85" ht="14.5" x14ac:dyDescent="0.35">
      <c r="A506" s="77">
        <v>505</v>
      </c>
      <c r="B506" s="106" t="s">
        <v>2480</v>
      </c>
      <c r="C506" s="107" t="s">
        <v>6452</v>
      </c>
      <c r="D506" s="108" t="s">
        <v>2481</v>
      </c>
      <c r="E506" s="109" t="s">
        <v>2482</v>
      </c>
      <c r="F506" s="110">
        <v>603565552</v>
      </c>
      <c r="G506" s="108" t="s">
        <v>1004</v>
      </c>
      <c r="H506" s="111" t="s">
        <v>657</v>
      </c>
      <c r="I506" s="111" t="s">
        <v>180</v>
      </c>
      <c r="J506" s="111" t="s">
        <v>4649</v>
      </c>
      <c r="K506" s="111" t="s">
        <v>884</v>
      </c>
      <c r="L506" s="112">
        <v>42583</v>
      </c>
      <c r="M506" s="111" t="s">
        <v>1712</v>
      </c>
      <c r="N506" s="113"/>
      <c r="O506" s="114" t="s">
        <v>7603</v>
      </c>
      <c r="P506" s="114" t="s">
        <v>7604</v>
      </c>
      <c r="Q506" s="114" t="s">
        <v>7603</v>
      </c>
      <c r="R506" s="114" t="s">
        <v>7603</v>
      </c>
      <c r="S506" s="114" t="s">
        <v>7604</v>
      </c>
      <c r="T506" s="114" t="s">
        <v>4356</v>
      </c>
      <c r="U506" s="114" t="s">
        <v>4356</v>
      </c>
      <c r="V506" s="115"/>
      <c r="W506" s="116" t="s">
        <v>2483</v>
      </c>
      <c r="X506" s="116" t="s">
        <v>2484</v>
      </c>
      <c r="Y506" s="117">
        <v>3485575</v>
      </c>
      <c r="Z506" s="117">
        <v>3481316</v>
      </c>
      <c r="AA506" s="118"/>
      <c r="AB506" s="119" t="s">
        <v>2485</v>
      </c>
      <c r="AC506" s="119" t="s">
        <v>2486</v>
      </c>
      <c r="AD506" s="119">
        <v>27108</v>
      </c>
      <c r="AE506" s="119" t="s">
        <v>2487</v>
      </c>
      <c r="AF506" s="119">
        <v>0</v>
      </c>
      <c r="AG506" s="120"/>
      <c r="AH506" s="121">
        <v>44994</v>
      </c>
      <c r="AI506" s="121">
        <v>45058</v>
      </c>
      <c r="AJ506" s="121">
        <v>45058</v>
      </c>
      <c r="AK506" s="122">
        <v>45058</v>
      </c>
      <c r="AL506" s="122" t="e">
        <v>#N/A</v>
      </c>
      <c r="AM506" s="121">
        <v>45614</v>
      </c>
      <c r="AN506" s="121" t="e">
        <v>#N/A</v>
      </c>
      <c r="AO506" s="121" t="e">
        <v>#N/A</v>
      </c>
      <c r="AP506" s="122" t="e">
        <v>#N/A</v>
      </c>
      <c r="AQ506" s="122" t="e">
        <v>#N/A</v>
      </c>
      <c r="AR506" s="122" t="e">
        <v>#N/A</v>
      </c>
      <c r="AS506" s="122" t="e">
        <v>#N/A</v>
      </c>
      <c r="AT506" s="122">
        <v>45008</v>
      </c>
      <c r="AU506" s="121" t="e">
        <v>#N/A</v>
      </c>
      <c r="AV506" s="122" t="e">
        <v>#N/A</v>
      </c>
      <c r="AW506" s="122" t="e">
        <v>#N/A</v>
      </c>
      <c r="AX506" s="122" t="e">
        <v>#N/A</v>
      </c>
      <c r="AY506" s="122" t="e">
        <v>#N/A</v>
      </c>
      <c r="AZ506" s="122" t="e">
        <v>#N/A</v>
      </c>
      <c r="BA506" s="122" t="e">
        <v>#N/A</v>
      </c>
      <c r="BB506" s="122" t="e">
        <v>#N/A</v>
      </c>
      <c r="BC506" s="122" t="e">
        <v>#N/A</v>
      </c>
      <c r="BD506" s="122" t="e">
        <v>#N/A</v>
      </c>
      <c r="BE506" s="122" t="e">
        <v>#N/A</v>
      </c>
      <c r="BF506" s="122" t="e">
        <v>#N/A</v>
      </c>
      <c r="BG506" s="122" t="e">
        <v>#N/A</v>
      </c>
      <c r="BH506" s="122" t="e">
        <v>#N/A</v>
      </c>
      <c r="BI506" s="122" t="e">
        <v>#N/A</v>
      </c>
      <c r="BJ506" s="122" t="e">
        <v>#N/A</v>
      </c>
      <c r="BK506" s="122" t="e">
        <v>#N/A</v>
      </c>
      <c r="BL506" s="123"/>
      <c r="BM506" s="124" t="e">
        <v>#N/A</v>
      </c>
      <c r="BN506" s="124" t="e">
        <v>#N/A</v>
      </c>
      <c r="BO506" s="124" t="e">
        <v>#N/A</v>
      </c>
      <c r="BP506" s="124" t="e">
        <v>#N/A</v>
      </c>
      <c r="BQ506" s="124" t="e">
        <v>#N/A</v>
      </c>
      <c r="BR506" s="124" t="e">
        <v>#N/A</v>
      </c>
      <c r="BS506" s="124" t="e">
        <v>#N/A</v>
      </c>
      <c r="BT506" s="124" t="e">
        <v>#N/A</v>
      </c>
      <c r="BU506" s="124" t="e">
        <v>#N/A</v>
      </c>
      <c r="BV506" s="124" t="e">
        <v>#N/A</v>
      </c>
      <c r="BW506" s="124" t="e">
        <v>#N/A</v>
      </c>
      <c r="BX506" s="124" t="e">
        <v>#N/A</v>
      </c>
      <c r="BY506" s="124" t="e">
        <v>#N/A</v>
      </c>
      <c r="BZ506" s="124" t="e">
        <v>#N/A</v>
      </c>
      <c r="CA506" s="125"/>
      <c r="CB506" s="124" t="e">
        <v>#N/A</v>
      </c>
      <c r="CC506" s="126">
        <v>1</v>
      </c>
      <c r="CD506" s="127" t="s">
        <v>4161</v>
      </c>
      <c r="CE506" s="128"/>
      <c r="CF506" s="77" t="s">
        <v>4206</v>
      </c>
    </row>
    <row r="507" spans="1:85" ht="14.5" x14ac:dyDescent="0.35">
      <c r="A507" s="77">
        <v>506</v>
      </c>
      <c r="B507" s="106" t="s">
        <v>159</v>
      </c>
      <c r="C507" s="107" t="s">
        <v>1360</v>
      </c>
      <c r="D507" s="108" t="s">
        <v>882</v>
      </c>
      <c r="E507" s="109" t="s">
        <v>883</v>
      </c>
      <c r="F507" s="110">
        <v>615812795</v>
      </c>
      <c r="G507" s="108" t="s">
        <v>1004</v>
      </c>
      <c r="H507" s="111" t="s">
        <v>657</v>
      </c>
      <c r="I507" s="111" t="s">
        <v>180</v>
      </c>
      <c r="J507" s="111" t="s">
        <v>4649</v>
      </c>
      <c r="K507" s="111" t="s">
        <v>884</v>
      </c>
      <c r="L507" s="112">
        <v>43525</v>
      </c>
      <c r="M507" s="111" t="s">
        <v>491</v>
      </c>
      <c r="N507" s="113"/>
      <c r="O507" s="114" t="s">
        <v>6023</v>
      </c>
      <c r="P507" s="114" t="s">
        <v>6921</v>
      </c>
      <c r="Q507" s="114" t="s">
        <v>6921</v>
      </c>
      <c r="R507" s="114" t="s">
        <v>7605</v>
      </c>
      <c r="S507" s="114" t="s">
        <v>6023</v>
      </c>
      <c r="T507" s="114" t="s">
        <v>183</v>
      </c>
      <c r="U507" s="114" t="s">
        <v>183</v>
      </c>
      <c r="V507" s="115"/>
      <c r="W507" s="116" t="s">
        <v>885</v>
      </c>
      <c r="X507" s="116" t="s">
        <v>886</v>
      </c>
      <c r="Y507" s="117">
        <v>3485433</v>
      </c>
      <c r="Z507" s="117">
        <v>3486242</v>
      </c>
      <c r="AA507" s="118"/>
      <c r="AB507" s="119" t="s">
        <v>2043</v>
      </c>
      <c r="AC507" s="119" t="s">
        <v>1361</v>
      </c>
      <c r="AD507" s="119" t="s">
        <v>6025</v>
      </c>
      <c r="AE507" s="119" t="s">
        <v>887</v>
      </c>
      <c r="AF507" s="119">
        <v>0</v>
      </c>
      <c r="AG507" s="120"/>
      <c r="AH507" s="121">
        <v>44197</v>
      </c>
      <c r="AI507" s="121">
        <v>44197</v>
      </c>
      <c r="AJ507" s="121">
        <v>44197</v>
      </c>
      <c r="AK507" s="122">
        <v>44197</v>
      </c>
      <c r="AL507" s="122" t="e">
        <v>#N/A</v>
      </c>
      <c r="AM507" s="121">
        <v>45614</v>
      </c>
      <c r="AN507" s="121" t="e">
        <v>#N/A</v>
      </c>
      <c r="AO507" s="121" t="e">
        <v>#N/A</v>
      </c>
      <c r="AP507" s="122" t="e">
        <v>#N/A</v>
      </c>
      <c r="AQ507" s="122" t="e">
        <v>#N/A</v>
      </c>
      <c r="AR507" s="122" t="e">
        <v>#N/A</v>
      </c>
      <c r="AS507" s="122" t="e">
        <v>#N/A</v>
      </c>
      <c r="AT507" s="122" t="e">
        <v>#N/A</v>
      </c>
      <c r="AU507" s="121" t="e">
        <v>#N/A</v>
      </c>
      <c r="AV507" s="122" t="e">
        <v>#N/A</v>
      </c>
      <c r="AW507" s="122" t="e">
        <v>#N/A</v>
      </c>
      <c r="AX507" s="122" t="e">
        <v>#N/A</v>
      </c>
      <c r="AY507" s="122" t="e">
        <v>#N/A</v>
      </c>
      <c r="AZ507" s="122" t="e">
        <v>#N/A</v>
      </c>
      <c r="BA507" s="122" t="e">
        <v>#N/A</v>
      </c>
      <c r="BB507" s="122" t="e">
        <v>#N/A</v>
      </c>
      <c r="BC507" s="122" t="e">
        <v>#N/A</v>
      </c>
      <c r="BD507" s="122" t="e">
        <v>#N/A</v>
      </c>
      <c r="BE507" s="122" t="e">
        <v>#N/A</v>
      </c>
      <c r="BF507" s="122" t="e">
        <v>#N/A</v>
      </c>
      <c r="BG507" s="122" t="e">
        <v>#N/A</v>
      </c>
      <c r="BH507" s="122" t="e">
        <v>#N/A</v>
      </c>
      <c r="BI507" s="122" t="e">
        <v>#N/A</v>
      </c>
      <c r="BJ507" s="122" t="e">
        <v>#N/A</v>
      </c>
      <c r="BK507" s="122" t="e">
        <v>#N/A</v>
      </c>
      <c r="BL507" s="123"/>
      <c r="BM507" s="124" t="e">
        <v>#N/A</v>
      </c>
      <c r="BN507" s="124" t="e">
        <v>#N/A</v>
      </c>
      <c r="BO507" s="124" t="e">
        <v>#N/A</v>
      </c>
      <c r="BP507" s="124" t="e">
        <v>#N/A</v>
      </c>
      <c r="BQ507" s="124" t="e">
        <v>#N/A</v>
      </c>
      <c r="BR507" s="124" t="e">
        <v>#N/A</v>
      </c>
      <c r="BS507" s="124" t="e">
        <v>#N/A</v>
      </c>
      <c r="BT507" s="124" t="e">
        <v>#N/A</v>
      </c>
      <c r="BU507" s="124" t="e">
        <v>#N/A</v>
      </c>
      <c r="BV507" s="124" t="e">
        <v>#N/A</v>
      </c>
      <c r="BW507" s="124" t="e">
        <v>#N/A</v>
      </c>
      <c r="BX507" s="124" t="e">
        <v>#N/A</v>
      </c>
      <c r="BY507" s="124" t="e">
        <v>#N/A</v>
      </c>
      <c r="BZ507" s="124" t="e">
        <v>#N/A</v>
      </c>
      <c r="CA507" s="125"/>
      <c r="CB507" s="124" t="e">
        <v>#N/A</v>
      </c>
      <c r="CC507" s="126">
        <v>1</v>
      </c>
      <c r="CD507" s="127" t="s">
        <v>4169</v>
      </c>
      <c r="CE507" s="128"/>
      <c r="CF507" s="77" t="s">
        <v>4206</v>
      </c>
    </row>
    <row r="508" spans="1:85" ht="14.5" x14ac:dyDescent="0.35">
      <c r="A508" s="77">
        <v>507</v>
      </c>
      <c r="B508" s="106" t="s">
        <v>72</v>
      </c>
      <c r="C508" s="107" t="s">
        <v>1400</v>
      </c>
      <c r="D508" s="108" t="s">
        <v>594</v>
      </c>
      <c r="E508" s="109" t="s">
        <v>595</v>
      </c>
      <c r="F508" s="110">
        <v>649887884</v>
      </c>
      <c r="G508" s="108" t="s">
        <v>1004</v>
      </c>
      <c r="H508" s="111" t="s">
        <v>328</v>
      </c>
      <c r="I508" s="111" t="s">
        <v>180</v>
      </c>
      <c r="J508" s="111" t="s">
        <v>4648</v>
      </c>
      <c r="K508" s="111" t="s">
        <v>2860</v>
      </c>
      <c r="L508" s="112">
        <v>43525</v>
      </c>
      <c r="M508" s="111" t="s">
        <v>270</v>
      </c>
      <c r="N508" s="113"/>
      <c r="O508" s="114" t="s">
        <v>7606</v>
      </c>
      <c r="P508" s="114" t="s">
        <v>7606</v>
      </c>
      <c r="Q508" s="114" t="s">
        <v>7606</v>
      </c>
      <c r="R508" s="114" t="s">
        <v>7607</v>
      </c>
      <c r="S508" s="114" t="s">
        <v>7606</v>
      </c>
      <c r="T508" s="114" t="s">
        <v>183</v>
      </c>
      <c r="U508" s="114" t="s">
        <v>183</v>
      </c>
      <c r="V508" s="115"/>
      <c r="W508" s="116" t="s">
        <v>1961</v>
      </c>
      <c r="X508" s="116" t="s">
        <v>1962</v>
      </c>
      <c r="Y508" s="117">
        <v>3485538</v>
      </c>
      <c r="Z508" s="117">
        <v>3481104</v>
      </c>
      <c r="AA508" s="118"/>
      <c r="AB508" s="119" t="s">
        <v>5871</v>
      </c>
      <c r="AC508" s="119" t="s">
        <v>1963</v>
      </c>
      <c r="AD508" s="119">
        <v>4118</v>
      </c>
      <c r="AE508" s="119" t="s">
        <v>1964</v>
      </c>
      <c r="AF508" s="119">
        <v>0</v>
      </c>
      <c r="AG508" s="120"/>
      <c r="AH508" s="121">
        <v>44197</v>
      </c>
      <c r="AI508" s="121">
        <v>44197</v>
      </c>
      <c r="AJ508" s="121">
        <v>44197</v>
      </c>
      <c r="AK508" s="122">
        <v>44197</v>
      </c>
      <c r="AL508" s="122" t="e">
        <v>#N/A</v>
      </c>
      <c r="AM508" s="121" t="e">
        <v>#N/A</v>
      </c>
      <c r="AN508" s="121" t="e">
        <v>#N/A</v>
      </c>
      <c r="AO508" s="121" t="e">
        <v>#N/A</v>
      </c>
      <c r="AP508" s="122" t="e">
        <v>#N/A</v>
      </c>
      <c r="AQ508" s="122" t="e">
        <v>#N/A</v>
      </c>
      <c r="AR508" s="122" t="e">
        <v>#N/A</v>
      </c>
      <c r="AS508" s="122" t="e">
        <v>#N/A</v>
      </c>
      <c r="AT508" s="122" t="e">
        <v>#N/A</v>
      </c>
      <c r="AU508" s="121" t="e">
        <v>#N/A</v>
      </c>
      <c r="AV508" s="122" t="e">
        <v>#N/A</v>
      </c>
      <c r="AW508" s="122" t="e">
        <v>#N/A</v>
      </c>
      <c r="AX508" s="122" t="e">
        <v>#N/A</v>
      </c>
      <c r="AY508" s="122" t="e">
        <v>#N/A</v>
      </c>
      <c r="AZ508" s="122" t="e">
        <v>#N/A</v>
      </c>
      <c r="BA508" s="122" t="e">
        <v>#N/A</v>
      </c>
      <c r="BB508" s="122" t="e">
        <v>#N/A</v>
      </c>
      <c r="BC508" s="122" t="e">
        <v>#N/A</v>
      </c>
      <c r="BD508" s="122" t="e">
        <v>#N/A</v>
      </c>
      <c r="BE508" s="122" t="e">
        <v>#N/A</v>
      </c>
      <c r="BF508" s="122" t="e">
        <v>#N/A</v>
      </c>
      <c r="BG508" s="122" t="e">
        <v>#N/A</v>
      </c>
      <c r="BH508" s="122" t="e">
        <v>#N/A</v>
      </c>
      <c r="BI508" s="122" t="e">
        <v>#N/A</v>
      </c>
      <c r="BJ508" s="122" t="e">
        <v>#N/A</v>
      </c>
      <c r="BK508" s="122" t="e">
        <v>#N/A</v>
      </c>
      <c r="BL508" s="123"/>
      <c r="BM508" s="124">
        <v>44197</v>
      </c>
      <c r="BN508" s="124">
        <v>44197</v>
      </c>
      <c r="BO508" s="124">
        <v>44197</v>
      </c>
      <c r="BP508" s="124">
        <v>44197</v>
      </c>
      <c r="BQ508" s="124">
        <v>44197</v>
      </c>
      <c r="BR508" s="124">
        <v>44197</v>
      </c>
      <c r="BS508" s="124">
        <v>44197</v>
      </c>
      <c r="BT508" s="124">
        <v>44197</v>
      </c>
      <c r="BU508" s="124" t="e">
        <v>#N/A</v>
      </c>
      <c r="BV508" s="124" t="e">
        <v>#N/A</v>
      </c>
      <c r="BW508" s="124" t="e">
        <v>#N/A</v>
      </c>
      <c r="BX508" s="124">
        <v>44197</v>
      </c>
      <c r="BY508" s="124">
        <v>45078</v>
      </c>
      <c r="BZ508" s="124" t="e">
        <v>#N/A</v>
      </c>
      <c r="CA508" s="125"/>
      <c r="CB508" s="124">
        <v>45727</v>
      </c>
      <c r="CC508" s="126">
        <v>1</v>
      </c>
      <c r="CD508" s="127" t="s">
        <v>4169</v>
      </c>
      <c r="CE508" s="128"/>
      <c r="CF508" s="77" t="s">
        <v>4206</v>
      </c>
    </row>
    <row r="509" spans="1:85" ht="14.5" x14ac:dyDescent="0.35">
      <c r="A509" s="77">
        <v>508</v>
      </c>
      <c r="B509" s="106" t="s">
        <v>59</v>
      </c>
      <c r="C509" s="107" t="s">
        <v>1377</v>
      </c>
      <c r="D509" s="108" t="s">
        <v>548</v>
      </c>
      <c r="E509" s="109" t="s">
        <v>549</v>
      </c>
      <c r="F509" s="110">
        <v>675226868</v>
      </c>
      <c r="G509" s="108" t="s">
        <v>1004</v>
      </c>
      <c r="H509" s="111" t="s">
        <v>328</v>
      </c>
      <c r="I509" s="111" t="s">
        <v>180</v>
      </c>
      <c r="J509" s="111" t="s">
        <v>4648</v>
      </c>
      <c r="K509" s="111" t="s">
        <v>2860</v>
      </c>
      <c r="L509" s="112">
        <v>44571</v>
      </c>
      <c r="M509" s="111" t="s">
        <v>2383</v>
      </c>
      <c r="N509" s="113"/>
      <c r="O509" s="114" t="s">
        <v>7608</v>
      </c>
      <c r="P509" s="114" t="s">
        <v>4356</v>
      </c>
      <c r="Q509" s="114" t="s">
        <v>7608</v>
      </c>
      <c r="R509" s="114" t="s">
        <v>7608</v>
      </c>
      <c r="S509" s="114" t="s">
        <v>7608</v>
      </c>
      <c r="T509" s="114" t="s">
        <v>7608</v>
      </c>
      <c r="U509" s="114" t="s">
        <v>4356</v>
      </c>
      <c r="V509" s="115"/>
      <c r="W509" s="116" t="s">
        <v>550</v>
      </c>
      <c r="X509" s="116" t="s">
        <v>551</v>
      </c>
      <c r="Y509" s="117">
        <v>3485484</v>
      </c>
      <c r="Z509" s="117">
        <v>3481056</v>
      </c>
      <c r="AA509" s="118"/>
      <c r="AB509" s="119" t="s">
        <v>5746</v>
      </c>
      <c r="AC509" s="119" t="s">
        <v>1378</v>
      </c>
      <c r="AD509" s="119">
        <v>4054</v>
      </c>
      <c r="AE509" s="119" t="s">
        <v>552</v>
      </c>
      <c r="AF509" s="119">
        <v>0</v>
      </c>
      <c r="AG509" s="120"/>
      <c r="AH509" s="121">
        <v>44500</v>
      </c>
      <c r="AI509" s="121">
        <v>44197</v>
      </c>
      <c r="AJ509" s="121">
        <v>44197</v>
      </c>
      <c r="AK509" s="122">
        <v>44197</v>
      </c>
      <c r="AL509" s="122" t="e">
        <v>#N/A</v>
      </c>
      <c r="AM509" s="122" t="e">
        <v>#N/A</v>
      </c>
      <c r="AN509" s="122" t="e">
        <v>#N/A</v>
      </c>
      <c r="AO509" s="121" t="e">
        <v>#N/A</v>
      </c>
      <c r="AP509" s="122" t="e">
        <v>#N/A</v>
      </c>
      <c r="AQ509" s="122" t="e">
        <v>#N/A</v>
      </c>
      <c r="AR509" s="122" t="e">
        <v>#N/A</v>
      </c>
      <c r="AS509" s="122" t="e">
        <v>#N/A</v>
      </c>
      <c r="AT509" s="122" t="e">
        <v>#N/A</v>
      </c>
      <c r="AU509" s="121" t="e">
        <v>#N/A</v>
      </c>
      <c r="AV509" s="122" t="e">
        <v>#N/A</v>
      </c>
      <c r="AW509" s="122" t="e">
        <v>#N/A</v>
      </c>
      <c r="AX509" s="122" t="e">
        <v>#N/A</v>
      </c>
      <c r="AY509" s="122" t="e">
        <v>#N/A</v>
      </c>
      <c r="AZ509" s="122" t="e">
        <v>#N/A</v>
      </c>
      <c r="BA509" s="122" t="e">
        <v>#N/A</v>
      </c>
      <c r="BB509" s="122" t="e">
        <v>#N/A</v>
      </c>
      <c r="BC509" s="122" t="e">
        <v>#N/A</v>
      </c>
      <c r="BD509" s="122" t="e">
        <v>#N/A</v>
      </c>
      <c r="BE509" s="122" t="e">
        <v>#N/A</v>
      </c>
      <c r="BF509" s="122" t="e">
        <v>#N/A</v>
      </c>
      <c r="BG509" s="122" t="e">
        <v>#N/A</v>
      </c>
      <c r="BH509" s="122" t="e">
        <v>#N/A</v>
      </c>
      <c r="BI509" s="122" t="e">
        <v>#N/A</v>
      </c>
      <c r="BJ509" s="122" t="e">
        <v>#N/A</v>
      </c>
      <c r="BK509" s="122" t="e">
        <v>#N/A</v>
      </c>
      <c r="BL509" s="123"/>
      <c r="BM509" s="124">
        <v>44197</v>
      </c>
      <c r="BN509" s="124">
        <v>44197</v>
      </c>
      <c r="BO509" s="124">
        <v>44197</v>
      </c>
      <c r="BP509" s="124">
        <v>44197</v>
      </c>
      <c r="BQ509" s="124">
        <v>44197</v>
      </c>
      <c r="BR509" s="124">
        <v>44714</v>
      </c>
      <c r="BS509" s="124">
        <v>44197</v>
      </c>
      <c r="BT509" s="124">
        <v>44197</v>
      </c>
      <c r="BU509" s="124" t="e">
        <v>#N/A</v>
      </c>
      <c r="BV509" s="124" t="e">
        <v>#N/A</v>
      </c>
      <c r="BW509" s="124" t="e">
        <v>#N/A</v>
      </c>
      <c r="BX509" s="124">
        <v>44197</v>
      </c>
      <c r="BY509" s="124" t="e">
        <v>#N/A</v>
      </c>
      <c r="BZ509" s="124" t="e">
        <v>#N/A</v>
      </c>
      <c r="CA509" s="125"/>
      <c r="CB509" s="124">
        <v>45733</v>
      </c>
      <c r="CC509" s="126">
        <v>1</v>
      </c>
      <c r="CD509" s="127" t="s">
        <v>4169</v>
      </c>
      <c r="CE509" s="128"/>
      <c r="CF509" s="77" t="s">
        <v>4206</v>
      </c>
    </row>
    <row r="510" spans="1:85" ht="14.5" x14ac:dyDescent="0.35">
      <c r="A510" s="77">
        <v>509</v>
      </c>
      <c r="B510" s="106" t="s">
        <v>106</v>
      </c>
      <c r="C510" s="107" t="s">
        <v>1427</v>
      </c>
      <c r="D510" s="108" t="s">
        <v>704</v>
      </c>
      <c r="E510" s="109" t="s">
        <v>705</v>
      </c>
      <c r="F510" s="110">
        <v>608487536</v>
      </c>
      <c r="G510" s="108" t="s">
        <v>1004</v>
      </c>
      <c r="H510" s="111" t="s">
        <v>328</v>
      </c>
      <c r="I510" s="111" t="s">
        <v>180</v>
      </c>
      <c r="J510" s="111" t="s">
        <v>4648</v>
      </c>
      <c r="K510" s="111" t="s">
        <v>2860</v>
      </c>
      <c r="L510" s="112">
        <v>43048</v>
      </c>
      <c r="M510" s="111" t="s">
        <v>2383</v>
      </c>
      <c r="N510" s="113"/>
      <c r="O510" s="114" t="s">
        <v>183</v>
      </c>
      <c r="P510" s="114" t="s">
        <v>7609</v>
      </c>
      <c r="Q510" s="114" t="s">
        <v>344</v>
      </c>
      <c r="R510" s="114" t="s">
        <v>7334</v>
      </c>
      <c r="S510" s="114" t="s">
        <v>7610</v>
      </c>
      <c r="T510" s="114" t="s">
        <v>4263</v>
      </c>
      <c r="U510" s="114" t="s">
        <v>183</v>
      </c>
      <c r="V510" s="115"/>
      <c r="W510" s="116" t="s">
        <v>706</v>
      </c>
      <c r="X510" s="116" t="s">
        <v>707</v>
      </c>
      <c r="Y510" s="117">
        <v>3485585</v>
      </c>
      <c r="Z510" s="117">
        <v>3481016</v>
      </c>
      <c r="AA510" s="118"/>
      <c r="AB510" s="119" t="s">
        <v>5872</v>
      </c>
      <c r="AC510" s="119" t="s">
        <v>1428</v>
      </c>
      <c r="AD510" s="119">
        <v>4135</v>
      </c>
      <c r="AE510" s="119" t="s">
        <v>708</v>
      </c>
      <c r="AF510" s="119" t="s">
        <v>7107</v>
      </c>
      <c r="AG510" s="120"/>
      <c r="AH510" s="121">
        <v>44197</v>
      </c>
      <c r="AI510" s="121">
        <v>44197</v>
      </c>
      <c r="AJ510" s="121">
        <v>44197</v>
      </c>
      <c r="AK510" s="122">
        <v>44197</v>
      </c>
      <c r="AL510" s="122" t="e">
        <v>#N/A</v>
      </c>
      <c r="AM510" s="121" t="e">
        <v>#N/A</v>
      </c>
      <c r="AN510" s="121" t="e">
        <v>#N/A</v>
      </c>
      <c r="AO510" s="121" t="e">
        <v>#N/A</v>
      </c>
      <c r="AP510" s="122" t="e">
        <v>#N/A</v>
      </c>
      <c r="AQ510" s="122" t="e">
        <v>#N/A</v>
      </c>
      <c r="AR510" s="122" t="e">
        <v>#N/A</v>
      </c>
      <c r="AS510" s="122" t="e">
        <v>#N/A</v>
      </c>
      <c r="AT510" s="122" t="e">
        <v>#N/A</v>
      </c>
      <c r="AU510" s="121" t="e">
        <v>#N/A</v>
      </c>
      <c r="AV510" s="122" t="e">
        <v>#N/A</v>
      </c>
      <c r="AW510" s="122" t="e">
        <v>#N/A</v>
      </c>
      <c r="AX510" s="122" t="e">
        <v>#N/A</v>
      </c>
      <c r="AY510" s="122" t="e">
        <v>#N/A</v>
      </c>
      <c r="AZ510" s="122" t="e">
        <v>#N/A</v>
      </c>
      <c r="BA510" s="122" t="e">
        <v>#N/A</v>
      </c>
      <c r="BB510" s="122" t="e">
        <v>#N/A</v>
      </c>
      <c r="BC510" s="122" t="e">
        <v>#N/A</v>
      </c>
      <c r="BD510" s="122" t="e">
        <v>#N/A</v>
      </c>
      <c r="BE510" s="122" t="e">
        <v>#N/A</v>
      </c>
      <c r="BF510" s="122" t="e">
        <v>#N/A</v>
      </c>
      <c r="BG510" s="122" t="e">
        <v>#N/A</v>
      </c>
      <c r="BH510" s="122" t="e">
        <v>#N/A</v>
      </c>
      <c r="BI510" s="122" t="e">
        <v>#N/A</v>
      </c>
      <c r="BJ510" s="122" t="e">
        <v>#N/A</v>
      </c>
      <c r="BK510" s="122">
        <v>45960</v>
      </c>
      <c r="BL510" s="123"/>
      <c r="BM510" s="124">
        <v>44197</v>
      </c>
      <c r="BN510" s="124">
        <v>44197</v>
      </c>
      <c r="BO510" s="124">
        <v>44197</v>
      </c>
      <c r="BP510" s="124">
        <v>44197</v>
      </c>
      <c r="BQ510" s="124">
        <v>44197</v>
      </c>
      <c r="BR510" s="124">
        <v>44714</v>
      </c>
      <c r="BS510" s="124">
        <v>44197</v>
      </c>
      <c r="BT510" s="124">
        <v>44197</v>
      </c>
      <c r="BU510" s="124" t="e">
        <v>#N/A</v>
      </c>
      <c r="BV510" s="124" t="e">
        <v>#N/A</v>
      </c>
      <c r="BW510" s="124" t="e">
        <v>#N/A</v>
      </c>
      <c r="BX510" s="124">
        <v>44197</v>
      </c>
      <c r="BY510" s="124" t="e">
        <v>#N/A</v>
      </c>
      <c r="BZ510" s="124" t="e">
        <v>#N/A</v>
      </c>
      <c r="CA510" s="125"/>
      <c r="CB510" s="124" t="e">
        <v>#N/A</v>
      </c>
      <c r="CC510" s="126">
        <v>1</v>
      </c>
      <c r="CD510" s="127" t="s">
        <v>4169</v>
      </c>
      <c r="CE510" s="128"/>
      <c r="CF510" s="77" t="s">
        <v>4207</v>
      </c>
    </row>
    <row r="511" spans="1:85" ht="14.5" x14ac:dyDescent="0.35">
      <c r="A511" s="77">
        <v>510</v>
      </c>
      <c r="B511" s="106" t="s">
        <v>54</v>
      </c>
      <c r="C511" s="107" t="s">
        <v>1403</v>
      </c>
      <c r="D511" s="108" t="s">
        <v>528</v>
      </c>
      <c r="E511" s="109" t="s">
        <v>529</v>
      </c>
      <c r="F511" s="110">
        <v>692862657</v>
      </c>
      <c r="G511" s="108" t="s">
        <v>1004</v>
      </c>
      <c r="H511" s="111" t="s">
        <v>328</v>
      </c>
      <c r="I511" s="111" t="s">
        <v>180</v>
      </c>
      <c r="J511" s="111" t="s">
        <v>4648</v>
      </c>
      <c r="K511" s="111" t="s">
        <v>2860</v>
      </c>
      <c r="L511" s="112">
        <v>41920</v>
      </c>
      <c r="M511" s="111" t="s">
        <v>2383</v>
      </c>
      <c r="N511" s="113"/>
      <c r="O511" s="114" t="s">
        <v>7611</v>
      </c>
      <c r="P511" s="114" t="s">
        <v>183</v>
      </c>
      <c r="Q511" s="114" t="s">
        <v>257</v>
      </c>
      <c r="R511" s="114" t="s">
        <v>257</v>
      </c>
      <c r="S511" s="114" t="s">
        <v>7611</v>
      </c>
      <c r="T511" s="114" t="s">
        <v>7611</v>
      </c>
      <c r="U511" s="114" t="s">
        <v>183</v>
      </c>
      <c r="V511" s="115"/>
      <c r="W511" s="116" t="s">
        <v>530</v>
      </c>
      <c r="X511" s="116" t="s">
        <v>531</v>
      </c>
      <c r="Y511" s="117">
        <v>3485393</v>
      </c>
      <c r="Z511" s="117">
        <v>3481020</v>
      </c>
      <c r="AA511" s="118"/>
      <c r="AB511" s="119" t="s">
        <v>5873</v>
      </c>
      <c r="AC511" s="119" t="s">
        <v>1404</v>
      </c>
      <c r="AD511" s="119">
        <v>5589</v>
      </c>
      <c r="AE511" s="119" t="s">
        <v>532</v>
      </c>
      <c r="AF511" s="119" t="s">
        <v>7093</v>
      </c>
      <c r="AG511" s="120"/>
      <c r="AH511" s="121">
        <v>44197</v>
      </c>
      <c r="AI511" s="121">
        <v>44197</v>
      </c>
      <c r="AJ511" s="121">
        <v>44197</v>
      </c>
      <c r="AK511" s="122">
        <v>44197</v>
      </c>
      <c r="AL511" s="122" t="e">
        <v>#N/A</v>
      </c>
      <c r="AM511" s="121" t="e">
        <v>#N/A</v>
      </c>
      <c r="AN511" s="121" t="e">
        <v>#N/A</v>
      </c>
      <c r="AO511" s="121" t="e">
        <v>#N/A</v>
      </c>
      <c r="AP511" s="122" t="e">
        <v>#N/A</v>
      </c>
      <c r="AQ511" s="122" t="e">
        <v>#N/A</v>
      </c>
      <c r="AR511" s="122" t="e">
        <v>#N/A</v>
      </c>
      <c r="AS511" s="122" t="e">
        <v>#N/A</v>
      </c>
      <c r="AT511" s="122" t="e">
        <v>#N/A</v>
      </c>
      <c r="AU511" s="121">
        <v>45912</v>
      </c>
      <c r="AV511" s="122">
        <v>44607</v>
      </c>
      <c r="AW511" s="122">
        <v>44607</v>
      </c>
      <c r="AX511" s="122" t="e">
        <v>#N/A</v>
      </c>
      <c r="AY511" s="122" t="e">
        <v>#N/A</v>
      </c>
      <c r="AZ511" s="122" t="e">
        <v>#N/A</v>
      </c>
      <c r="BA511" s="122" t="e">
        <v>#N/A</v>
      </c>
      <c r="BB511" s="122" t="e">
        <v>#N/A</v>
      </c>
      <c r="BC511" s="122" t="e">
        <v>#N/A</v>
      </c>
      <c r="BD511" s="122" t="e">
        <v>#N/A</v>
      </c>
      <c r="BE511" s="122" t="e">
        <v>#N/A</v>
      </c>
      <c r="BF511" s="122" t="e">
        <v>#N/A</v>
      </c>
      <c r="BG511" s="122" t="e">
        <v>#N/A</v>
      </c>
      <c r="BH511" s="122" t="e">
        <v>#N/A</v>
      </c>
      <c r="BI511" s="122" t="e">
        <v>#N/A</v>
      </c>
      <c r="BJ511" s="122" t="e">
        <v>#N/A</v>
      </c>
      <c r="BK511" s="122">
        <v>45961</v>
      </c>
      <c r="BL511" s="123"/>
      <c r="BM511" s="124">
        <v>44197</v>
      </c>
      <c r="BN511" s="124">
        <v>44197</v>
      </c>
      <c r="BO511" s="124">
        <v>44197</v>
      </c>
      <c r="BP511" s="124">
        <v>44197</v>
      </c>
      <c r="BQ511" s="124">
        <v>44935</v>
      </c>
      <c r="BR511" s="124">
        <v>44197</v>
      </c>
      <c r="BS511" s="124">
        <v>44197</v>
      </c>
      <c r="BT511" s="124">
        <v>44197</v>
      </c>
      <c r="BU511" s="124">
        <v>45015</v>
      </c>
      <c r="BV511" s="124" t="e">
        <v>#N/A</v>
      </c>
      <c r="BW511" s="124" t="e">
        <v>#N/A</v>
      </c>
      <c r="BX511" s="124">
        <v>44197</v>
      </c>
      <c r="BY511" s="124" t="e">
        <v>#N/A</v>
      </c>
      <c r="BZ511" s="124" t="e">
        <v>#N/A</v>
      </c>
      <c r="CA511" s="125"/>
      <c r="CB511" s="124" t="e">
        <v>#N/A</v>
      </c>
      <c r="CC511" s="126">
        <v>1</v>
      </c>
      <c r="CD511" s="127" t="s">
        <v>4169</v>
      </c>
      <c r="CE511" s="128"/>
      <c r="CF511" s="77" t="s">
        <v>4207</v>
      </c>
    </row>
    <row r="512" spans="1:85" ht="14.5" x14ac:dyDescent="0.35">
      <c r="A512" s="77">
        <v>511</v>
      </c>
      <c r="B512" s="106" t="s">
        <v>6382</v>
      </c>
      <c r="C512" s="107" t="s">
        <v>1450</v>
      </c>
      <c r="D512" s="108" t="s">
        <v>421</v>
      </c>
      <c r="E512" s="109" t="s">
        <v>422</v>
      </c>
      <c r="F512" s="110">
        <v>661928919</v>
      </c>
      <c r="G512" s="108" t="s">
        <v>1004</v>
      </c>
      <c r="H512" s="111" t="s">
        <v>328</v>
      </c>
      <c r="I512" s="111" t="s">
        <v>180</v>
      </c>
      <c r="J512" s="111" t="s">
        <v>4648</v>
      </c>
      <c r="K512" s="111" t="s">
        <v>2860</v>
      </c>
      <c r="L512" s="112">
        <v>42987</v>
      </c>
      <c r="M512" s="111" t="s">
        <v>2383</v>
      </c>
      <c r="N512" s="113"/>
      <c r="O512" s="114" t="s">
        <v>183</v>
      </c>
      <c r="P512" s="114" t="s">
        <v>7612</v>
      </c>
      <c r="Q512" s="114" t="s">
        <v>7613</v>
      </c>
      <c r="R512" s="114" t="s">
        <v>7614</v>
      </c>
      <c r="S512" s="114" t="s">
        <v>7615</v>
      </c>
      <c r="T512" s="114" t="s">
        <v>7612</v>
      </c>
      <c r="U512" s="114" t="s">
        <v>183</v>
      </c>
      <c r="V512" s="115"/>
      <c r="W512" s="116" t="s">
        <v>1995</v>
      </c>
      <c r="X512" s="116" t="s">
        <v>1996</v>
      </c>
      <c r="Y512" s="117">
        <v>3485168</v>
      </c>
      <c r="Z512" s="117">
        <v>3481012</v>
      </c>
      <c r="AA512" s="118"/>
      <c r="AB512" s="119" t="s">
        <v>5745</v>
      </c>
      <c r="AC512" s="119" t="s">
        <v>1997</v>
      </c>
      <c r="AD512" s="119">
        <v>4019</v>
      </c>
      <c r="AE512" s="119" t="s">
        <v>1998</v>
      </c>
      <c r="AF512" s="119">
        <v>0</v>
      </c>
      <c r="AG512" s="120"/>
      <c r="AH512" s="121">
        <v>44197</v>
      </c>
      <c r="AI512" s="121">
        <v>44197</v>
      </c>
      <c r="AJ512" s="121">
        <v>44197</v>
      </c>
      <c r="AK512" s="122">
        <v>44197</v>
      </c>
      <c r="AL512" s="122" t="e">
        <v>#N/A</v>
      </c>
      <c r="AM512" s="121" t="e">
        <v>#N/A</v>
      </c>
      <c r="AN512" s="121" t="e">
        <v>#N/A</v>
      </c>
      <c r="AO512" s="121" t="e">
        <v>#N/A</v>
      </c>
      <c r="AP512" s="122" t="e">
        <v>#N/A</v>
      </c>
      <c r="AQ512" s="122" t="e">
        <v>#N/A</v>
      </c>
      <c r="AR512" s="122" t="e">
        <v>#N/A</v>
      </c>
      <c r="AS512" s="122" t="e">
        <v>#N/A</v>
      </c>
      <c r="AT512" s="122" t="e">
        <v>#N/A</v>
      </c>
      <c r="AU512" s="121" t="e">
        <v>#N/A</v>
      </c>
      <c r="AV512" s="122" t="e">
        <v>#N/A</v>
      </c>
      <c r="AW512" s="122" t="e">
        <v>#N/A</v>
      </c>
      <c r="AX512" s="122" t="e">
        <v>#N/A</v>
      </c>
      <c r="AY512" s="122" t="e">
        <v>#N/A</v>
      </c>
      <c r="AZ512" s="122" t="e">
        <v>#N/A</v>
      </c>
      <c r="BA512" s="122" t="e">
        <v>#N/A</v>
      </c>
      <c r="BB512" s="122" t="e">
        <v>#N/A</v>
      </c>
      <c r="BC512" s="122" t="e">
        <v>#N/A</v>
      </c>
      <c r="BD512" s="122" t="e">
        <v>#N/A</v>
      </c>
      <c r="BE512" s="122" t="e">
        <v>#N/A</v>
      </c>
      <c r="BF512" s="122" t="e">
        <v>#N/A</v>
      </c>
      <c r="BG512" s="122" t="e">
        <v>#N/A</v>
      </c>
      <c r="BH512" s="122" t="e">
        <v>#N/A</v>
      </c>
      <c r="BI512" s="122" t="e">
        <v>#N/A</v>
      </c>
      <c r="BJ512" s="122" t="e">
        <v>#N/A</v>
      </c>
      <c r="BK512" s="122" t="e">
        <v>#N/A</v>
      </c>
      <c r="BL512" s="123"/>
      <c r="BM512" s="124">
        <v>44197</v>
      </c>
      <c r="BN512" s="124">
        <v>44197</v>
      </c>
      <c r="BO512" s="124">
        <v>44197</v>
      </c>
      <c r="BP512" s="124">
        <v>44197</v>
      </c>
      <c r="BQ512" s="124">
        <v>44197</v>
      </c>
      <c r="BR512" s="124">
        <v>44714</v>
      </c>
      <c r="BS512" s="124">
        <v>44197</v>
      </c>
      <c r="BT512" s="124">
        <v>44197</v>
      </c>
      <c r="BU512" s="124" t="e">
        <v>#N/A</v>
      </c>
      <c r="BV512" s="124" t="e">
        <v>#N/A</v>
      </c>
      <c r="BW512" s="124" t="e">
        <v>#N/A</v>
      </c>
      <c r="BX512" s="124">
        <v>44197</v>
      </c>
      <c r="BY512" s="124" t="e">
        <v>#N/A</v>
      </c>
      <c r="BZ512" s="124" t="e">
        <v>#N/A</v>
      </c>
      <c r="CA512" s="125"/>
      <c r="CB512" s="124" t="e">
        <v>#N/A</v>
      </c>
      <c r="CC512" s="126">
        <v>1</v>
      </c>
      <c r="CD512" s="127" t="e">
        <v>#N/A</v>
      </c>
      <c r="CE512" s="128"/>
      <c r="CF512" s="77" t="s">
        <v>4207</v>
      </c>
    </row>
    <row r="513" spans="1:84" ht="14.5" x14ac:dyDescent="0.35">
      <c r="A513" s="77">
        <v>512</v>
      </c>
      <c r="B513" s="106" t="s">
        <v>6319</v>
      </c>
      <c r="C513" s="107" t="s">
        <v>1401</v>
      </c>
      <c r="D513" s="108" t="s">
        <v>326</v>
      </c>
      <c r="E513" s="109" t="s">
        <v>327</v>
      </c>
      <c r="F513" s="110">
        <v>697984725</v>
      </c>
      <c r="G513" s="108" t="s">
        <v>1004</v>
      </c>
      <c r="H513" s="111" t="s">
        <v>328</v>
      </c>
      <c r="I513" s="111" t="s">
        <v>180</v>
      </c>
      <c r="J513" s="111" t="s">
        <v>4648</v>
      </c>
      <c r="K513" s="111" t="s">
        <v>2860</v>
      </c>
      <c r="L513" s="112">
        <v>42994</v>
      </c>
      <c r="M513" s="111" t="s">
        <v>2383</v>
      </c>
      <c r="N513" s="113"/>
      <c r="O513" s="114" t="s">
        <v>183</v>
      </c>
      <c r="P513" s="114" t="s">
        <v>7616</v>
      </c>
      <c r="Q513" s="114" t="s">
        <v>330</v>
      </c>
      <c r="R513" s="114" t="s">
        <v>330</v>
      </c>
      <c r="S513" s="114" t="s">
        <v>7616</v>
      </c>
      <c r="T513" s="114" t="s">
        <v>7617</v>
      </c>
      <c r="U513" s="114" t="s">
        <v>183</v>
      </c>
      <c r="V513" s="115"/>
      <c r="W513" s="116" t="s">
        <v>1965</v>
      </c>
      <c r="X513" s="116" t="s">
        <v>1966</v>
      </c>
      <c r="Y513" s="117">
        <v>3485208</v>
      </c>
      <c r="Z513" s="117">
        <v>3486191</v>
      </c>
      <c r="AA513" s="118"/>
      <c r="AB513" s="119" t="s">
        <v>5244</v>
      </c>
      <c r="AC513" s="119" t="s">
        <v>1967</v>
      </c>
      <c r="AD513" s="119">
        <v>4168</v>
      </c>
      <c r="AE513" s="119" t="s">
        <v>1968</v>
      </c>
      <c r="AF513" s="119" t="s">
        <v>6175</v>
      </c>
      <c r="AG513" s="120"/>
      <c r="AH513" s="121">
        <v>44197</v>
      </c>
      <c r="AI513" s="121">
        <v>44197</v>
      </c>
      <c r="AJ513" s="121">
        <v>44197</v>
      </c>
      <c r="AK513" s="122">
        <v>44197</v>
      </c>
      <c r="AL513" s="122" t="e">
        <v>#N/A</v>
      </c>
      <c r="AM513" s="121" t="e">
        <v>#N/A</v>
      </c>
      <c r="AN513" s="121" t="e">
        <v>#N/A</v>
      </c>
      <c r="AO513" s="121" t="e">
        <v>#N/A</v>
      </c>
      <c r="AP513" s="122" t="e">
        <v>#N/A</v>
      </c>
      <c r="AQ513" s="122" t="e">
        <v>#N/A</v>
      </c>
      <c r="AR513" s="122" t="e">
        <v>#N/A</v>
      </c>
      <c r="AS513" s="122" t="e">
        <v>#N/A</v>
      </c>
      <c r="AT513" s="122" t="e">
        <v>#N/A</v>
      </c>
      <c r="AU513" s="121" t="e">
        <v>#N/A</v>
      </c>
      <c r="AV513" s="122" t="e">
        <v>#N/A</v>
      </c>
      <c r="AW513" s="122" t="e">
        <v>#N/A</v>
      </c>
      <c r="AX513" s="122" t="e">
        <v>#N/A</v>
      </c>
      <c r="AY513" s="122" t="e">
        <v>#N/A</v>
      </c>
      <c r="AZ513" s="122" t="e">
        <v>#N/A</v>
      </c>
      <c r="BA513" s="122" t="e">
        <v>#N/A</v>
      </c>
      <c r="BB513" s="122" t="e">
        <v>#N/A</v>
      </c>
      <c r="BC513" s="122" t="e">
        <v>#N/A</v>
      </c>
      <c r="BD513" s="122" t="e">
        <v>#N/A</v>
      </c>
      <c r="BE513" s="122" t="e">
        <v>#N/A</v>
      </c>
      <c r="BF513" s="122" t="e">
        <v>#N/A</v>
      </c>
      <c r="BG513" s="122" t="e">
        <v>#N/A</v>
      </c>
      <c r="BH513" s="122" t="e">
        <v>#N/A</v>
      </c>
      <c r="BI513" s="122" t="e">
        <v>#N/A</v>
      </c>
      <c r="BJ513" s="122" t="e">
        <v>#N/A</v>
      </c>
      <c r="BK513" s="122">
        <v>45959</v>
      </c>
      <c r="BL513" s="123"/>
      <c r="BM513" s="124">
        <v>44197</v>
      </c>
      <c r="BN513" s="124">
        <v>44197</v>
      </c>
      <c r="BO513" s="124">
        <v>44197</v>
      </c>
      <c r="BP513" s="124">
        <v>44197</v>
      </c>
      <c r="BQ513" s="124">
        <v>44197</v>
      </c>
      <c r="BR513" s="124">
        <v>44714</v>
      </c>
      <c r="BS513" s="124">
        <v>44197</v>
      </c>
      <c r="BT513" s="124">
        <v>44197</v>
      </c>
      <c r="BU513" s="124" t="e">
        <v>#N/A</v>
      </c>
      <c r="BV513" s="124" t="e">
        <v>#N/A</v>
      </c>
      <c r="BW513" s="124" t="e">
        <v>#N/A</v>
      </c>
      <c r="BX513" s="124">
        <v>44197</v>
      </c>
      <c r="BY513" s="124" t="e">
        <v>#N/A</v>
      </c>
      <c r="BZ513" s="124" t="e">
        <v>#N/A</v>
      </c>
      <c r="CA513" s="125"/>
      <c r="CB513" s="124">
        <v>45733</v>
      </c>
      <c r="CC513" s="126">
        <v>1</v>
      </c>
      <c r="CD513" s="127" t="e">
        <v>#N/A</v>
      </c>
      <c r="CE513" s="128"/>
      <c r="CF513" s="77" t="s">
        <v>4207</v>
      </c>
    </row>
    <row r="514" spans="1:84" ht="14.5" x14ac:dyDescent="0.35">
      <c r="A514" s="77">
        <v>513</v>
      </c>
      <c r="B514" s="106" t="s">
        <v>108</v>
      </c>
      <c r="C514" s="107" t="s">
        <v>1226</v>
      </c>
      <c r="D514" s="108" t="s">
        <v>713</v>
      </c>
      <c r="E514" s="109" t="s">
        <v>714</v>
      </c>
      <c r="F514" s="110">
        <v>660560584</v>
      </c>
      <c r="G514" s="108" t="s">
        <v>1004</v>
      </c>
      <c r="H514" s="111" t="s">
        <v>328</v>
      </c>
      <c r="I514" s="111" t="s">
        <v>180</v>
      </c>
      <c r="J514" s="111" t="s">
        <v>4648</v>
      </c>
      <c r="K514" s="111" t="s">
        <v>2860</v>
      </c>
      <c r="L514" s="112">
        <v>43048</v>
      </c>
      <c r="M514" s="111" t="s">
        <v>2383</v>
      </c>
      <c r="N514" s="113"/>
      <c r="O514" s="114" t="s">
        <v>183</v>
      </c>
      <c r="P514" s="114" t="s">
        <v>7276</v>
      </c>
      <c r="Q514" s="114" t="s">
        <v>225</v>
      </c>
      <c r="R514" s="114" t="s">
        <v>7331</v>
      </c>
      <c r="S514" s="114" t="s">
        <v>7618</v>
      </c>
      <c r="T514" s="114" t="s">
        <v>7619</v>
      </c>
      <c r="U514" s="114" t="s">
        <v>183</v>
      </c>
      <c r="V514" s="115"/>
      <c r="W514" s="116" t="s">
        <v>1891</v>
      </c>
      <c r="X514" s="116" t="s">
        <v>1892</v>
      </c>
      <c r="Y514" s="117">
        <v>3485533</v>
      </c>
      <c r="Z514" s="117">
        <v>3481061</v>
      </c>
      <c r="AA514" s="118"/>
      <c r="AB514" s="119" t="s">
        <v>5341</v>
      </c>
      <c r="AC514" s="119" t="s">
        <v>1893</v>
      </c>
      <c r="AD514" s="119">
        <v>4080</v>
      </c>
      <c r="AE514" s="119" t="s">
        <v>1894</v>
      </c>
      <c r="AF514" s="119" t="s">
        <v>7620</v>
      </c>
      <c r="AG514" s="120"/>
      <c r="AH514" s="121">
        <v>44197</v>
      </c>
      <c r="AI514" s="121">
        <v>44197</v>
      </c>
      <c r="AJ514" s="121">
        <v>44197</v>
      </c>
      <c r="AK514" s="122">
        <v>44197</v>
      </c>
      <c r="AL514" s="122" t="e">
        <v>#N/A</v>
      </c>
      <c r="AM514" s="121" t="e">
        <v>#N/A</v>
      </c>
      <c r="AN514" s="121" t="e">
        <v>#N/A</v>
      </c>
      <c r="AO514" s="121" t="e">
        <v>#N/A</v>
      </c>
      <c r="AP514" s="122" t="e">
        <v>#N/A</v>
      </c>
      <c r="AQ514" s="122" t="e">
        <v>#N/A</v>
      </c>
      <c r="AR514" s="122">
        <v>45771</v>
      </c>
      <c r="AS514" s="122" t="e">
        <v>#N/A</v>
      </c>
      <c r="AT514" s="122" t="e">
        <v>#N/A</v>
      </c>
      <c r="AU514" s="121" t="e">
        <v>#N/A</v>
      </c>
      <c r="AV514" s="122" t="e">
        <v>#N/A</v>
      </c>
      <c r="AW514" s="122">
        <v>45756</v>
      </c>
      <c r="AX514" s="122" t="e">
        <v>#N/A</v>
      </c>
      <c r="AY514" s="122" t="e">
        <v>#N/A</v>
      </c>
      <c r="AZ514" s="122" t="e">
        <v>#N/A</v>
      </c>
      <c r="BA514" s="122" t="e">
        <v>#N/A</v>
      </c>
      <c r="BB514" s="122" t="e">
        <v>#N/A</v>
      </c>
      <c r="BC514" s="122" t="e">
        <v>#N/A</v>
      </c>
      <c r="BD514" s="122" t="e">
        <v>#N/A</v>
      </c>
      <c r="BE514" s="122" t="e">
        <v>#N/A</v>
      </c>
      <c r="BF514" s="122" t="e">
        <v>#N/A</v>
      </c>
      <c r="BG514" s="122" t="e">
        <v>#N/A</v>
      </c>
      <c r="BH514" s="122" t="e">
        <v>#N/A</v>
      </c>
      <c r="BI514" s="122" t="e">
        <v>#N/A</v>
      </c>
      <c r="BJ514" s="122" t="e">
        <v>#N/A</v>
      </c>
      <c r="BK514" s="122">
        <v>45978</v>
      </c>
      <c r="BL514" s="123"/>
      <c r="BM514" s="124">
        <v>44530</v>
      </c>
      <c r="BN514" s="124">
        <v>44532</v>
      </c>
      <c r="BO514" s="124">
        <v>44615</v>
      </c>
      <c r="BP514" s="124">
        <v>44638</v>
      </c>
      <c r="BQ514" s="124">
        <v>44701</v>
      </c>
      <c r="BR514" s="124">
        <v>44714</v>
      </c>
      <c r="BS514" s="124">
        <v>44197</v>
      </c>
      <c r="BT514" s="124">
        <v>44197</v>
      </c>
      <c r="BU514" s="124" t="e">
        <v>#N/A</v>
      </c>
      <c r="BV514" s="124" t="e">
        <v>#N/A</v>
      </c>
      <c r="BW514" s="124" t="e">
        <v>#N/A</v>
      </c>
      <c r="BX514" s="124">
        <v>44197</v>
      </c>
      <c r="BY514" s="124" t="e">
        <v>#N/A</v>
      </c>
      <c r="BZ514" s="124" t="e">
        <v>#N/A</v>
      </c>
      <c r="CA514" s="125"/>
      <c r="CB514" s="124">
        <v>45733</v>
      </c>
      <c r="CC514" s="126">
        <v>1</v>
      </c>
      <c r="CD514" s="127" t="s">
        <v>4169</v>
      </c>
      <c r="CE514" s="128"/>
      <c r="CF514" s="77" t="s">
        <v>4209</v>
      </c>
    </row>
    <row r="515" spans="1:84" ht="14.5" x14ac:dyDescent="0.35">
      <c r="A515" s="77">
        <v>514</v>
      </c>
      <c r="B515" s="106" t="s">
        <v>140</v>
      </c>
      <c r="C515" s="107" t="s">
        <v>1429</v>
      </c>
      <c r="D515" s="108" t="s">
        <v>819</v>
      </c>
      <c r="E515" s="109" t="s">
        <v>820</v>
      </c>
      <c r="F515" s="110">
        <v>654499788</v>
      </c>
      <c r="G515" s="108" t="s">
        <v>1004</v>
      </c>
      <c r="H515" s="111" t="s">
        <v>525</v>
      </c>
      <c r="I515" s="111" t="s">
        <v>180</v>
      </c>
      <c r="J515" s="111" t="s">
        <v>4648</v>
      </c>
      <c r="K515" s="111" t="s">
        <v>2863</v>
      </c>
      <c r="L515" s="112">
        <v>43587</v>
      </c>
      <c r="M515" s="111" t="s">
        <v>1064</v>
      </c>
      <c r="N515" s="113"/>
      <c r="O515" s="114" t="s">
        <v>7264</v>
      </c>
      <c r="P515" s="114" t="s">
        <v>7264</v>
      </c>
      <c r="Q515" s="114" t="s">
        <v>7264</v>
      </c>
      <c r="R515" s="114" t="s">
        <v>7264</v>
      </c>
      <c r="S515" s="114" t="s">
        <v>7264</v>
      </c>
      <c r="T515" s="114" t="s">
        <v>4356</v>
      </c>
      <c r="U515" s="114" t="s">
        <v>4356</v>
      </c>
      <c r="V515" s="115"/>
      <c r="W515" s="116" t="s">
        <v>821</v>
      </c>
      <c r="X515" s="116" t="s">
        <v>822</v>
      </c>
      <c r="Y515" s="117">
        <v>3485604</v>
      </c>
      <c r="Z515" s="117">
        <v>3481073</v>
      </c>
      <c r="AA515" s="118"/>
      <c r="AB515" s="119" t="s">
        <v>5874</v>
      </c>
      <c r="AC515" s="119" t="s">
        <v>1430</v>
      </c>
      <c r="AD515" s="119" t="s">
        <v>3884</v>
      </c>
      <c r="AE515" s="119" t="s">
        <v>3885</v>
      </c>
      <c r="AF515" s="119">
        <v>0</v>
      </c>
      <c r="AG515" s="120"/>
      <c r="AH515" s="121">
        <v>44197</v>
      </c>
      <c r="AI515" s="121">
        <v>44197</v>
      </c>
      <c r="AJ515" s="121">
        <v>44197</v>
      </c>
      <c r="AK515" s="122">
        <v>44197</v>
      </c>
      <c r="AL515" s="122" t="e">
        <v>#N/A</v>
      </c>
      <c r="AM515" s="121" t="e">
        <v>#N/A</v>
      </c>
      <c r="AN515" s="121" t="e">
        <v>#N/A</v>
      </c>
      <c r="AO515" s="121" t="e">
        <v>#N/A</v>
      </c>
      <c r="AP515" s="122" t="e">
        <v>#N/A</v>
      </c>
      <c r="AQ515" s="122" t="e">
        <v>#N/A</v>
      </c>
      <c r="AR515" s="122" t="e">
        <v>#N/A</v>
      </c>
      <c r="AS515" s="122" t="e">
        <v>#N/A</v>
      </c>
      <c r="AT515" s="122" t="e">
        <v>#N/A</v>
      </c>
      <c r="AU515" s="121" t="e">
        <v>#N/A</v>
      </c>
      <c r="AV515" s="122" t="e">
        <v>#N/A</v>
      </c>
      <c r="AW515" s="122" t="e">
        <v>#N/A</v>
      </c>
      <c r="AX515" s="122" t="e">
        <v>#N/A</v>
      </c>
      <c r="AY515" s="122" t="e">
        <v>#N/A</v>
      </c>
      <c r="AZ515" s="122" t="e">
        <v>#N/A</v>
      </c>
      <c r="BA515" s="122" t="e">
        <v>#N/A</v>
      </c>
      <c r="BB515" s="122" t="e">
        <v>#N/A</v>
      </c>
      <c r="BC515" s="122">
        <v>44197</v>
      </c>
      <c r="BD515" s="122" t="e">
        <v>#N/A</v>
      </c>
      <c r="BE515" s="122" t="e">
        <v>#N/A</v>
      </c>
      <c r="BF515" s="122" t="e">
        <v>#N/A</v>
      </c>
      <c r="BG515" s="122" t="e">
        <v>#N/A</v>
      </c>
      <c r="BH515" s="122" t="e">
        <v>#N/A</v>
      </c>
      <c r="BI515" s="122" t="e">
        <v>#N/A</v>
      </c>
      <c r="BJ515" s="122" t="e">
        <v>#N/A</v>
      </c>
      <c r="BK515" s="122" t="e">
        <v>#N/A</v>
      </c>
      <c r="BL515" s="123"/>
      <c r="BM515" s="124">
        <v>44592</v>
      </c>
      <c r="BN515" s="124">
        <v>44734</v>
      </c>
      <c r="BO515" s="124">
        <v>44615</v>
      </c>
      <c r="BP515" s="124">
        <v>44642</v>
      </c>
      <c r="BQ515" s="124">
        <v>44697</v>
      </c>
      <c r="BR515" s="124">
        <v>44704</v>
      </c>
      <c r="BS515" s="124">
        <v>44575</v>
      </c>
      <c r="BT515" s="124">
        <v>44613</v>
      </c>
      <c r="BU515" s="124" t="e">
        <v>#N/A</v>
      </c>
      <c r="BV515" s="124" t="e">
        <v>#N/A</v>
      </c>
      <c r="BW515" s="124" t="e">
        <v>#N/A</v>
      </c>
      <c r="BX515" s="124">
        <v>44197</v>
      </c>
      <c r="BY515" s="124" t="e">
        <v>#N/A</v>
      </c>
      <c r="BZ515" s="124" t="e">
        <v>#N/A</v>
      </c>
      <c r="CA515" s="125"/>
      <c r="CB515" s="124" t="e">
        <v>#N/A</v>
      </c>
      <c r="CC515" s="126">
        <v>1</v>
      </c>
      <c r="CD515" s="127" t="s">
        <v>4169</v>
      </c>
      <c r="CE515" s="128"/>
      <c r="CF515" s="77" t="s">
        <v>4208</v>
      </c>
    </row>
    <row r="516" spans="1:84" ht="14.5" x14ac:dyDescent="0.35">
      <c r="A516" s="77">
        <v>515</v>
      </c>
      <c r="B516" s="106" t="s">
        <v>75</v>
      </c>
      <c r="C516" s="107" t="s">
        <v>1219</v>
      </c>
      <c r="D516" s="108" t="s">
        <v>602</v>
      </c>
      <c r="E516" s="109" t="s">
        <v>603</v>
      </c>
      <c r="F516" s="110">
        <v>605523370</v>
      </c>
      <c r="G516" s="108" t="s">
        <v>1004</v>
      </c>
      <c r="H516" s="111" t="s">
        <v>525</v>
      </c>
      <c r="I516" s="111" t="s">
        <v>180</v>
      </c>
      <c r="J516" s="111" t="s">
        <v>4648</v>
      </c>
      <c r="K516" s="111" t="s">
        <v>2863</v>
      </c>
      <c r="L516" s="112">
        <v>42444</v>
      </c>
      <c r="M516" s="111" t="s">
        <v>1064</v>
      </c>
      <c r="N516" s="113"/>
      <c r="O516" s="114" t="s">
        <v>7419</v>
      </c>
      <c r="P516" s="114" t="s">
        <v>257</v>
      </c>
      <c r="Q516" s="114" t="s">
        <v>257</v>
      </c>
      <c r="R516" s="114" t="s">
        <v>246</v>
      </c>
      <c r="S516" s="114" t="s">
        <v>246</v>
      </c>
      <c r="T516" s="114" t="s">
        <v>183</v>
      </c>
      <c r="U516" s="114" t="s">
        <v>183</v>
      </c>
      <c r="V516" s="115"/>
      <c r="W516" s="116" t="s">
        <v>1881</v>
      </c>
      <c r="X516" s="116" t="s">
        <v>1882</v>
      </c>
      <c r="Y516" s="117">
        <v>3485489</v>
      </c>
      <c r="Z516" s="117">
        <v>3481014</v>
      </c>
      <c r="AA516" s="118"/>
      <c r="AB516" s="119" t="s">
        <v>5538</v>
      </c>
      <c r="AC516" s="119" t="s">
        <v>1883</v>
      </c>
      <c r="AD516" s="119">
        <v>4078</v>
      </c>
      <c r="AE516" s="119" t="s">
        <v>3134</v>
      </c>
      <c r="AF516" s="119" t="s">
        <v>7621</v>
      </c>
      <c r="AG516" s="120"/>
      <c r="AH516" s="121">
        <v>44197</v>
      </c>
      <c r="AI516" s="121">
        <v>44197</v>
      </c>
      <c r="AJ516" s="121">
        <v>44197</v>
      </c>
      <c r="AK516" s="122">
        <v>44197</v>
      </c>
      <c r="AL516" s="122" t="e">
        <v>#N/A</v>
      </c>
      <c r="AM516" s="121" t="e">
        <v>#N/A</v>
      </c>
      <c r="AN516" s="121" t="e">
        <v>#N/A</v>
      </c>
      <c r="AO516" s="121" t="e">
        <v>#N/A</v>
      </c>
      <c r="AP516" s="122" t="e">
        <v>#N/A</v>
      </c>
      <c r="AQ516" s="122" t="e">
        <v>#N/A</v>
      </c>
      <c r="AR516" s="122" t="e">
        <v>#N/A</v>
      </c>
      <c r="AS516" s="122" t="e">
        <v>#N/A</v>
      </c>
      <c r="AT516" s="122" t="e">
        <v>#N/A</v>
      </c>
      <c r="AU516" s="121" t="e">
        <v>#N/A</v>
      </c>
      <c r="AV516" s="122" t="e">
        <v>#N/A</v>
      </c>
      <c r="AW516" s="122" t="e">
        <v>#N/A</v>
      </c>
      <c r="AX516" s="122" t="e">
        <v>#N/A</v>
      </c>
      <c r="AY516" s="122" t="e">
        <v>#N/A</v>
      </c>
      <c r="AZ516" s="122" t="e">
        <v>#N/A</v>
      </c>
      <c r="BA516" s="122" t="e">
        <v>#N/A</v>
      </c>
      <c r="BB516" s="122" t="e">
        <v>#N/A</v>
      </c>
      <c r="BC516" s="122" t="e">
        <v>#N/A</v>
      </c>
      <c r="BD516" s="122" t="e">
        <v>#N/A</v>
      </c>
      <c r="BE516" s="122" t="e">
        <v>#N/A</v>
      </c>
      <c r="BF516" s="122" t="e">
        <v>#N/A</v>
      </c>
      <c r="BG516" s="122" t="e">
        <v>#N/A</v>
      </c>
      <c r="BH516" s="122" t="e">
        <v>#N/A</v>
      </c>
      <c r="BI516" s="122" t="e">
        <v>#N/A</v>
      </c>
      <c r="BJ516" s="122" t="e">
        <v>#N/A</v>
      </c>
      <c r="BK516" s="122" t="e">
        <v>#N/A</v>
      </c>
      <c r="BL516" s="123"/>
      <c r="BM516" s="124">
        <v>44197</v>
      </c>
      <c r="BN516" s="124">
        <v>44197</v>
      </c>
      <c r="BO516" s="124">
        <v>44197</v>
      </c>
      <c r="BP516" s="124">
        <v>44197</v>
      </c>
      <c r="BQ516" s="124">
        <v>44197</v>
      </c>
      <c r="BR516" s="124">
        <v>44197</v>
      </c>
      <c r="BS516" s="124">
        <v>44197</v>
      </c>
      <c r="BT516" s="124">
        <v>44197</v>
      </c>
      <c r="BU516" s="124">
        <v>44197</v>
      </c>
      <c r="BV516" s="124">
        <v>44197</v>
      </c>
      <c r="BW516" s="124" t="e">
        <v>#N/A</v>
      </c>
      <c r="BX516" s="124">
        <v>44197</v>
      </c>
      <c r="BY516" s="124" t="e">
        <v>#N/A</v>
      </c>
      <c r="BZ516" s="124" t="e">
        <v>#N/A</v>
      </c>
      <c r="CA516" s="125"/>
      <c r="CB516" s="124">
        <v>45733</v>
      </c>
      <c r="CC516" s="126">
        <v>1</v>
      </c>
      <c r="CD516" s="127" t="s">
        <v>4169</v>
      </c>
      <c r="CE516" s="128"/>
      <c r="CF516" s="77" t="s">
        <v>4209</v>
      </c>
    </row>
    <row r="517" spans="1:84" ht="14.5" x14ac:dyDescent="0.35">
      <c r="A517" s="77">
        <v>516</v>
      </c>
      <c r="B517" s="106" t="s">
        <v>63</v>
      </c>
      <c r="C517" s="107" t="s">
        <v>1339</v>
      </c>
      <c r="D517" s="108" t="s">
        <v>563</v>
      </c>
      <c r="E517" s="109" t="s">
        <v>564</v>
      </c>
      <c r="F517" s="110">
        <v>697687082</v>
      </c>
      <c r="G517" s="108" t="s">
        <v>1004</v>
      </c>
      <c r="H517" s="111" t="s">
        <v>525</v>
      </c>
      <c r="I517" s="111" t="s">
        <v>180</v>
      </c>
      <c r="J517" s="111" t="s">
        <v>4648</v>
      </c>
      <c r="K517" s="111" t="s">
        <v>2863</v>
      </c>
      <c r="L517" s="112">
        <v>42688</v>
      </c>
      <c r="M517" s="111" t="s">
        <v>1064</v>
      </c>
      <c r="N517" s="113"/>
      <c r="O517" s="114" t="s">
        <v>246</v>
      </c>
      <c r="P517" s="114" t="s">
        <v>257</v>
      </c>
      <c r="Q517" s="114" t="s">
        <v>246</v>
      </c>
      <c r="R517" s="114" t="s">
        <v>246</v>
      </c>
      <c r="S517" s="114" t="s">
        <v>246</v>
      </c>
      <c r="T517" s="114" t="s">
        <v>183</v>
      </c>
      <c r="U517" s="114" t="s">
        <v>183</v>
      </c>
      <c r="V517" s="115"/>
      <c r="W517" s="116" t="s">
        <v>1927</v>
      </c>
      <c r="X517" s="116" t="s">
        <v>1928</v>
      </c>
      <c r="Y517" s="117">
        <v>3485492</v>
      </c>
      <c r="Z517" s="117">
        <v>3481024</v>
      </c>
      <c r="AA517" s="118"/>
      <c r="AB517" s="119" t="s">
        <v>1929</v>
      </c>
      <c r="AC517" s="119" t="s">
        <v>1930</v>
      </c>
      <c r="AD517" s="119">
        <v>5829</v>
      </c>
      <c r="AE517" s="119" t="s">
        <v>1931</v>
      </c>
      <c r="AF517" s="119" t="s">
        <v>7622</v>
      </c>
      <c r="AG517" s="120"/>
      <c r="AH517" s="121">
        <v>44197</v>
      </c>
      <c r="AI517" s="121">
        <v>44197</v>
      </c>
      <c r="AJ517" s="121">
        <v>44197</v>
      </c>
      <c r="AK517" s="122">
        <v>44197</v>
      </c>
      <c r="AL517" s="122" t="e">
        <v>#N/A</v>
      </c>
      <c r="AM517" s="121" t="e">
        <v>#N/A</v>
      </c>
      <c r="AN517" s="121" t="e">
        <v>#N/A</v>
      </c>
      <c r="AO517" s="121" t="e">
        <v>#N/A</v>
      </c>
      <c r="AP517" s="122" t="e">
        <v>#N/A</v>
      </c>
      <c r="AQ517" s="122" t="e">
        <v>#N/A</v>
      </c>
      <c r="AR517" s="122" t="e">
        <v>#N/A</v>
      </c>
      <c r="AS517" s="122" t="e">
        <v>#N/A</v>
      </c>
      <c r="AT517" s="122" t="e">
        <v>#N/A</v>
      </c>
      <c r="AU517" s="121" t="e">
        <v>#N/A</v>
      </c>
      <c r="AV517" s="122" t="s">
        <v>4955</v>
      </c>
      <c r="AW517" s="122">
        <v>44607</v>
      </c>
      <c r="AX517" s="122">
        <v>44727</v>
      </c>
      <c r="AY517" s="122" t="e">
        <v>#N/A</v>
      </c>
      <c r="AZ517" s="122" t="e">
        <v>#N/A</v>
      </c>
      <c r="BA517" s="122" t="e">
        <v>#N/A</v>
      </c>
      <c r="BB517" s="122" t="e">
        <v>#N/A</v>
      </c>
      <c r="BC517" s="122" t="e">
        <v>#N/A</v>
      </c>
      <c r="BD517" s="122" t="e">
        <v>#N/A</v>
      </c>
      <c r="BE517" s="122" t="e">
        <v>#N/A</v>
      </c>
      <c r="BF517" s="122" t="e">
        <v>#N/A</v>
      </c>
      <c r="BG517" s="122" t="e">
        <v>#N/A</v>
      </c>
      <c r="BH517" s="122" t="e">
        <v>#N/A</v>
      </c>
      <c r="BI517" s="122" t="e">
        <v>#N/A</v>
      </c>
      <c r="BJ517" s="122" t="e">
        <v>#N/A</v>
      </c>
      <c r="BK517" s="122" t="e">
        <v>#N/A</v>
      </c>
      <c r="BL517" s="123"/>
      <c r="BM517" s="124">
        <v>44197</v>
      </c>
      <c r="BN517" s="124">
        <v>44197</v>
      </c>
      <c r="BO517" s="124">
        <v>44197</v>
      </c>
      <c r="BP517" s="124">
        <v>44197</v>
      </c>
      <c r="BQ517" s="124">
        <v>44197</v>
      </c>
      <c r="BR517" s="124">
        <v>44704</v>
      </c>
      <c r="BS517" s="124">
        <v>44197</v>
      </c>
      <c r="BT517" s="124">
        <v>44197</v>
      </c>
      <c r="BU517" s="124">
        <v>44197</v>
      </c>
      <c r="BV517" s="124">
        <v>44197</v>
      </c>
      <c r="BW517" s="124">
        <v>44197</v>
      </c>
      <c r="BX517" s="124">
        <v>44197</v>
      </c>
      <c r="BY517" s="124" t="e">
        <v>#N/A</v>
      </c>
      <c r="BZ517" s="124" t="e">
        <v>#N/A</v>
      </c>
      <c r="CA517" s="125"/>
      <c r="CB517" s="124">
        <v>45733</v>
      </c>
      <c r="CC517" s="126">
        <v>1</v>
      </c>
      <c r="CD517" s="127" t="s">
        <v>4169</v>
      </c>
      <c r="CE517" s="128"/>
      <c r="CF517" s="77" t="s">
        <v>4208</v>
      </c>
    </row>
    <row r="518" spans="1:84" ht="14.5" x14ac:dyDescent="0.35">
      <c r="A518" s="77">
        <v>517</v>
      </c>
      <c r="B518" s="106" t="s">
        <v>52</v>
      </c>
      <c r="C518" s="107" t="s">
        <v>1436</v>
      </c>
      <c r="D518" s="108" t="s">
        <v>523</v>
      </c>
      <c r="E518" s="109" t="s">
        <v>524</v>
      </c>
      <c r="F518" s="110">
        <v>697407408</v>
      </c>
      <c r="G518" s="108" t="s">
        <v>1004</v>
      </c>
      <c r="H518" s="111" t="s">
        <v>525</v>
      </c>
      <c r="I518" s="111" t="s">
        <v>180</v>
      </c>
      <c r="J518" s="111" t="s">
        <v>4648</v>
      </c>
      <c r="K518" s="111" t="s">
        <v>2863</v>
      </c>
      <c r="L518" s="112">
        <v>45129</v>
      </c>
      <c r="M518" s="111" t="s">
        <v>1064</v>
      </c>
      <c r="N518" s="113"/>
      <c r="O518" s="114" t="s">
        <v>257</v>
      </c>
      <c r="P518" s="114" t="s">
        <v>257</v>
      </c>
      <c r="Q518" s="114" t="s">
        <v>257</v>
      </c>
      <c r="R518" s="114" t="s">
        <v>7356</v>
      </c>
      <c r="S518" s="114" t="s">
        <v>257</v>
      </c>
      <c r="T518" s="114" t="s">
        <v>183</v>
      </c>
      <c r="U518" s="114" t="s">
        <v>183</v>
      </c>
      <c r="V518" s="115"/>
      <c r="W518" s="116" t="s">
        <v>2825</v>
      </c>
      <c r="X518" s="116" t="s">
        <v>2826</v>
      </c>
      <c r="Y518" s="117">
        <v>3485372</v>
      </c>
      <c r="Z518" s="117">
        <v>3486130</v>
      </c>
      <c r="AA518" s="118"/>
      <c r="AB518" s="119" t="s">
        <v>2827</v>
      </c>
      <c r="AC518" s="119" t="s">
        <v>2828</v>
      </c>
      <c r="AD518" s="119">
        <v>4021</v>
      </c>
      <c r="AE518" s="119" t="s">
        <v>2829</v>
      </c>
      <c r="AF518" s="119" t="s">
        <v>7623</v>
      </c>
      <c r="AG518" s="120"/>
      <c r="AH518" s="121">
        <v>44197</v>
      </c>
      <c r="AI518" s="121">
        <v>44197</v>
      </c>
      <c r="AJ518" s="121">
        <v>44197</v>
      </c>
      <c r="AK518" s="122">
        <v>44197</v>
      </c>
      <c r="AL518" s="122" t="e">
        <v>#N/A</v>
      </c>
      <c r="AM518" s="121" t="e">
        <v>#N/A</v>
      </c>
      <c r="AN518" s="121" t="e">
        <v>#N/A</v>
      </c>
      <c r="AO518" s="121" t="e">
        <v>#N/A</v>
      </c>
      <c r="AP518" s="122" t="e">
        <v>#N/A</v>
      </c>
      <c r="AQ518" s="122" t="e">
        <v>#N/A</v>
      </c>
      <c r="AR518" s="122" t="e">
        <v>#N/A</v>
      </c>
      <c r="AS518" s="122" t="e">
        <v>#N/A</v>
      </c>
      <c r="AT518" s="122" t="e">
        <v>#N/A</v>
      </c>
      <c r="AU518" s="121" t="e">
        <v>#N/A</v>
      </c>
      <c r="AV518" s="122" t="e">
        <v>#N/A</v>
      </c>
      <c r="AW518" s="122" t="e">
        <v>#N/A</v>
      </c>
      <c r="AX518" s="122" t="e">
        <v>#N/A</v>
      </c>
      <c r="AY518" s="122" t="e">
        <v>#N/A</v>
      </c>
      <c r="AZ518" s="122" t="e">
        <v>#N/A</v>
      </c>
      <c r="BA518" s="122" t="e">
        <v>#N/A</v>
      </c>
      <c r="BB518" s="122" t="e">
        <v>#N/A</v>
      </c>
      <c r="BC518" s="122" t="e">
        <v>#N/A</v>
      </c>
      <c r="BD518" s="122" t="e">
        <v>#N/A</v>
      </c>
      <c r="BE518" s="122" t="e">
        <v>#N/A</v>
      </c>
      <c r="BF518" s="122" t="e">
        <v>#N/A</v>
      </c>
      <c r="BG518" s="122" t="e">
        <v>#N/A</v>
      </c>
      <c r="BH518" s="122" t="e">
        <v>#N/A</v>
      </c>
      <c r="BI518" s="122" t="e">
        <v>#N/A</v>
      </c>
      <c r="BJ518" s="122" t="e">
        <v>#N/A</v>
      </c>
      <c r="BK518" s="122" t="e">
        <v>#N/A</v>
      </c>
      <c r="BL518" s="123"/>
      <c r="BM518" s="124">
        <v>44197</v>
      </c>
      <c r="BN518" s="124">
        <v>44197</v>
      </c>
      <c r="BO518" s="124">
        <v>44197</v>
      </c>
      <c r="BP518" s="124">
        <v>44197</v>
      </c>
      <c r="BQ518" s="124">
        <v>44197</v>
      </c>
      <c r="BR518" s="124">
        <v>44783</v>
      </c>
      <c r="BS518" s="124">
        <v>44197</v>
      </c>
      <c r="BT518" s="124">
        <v>44197</v>
      </c>
      <c r="BU518" s="124" t="e">
        <v>#N/A</v>
      </c>
      <c r="BV518" s="124" t="e">
        <v>#N/A</v>
      </c>
      <c r="BW518" s="124" t="e">
        <v>#N/A</v>
      </c>
      <c r="BX518" s="124">
        <v>44197</v>
      </c>
      <c r="BY518" s="124" t="e">
        <v>#N/A</v>
      </c>
      <c r="BZ518" s="124" t="e">
        <v>#N/A</v>
      </c>
      <c r="CA518" s="125"/>
      <c r="CB518" s="124">
        <v>45733</v>
      </c>
      <c r="CC518" s="126">
        <v>1</v>
      </c>
      <c r="CD518" s="127" t="s">
        <v>4169</v>
      </c>
      <c r="CE518" s="128"/>
      <c r="CF518" s="77" t="s">
        <v>4208</v>
      </c>
    </row>
    <row r="519" spans="1:84" ht="14.5" x14ac:dyDescent="0.35">
      <c r="A519" s="77">
        <v>518</v>
      </c>
      <c r="B519" s="106" t="s">
        <v>91</v>
      </c>
      <c r="C519" s="107" t="s">
        <v>1405</v>
      </c>
      <c r="D519" s="108" t="s">
        <v>660</v>
      </c>
      <c r="E519" s="109" t="s">
        <v>661</v>
      </c>
      <c r="F519" s="110">
        <v>664131692</v>
      </c>
      <c r="G519" s="108" t="s">
        <v>1004</v>
      </c>
      <c r="H519" s="111" t="s">
        <v>525</v>
      </c>
      <c r="I519" s="111" t="s">
        <v>180</v>
      </c>
      <c r="J519" s="111" t="s">
        <v>4648</v>
      </c>
      <c r="K519" s="111" t="s">
        <v>2863</v>
      </c>
      <c r="L519" s="112">
        <v>43230</v>
      </c>
      <c r="M519" s="111" t="s">
        <v>1064</v>
      </c>
      <c r="N519" s="113"/>
      <c r="O519" s="114" t="s">
        <v>7269</v>
      </c>
      <c r="P519" s="114" t="s">
        <v>7269</v>
      </c>
      <c r="Q519" s="114" t="s">
        <v>7269</v>
      </c>
      <c r="R519" s="114" t="s">
        <v>7554</v>
      </c>
      <c r="S519" s="114" t="s">
        <v>7269</v>
      </c>
      <c r="T519" s="114" t="s">
        <v>183</v>
      </c>
      <c r="U519" s="114" t="s">
        <v>183</v>
      </c>
      <c r="V519" s="115"/>
      <c r="W519" s="116" t="s">
        <v>1969</v>
      </c>
      <c r="X519" s="116" t="s">
        <v>1970</v>
      </c>
      <c r="Y519" s="117">
        <v>3485545</v>
      </c>
      <c r="Z519" s="117">
        <v>3481182</v>
      </c>
      <c r="AA519" s="118"/>
      <c r="AB519" s="119" t="s">
        <v>1971</v>
      </c>
      <c r="AC519" s="119" t="s">
        <v>1972</v>
      </c>
      <c r="AD519" s="119">
        <v>26191</v>
      </c>
      <c r="AE519" s="119" t="s">
        <v>3931</v>
      </c>
      <c r="AF519" s="119" t="s">
        <v>7624</v>
      </c>
      <c r="AG519" s="120"/>
      <c r="AH519" s="121">
        <v>44197</v>
      </c>
      <c r="AI519" s="121">
        <v>44197</v>
      </c>
      <c r="AJ519" s="121">
        <v>44197</v>
      </c>
      <c r="AK519" s="122">
        <v>44197</v>
      </c>
      <c r="AL519" s="122" t="e">
        <v>#N/A</v>
      </c>
      <c r="AM519" s="121" t="e">
        <v>#N/A</v>
      </c>
      <c r="AN519" s="121" t="e">
        <v>#N/A</v>
      </c>
      <c r="AO519" s="121" t="e">
        <v>#N/A</v>
      </c>
      <c r="AP519" s="122" t="e">
        <v>#N/A</v>
      </c>
      <c r="AQ519" s="122" t="e">
        <v>#N/A</v>
      </c>
      <c r="AR519" s="122" t="e">
        <v>#N/A</v>
      </c>
      <c r="AS519" s="122" t="e">
        <v>#N/A</v>
      </c>
      <c r="AT519" s="122" t="e">
        <v>#N/A</v>
      </c>
      <c r="AU519" s="121" t="e">
        <v>#N/A</v>
      </c>
      <c r="AV519" s="122" t="e">
        <v>#N/A</v>
      </c>
      <c r="AW519" s="122" t="e">
        <v>#N/A</v>
      </c>
      <c r="AX519" s="122" t="e">
        <v>#N/A</v>
      </c>
      <c r="AY519" s="122" t="e">
        <v>#N/A</v>
      </c>
      <c r="AZ519" s="122" t="e">
        <v>#N/A</v>
      </c>
      <c r="BA519" s="122" t="e">
        <v>#N/A</v>
      </c>
      <c r="BB519" s="122" t="e">
        <v>#N/A</v>
      </c>
      <c r="BC519" s="122" t="e">
        <v>#N/A</v>
      </c>
      <c r="BD519" s="122" t="e">
        <v>#N/A</v>
      </c>
      <c r="BE519" s="122" t="e">
        <v>#N/A</v>
      </c>
      <c r="BF519" s="122" t="e">
        <v>#N/A</v>
      </c>
      <c r="BG519" s="122" t="e">
        <v>#N/A</v>
      </c>
      <c r="BH519" s="122" t="e">
        <v>#N/A</v>
      </c>
      <c r="BI519" s="122" t="e">
        <v>#N/A</v>
      </c>
      <c r="BJ519" s="122" t="e">
        <v>#N/A</v>
      </c>
      <c r="BK519" s="122" t="e">
        <v>#N/A</v>
      </c>
      <c r="BL519" s="123"/>
      <c r="BM519" s="124">
        <v>44592</v>
      </c>
      <c r="BN519" s="124">
        <v>44734</v>
      </c>
      <c r="BO519" s="124">
        <v>45583</v>
      </c>
      <c r="BP519" s="124">
        <v>44642</v>
      </c>
      <c r="BQ519" s="124">
        <v>44701</v>
      </c>
      <c r="BR519" s="124">
        <v>44714</v>
      </c>
      <c r="BS519" s="124">
        <v>44614</v>
      </c>
      <c r="BT519" s="124">
        <v>44855</v>
      </c>
      <c r="BU519" s="124" t="e">
        <v>#N/A</v>
      </c>
      <c r="BV519" s="124" t="e">
        <v>#N/A</v>
      </c>
      <c r="BW519" s="124" t="e">
        <v>#N/A</v>
      </c>
      <c r="BX519" s="124">
        <v>44197</v>
      </c>
      <c r="BY519" s="124" t="e">
        <v>#N/A</v>
      </c>
      <c r="BZ519" s="124" t="e">
        <v>#N/A</v>
      </c>
      <c r="CA519" s="125"/>
      <c r="CB519" s="124">
        <v>45733</v>
      </c>
      <c r="CC519" s="126">
        <v>1</v>
      </c>
      <c r="CD519" s="127" t="s">
        <v>4169</v>
      </c>
      <c r="CE519" s="128"/>
      <c r="CF519" s="77" t="s">
        <v>4208</v>
      </c>
    </row>
    <row r="520" spans="1:84" ht="14.5" x14ac:dyDescent="0.35">
      <c r="A520" s="77">
        <v>519</v>
      </c>
      <c r="B520" s="106" t="s">
        <v>68</v>
      </c>
      <c r="C520" s="107" t="s">
        <v>1340</v>
      </c>
      <c r="D520" s="108" t="s">
        <v>586</v>
      </c>
      <c r="E520" s="109" t="s">
        <v>587</v>
      </c>
      <c r="F520" s="110">
        <v>639511094</v>
      </c>
      <c r="G520" s="108" t="s">
        <v>1004</v>
      </c>
      <c r="H520" s="111" t="s">
        <v>525</v>
      </c>
      <c r="I520" s="111" t="s">
        <v>180</v>
      </c>
      <c r="J520" s="111" t="s">
        <v>4648</v>
      </c>
      <c r="K520" s="111" t="s">
        <v>2863</v>
      </c>
      <c r="L520" s="112">
        <v>42688</v>
      </c>
      <c r="M520" s="111" t="s">
        <v>1064</v>
      </c>
      <c r="N520" s="113"/>
      <c r="O520" s="114" t="s">
        <v>246</v>
      </c>
      <c r="P520" s="114" t="s">
        <v>246</v>
      </c>
      <c r="Q520" s="114" t="s">
        <v>257</v>
      </c>
      <c r="R520" s="114" t="s">
        <v>7364</v>
      </c>
      <c r="S520" s="114" t="s">
        <v>257</v>
      </c>
      <c r="T520" s="114" t="s">
        <v>183</v>
      </c>
      <c r="U520" s="114" t="s">
        <v>183</v>
      </c>
      <c r="V520" s="115"/>
      <c r="W520" s="116" t="s">
        <v>1932</v>
      </c>
      <c r="X520" s="116" t="s">
        <v>1933</v>
      </c>
      <c r="Y520" s="117">
        <v>3485558</v>
      </c>
      <c r="Z520" s="117">
        <v>3481042</v>
      </c>
      <c r="AA520" s="118"/>
      <c r="AB520" s="119" t="s">
        <v>1934</v>
      </c>
      <c r="AC520" s="119" t="s">
        <v>1935</v>
      </c>
      <c r="AD520" s="119">
        <v>5345</v>
      </c>
      <c r="AE520" s="119" t="s">
        <v>1936</v>
      </c>
      <c r="AF520" s="119" t="s">
        <v>7098</v>
      </c>
      <c r="AG520" s="120"/>
      <c r="AH520" s="121">
        <v>44197</v>
      </c>
      <c r="AI520" s="121">
        <v>44197</v>
      </c>
      <c r="AJ520" s="121">
        <v>44197</v>
      </c>
      <c r="AK520" s="122">
        <v>44197</v>
      </c>
      <c r="AL520" s="122" t="e">
        <v>#N/A</v>
      </c>
      <c r="AM520" s="121" t="e">
        <v>#N/A</v>
      </c>
      <c r="AN520" s="121" t="e">
        <v>#N/A</v>
      </c>
      <c r="AO520" s="121" t="e">
        <v>#N/A</v>
      </c>
      <c r="AP520" s="122" t="e">
        <v>#N/A</v>
      </c>
      <c r="AQ520" s="122" t="e">
        <v>#N/A</v>
      </c>
      <c r="AR520" s="122" t="e">
        <v>#N/A</v>
      </c>
      <c r="AS520" s="122" t="e">
        <v>#N/A</v>
      </c>
      <c r="AT520" s="122" t="e">
        <v>#N/A</v>
      </c>
      <c r="AU520" s="121">
        <v>45912</v>
      </c>
      <c r="AV520" s="122">
        <v>44607</v>
      </c>
      <c r="AW520" s="122">
        <v>44607</v>
      </c>
      <c r="AX520" s="122" t="e">
        <v>#N/A</v>
      </c>
      <c r="AY520" s="122" t="e">
        <v>#N/A</v>
      </c>
      <c r="AZ520" s="122" t="e">
        <v>#N/A</v>
      </c>
      <c r="BA520" s="122" t="e">
        <v>#N/A</v>
      </c>
      <c r="BB520" s="122" t="e">
        <v>#N/A</v>
      </c>
      <c r="BC520" s="122" t="e">
        <v>#N/A</v>
      </c>
      <c r="BD520" s="122" t="e">
        <v>#N/A</v>
      </c>
      <c r="BE520" s="122" t="e">
        <v>#N/A</v>
      </c>
      <c r="BF520" s="122" t="e">
        <v>#N/A</v>
      </c>
      <c r="BG520" s="122" t="e">
        <v>#N/A</v>
      </c>
      <c r="BH520" s="122" t="e">
        <v>#N/A</v>
      </c>
      <c r="BI520" s="122" t="e">
        <v>#N/A</v>
      </c>
      <c r="BJ520" s="122" t="e">
        <v>#N/A</v>
      </c>
      <c r="BK520" s="122">
        <v>45971</v>
      </c>
      <c r="BL520" s="123"/>
      <c r="BM520" s="124">
        <v>44197</v>
      </c>
      <c r="BN520" s="124">
        <v>44197</v>
      </c>
      <c r="BO520" s="124">
        <v>44197</v>
      </c>
      <c r="BP520" s="124">
        <v>44197</v>
      </c>
      <c r="BQ520" s="124">
        <v>44197</v>
      </c>
      <c r="BR520" s="124">
        <v>44704</v>
      </c>
      <c r="BS520" s="124">
        <v>44197</v>
      </c>
      <c r="BT520" s="124">
        <v>44197</v>
      </c>
      <c r="BU520" s="124" t="e">
        <v>#N/A</v>
      </c>
      <c r="BV520" s="124" t="e">
        <v>#N/A</v>
      </c>
      <c r="BW520" s="124">
        <v>44197</v>
      </c>
      <c r="BX520" s="124">
        <v>44197</v>
      </c>
      <c r="BY520" s="124" t="e">
        <v>#N/A</v>
      </c>
      <c r="BZ520" s="124" t="e">
        <v>#N/A</v>
      </c>
      <c r="CA520" s="125"/>
      <c r="CB520" s="124">
        <v>45733</v>
      </c>
      <c r="CC520" s="126">
        <v>1</v>
      </c>
      <c r="CD520" s="127" t="s">
        <v>4169</v>
      </c>
      <c r="CE520" s="128"/>
      <c r="CF520" s="77" t="s">
        <v>4208</v>
      </c>
    </row>
    <row r="521" spans="1:84" ht="14.5" x14ac:dyDescent="0.35">
      <c r="A521" s="77">
        <v>520</v>
      </c>
      <c r="B521" s="106" t="s">
        <v>6350</v>
      </c>
      <c r="C521" s="107" t="s">
        <v>6351</v>
      </c>
      <c r="D521" s="108" t="s">
        <v>2154</v>
      </c>
      <c r="E521" s="109" t="s">
        <v>2155</v>
      </c>
      <c r="F521" s="110" t="s">
        <v>1236</v>
      </c>
      <c r="G521" s="108" t="s">
        <v>1004</v>
      </c>
      <c r="H521" s="111" t="s">
        <v>3269</v>
      </c>
      <c r="I521" s="111" t="s">
        <v>180</v>
      </c>
      <c r="J521" s="111" t="s">
        <v>4648</v>
      </c>
      <c r="K521" s="111" t="s">
        <v>199</v>
      </c>
      <c r="L521" s="112">
        <v>39055</v>
      </c>
      <c r="M521" s="111" t="s">
        <v>728</v>
      </c>
      <c r="N521" s="113"/>
      <c r="O521" s="114" t="s">
        <v>4373</v>
      </c>
      <c r="P521" s="114" t="s">
        <v>4373</v>
      </c>
      <c r="Q521" s="114" t="s">
        <v>4467</v>
      </c>
      <c r="R521" s="114" t="s">
        <v>4467</v>
      </c>
      <c r="S521" s="114" t="s">
        <v>4373</v>
      </c>
      <c r="T521" s="114" t="s">
        <v>4356</v>
      </c>
      <c r="U521" s="114" t="s">
        <v>4356</v>
      </c>
      <c r="V521" s="115"/>
      <c r="W521" s="116" t="s">
        <v>2156</v>
      </c>
      <c r="X521" s="116" t="s">
        <v>2157</v>
      </c>
      <c r="Y521" s="117">
        <v>3485514</v>
      </c>
      <c r="Z521" s="117">
        <v>3486818</v>
      </c>
      <c r="AA521" s="118"/>
      <c r="AB521" s="119" t="s">
        <v>5875</v>
      </c>
      <c r="AC521" s="119" t="s">
        <v>2158</v>
      </c>
      <c r="AD521" s="119">
        <v>4575</v>
      </c>
      <c r="AE521" s="119" t="s">
        <v>2475</v>
      </c>
      <c r="AF521" s="119" t="s">
        <v>7625</v>
      </c>
      <c r="AG521" s="120"/>
      <c r="AH521" s="121">
        <v>44782</v>
      </c>
      <c r="AI521" s="121">
        <v>44811</v>
      </c>
      <c r="AJ521" s="121">
        <v>44811</v>
      </c>
      <c r="AK521" s="122">
        <v>44984</v>
      </c>
      <c r="AL521" s="122" t="e">
        <v>#N/A</v>
      </c>
      <c r="AM521" s="121" t="e">
        <v>#N/A</v>
      </c>
      <c r="AN521" s="121" t="e">
        <v>#N/A</v>
      </c>
      <c r="AO521" s="121" t="e">
        <v>#N/A</v>
      </c>
      <c r="AP521" s="122" t="e">
        <v>#N/A</v>
      </c>
      <c r="AQ521" s="122" t="e">
        <v>#N/A</v>
      </c>
      <c r="AR521" s="122" t="e">
        <v>#N/A</v>
      </c>
      <c r="AS521" s="122" t="e">
        <v>#N/A</v>
      </c>
      <c r="AT521" s="122" t="e">
        <v>#N/A</v>
      </c>
      <c r="AU521" s="121" t="e">
        <v>#N/A</v>
      </c>
      <c r="AV521" s="122" t="e">
        <v>#N/A</v>
      </c>
      <c r="AW521" s="122" t="e">
        <v>#N/A</v>
      </c>
      <c r="AX521" s="122" t="e">
        <v>#N/A</v>
      </c>
      <c r="AY521" s="122" t="e">
        <v>#N/A</v>
      </c>
      <c r="AZ521" s="122" t="e">
        <v>#N/A</v>
      </c>
      <c r="BA521" s="122" t="e">
        <v>#N/A</v>
      </c>
      <c r="BB521" s="122" t="e">
        <v>#N/A</v>
      </c>
      <c r="BC521" s="122" t="e">
        <v>#N/A</v>
      </c>
      <c r="BD521" s="122" t="e">
        <v>#N/A</v>
      </c>
      <c r="BE521" s="122" t="e">
        <v>#N/A</v>
      </c>
      <c r="BF521" s="122" t="e">
        <v>#N/A</v>
      </c>
      <c r="BG521" s="122" t="e">
        <v>#N/A</v>
      </c>
      <c r="BH521" s="122" t="e">
        <v>#N/A</v>
      </c>
      <c r="BI521" s="122" t="e">
        <v>#N/A</v>
      </c>
      <c r="BJ521" s="122" t="e">
        <v>#N/A</v>
      </c>
      <c r="BK521" s="122">
        <v>46009</v>
      </c>
      <c r="BL521" s="123"/>
      <c r="BM521" s="124">
        <v>45523</v>
      </c>
      <c r="BN521" s="124">
        <v>45523</v>
      </c>
      <c r="BO521" s="124">
        <v>45702</v>
      </c>
      <c r="BP521" s="124" t="e">
        <v>#N/A</v>
      </c>
      <c r="BQ521" s="124" t="e">
        <v>#N/A</v>
      </c>
      <c r="BR521" s="124" t="e">
        <v>#N/A</v>
      </c>
      <c r="BS521" s="124" t="s">
        <v>199</v>
      </c>
      <c r="BT521" s="124" t="e">
        <v>#N/A</v>
      </c>
      <c r="BU521" s="124" t="e">
        <v>#N/A</v>
      </c>
      <c r="BV521" s="124" t="e">
        <v>#N/A</v>
      </c>
      <c r="BW521" s="124" t="e">
        <v>#N/A</v>
      </c>
      <c r="BX521" s="124" t="e">
        <v>#N/A</v>
      </c>
      <c r="BY521" s="124" t="e">
        <v>#N/A</v>
      </c>
      <c r="BZ521" s="124" t="e">
        <v>#N/A</v>
      </c>
      <c r="CA521" s="125"/>
      <c r="CB521" s="124" t="e">
        <v>#N/A</v>
      </c>
      <c r="CC521" s="126">
        <v>1</v>
      </c>
      <c r="CD521" s="127" t="e">
        <v>#N/A</v>
      </c>
      <c r="CE521" s="128"/>
      <c r="CF521" s="77" t="s">
        <v>4209</v>
      </c>
    </row>
    <row r="522" spans="1:84" ht="14.5" x14ac:dyDescent="0.35">
      <c r="A522" s="77">
        <v>521</v>
      </c>
      <c r="B522" s="106" t="s">
        <v>6320</v>
      </c>
      <c r="C522" s="107" t="s">
        <v>6321</v>
      </c>
      <c r="D522" s="108" t="s">
        <v>1744</v>
      </c>
      <c r="E522" s="109" t="s">
        <v>1745</v>
      </c>
      <c r="F522" s="110">
        <v>655071117</v>
      </c>
      <c r="G522" s="108" t="s">
        <v>1004</v>
      </c>
      <c r="H522" s="111" t="s">
        <v>3269</v>
      </c>
      <c r="I522" s="111" t="s">
        <v>180</v>
      </c>
      <c r="J522" s="111" t="s">
        <v>4648</v>
      </c>
      <c r="K522" s="111" t="s">
        <v>199</v>
      </c>
      <c r="L522" s="112">
        <v>44197</v>
      </c>
      <c r="M522" s="111" t="s">
        <v>270</v>
      </c>
      <c r="N522" s="113"/>
      <c r="O522" s="114" t="s">
        <v>182</v>
      </c>
      <c r="P522" s="114" t="s">
        <v>182</v>
      </c>
      <c r="Q522" s="114" t="s">
        <v>184</v>
      </c>
      <c r="R522" s="114" t="s">
        <v>7316</v>
      </c>
      <c r="S522" s="114" t="s">
        <v>184</v>
      </c>
      <c r="T522" s="114" t="s">
        <v>183</v>
      </c>
      <c r="U522" s="114" t="s">
        <v>183</v>
      </c>
      <c r="V522" s="115"/>
      <c r="W522" s="116" t="s">
        <v>1746</v>
      </c>
      <c r="X522" s="116" t="s">
        <v>1747</v>
      </c>
      <c r="Y522" s="117">
        <v>3485675</v>
      </c>
      <c r="Z522" s="117">
        <v>3486525</v>
      </c>
      <c r="AA522" s="118"/>
      <c r="AB522" s="119" t="s">
        <v>5166</v>
      </c>
      <c r="AC522" s="119" t="s">
        <v>1748</v>
      </c>
      <c r="AD522" s="119">
        <v>4433</v>
      </c>
      <c r="AE522" s="119" t="s">
        <v>1749</v>
      </c>
      <c r="AF522" s="119" t="s">
        <v>6176</v>
      </c>
      <c r="AG522" s="120"/>
      <c r="AH522" s="121">
        <v>44753</v>
      </c>
      <c r="AI522" s="121">
        <v>44753</v>
      </c>
      <c r="AJ522" s="121">
        <v>44753</v>
      </c>
      <c r="AK522" s="122">
        <v>44974</v>
      </c>
      <c r="AL522" s="122" t="e">
        <v>#N/A</v>
      </c>
      <c r="AM522" s="121">
        <v>45245</v>
      </c>
      <c r="AN522" s="121" t="e">
        <v>#N/A</v>
      </c>
      <c r="AO522" s="121" t="e">
        <v>#N/A</v>
      </c>
      <c r="AP522" s="122" t="e">
        <v>#N/A</v>
      </c>
      <c r="AQ522" s="122">
        <v>45106</v>
      </c>
      <c r="AR522" s="122" t="e">
        <v>#N/A</v>
      </c>
      <c r="AS522" s="122" t="e">
        <v>#N/A</v>
      </c>
      <c r="AT522" s="122" t="e">
        <v>#N/A</v>
      </c>
      <c r="AU522" s="121" t="e">
        <v>#N/A</v>
      </c>
      <c r="AV522" s="122" t="e">
        <v>#N/A</v>
      </c>
      <c r="AW522" s="122" t="e">
        <v>#N/A</v>
      </c>
      <c r="AX522" s="122" t="e">
        <v>#N/A</v>
      </c>
      <c r="AY522" s="122" t="e">
        <v>#N/A</v>
      </c>
      <c r="AZ522" s="122" t="e">
        <v>#N/A</v>
      </c>
      <c r="BA522" s="122" t="e">
        <v>#N/A</v>
      </c>
      <c r="BB522" s="122" t="e">
        <v>#N/A</v>
      </c>
      <c r="BC522" s="122" t="e">
        <v>#N/A</v>
      </c>
      <c r="BD522" s="122" t="e">
        <v>#N/A</v>
      </c>
      <c r="BE522" s="122">
        <v>45156</v>
      </c>
      <c r="BF522" s="122" t="e">
        <v>#N/A</v>
      </c>
      <c r="BG522" s="122" t="e">
        <v>#N/A</v>
      </c>
      <c r="BH522" s="122" t="e">
        <v>#N/A</v>
      </c>
      <c r="BI522" s="122" t="e">
        <v>#N/A</v>
      </c>
      <c r="BJ522" s="122" t="e">
        <v>#N/A</v>
      </c>
      <c r="BK522" s="122">
        <v>45958</v>
      </c>
      <c r="BL522" s="123"/>
      <c r="BM522" s="124">
        <v>45371</v>
      </c>
      <c r="BN522" s="124">
        <v>45373</v>
      </c>
      <c r="BO522" s="124">
        <v>45583</v>
      </c>
      <c r="BP522" s="124">
        <v>45930</v>
      </c>
      <c r="BQ522" s="124" t="e">
        <v>#N/A</v>
      </c>
      <c r="BR522" s="124">
        <v>45583</v>
      </c>
      <c r="BS522" s="124" t="s">
        <v>199</v>
      </c>
      <c r="BT522" s="124" t="s">
        <v>199</v>
      </c>
      <c r="BU522" s="124" t="e">
        <v>#N/A</v>
      </c>
      <c r="BV522" s="124" t="e">
        <v>#N/A</v>
      </c>
      <c r="BW522" s="124" t="e">
        <v>#N/A</v>
      </c>
      <c r="BX522" s="124" t="s">
        <v>199</v>
      </c>
      <c r="BY522" s="124">
        <v>45946</v>
      </c>
      <c r="BZ522" s="124" t="e">
        <v>#N/A</v>
      </c>
      <c r="CA522" s="125"/>
      <c r="CB522" s="124">
        <v>45733</v>
      </c>
      <c r="CC522" s="126">
        <v>1</v>
      </c>
      <c r="CD522" s="127" t="e">
        <v>#N/A</v>
      </c>
      <c r="CE522" s="128"/>
      <c r="CF522" s="77" t="s">
        <v>4209</v>
      </c>
    </row>
    <row r="523" spans="1:84" ht="14.5" x14ac:dyDescent="0.35">
      <c r="A523" s="77">
        <v>522</v>
      </c>
      <c r="B523" s="106" t="s">
        <v>6300</v>
      </c>
      <c r="C523" s="107" t="s">
        <v>1363</v>
      </c>
      <c r="D523" s="108" t="s">
        <v>268</v>
      </c>
      <c r="E523" s="109" t="s">
        <v>269</v>
      </c>
      <c r="F523" s="110">
        <v>656658761</v>
      </c>
      <c r="G523" s="108" t="s">
        <v>1004</v>
      </c>
      <c r="H523" s="111" t="s">
        <v>207</v>
      </c>
      <c r="I523" s="111" t="s">
        <v>180</v>
      </c>
      <c r="J523" s="111" t="s">
        <v>4648</v>
      </c>
      <c r="K523" s="111" t="s">
        <v>199</v>
      </c>
      <c r="L523" s="112">
        <v>40119</v>
      </c>
      <c r="M523" s="111" t="s">
        <v>2502</v>
      </c>
      <c r="N523" s="113"/>
      <c r="O523" s="114" t="s">
        <v>257</v>
      </c>
      <c r="P523" s="114" t="s">
        <v>257</v>
      </c>
      <c r="Q523" s="114" t="s">
        <v>257</v>
      </c>
      <c r="R523" s="114" t="s">
        <v>257</v>
      </c>
      <c r="S523" s="114" t="s">
        <v>257</v>
      </c>
      <c r="T523" s="114" t="s">
        <v>183</v>
      </c>
      <c r="U523" s="114" t="s">
        <v>183</v>
      </c>
      <c r="V523" s="115"/>
      <c r="W523" s="116" t="s">
        <v>1944</v>
      </c>
      <c r="X523" s="116" t="s">
        <v>1945</v>
      </c>
      <c r="Y523" s="117">
        <v>3485222</v>
      </c>
      <c r="Z523" s="117">
        <v>3481039</v>
      </c>
      <c r="AA523" s="118"/>
      <c r="AB523" s="119" t="s">
        <v>5876</v>
      </c>
      <c r="AC523" s="119" t="s">
        <v>1946</v>
      </c>
      <c r="AD523" s="119">
        <v>4191</v>
      </c>
      <c r="AE523" s="119" t="s">
        <v>1947</v>
      </c>
      <c r="AF523" s="119" t="s">
        <v>7626</v>
      </c>
      <c r="AG523" s="120"/>
      <c r="AH523" s="121">
        <v>44197</v>
      </c>
      <c r="AI523" s="121">
        <v>44197</v>
      </c>
      <c r="AJ523" s="121">
        <v>44197</v>
      </c>
      <c r="AK523" s="122">
        <v>44197</v>
      </c>
      <c r="AL523" s="122" t="e">
        <v>#N/A</v>
      </c>
      <c r="AM523" s="121" t="e">
        <v>#N/A</v>
      </c>
      <c r="AN523" s="121" t="e">
        <v>#N/A</v>
      </c>
      <c r="AO523" s="121" t="e">
        <v>#N/A</v>
      </c>
      <c r="AP523" s="122" t="e">
        <v>#N/A</v>
      </c>
      <c r="AQ523" s="122" t="e">
        <v>#N/A</v>
      </c>
      <c r="AR523" s="122" t="e">
        <v>#N/A</v>
      </c>
      <c r="AS523" s="122" t="e">
        <v>#N/A</v>
      </c>
      <c r="AT523" s="122" t="e">
        <v>#N/A</v>
      </c>
      <c r="AU523" s="121" t="e">
        <v>#N/A</v>
      </c>
      <c r="AV523" s="122" t="e">
        <v>#N/A</v>
      </c>
      <c r="AW523" s="122" t="e">
        <v>#N/A</v>
      </c>
      <c r="AX523" s="122" t="e">
        <v>#N/A</v>
      </c>
      <c r="AY523" s="122" t="e">
        <v>#N/A</v>
      </c>
      <c r="AZ523" s="122" t="e">
        <v>#N/A</v>
      </c>
      <c r="BA523" s="122" t="e">
        <v>#N/A</v>
      </c>
      <c r="BB523" s="122" t="e">
        <v>#N/A</v>
      </c>
      <c r="BC523" s="122" t="e">
        <v>#N/A</v>
      </c>
      <c r="BD523" s="122" t="e">
        <v>#N/A</v>
      </c>
      <c r="BE523" s="122" t="e">
        <v>#N/A</v>
      </c>
      <c r="BF523" s="122" t="e">
        <v>#N/A</v>
      </c>
      <c r="BG523" s="122" t="e">
        <v>#N/A</v>
      </c>
      <c r="BH523" s="122" t="e">
        <v>#N/A</v>
      </c>
      <c r="BI523" s="122" t="e">
        <v>#N/A</v>
      </c>
      <c r="BJ523" s="122" t="e">
        <v>#N/A</v>
      </c>
      <c r="BK523" s="122">
        <v>45982</v>
      </c>
      <c r="BL523" s="123"/>
      <c r="BM523" s="124">
        <v>44197</v>
      </c>
      <c r="BN523" s="124">
        <v>44197</v>
      </c>
      <c r="BO523" s="124">
        <v>44197</v>
      </c>
      <c r="BP523" s="124">
        <v>44197</v>
      </c>
      <c r="BQ523" s="124">
        <v>44197</v>
      </c>
      <c r="BR523" s="124">
        <v>44197</v>
      </c>
      <c r="BS523" s="124" t="s">
        <v>199</v>
      </c>
      <c r="BT523" s="124" t="s">
        <v>199</v>
      </c>
      <c r="BU523" s="124">
        <v>44197</v>
      </c>
      <c r="BV523" s="124">
        <v>44197</v>
      </c>
      <c r="BW523" s="124" t="e">
        <v>#N/A</v>
      </c>
      <c r="BX523" s="124" t="s">
        <v>199</v>
      </c>
      <c r="BY523" s="124" t="e">
        <v>#N/A</v>
      </c>
      <c r="BZ523" s="124" t="e">
        <v>#N/A</v>
      </c>
      <c r="CA523" s="125"/>
      <c r="CB523" s="124">
        <v>45733</v>
      </c>
      <c r="CC523" s="126">
        <v>1</v>
      </c>
      <c r="CD523" s="127" t="e">
        <v>#N/A</v>
      </c>
      <c r="CE523" s="128"/>
      <c r="CF523" s="77" t="s">
        <v>4210</v>
      </c>
    </row>
    <row r="524" spans="1:84" ht="14.5" x14ac:dyDescent="0.35">
      <c r="A524" s="77">
        <v>523</v>
      </c>
      <c r="B524" s="106" t="s">
        <v>6367</v>
      </c>
      <c r="C524" s="107" t="s">
        <v>1195</v>
      </c>
      <c r="D524" s="108" t="s">
        <v>395</v>
      </c>
      <c r="E524" s="109" t="s">
        <v>396</v>
      </c>
      <c r="F524" s="110">
        <v>678922969</v>
      </c>
      <c r="G524" s="108" t="s">
        <v>1004</v>
      </c>
      <c r="H524" s="111" t="s">
        <v>207</v>
      </c>
      <c r="I524" s="111" t="s">
        <v>180</v>
      </c>
      <c r="J524" s="111" t="s">
        <v>4648</v>
      </c>
      <c r="K524" s="111" t="s">
        <v>199</v>
      </c>
      <c r="L524" s="112">
        <v>39427</v>
      </c>
      <c r="M524" s="111" t="s">
        <v>2502</v>
      </c>
      <c r="N524" s="113"/>
      <c r="O524" s="114" t="s">
        <v>246</v>
      </c>
      <c r="P524" s="114" t="s">
        <v>257</v>
      </c>
      <c r="Q524" s="114" t="s">
        <v>246</v>
      </c>
      <c r="R524" s="114" t="s">
        <v>6198</v>
      </c>
      <c r="S524" s="114" t="s">
        <v>4381</v>
      </c>
      <c r="T524" s="114" t="s">
        <v>4356</v>
      </c>
      <c r="U524" s="114" t="s">
        <v>4356</v>
      </c>
      <c r="V524" s="115"/>
      <c r="W524" s="116" t="s">
        <v>1842</v>
      </c>
      <c r="X524" s="116" t="s">
        <v>1843</v>
      </c>
      <c r="Y524" s="117">
        <v>3485138</v>
      </c>
      <c r="Z524" s="117">
        <v>3481113</v>
      </c>
      <c r="AA524" s="118"/>
      <c r="AB524" s="119" t="s">
        <v>5667</v>
      </c>
      <c r="AC524" s="119" t="s">
        <v>1844</v>
      </c>
      <c r="AD524" s="119">
        <v>4226</v>
      </c>
      <c r="AE524" s="119" t="s">
        <v>1845</v>
      </c>
      <c r="AF524" s="119" t="s">
        <v>7627</v>
      </c>
      <c r="AG524" s="120"/>
      <c r="AH524" s="121">
        <v>44197</v>
      </c>
      <c r="AI524" s="121">
        <v>44197</v>
      </c>
      <c r="AJ524" s="121">
        <v>44197</v>
      </c>
      <c r="AK524" s="122">
        <v>44197</v>
      </c>
      <c r="AL524" s="122" t="e">
        <v>#N/A</v>
      </c>
      <c r="AM524" s="121" t="e">
        <v>#N/A</v>
      </c>
      <c r="AN524" s="121" t="e">
        <v>#N/A</v>
      </c>
      <c r="AO524" s="121" t="e">
        <v>#N/A</v>
      </c>
      <c r="AP524" s="122" t="e">
        <v>#N/A</v>
      </c>
      <c r="AQ524" s="122" t="e">
        <v>#N/A</v>
      </c>
      <c r="AR524" s="122" t="e">
        <v>#N/A</v>
      </c>
      <c r="AS524" s="122" t="e">
        <v>#N/A</v>
      </c>
      <c r="AT524" s="122" t="e">
        <v>#N/A</v>
      </c>
      <c r="AU524" s="121" t="e">
        <v>#N/A</v>
      </c>
      <c r="AV524" s="122" t="e">
        <v>#N/A</v>
      </c>
      <c r="AW524" s="122" t="e">
        <v>#N/A</v>
      </c>
      <c r="AX524" s="122" t="e">
        <v>#N/A</v>
      </c>
      <c r="AY524" s="122" t="e">
        <v>#N/A</v>
      </c>
      <c r="AZ524" s="122" t="e">
        <v>#N/A</v>
      </c>
      <c r="BA524" s="122" t="e">
        <v>#N/A</v>
      </c>
      <c r="BB524" s="122" t="e">
        <v>#N/A</v>
      </c>
      <c r="BC524" s="122" t="e">
        <v>#N/A</v>
      </c>
      <c r="BD524" s="122" t="e">
        <v>#N/A</v>
      </c>
      <c r="BE524" s="122" t="e">
        <v>#N/A</v>
      </c>
      <c r="BF524" s="122" t="e">
        <v>#N/A</v>
      </c>
      <c r="BG524" s="122" t="e">
        <v>#N/A</v>
      </c>
      <c r="BH524" s="122" t="e">
        <v>#N/A</v>
      </c>
      <c r="BI524" s="122" t="e">
        <v>#N/A</v>
      </c>
      <c r="BJ524" s="122" t="e">
        <v>#N/A</v>
      </c>
      <c r="BK524" s="122">
        <v>45982</v>
      </c>
      <c r="BL524" s="123"/>
      <c r="BM524" s="124">
        <v>44550</v>
      </c>
      <c r="BN524" s="124">
        <v>44734</v>
      </c>
      <c r="BO524" s="124">
        <v>44594</v>
      </c>
      <c r="BP524" s="124">
        <v>44638</v>
      </c>
      <c r="BQ524" s="124">
        <v>44684</v>
      </c>
      <c r="BR524" s="124">
        <v>44714</v>
      </c>
      <c r="BS524" s="124" t="s">
        <v>199</v>
      </c>
      <c r="BT524" s="124" t="s">
        <v>199</v>
      </c>
      <c r="BU524" s="124" t="e">
        <v>#N/A</v>
      </c>
      <c r="BV524" s="124" t="e">
        <v>#N/A</v>
      </c>
      <c r="BW524" s="124" t="e">
        <v>#N/A</v>
      </c>
      <c r="BX524" s="124" t="s">
        <v>199</v>
      </c>
      <c r="BY524" s="124" t="e">
        <v>#N/A</v>
      </c>
      <c r="BZ524" s="124" t="e">
        <v>#N/A</v>
      </c>
      <c r="CA524" s="125"/>
      <c r="CB524" s="124">
        <v>45733</v>
      </c>
      <c r="CC524" s="126">
        <v>1</v>
      </c>
      <c r="CD524" s="127" t="e">
        <v>#N/A</v>
      </c>
      <c r="CE524" s="128"/>
      <c r="CF524" s="77" t="s">
        <v>4210</v>
      </c>
    </row>
    <row r="525" spans="1:84" ht="14.5" x14ac:dyDescent="0.35">
      <c r="A525" s="77">
        <v>524</v>
      </c>
      <c r="B525" s="106" t="s">
        <v>31</v>
      </c>
      <c r="C525" s="107" t="s">
        <v>1189</v>
      </c>
      <c r="D525" s="108" t="s">
        <v>438</v>
      </c>
      <c r="E525" s="109" t="s">
        <v>439</v>
      </c>
      <c r="F525" s="110">
        <v>654190014</v>
      </c>
      <c r="G525" s="108" t="s">
        <v>1004</v>
      </c>
      <c r="H525" s="111" t="s">
        <v>207</v>
      </c>
      <c r="I525" s="111" t="s">
        <v>180</v>
      </c>
      <c r="J525" s="111" t="s">
        <v>4648</v>
      </c>
      <c r="K525" s="111" t="s">
        <v>199</v>
      </c>
      <c r="L525" s="112">
        <v>42614</v>
      </c>
      <c r="M525" s="111" t="s">
        <v>2502</v>
      </c>
      <c r="N525" s="113"/>
      <c r="O525" s="114" t="s">
        <v>7496</v>
      </c>
      <c r="P525" s="114" t="s">
        <v>7496</v>
      </c>
      <c r="Q525" s="114" t="s">
        <v>7496</v>
      </c>
      <c r="R525" s="114" t="s">
        <v>7496</v>
      </c>
      <c r="S525" s="114" t="s">
        <v>7496</v>
      </c>
      <c r="T525" s="114" t="s">
        <v>4356</v>
      </c>
      <c r="U525" s="114" t="s">
        <v>4356</v>
      </c>
      <c r="V525" s="115"/>
      <c r="W525" s="116" t="s">
        <v>440</v>
      </c>
      <c r="X525" s="116" t="s">
        <v>441</v>
      </c>
      <c r="Y525" s="117">
        <v>3485038</v>
      </c>
      <c r="Z525" s="117">
        <v>3481151</v>
      </c>
      <c r="AA525" s="118"/>
      <c r="AB525" s="119" t="s">
        <v>5310</v>
      </c>
      <c r="AC525" s="119" t="s">
        <v>1190</v>
      </c>
      <c r="AD525" s="119">
        <v>4337</v>
      </c>
      <c r="AE525" s="119" t="s">
        <v>442</v>
      </c>
      <c r="AF525" s="119">
        <v>0</v>
      </c>
      <c r="AG525" s="120"/>
      <c r="AH525" s="121">
        <v>44197</v>
      </c>
      <c r="AI525" s="121">
        <v>44197</v>
      </c>
      <c r="AJ525" s="121">
        <v>44197</v>
      </c>
      <c r="AK525" s="122">
        <v>44197</v>
      </c>
      <c r="AL525" s="122" t="e">
        <v>#N/A</v>
      </c>
      <c r="AM525" s="121" t="e">
        <v>#N/A</v>
      </c>
      <c r="AN525" s="121" t="e">
        <v>#N/A</v>
      </c>
      <c r="AO525" s="121" t="e">
        <v>#N/A</v>
      </c>
      <c r="AP525" s="122" t="e">
        <v>#N/A</v>
      </c>
      <c r="AQ525" s="122" t="e">
        <v>#N/A</v>
      </c>
      <c r="AR525" s="122" t="e">
        <v>#N/A</v>
      </c>
      <c r="AS525" s="122" t="e">
        <v>#N/A</v>
      </c>
      <c r="AT525" s="122" t="e">
        <v>#N/A</v>
      </c>
      <c r="AU525" s="121" t="e">
        <v>#N/A</v>
      </c>
      <c r="AV525" s="122" t="e">
        <v>#N/A</v>
      </c>
      <c r="AW525" s="122" t="e">
        <v>#N/A</v>
      </c>
      <c r="AX525" s="122" t="e">
        <v>#N/A</v>
      </c>
      <c r="AY525" s="122" t="e">
        <v>#N/A</v>
      </c>
      <c r="AZ525" s="122" t="e">
        <v>#N/A</v>
      </c>
      <c r="BA525" s="122" t="e">
        <v>#N/A</v>
      </c>
      <c r="BB525" s="122" t="e">
        <v>#N/A</v>
      </c>
      <c r="BC525" s="122" t="e">
        <v>#N/A</v>
      </c>
      <c r="BD525" s="122" t="e">
        <v>#N/A</v>
      </c>
      <c r="BE525" s="122" t="e">
        <v>#N/A</v>
      </c>
      <c r="BF525" s="122" t="e">
        <v>#N/A</v>
      </c>
      <c r="BG525" s="122" t="e">
        <v>#N/A</v>
      </c>
      <c r="BH525" s="122" t="e">
        <v>#N/A</v>
      </c>
      <c r="BI525" s="122" t="e">
        <v>#N/A</v>
      </c>
      <c r="BJ525" s="122" t="e">
        <v>#N/A</v>
      </c>
      <c r="BK525" s="122">
        <v>46010</v>
      </c>
      <c r="BL525" s="123"/>
      <c r="BM525" s="124">
        <v>44197</v>
      </c>
      <c r="BN525" s="124">
        <v>44197</v>
      </c>
      <c r="BO525" s="124">
        <v>44732</v>
      </c>
      <c r="BP525" s="124">
        <v>44530</v>
      </c>
      <c r="BQ525" s="124">
        <v>44197</v>
      </c>
      <c r="BR525" s="124">
        <v>44704</v>
      </c>
      <c r="BS525" s="124" t="s">
        <v>199</v>
      </c>
      <c r="BT525" s="124" t="s">
        <v>199</v>
      </c>
      <c r="BU525" s="124" t="e">
        <v>#N/A</v>
      </c>
      <c r="BV525" s="124" t="e">
        <v>#N/A</v>
      </c>
      <c r="BW525" s="124" t="e">
        <v>#N/A</v>
      </c>
      <c r="BX525" s="124" t="s">
        <v>199</v>
      </c>
      <c r="BY525" s="124" t="e">
        <v>#N/A</v>
      </c>
      <c r="BZ525" s="124" t="e">
        <v>#N/A</v>
      </c>
      <c r="CA525" s="125"/>
      <c r="CB525" s="124">
        <v>45733</v>
      </c>
      <c r="CC525" s="126">
        <v>1</v>
      </c>
      <c r="CD525" s="127" t="s">
        <v>4169</v>
      </c>
      <c r="CE525" s="128"/>
      <c r="CF525" s="77" t="s">
        <v>4210</v>
      </c>
    </row>
    <row r="526" spans="1:84" ht="14.5" x14ac:dyDescent="0.35">
      <c r="A526" s="77">
        <v>525</v>
      </c>
      <c r="B526" s="106" t="s">
        <v>6336</v>
      </c>
      <c r="C526" s="107" t="s">
        <v>1364</v>
      </c>
      <c r="D526" s="108" t="s">
        <v>358</v>
      </c>
      <c r="E526" s="109" t="s">
        <v>359</v>
      </c>
      <c r="F526" s="110">
        <v>691955112</v>
      </c>
      <c r="G526" s="108" t="s">
        <v>1004</v>
      </c>
      <c r="H526" s="111" t="s">
        <v>207</v>
      </c>
      <c r="I526" s="111" t="s">
        <v>180</v>
      </c>
      <c r="J526" s="111" t="s">
        <v>4648</v>
      </c>
      <c r="K526" s="111" t="s">
        <v>199</v>
      </c>
      <c r="L526" s="112">
        <v>38964</v>
      </c>
      <c r="M526" s="111" t="s">
        <v>270</v>
      </c>
      <c r="N526" s="113"/>
      <c r="O526" s="114" t="s">
        <v>6893</v>
      </c>
      <c r="P526" s="114" t="s">
        <v>6893</v>
      </c>
      <c r="Q526" s="114" t="s">
        <v>7264</v>
      </c>
      <c r="R526" s="114" t="s">
        <v>7264</v>
      </c>
      <c r="S526" s="114" t="s">
        <v>7628</v>
      </c>
      <c r="T526" s="114" t="s">
        <v>4356</v>
      </c>
      <c r="U526" s="114" t="s">
        <v>4356</v>
      </c>
      <c r="V526" s="115"/>
      <c r="W526" s="116" t="s">
        <v>1948</v>
      </c>
      <c r="X526" s="116" t="s">
        <v>2618</v>
      </c>
      <c r="Y526" s="117">
        <v>3485452</v>
      </c>
      <c r="Z526" s="117">
        <v>3486237</v>
      </c>
      <c r="AA526" s="118"/>
      <c r="AB526" s="119" t="s">
        <v>5747</v>
      </c>
      <c r="AC526" s="119" t="s">
        <v>1949</v>
      </c>
      <c r="AD526" s="119">
        <v>5677</v>
      </c>
      <c r="AE526" s="119" t="s">
        <v>3199</v>
      </c>
      <c r="AF526" s="119">
        <v>0</v>
      </c>
      <c r="AG526" s="120"/>
      <c r="AH526" s="121">
        <v>44197</v>
      </c>
      <c r="AI526" s="121">
        <v>44197</v>
      </c>
      <c r="AJ526" s="121">
        <v>44197</v>
      </c>
      <c r="AK526" s="122">
        <v>44197</v>
      </c>
      <c r="AL526" s="122" t="e">
        <v>#N/A</v>
      </c>
      <c r="AM526" s="121" t="e">
        <v>#N/A</v>
      </c>
      <c r="AN526" s="121" t="e">
        <v>#N/A</v>
      </c>
      <c r="AO526" s="121" t="e">
        <v>#N/A</v>
      </c>
      <c r="AP526" s="122" t="e">
        <v>#N/A</v>
      </c>
      <c r="AQ526" s="122" t="e">
        <v>#N/A</v>
      </c>
      <c r="AR526" s="122" t="e">
        <v>#N/A</v>
      </c>
      <c r="AS526" s="122" t="e">
        <v>#N/A</v>
      </c>
      <c r="AT526" s="122" t="e">
        <v>#N/A</v>
      </c>
      <c r="AU526" s="121" t="e">
        <v>#N/A</v>
      </c>
      <c r="AV526" s="122" t="e">
        <v>#N/A</v>
      </c>
      <c r="AW526" s="122" t="e">
        <v>#N/A</v>
      </c>
      <c r="AX526" s="122" t="e">
        <v>#N/A</v>
      </c>
      <c r="AY526" s="122">
        <v>44631</v>
      </c>
      <c r="AZ526" s="122" t="e">
        <v>#N/A</v>
      </c>
      <c r="BA526" s="122" t="e">
        <v>#N/A</v>
      </c>
      <c r="BB526" s="122" t="e">
        <v>#N/A</v>
      </c>
      <c r="BC526" s="122" t="e">
        <v>#N/A</v>
      </c>
      <c r="BD526" s="122" t="e">
        <v>#N/A</v>
      </c>
      <c r="BE526" s="122" t="e">
        <v>#N/A</v>
      </c>
      <c r="BF526" s="122" t="e">
        <v>#N/A</v>
      </c>
      <c r="BG526" s="122" t="e">
        <v>#N/A</v>
      </c>
      <c r="BH526" s="122" t="e">
        <v>#N/A</v>
      </c>
      <c r="BI526" s="122" t="e">
        <v>#N/A</v>
      </c>
      <c r="BJ526" s="122" t="e">
        <v>#N/A</v>
      </c>
      <c r="BK526" s="122" t="e">
        <v>#N/A</v>
      </c>
      <c r="BL526" s="123"/>
      <c r="BM526" s="124">
        <v>44197</v>
      </c>
      <c r="BN526" s="124">
        <v>44197</v>
      </c>
      <c r="BO526" s="124">
        <v>44197</v>
      </c>
      <c r="BP526" s="124">
        <v>44197</v>
      </c>
      <c r="BQ526" s="124">
        <v>44197</v>
      </c>
      <c r="BR526" s="124">
        <v>44197</v>
      </c>
      <c r="BS526" s="124" t="s">
        <v>199</v>
      </c>
      <c r="BT526" s="124" t="s">
        <v>199</v>
      </c>
      <c r="BU526" s="124" t="e">
        <v>#N/A</v>
      </c>
      <c r="BV526" s="124" t="e">
        <v>#N/A</v>
      </c>
      <c r="BW526" s="124" t="e">
        <v>#N/A</v>
      </c>
      <c r="BX526" s="124" t="s">
        <v>199</v>
      </c>
      <c r="BY526" s="124">
        <v>45078</v>
      </c>
      <c r="BZ526" s="124" t="e">
        <v>#N/A</v>
      </c>
      <c r="CA526" s="125"/>
      <c r="CB526" s="124">
        <v>45727</v>
      </c>
      <c r="CC526" s="126">
        <v>1</v>
      </c>
      <c r="CD526" s="127" t="e">
        <v>#N/A</v>
      </c>
      <c r="CE526" s="128"/>
      <c r="CF526" s="77" t="s">
        <v>4212</v>
      </c>
    </row>
    <row r="527" spans="1:84" ht="14.5" x14ac:dyDescent="0.35">
      <c r="A527" s="77">
        <v>526</v>
      </c>
      <c r="B527" s="106" t="s">
        <v>6313</v>
      </c>
      <c r="C527" s="107" t="s">
        <v>1508</v>
      </c>
      <c r="D527" s="108" t="s">
        <v>1509</v>
      </c>
      <c r="E527" s="109" t="s">
        <v>1510</v>
      </c>
      <c r="F527" s="110">
        <v>600604131</v>
      </c>
      <c r="G527" s="108" t="s">
        <v>1004</v>
      </c>
      <c r="H527" s="111" t="s">
        <v>207</v>
      </c>
      <c r="I527" s="111" t="s">
        <v>180</v>
      </c>
      <c r="J527" s="111" t="s">
        <v>4648</v>
      </c>
      <c r="K527" s="111" t="s">
        <v>199</v>
      </c>
      <c r="L527" s="112">
        <v>38719</v>
      </c>
      <c r="M527" s="111" t="s">
        <v>270</v>
      </c>
      <c r="N527" s="113"/>
      <c r="O527" s="114" t="s">
        <v>182</v>
      </c>
      <c r="P527" s="114" t="s">
        <v>182</v>
      </c>
      <c r="Q527" s="114" t="s">
        <v>184</v>
      </c>
      <c r="R527" s="114" t="s">
        <v>7316</v>
      </c>
      <c r="S527" s="114" t="s">
        <v>182</v>
      </c>
      <c r="T527" s="114" t="s">
        <v>183</v>
      </c>
      <c r="U527" s="114" t="s">
        <v>183</v>
      </c>
      <c r="V527" s="115"/>
      <c r="W527" s="116" t="s">
        <v>1511</v>
      </c>
      <c r="X527" s="116" t="s">
        <v>1512</v>
      </c>
      <c r="Y527" s="117">
        <v>3485637</v>
      </c>
      <c r="Z527" s="117">
        <v>3486251</v>
      </c>
      <c r="AA527" s="118"/>
      <c r="AB527" s="119" t="s">
        <v>5239</v>
      </c>
      <c r="AC527" s="119" t="s">
        <v>1590</v>
      </c>
      <c r="AD527" s="119">
        <v>4346</v>
      </c>
      <c r="AE527" s="119" t="s">
        <v>1591</v>
      </c>
      <c r="AF527" s="119" t="s">
        <v>7629</v>
      </c>
      <c r="AG527" s="120"/>
      <c r="AH527" s="121">
        <v>44641</v>
      </c>
      <c r="AI527" s="121">
        <v>44641</v>
      </c>
      <c r="AJ527" s="121">
        <v>44641</v>
      </c>
      <c r="AK527" s="122">
        <v>44641</v>
      </c>
      <c r="AL527" s="122" t="e">
        <v>#N/A</v>
      </c>
      <c r="AM527" s="121" t="e">
        <v>#N/A</v>
      </c>
      <c r="AN527" s="121" t="e">
        <v>#N/A</v>
      </c>
      <c r="AO527" s="121" t="e">
        <v>#N/A</v>
      </c>
      <c r="AP527" s="122" t="e">
        <v>#N/A</v>
      </c>
      <c r="AQ527" s="122" t="e">
        <v>#N/A</v>
      </c>
      <c r="AR527" s="122" t="e">
        <v>#N/A</v>
      </c>
      <c r="AS527" s="122" t="e">
        <v>#N/A</v>
      </c>
      <c r="AT527" s="122" t="e">
        <v>#N/A</v>
      </c>
      <c r="AU527" s="121" t="e">
        <v>#N/A</v>
      </c>
      <c r="AV527" s="122" t="e">
        <v>#N/A</v>
      </c>
      <c r="AW527" s="122" t="e">
        <v>#N/A</v>
      </c>
      <c r="AX527" s="122" t="e">
        <v>#N/A</v>
      </c>
      <c r="AY527" s="122" t="e">
        <v>#N/A</v>
      </c>
      <c r="AZ527" s="122" t="e">
        <v>#N/A</v>
      </c>
      <c r="BA527" s="122" t="e">
        <v>#N/A</v>
      </c>
      <c r="BB527" s="122" t="e">
        <v>#N/A</v>
      </c>
      <c r="BC527" s="122" t="e">
        <v>#N/A</v>
      </c>
      <c r="BD527" s="122" t="e">
        <v>#N/A</v>
      </c>
      <c r="BE527" s="122" t="e">
        <v>#N/A</v>
      </c>
      <c r="BF527" s="122" t="e">
        <v>#N/A</v>
      </c>
      <c r="BG527" s="122" t="e">
        <v>#N/A</v>
      </c>
      <c r="BH527" s="122" t="e">
        <v>#N/A</v>
      </c>
      <c r="BI527" s="122" t="e">
        <v>#N/A</v>
      </c>
      <c r="BJ527" s="122" t="e">
        <v>#N/A</v>
      </c>
      <c r="BK527" s="122">
        <v>45981</v>
      </c>
      <c r="BL527" s="123"/>
      <c r="BM527" s="124">
        <v>45075</v>
      </c>
      <c r="BN527" s="124">
        <v>45075</v>
      </c>
      <c r="BO527" s="124">
        <v>45110</v>
      </c>
      <c r="BP527" s="124">
        <v>45272</v>
      </c>
      <c r="BQ527" s="124">
        <v>45110</v>
      </c>
      <c r="BR527" s="124">
        <v>45272</v>
      </c>
      <c r="BS527" s="124">
        <v>45272</v>
      </c>
      <c r="BT527" s="124">
        <v>45272</v>
      </c>
      <c r="BU527" s="124" t="e">
        <v>#N/A</v>
      </c>
      <c r="BV527" s="124" t="e">
        <v>#N/A</v>
      </c>
      <c r="BW527" s="124" t="e">
        <v>#N/A</v>
      </c>
      <c r="BX527" s="124" t="e">
        <v>#N/A</v>
      </c>
      <c r="BY527" s="124">
        <v>45078</v>
      </c>
      <c r="BZ527" s="124" t="e">
        <v>#N/A</v>
      </c>
      <c r="CA527" s="125"/>
      <c r="CB527" s="124">
        <v>45733</v>
      </c>
      <c r="CC527" s="126">
        <v>1</v>
      </c>
      <c r="CD527" s="127" t="e">
        <v>#N/A</v>
      </c>
      <c r="CE527" s="128"/>
      <c r="CF527" s="77" t="s">
        <v>4212</v>
      </c>
    </row>
    <row r="528" spans="1:84" ht="14.5" x14ac:dyDescent="0.35">
      <c r="A528" s="77">
        <v>527</v>
      </c>
      <c r="B528" s="106" t="s">
        <v>36</v>
      </c>
      <c r="C528" s="107" t="s">
        <v>1406</v>
      </c>
      <c r="D528" s="108" t="s">
        <v>457</v>
      </c>
      <c r="E528" s="109" t="s">
        <v>458</v>
      </c>
      <c r="F528" s="110">
        <v>695977640</v>
      </c>
      <c r="G528" s="108" t="s">
        <v>1004</v>
      </c>
      <c r="H528" s="111" t="s">
        <v>207</v>
      </c>
      <c r="I528" s="111" t="s">
        <v>180</v>
      </c>
      <c r="J528" s="111" t="s">
        <v>4648</v>
      </c>
      <c r="K528" s="111" t="s">
        <v>199</v>
      </c>
      <c r="L528" s="112">
        <v>40282</v>
      </c>
      <c r="M528" s="111" t="s">
        <v>270</v>
      </c>
      <c r="N528" s="113"/>
      <c r="O528" s="114" t="s">
        <v>607</v>
      </c>
      <c r="P528" s="114" t="s">
        <v>557</v>
      </c>
      <c r="Q528" s="114" t="s">
        <v>607</v>
      </c>
      <c r="R528" s="114" t="s">
        <v>7297</v>
      </c>
      <c r="S528" s="114" t="s">
        <v>557</v>
      </c>
      <c r="T528" s="114" t="s">
        <v>183</v>
      </c>
      <c r="U528" s="114" t="s">
        <v>183</v>
      </c>
      <c r="V528" s="115"/>
      <c r="W528" s="116" t="s">
        <v>460</v>
      </c>
      <c r="X528" s="116" t="s">
        <v>461</v>
      </c>
      <c r="Y528" s="117">
        <v>3485488</v>
      </c>
      <c r="Z528" s="117">
        <v>3481077</v>
      </c>
      <c r="AA528" s="118"/>
      <c r="AB528" s="119" t="s">
        <v>5242</v>
      </c>
      <c r="AC528" s="119" t="s">
        <v>1407</v>
      </c>
      <c r="AD528" s="119">
        <v>4377</v>
      </c>
      <c r="AE528" s="119" t="s">
        <v>1624</v>
      </c>
      <c r="AF528" s="119" t="s">
        <v>7630</v>
      </c>
      <c r="AG528" s="120"/>
      <c r="AH528" s="121">
        <v>44197</v>
      </c>
      <c r="AI528" s="121">
        <v>44197</v>
      </c>
      <c r="AJ528" s="121">
        <v>44197</v>
      </c>
      <c r="AK528" s="122">
        <v>44197</v>
      </c>
      <c r="AL528" s="122">
        <v>44197</v>
      </c>
      <c r="AM528" s="122" t="e">
        <v>#N/A</v>
      </c>
      <c r="AN528" s="122" t="e">
        <v>#N/A</v>
      </c>
      <c r="AO528" s="121" t="e">
        <v>#N/A</v>
      </c>
      <c r="AP528" s="122" t="e">
        <v>#N/A</v>
      </c>
      <c r="AQ528" s="122" t="e">
        <v>#N/A</v>
      </c>
      <c r="AR528" s="122" t="e">
        <v>#N/A</v>
      </c>
      <c r="AS528" s="122" t="e">
        <v>#N/A</v>
      </c>
      <c r="AT528" s="122" t="e">
        <v>#N/A</v>
      </c>
      <c r="AU528" s="121" t="e">
        <v>#N/A</v>
      </c>
      <c r="AV528" s="122" t="e">
        <v>#N/A</v>
      </c>
      <c r="AW528" s="122" t="e">
        <v>#N/A</v>
      </c>
      <c r="AX528" s="122" t="e">
        <v>#N/A</v>
      </c>
      <c r="AY528" s="122" t="e">
        <v>#N/A</v>
      </c>
      <c r="AZ528" s="122" t="e">
        <v>#N/A</v>
      </c>
      <c r="BA528" s="122" t="e">
        <v>#N/A</v>
      </c>
      <c r="BB528" s="122" t="e">
        <v>#N/A</v>
      </c>
      <c r="BC528" s="122" t="e">
        <v>#N/A</v>
      </c>
      <c r="BD528" s="122" t="e">
        <v>#N/A</v>
      </c>
      <c r="BE528" s="122" t="e">
        <v>#N/A</v>
      </c>
      <c r="BF528" s="122" t="e">
        <v>#N/A</v>
      </c>
      <c r="BG528" s="122" t="e">
        <v>#N/A</v>
      </c>
      <c r="BH528" s="122" t="e">
        <v>#N/A</v>
      </c>
      <c r="BI528" s="122" t="e">
        <v>#N/A</v>
      </c>
      <c r="BJ528" s="122" t="e">
        <v>#N/A</v>
      </c>
      <c r="BK528" s="122">
        <v>45982</v>
      </c>
      <c r="BL528" s="123"/>
      <c r="BM528" s="124">
        <v>45075</v>
      </c>
      <c r="BN528" s="124">
        <v>45078</v>
      </c>
      <c r="BO528" s="124">
        <v>45110</v>
      </c>
      <c r="BP528" s="124">
        <v>45272</v>
      </c>
      <c r="BQ528" s="124">
        <v>45110</v>
      </c>
      <c r="BR528" s="124" t="e">
        <v>#N/A</v>
      </c>
      <c r="BS528" s="124">
        <v>45272</v>
      </c>
      <c r="BT528" s="124">
        <v>45272</v>
      </c>
      <c r="BU528" s="124" t="e">
        <v>#N/A</v>
      </c>
      <c r="BV528" s="124" t="e">
        <v>#N/A</v>
      </c>
      <c r="BW528" s="124" t="e">
        <v>#N/A</v>
      </c>
      <c r="BX528" s="124" t="s">
        <v>199</v>
      </c>
      <c r="BY528" s="124">
        <v>45078</v>
      </c>
      <c r="BZ528" s="124" t="e">
        <v>#N/A</v>
      </c>
      <c r="CA528" s="125"/>
      <c r="CB528" s="124" t="e">
        <v>#N/A</v>
      </c>
      <c r="CC528" s="126">
        <v>1</v>
      </c>
      <c r="CD528" s="127" t="s">
        <v>4169</v>
      </c>
      <c r="CE528" s="128"/>
      <c r="CF528" s="77" t="s">
        <v>4212</v>
      </c>
    </row>
    <row r="529" spans="1:84" ht="14.5" x14ac:dyDescent="0.35">
      <c r="A529" s="77">
        <v>528</v>
      </c>
      <c r="B529" s="106" t="s">
        <v>51</v>
      </c>
      <c r="C529" s="107" t="s">
        <v>1196</v>
      </c>
      <c r="D529" s="108" t="s">
        <v>518</v>
      </c>
      <c r="E529" s="109" t="s">
        <v>519</v>
      </c>
      <c r="F529" s="110">
        <v>627476070</v>
      </c>
      <c r="G529" s="108" t="s">
        <v>1004</v>
      </c>
      <c r="H529" s="111" t="s">
        <v>207</v>
      </c>
      <c r="I529" s="111" t="s">
        <v>180</v>
      </c>
      <c r="J529" s="111" t="s">
        <v>4648</v>
      </c>
      <c r="K529" s="111" t="s">
        <v>199</v>
      </c>
      <c r="L529" s="112">
        <v>43108</v>
      </c>
      <c r="M529" s="111" t="s">
        <v>270</v>
      </c>
      <c r="N529" s="113"/>
      <c r="O529" s="114" t="s">
        <v>246</v>
      </c>
      <c r="P529" s="114" t="s">
        <v>257</v>
      </c>
      <c r="Q529" s="114" t="s">
        <v>257</v>
      </c>
      <c r="R529" s="114" t="s">
        <v>7364</v>
      </c>
      <c r="S529" s="114" t="s">
        <v>246</v>
      </c>
      <c r="T529" s="114" t="s">
        <v>183</v>
      </c>
      <c r="U529" s="114" t="s">
        <v>183</v>
      </c>
      <c r="V529" s="115"/>
      <c r="W529" s="116" t="s">
        <v>520</v>
      </c>
      <c r="X529" s="116" t="s">
        <v>521</v>
      </c>
      <c r="Y529" s="117">
        <v>3485357</v>
      </c>
      <c r="Z529" s="117">
        <v>3481088</v>
      </c>
      <c r="AA529" s="118"/>
      <c r="AB529" s="119" t="s">
        <v>5877</v>
      </c>
      <c r="AC529" s="119" t="s">
        <v>1197</v>
      </c>
      <c r="AD529" s="119">
        <v>4178</v>
      </c>
      <c r="AE529" s="119" t="s">
        <v>522</v>
      </c>
      <c r="AF529" s="119" t="s">
        <v>7631</v>
      </c>
      <c r="AG529" s="120"/>
      <c r="AH529" s="121">
        <v>44197</v>
      </c>
      <c r="AI529" s="121">
        <v>44197</v>
      </c>
      <c r="AJ529" s="121">
        <v>44974</v>
      </c>
      <c r="AK529" s="122">
        <v>44197</v>
      </c>
      <c r="AL529" s="122" t="e">
        <v>#N/A</v>
      </c>
      <c r="AM529" s="121" t="e">
        <v>#N/A</v>
      </c>
      <c r="AN529" s="121" t="e">
        <v>#N/A</v>
      </c>
      <c r="AO529" s="121" t="e">
        <v>#N/A</v>
      </c>
      <c r="AP529" s="122" t="e">
        <v>#N/A</v>
      </c>
      <c r="AQ529" s="122" t="e">
        <v>#N/A</v>
      </c>
      <c r="AR529" s="122" t="e">
        <v>#N/A</v>
      </c>
      <c r="AS529" s="122" t="e">
        <v>#N/A</v>
      </c>
      <c r="AT529" s="122" t="e">
        <v>#N/A</v>
      </c>
      <c r="AU529" s="121" t="e">
        <v>#N/A</v>
      </c>
      <c r="AV529" s="122" t="e">
        <v>#N/A</v>
      </c>
      <c r="AW529" s="122" t="e">
        <v>#N/A</v>
      </c>
      <c r="AX529" s="122" t="e">
        <v>#N/A</v>
      </c>
      <c r="AY529" s="122" t="e">
        <v>#N/A</v>
      </c>
      <c r="AZ529" s="122" t="e">
        <v>#N/A</v>
      </c>
      <c r="BA529" s="122" t="e">
        <v>#N/A</v>
      </c>
      <c r="BB529" s="122" t="e">
        <v>#N/A</v>
      </c>
      <c r="BC529" s="122" t="e">
        <v>#N/A</v>
      </c>
      <c r="BD529" s="122" t="e">
        <v>#N/A</v>
      </c>
      <c r="BE529" s="122" t="e">
        <v>#N/A</v>
      </c>
      <c r="BF529" s="122" t="e">
        <v>#N/A</v>
      </c>
      <c r="BG529" s="122" t="e">
        <v>#N/A</v>
      </c>
      <c r="BH529" s="122" t="e">
        <v>#N/A</v>
      </c>
      <c r="BI529" s="122" t="e">
        <v>#N/A</v>
      </c>
      <c r="BJ529" s="122" t="e">
        <v>#N/A</v>
      </c>
      <c r="BK529" s="122">
        <v>45982</v>
      </c>
      <c r="BL529" s="123"/>
      <c r="BM529" s="124">
        <v>44197</v>
      </c>
      <c r="BN529" s="124">
        <v>44197</v>
      </c>
      <c r="BO529" s="124">
        <v>44615</v>
      </c>
      <c r="BP529" s="124">
        <v>44197</v>
      </c>
      <c r="BQ529" s="124">
        <v>44197</v>
      </c>
      <c r="BR529" s="124">
        <v>44704</v>
      </c>
      <c r="BS529" s="124" t="s">
        <v>199</v>
      </c>
      <c r="BT529" s="124" t="s">
        <v>199</v>
      </c>
      <c r="BU529" s="124" t="e">
        <v>#N/A</v>
      </c>
      <c r="BV529" s="124" t="e">
        <v>#N/A</v>
      </c>
      <c r="BW529" s="124" t="e">
        <v>#N/A</v>
      </c>
      <c r="BX529" s="124" t="s">
        <v>199</v>
      </c>
      <c r="BY529" s="124">
        <v>45078</v>
      </c>
      <c r="BZ529" s="124" t="e">
        <v>#N/A</v>
      </c>
      <c r="CA529" s="125"/>
      <c r="CB529" s="124" t="e">
        <v>#N/A</v>
      </c>
      <c r="CC529" s="126">
        <v>1</v>
      </c>
      <c r="CD529" s="127" t="s">
        <v>4169</v>
      </c>
      <c r="CE529" s="128"/>
      <c r="CF529" s="77" t="s">
        <v>4212</v>
      </c>
    </row>
    <row r="530" spans="1:84" ht="14.5" x14ac:dyDescent="0.35">
      <c r="A530" s="77">
        <v>529</v>
      </c>
      <c r="B530" s="106" t="s">
        <v>6267</v>
      </c>
      <c r="C530" s="107" t="s">
        <v>1335</v>
      </c>
      <c r="D530" s="108" t="s">
        <v>211</v>
      </c>
      <c r="E530" s="109" t="s">
        <v>212</v>
      </c>
      <c r="F530" s="110">
        <v>635808018</v>
      </c>
      <c r="G530" s="108" t="s">
        <v>1004</v>
      </c>
      <c r="H530" s="111" t="s">
        <v>207</v>
      </c>
      <c r="I530" s="111" t="s">
        <v>180</v>
      </c>
      <c r="J530" s="111" t="s">
        <v>4648</v>
      </c>
      <c r="K530" s="111" t="s">
        <v>199</v>
      </c>
      <c r="L530" s="112">
        <v>40803</v>
      </c>
      <c r="M530" s="111" t="s">
        <v>270</v>
      </c>
      <c r="N530" s="113"/>
      <c r="O530" s="114" t="s">
        <v>226</v>
      </c>
      <c r="P530" s="114" t="s">
        <v>226</v>
      </c>
      <c r="Q530" s="114" t="s">
        <v>225</v>
      </c>
      <c r="R530" s="114" t="s">
        <v>7331</v>
      </c>
      <c r="S530" s="114" t="s">
        <v>226</v>
      </c>
      <c r="T530" s="114" t="s">
        <v>183</v>
      </c>
      <c r="U530" s="114" t="s">
        <v>183</v>
      </c>
      <c r="V530" s="115"/>
      <c r="W530" s="116" t="s">
        <v>6201</v>
      </c>
      <c r="X530" s="116" t="s">
        <v>6202</v>
      </c>
      <c r="Y530" s="117">
        <v>3485479</v>
      </c>
      <c r="Z530" s="117">
        <v>3486259</v>
      </c>
      <c r="AA530" s="118"/>
      <c r="AB530" s="119" t="s">
        <v>6203</v>
      </c>
      <c r="AC530" s="119" t="s">
        <v>6204</v>
      </c>
      <c r="AD530" s="119">
        <v>554</v>
      </c>
      <c r="AE530" s="119" t="s">
        <v>6205</v>
      </c>
      <c r="AF530" s="119" t="s">
        <v>6206</v>
      </c>
      <c r="AG530" s="120"/>
      <c r="AH530" s="121">
        <v>44197</v>
      </c>
      <c r="AI530" s="121">
        <v>44197</v>
      </c>
      <c r="AJ530" s="121">
        <v>44197</v>
      </c>
      <c r="AK530" s="122">
        <v>44197</v>
      </c>
      <c r="AL530" s="122" t="e">
        <v>#N/A</v>
      </c>
      <c r="AM530" s="121" t="e">
        <v>#N/A</v>
      </c>
      <c r="AN530" s="121" t="e">
        <v>#N/A</v>
      </c>
      <c r="AO530" s="121" t="e">
        <v>#N/A</v>
      </c>
      <c r="AP530" s="122" t="e">
        <v>#N/A</v>
      </c>
      <c r="AQ530" s="122" t="e">
        <v>#N/A</v>
      </c>
      <c r="AR530" s="122" t="e">
        <v>#N/A</v>
      </c>
      <c r="AS530" s="122" t="e">
        <v>#N/A</v>
      </c>
      <c r="AT530" s="122" t="e">
        <v>#N/A</v>
      </c>
      <c r="AU530" s="121" t="e">
        <v>#N/A</v>
      </c>
      <c r="AV530" s="122" t="e">
        <v>#N/A</v>
      </c>
      <c r="AW530" s="122" t="e">
        <v>#N/A</v>
      </c>
      <c r="AX530" s="122" t="e">
        <v>#N/A</v>
      </c>
      <c r="AY530" s="122" t="e">
        <v>#N/A</v>
      </c>
      <c r="AZ530" s="122" t="e">
        <v>#N/A</v>
      </c>
      <c r="BA530" s="122" t="e">
        <v>#N/A</v>
      </c>
      <c r="BB530" s="122" t="e">
        <v>#N/A</v>
      </c>
      <c r="BC530" s="122" t="e">
        <v>#N/A</v>
      </c>
      <c r="BD530" s="122" t="e">
        <v>#N/A</v>
      </c>
      <c r="BE530" s="122" t="e">
        <v>#N/A</v>
      </c>
      <c r="BF530" s="122" t="e">
        <v>#N/A</v>
      </c>
      <c r="BG530" s="122" t="e">
        <v>#N/A</v>
      </c>
      <c r="BH530" s="122" t="e">
        <v>#N/A</v>
      </c>
      <c r="BI530" s="122" t="e">
        <v>#N/A</v>
      </c>
      <c r="BJ530" s="122" t="e">
        <v>#N/A</v>
      </c>
      <c r="BK530" s="122" t="s">
        <v>6040</v>
      </c>
      <c r="BL530" s="123"/>
      <c r="BM530" s="124">
        <v>44197</v>
      </c>
      <c r="BN530" s="124">
        <v>44197</v>
      </c>
      <c r="BO530" s="124">
        <v>44197</v>
      </c>
      <c r="BP530" s="124">
        <v>44197</v>
      </c>
      <c r="BQ530" s="124">
        <v>44197</v>
      </c>
      <c r="BR530" s="124">
        <v>44704</v>
      </c>
      <c r="BS530" s="124" t="s">
        <v>199</v>
      </c>
      <c r="BT530" s="124" t="s">
        <v>199</v>
      </c>
      <c r="BU530" s="124" t="e">
        <v>#N/A</v>
      </c>
      <c r="BV530" s="124" t="e">
        <v>#N/A</v>
      </c>
      <c r="BW530" s="124" t="e">
        <v>#N/A</v>
      </c>
      <c r="BX530" s="124" t="s">
        <v>199</v>
      </c>
      <c r="BY530" s="124">
        <v>45078</v>
      </c>
      <c r="BZ530" s="124" t="e">
        <v>#N/A</v>
      </c>
      <c r="CA530" s="125"/>
      <c r="CB530" s="124" t="e">
        <v>#N/A</v>
      </c>
      <c r="CC530" s="126">
        <v>1</v>
      </c>
      <c r="CD530" s="127" t="e">
        <v>#N/A</v>
      </c>
      <c r="CE530" s="128"/>
      <c r="CF530" s="77" t="s">
        <v>4212</v>
      </c>
    </row>
    <row r="531" spans="1:84" ht="14.5" x14ac:dyDescent="0.35">
      <c r="A531" s="77">
        <v>530</v>
      </c>
      <c r="B531" s="106" t="s">
        <v>6323</v>
      </c>
      <c r="C531" s="107" t="s">
        <v>1206</v>
      </c>
      <c r="D531" s="108" t="s">
        <v>333</v>
      </c>
      <c r="E531" s="109" t="s">
        <v>334</v>
      </c>
      <c r="F531" s="110" t="s">
        <v>223</v>
      </c>
      <c r="G531" s="108" t="s">
        <v>1004</v>
      </c>
      <c r="H531" s="111" t="s">
        <v>207</v>
      </c>
      <c r="I531" s="111" t="s">
        <v>180</v>
      </c>
      <c r="J531" s="111" t="s">
        <v>4648</v>
      </c>
      <c r="K531" s="111" t="s">
        <v>199</v>
      </c>
      <c r="L531" s="112">
        <v>38881</v>
      </c>
      <c r="M531" s="111" t="s">
        <v>270</v>
      </c>
      <c r="N531" s="113"/>
      <c r="O531" s="114" t="s">
        <v>226</v>
      </c>
      <c r="P531" s="114" t="s">
        <v>226</v>
      </c>
      <c r="Q531" s="114" t="s">
        <v>226</v>
      </c>
      <c r="R531" s="114" t="s">
        <v>226</v>
      </c>
      <c r="S531" s="114" t="s">
        <v>225</v>
      </c>
      <c r="T531" s="114" t="s">
        <v>183</v>
      </c>
      <c r="U531" s="114" t="s">
        <v>183</v>
      </c>
      <c r="V531" s="115"/>
      <c r="W531" s="116" t="s">
        <v>1850</v>
      </c>
      <c r="X531" s="116" t="s">
        <v>1851</v>
      </c>
      <c r="Y531" s="117">
        <v>3485223</v>
      </c>
      <c r="Z531" s="117">
        <v>3481009</v>
      </c>
      <c r="AA531" s="118"/>
      <c r="AB531" s="119" t="s">
        <v>5669</v>
      </c>
      <c r="AC531" s="119" t="s">
        <v>1852</v>
      </c>
      <c r="AD531" s="119">
        <v>5040</v>
      </c>
      <c r="AE531" s="119" t="s">
        <v>1853</v>
      </c>
      <c r="AF531" s="119">
        <v>0</v>
      </c>
      <c r="AG531" s="120"/>
      <c r="AH531" s="121">
        <v>44197</v>
      </c>
      <c r="AI531" s="121">
        <v>44197</v>
      </c>
      <c r="AJ531" s="121">
        <v>44197</v>
      </c>
      <c r="AK531" s="122">
        <v>44197</v>
      </c>
      <c r="AL531" s="122" t="e">
        <v>#N/A</v>
      </c>
      <c r="AM531" s="121" t="e">
        <v>#N/A</v>
      </c>
      <c r="AN531" s="121" t="e">
        <v>#N/A</v>
      </c>
      <c r="AO531" s="121" t="e">
        <v>#N/A</v>
      </c>
      <c r="AP531" s="122" t="e">
        <v>#N/A</v>
      </c>
      <c r="AQ531" s="122" t="e">
        <v>#N/A</v>
      </c>
      <c r="AR531" s="122" t="e">
        <v>#N/A</v>
      </c>
      <c r="AS531" s="122" t="e">
        <v>#N/A</v>
      </c>
      <c r="AT531" s="122" t="e">
        <v>#N/A</v>
      </c>
      <c r="AU531" s="121" t="e">
        <v>#N/A</v>
      </c>
      <c r="AV531" s="122" t="e">
        <v>#N/A</v>
      </c>
      <c r="AW531" s="122" t="e">
        <v>#N/A</v>
      </c>
      <c r="AX531" s="122" t="e">
        <v>#N/A</v>
      </c>
      <c r="AY531" s="122">
        <v>44197</v>
      </c>
      <c r="AZ531" s="122" t="e">
        <v>#N/A</v>
      </c>
      <c r="BA531" s="122" t="e">
        <v>#N/A</v>
      </c>
      <c r="BB531" s="122" t="e">
        <v>#N/A</v>
      </c>
      <c r="BC531" s="122" t="e">
        <v>#N/A</v>
      </c>
      <c r="BD531" s="122" t="e">
        <v>#N/A</v>
      </c>
      <c r="BE531" s="122" t="e">
        <v>#N/A</v>
      </c>
      <c r="BF531" s="122" t="e">
        <v>#N/A</v>
      </c>
      <c r="BG531" s="122" t="e">
        <v>#N/A</v>
      </c>
      <c r="BH531" s="122" t="e">
        <v>#N/A</v>
      </c>
      <c r="BI531" s="122" t="e">
        <v>#N/A</v>
      </c>
      <c r="BJ531" s="122" t="e">
        <v>#N/A</v>
      </c>
      <c r="BK531" s="122">
        <v>46010</v>
      </c>
      <c r="BL531" s="123"/>
      <c r="BM531" s="124">
        <v>44550</v>
      </c>
      <c r="BN531" s="124">
        <v>44575</v>
      </c>
      <c r="BO531" s="124">
        <v>44594</v>
      </c>
      <c r="BP531" s="124">
        <v>44638</v>
      </c>
      <c r="BQ531" s="124">
        <v>44684</v>
      </c>
      <c r="BR531" s="124">
        <v>44704</v>
      </c>
      <c r="BS531" s="124" t="s">
        <v>199</v>
      </c>
      <c r="BT531" s="124" t="s">
        <v>199</v>
      </c>
      <c r="BU531" s="124" t="e">
        <v>#N/A</v>
      </c>
      <c r="BV531" s="124" t="e">
        <v>#N/A</v>
      </c>
      <c r="BW531" s="124" t="e">
        <v>#N/A</v>
      </c>
      <c r="BX531" s="124" t="s">
        <v>199</v>
      </c>
      <c r="BY531" s="124">
        <v>45078</v>
      </c>
      <c r="BZ531" s="124" t="e">
        <v>#N/A</v>
      </c>
      <c r="CA531" s="125"/>
      <c r="CB531" s="124">
        <v>45726</v>
      </c>
      <c r="CC531" s="126">
        <v>1</v>
      </c>
      <c r="CD531" s="127" t="e">
        <v>#N/A</v>
      </c>
      <c r="CE531" s="128"/>
      <c r="CF531" s="77" t="s">
        <v>4212</v>
      </c>
    </row>
    <row r="532" spans="1:84" ht="14.5" x14ac:dyDescent="0.35">
      <c r="A532" s="77">
        <v>531</v>
      </c>
      <c r="B532" s="106" t="s">
        <v>109</v>
      </c>
      <c r="C532" s="107" t="s">
        <v>1201</v>
      </c>
      <c r="D532" s="108" t="s">
        <v>715</v>
      </c>
      <c r="E532" s="109" t="s">
        <v>716</v>
      </c>
      <c r="F532" s="110">
        <v>664781532</v>
      </c>
      <c r="G532" s="108" t="s">
        <v>1004</v>
      </c>
      <c r="H532" s="111" t="s">
        <v>207</v>
      </c>
      <c r="I532" s="111" t="s">
        <v>180</v>
      </c>
      <c r="J532" s="111" t="s">
        <v>4648</v>
      </c>
      <c r="K532" s="111" t="s">
        <v>199</v>
      </c>
      <c r="L532" s="112">
        <v>43048</v>
      </c>
      <c r="M532" s="111" t="s">
        <v>270</v>
      </c>
      <c r="N532" s="113"/>
      <c r="O532" s="114" t="s">
        <v>226</v>
      </c>
      <c r="P532" s="114" t="s">
        <v>225</v>
      </c>
      <c r="Q532" s="114" t="s">
        <v>226</v>
      </c>
      <c r="R532" s="114" t="s">
        <v>182</v>
      </c>
      <c r="S532" s="114" t="s">
        <v>225</v>
      </c>
      <c r="T532" s="114" t="s">
        <v>183</v>
      </c>
      <c r="U532" s="114" t="s">
        <v>183</v>
      </c>
      <c r="V532" s="115"/>
      <c r="W532" s="116" t="s">
        <v>4387</v>
      </c>
      <c r="X532" s="116" t="s">
        <v>4388</v>
      </c>
      <c r="Y532" s="117">
        <v>3485662</v>
      </c>
      <c r="Z532" s="117">
        <v>3481119</v>
      </c>
      <c r="AA532" s="118"/>
      <c r="AB532" s="119" t="s">
        <v>5545</v>
      </c>
      <c r="AC532" s="119" t="s">
        <v>4389</v>
      </c>
      <c r="AD532" s="119">
        <v>4137</v>
      </c>
      <c r="AE532" s="119" t="s">
        <v>4390</v>
      </c>
      <c r="AF532" s="119" t="s">
        <v>7632</v>
      </c>
      <c r="AG532" s="120"/>
      <c r="AH532" s="121">
        <v>44197</v>
      </c>
      <c r="AI532" s="121">
        <v>44197</v>
      </c>
      <c r="AJ532" s="121">
        <v>44197</v>
      </c>
      <c r="AK532" s="122">
        <v>44197</v>
      </c>
      <c r="AL532" s="122" t="e">
        <v>#N/A</v>
      </c>
      <c r="AM532" s="121" t="e">
        <v>#N/A</v>
      </c>
      <c r="AN532" s="121" t="e">
        <v>#N/A</v>
      </c>
      <c r="AO532" s="121" t="e">
        <v>#N/A</v>
      </c>
      <c r="AP532" s="122" t="e">
        <v>#N/A</v>
      </c>
      <c r="AQ532" s="122" t="e">
        <v>#N/A</v>
      </c>
      <c r="AR532" s="122" t="e">
        <v>#N/A</v>
      </c>
      <c r="AS532" s="122" t="e">
        <v>#N/A</v>
      </c>
      <c r="AT532" s="122" t="e">
        <v>#N/A</v>
      </c>
      <c r="AU532" s="121" t="e">
        <v>#N/A</v>
      </c>
      <c r="AV532" s="122" t="e">
        <v>#N/A</v>
      </c>
      <c r="AW532" s="122" t="e">
        <v>#N/A</v>
      </c>
      <c r="AX532" s="122" t="e">
        <v>#N/A</v>
      </c>
      <c r="AY532" s="122" t="e">
        <v>#N/A</v>
      </c>
      <c r="AZ532" s="122" t="e">
        <v>#N/A</v>
      </c>
      <c r="BA532" s="122" t="e">
        <v>#N/A</v>
      </c>
      <c r="BB532" s="122" t="e">
        <v>#N/A</v>
      </c>
      <c r="BC532" s="122" t="e">
        <v>#N/A</v>
      </c>
      <c r="BD532" s="122" t="e">
        <v>#N/A</v>
      </c>
      <c r="BE532" s="122" t="e">
        <v>#N/A</v>
      </c>
      <c r="BF532" s="122" t="e">
        <v>#N/A</v>
      </c>
      <c r="BG532" s="122" t="e">
        <v>#N/A</v>
      </c>
      <c r="BH532" s="122" t="e">
        <v>#N/A</v>
      </c>
      <c r="BI532" s="122" t="e">
        <v>#N/A</v>
      </c>
      <c r="BJ532" s="122" t="e">
        <v>#N/A</v>
      </c>
      <c r="BK532" s="122">
        <v>45980</v>
      </c>
      <c r="BL532" s="123"/>
      <c r="BM532" s="124">
        <v>44197</v>
      </c>
      <c r="BN532" s="124">
        <v>44197</v>
      </c>
      <c r="BO532" s="124">
        <v>44531</v>
      </c>
      <c r="BP532" s="124">
        <v>44197</v>
      </c>
      <c r="BQ532" s="124">
        <v>44197</v>
      </c>
      <c r="BR532" s="124">
        <v>44704</v>
      </c>
      <c r="BS532" s="124" t="s">
        <v>199</v>
      </c>
      <c r="BT532" s="124" t="s">
        <v>199</v>
      </c>
      <c r="BU532" s="124">
        <v>44197</v>
      </c>
      <c r="BV532" s="124" t="e">
        <v>#N/A</v>
      </c>
      <c r="BW532" s="124" t="e">
        <v>#N/A</v>
      </c>
      <c r="BX532" s="124" t="s">
        <v>199</v>
      </c>
      <c r="BY532" s="124" t="e">
        <v>#N/A</v>
      </c>
      <c r="BZ532" s="124" t="e">
        <v>#N/A</v>
      </c>
      <c r="CA532" s="125"/>
      <c r="CB532" s="124">
        <v>45726</v>
      </c>
      <c r="CC532" s="126">
        <v>1</v>
      </c>
      <c r="CD532" s="127" t="s">
        <v>4169</v>
      </c>
      <c r="CE532" s="128"/>
      <c r="CF532" s="77" t="s">
        <v>4213</v>
      </c>
    </row>
    <row r="533" spans="1:84" ht="14.5" x14ac:dyDescent="0.35">
      <c r="A533" s="77">
        <v>532</v>
      </c>
      <c r="B533" s="106" t="s">
        <v>174</v>
      </c>
      <c r="C533" s="107" t="s">
        <v>1250</v>
      </c>
      <c r="D533" s="108" t="s">
        <v>964</v>
      </c>
      <c r="E533" s="109" t="s">
        <v>1063</v>
      </c>
      <c r="F533" s="110" t="s">
        <v>1008</v>
      </c>
      <c r="G533" s="108" t="s">
        <v>1004</v>
      </c>
      <c r="H533" s="111" t="s">
        <v>207</v>
      </c>
      <c r="I533" s="111" t="s">
        <v>180</v>
      </c>
      <c r="J533" s="111" t="s">
        <v>4648</v>
      </c>
      <c r="K533" s="111" t="s">
        <v>199</v>
      </c>
      <c r="L533" s="112">
        <v>41092</v>
      </c>
      <c r="M533" s="111" t="s">
        <v>2502</v>
      </c>
      <c r="N533" s="113"/>
      <c r="O533" s="114" t="s">
        <v>7260</v>
      </c>
      <c r="P533" s="114" t="s">
        <v>226</v>
      </c>
      <c r="Q533" s="114" t="s">
        <v>225</v>
      </c>
      <c r="R533" s="114" t="s">
        <v>226</v>
      </c>
      <c r="S533" s="114" t="s">
        <v>226</v>
      </c>
      <c r="T533" s="114" t="s">
        <v>183</v>
      </c>
      <c r="U533" s="114" t="s">
        <v>183</v>
      </c>
      <c r="V533" s="115"/>
      <c r="W533" s="116" t="s">
        <v>6425</v>
      </c>
      <c r="X533" s="116" t="s">
        <v>6426</v>
      </c>
      <c r="Y533" s="117">
        <v>3485477</v>
      </c>
      <c r="Z533" s="117">
        <v>3481054</v>
      </c>
      <c r="AA533" s="118"/>
      <c r="AB533" s="119" t="s">
        <v>6427</v>
      </c>
      <c r="AC533" s="119" t="s">
        <v>6428</v>
      </c>
      <c r="AD533" s="119">
        <v>537</v>
      </c>
      <c r="AE533" s="119" t="s">
        <v>6429</v>
      </c>
      <c r="AF533" s="119" t="s">
        <v>6430</v>
      </c>
      <c r="AG533" s="120"/>
      <c r="AH533" s="121">
        <v>44197</v>
      </c>
      <c r="AI533" s="121">
        <v>44550</v>
      </c>
      <c r="AJ533" s="121">
        <v>44550</v>
      </c>
      <c r="AK533" s="122">
        <v>44550</v>
      </c>
      <c r="AL533" s="122">
        <v>46007</v>
      </c>
      <c r="AM533" s="121">
        <v>44741</v>
      </c>
      <c r="AN533" s="121">
        <v>46007</v>
      </c>
      <c r="AO533" s="121" t="e">
        <v>#N/A</v>
      </c>
      <c r="AP533" s="122" t="e">
        <v>#N/A</v>
      </c>
      <c r="AQ533" s="122" t="e">
        <v>#N/A</v>
      </c>
      <c r="AR533" s="122">
        <v>46007</v>
      </c>
      <c r="AS533" s="122" t="e">
        <v>#N/A</v>
      </c>
      <c r="AT533" s="122">
        <v>44652</v>
      </c>
      <c r="AU533" s="121">
        <v>45912</v>
      </c>
      <c r="AV533" s="122">
        <v>44607</v>
      </c>
      <c r="AW533" s="122">
        <v>44607</v>
      </c>
      <c r="AX533" s="122" t="e">
        <v>#N/A</v>
      </c>
      <c r="AY533" s="122" t="e">
        <v>#N/A</v>
      </c>
      <c r="AZ533" s="122">
        <v>46007</v>
      </c>
      <c r="BA533" s="122" t="e">
        <v>#N/A</v>
      </c>
      <c r="BB533" s="122" t="e">
        <v>#N/A</v>
      </c>
      <c r="BC533" s="122" t="e">
        <v>#N/A</v>
      </c>
      <c r="BD533" s="122" t="e">
        <v>#N/A</v>
      </c>
      <c r="BE533" s="122" t="e">
        <v>#N/A</v>
      </c>
      <c r="BF533" s="122" t="e">
        <v>#N/A</v>
      </c>
      <c r="BG533" s="122" t="e">
        <v>#N/A</v>
      </c>
      <c r="BH533" s="122" t="e">
        <v>#N/A</v>
      </c>
      <c r="BI533" s="122" t="e">
        <v>#N/A</v>
      </c>
      <c r="BJ533" s="122" t="e">
        <v>#N/A</v>
      </c>
      <c r="BK533" s="122" t="s">
        <v>6040</v>
      </c>
      <c r="BL533" s="123"/>
      <c r="BM533" s="124">
        <v>45075</v>
      </c>
      <c r="BN533" s="124">
        <v>45078</v>
      </c>
      <c r="BO533" s="124">
        <v>45272</v>
      </c>
      <c r="BP533" s="124">
        <v>45272</v>
      </c>
      <c r="BQ533" s="124">
        <v>45272</v>
      </c>
      <c r="BR533" s="124" t="e">
        <v>#N/A</v>
      </c>
      <c r="BS533" s="124" t="s">
        <v>199</v>
      </c>
      <c r="BT533" s="124" t="s">
        <v>199</v>
      </c>
      <c r="BU533" s="124" t="e">
        <v>#N/A</v>
      </c>
      <c r="BV533" s="124" t="e">
        <v>#N/A</v>
      </c>
      <c r="BW533" s="124" t="e">
        <v>#N/A</v>
      </c>
      <c r="BX533" s="124" t="s">
        <v>199</v>
      </c>
      <c r="BY533" s="124" t="e">
        <v>#N/A</v>
      </c>
      <c r="BZ533" s="124" t="e">
        <v>#N/A</v>
      </c>
      <c r="CA533" s="125"/>
      <c r="CB533" s="124">
        <v>45726</v>
      </c>
      <c r="CC533" s="126">
        <v>1</v>
      </c>
      <c r="CD533" s="127" t="s">
        <v>4169</v>
      </c>
      <c r="CE533" s="128"/>
      <c r="CF533" s="77" t="s">
        <v>4213</v>
      </c>
    </row>
    <row r="534" spans="1:84" ht="14.5" x14ac:dyDescent="0.35">
      <c r="A534" s="77">
        <v>533</v>
      </c>
      <c r="B534" s="106" t="s">
        <v>6335</v>
      </c>
      <c r="C534" s="107" t="s">
        <v>1381</v>
      </c>
      <c r="D534" s="108" t="s">
        <v>940</v>
      </c>
      <c r="E534" s="109" t="s">
        <v>941</v>
      </c>
      <c r="F534" s="110">
        <v>626521198</v>
      </c>
      <c r="G534" s="108" t="s">
        <v>1004</v>
      </c>
      <c r="H534" s="111" t="s">
        <v>207</v>
      </c>
      <c r="I534" s="111" t="s">
        <v>180</v>
      </c>
      <c r="J534" s="111" t="s">
        <v>4648</v>
      </c>
      <c r="K534" s="111" t="s">
        <v>199</v>
      </c>
      <c r="L534" s="112">
        <v>38961</v>
      </c>
      <c r="M534" s="111" t="s">
        <v>2502</v>
      </c>
      <c r="N534" s="113"/>
      <c r="O534" s="114" t="s">
        <v>184</v>
      </c>
      <c r="P534" s="114" t="s">
        <v>184</v>
      </c>
      <c r="Q534" s="114" t="s">
        <v>184</v>
      </c>
      <c r="R534" s="114" t="s">
        <v>7370</v>
      </c>
      <c r="S534" s="114" t="s">
        <v>184</v>
      </c>
      <c r="T534" s="114" t="s">
        <v>183</v>
      </c>
      <c r="U534" s="114" t="s">
        <v>183</v>
      </c>
      <c r="V534" s="115"/>
      <c r="W534" s="116" t="s">
        <v>942</v>
      </c>
      <c r="X534" s="116" t="s">
        <v>943</v>
      </c>
      <c r="Y534" s="117">
        <v>3485051</v>
      </c>
      <c r="Z534" s="117">
        <v>3486180</v>
      </c>
      <c r="AA534" s="118"/>
      <c r="AB534" s="119" t="s">
        <v>5748</v>
      </c>
      <c r="AC534" s="119" t="s">
        <v>944</v>
      </c>
      <c r="AD534" s="119">
        <v>5981</v>
      </c>
      <c r="AE534" s="119" t="s">
        <v>4260</v>
      </c>
      <c r="AF534" s="119" t="s">
        <v>7633</v>
      </c>
      <c r="AG534" s="120"/>
      <c r="AH534" s="121">
        <v>44552</v>
      </c>
      <c r="AI534" s="121">
        <v>44552</v>
      </c>
      <c r="AJ534" s="121">
        <v>44552</v>
      </c>
      <c r="AK534" s="122">
        <v>44552</v>
      </c>
      <c r="AL534" s="122">
        <v>45090</v>
      </c>
      <c r="AM534" s="121">
        <v>45092</v>
      </c>
      <c r="AN534" s="121" t="s">
        <v>7061</v>
      </c>
      <c r="AO534" s="121" t="e">
        <v>#N/A</v>
      </c>
      <c r="AP534" s="122" t="e">
        <v>#N/A</v>
      </c>
      <c r="AQ534" s="122" t="e">
        <v>#N/A</v>
      </c>
      <c r="AR534" s="122">
        <v>45090</v>
      </c>
      <c r="AS534" s="122" t="e">
        <v>#N/A</v>
      </c>
      <c r="AT534" s="122" t="e">
        <v>#N/A</v>
      </c>
      <c r="AU534" s="121" t="e">
        <v>#N/A</v>
      </c>
      <c r="AV534" s="122" t="e">
        <v>#N/A</v>
      </c>
      <c r="AW534" s="122" t="e">
        <v>#N/A</v>
      </c>
      <c r="AX534" s="122" t="e">
        <v>#N/A</v>
      </c>
      <c r="AY534" s="122" t="e">
        <v>#N/A</v>
      </c>
      <c r="AZ534" s="122" t="e">
        <v>#N/A</v>
      </c>
      <c r="BA534" s="122">
        <v>45092</v>
      </c>
      <c r="BB534" s="122" t="e">
        <v>#N/A</v>
      </c>
      <c r="BC534" s="122" t="e">
        <v>#N/A</v>
      </c>
      <c r="BD534" s="122" t="e">
        <v>#N/A</v>
      </c>
      <c r="BE534" s="122" t="e">
        <v>#N/A</v>
      </c>
      <c r="BF534" s="122" t="e">
        <v>#N/A</v>
      </c>
      <c r="BG534" s="122" t="e">
        <v>#N/A</v>
      </c>
      <c r="BH534" s="122" t="e">
        <v>#N/A</v>
      </c>
      <c r="BI534" s="122" t="e">
        <v>#N/A</v>
      </c>
      <c r="BJ534" s="122" t="e">
        <v>#N/A</v>
      </c>
      <c r="BK534" s="122">
        <v>46009</v>
      </c>
      <c r="BL534" s="123"/>
      <c r="BM534" s="124">
        <v>45204</v>
      </c>
      <c r="BN534" s="124">
        <v>45205</v>
      </c>
      <c r="BO534" s="124">
        <v>45583</v>
      </c>
      <c r="BP534" s="124" t="e">
        <v>#N/A</v>
      </c>
      <c r="BQ534" s="124" t="e">
        <v>#N/A</v>
      </c>
      <c r="BR534" s="124">
        <v>45985</v>
      </c>
      <c r="BS534" s="124">
        <v>45205</v>
      </c>
      <c r="BT534" s="124">
        <v>45205</v>
      </c>
      <c r="BU534" s="124" t="e">
        <v>#N/A</v>
      </c>
      <c r="BV534" s="124" t="e">
        <v>#N/A</v>
      </c>
      <c r="BW534" s="124" t="e">
        <v>#N/A</v>
      </c>
      <c r="BX534" s="124" t="s">
        <v>199</v>
      </c>
      <c r="BY534" s="124" t="e">
        <v>#N/A</v>
      </c>
      <c r="BZ534" s="124" t="e">
        <v>#N/A</v>
      </c>
      <c r="CA534" s="125"/>
      <c r="CB534" s="124">
        <v>45733</v>
      </c>
      <c r="CC534" s="126">
        <v>1</v>
      </c>
      <c r="CD534" s="127" t="e">
        <v>#N/A</v>
      </c>
      <c r="CE534" s="128"/>
      <c r="CF534" s="77" t="s">
        <v>4213</v>
      </c>
    </row>
    <row r="535" spans="1:84" ht="14.5" x14ac:dyDescent="0.35">
      <c r="A535" s="77">
        <v>534</v>
      </c>
      <c r="B535" s="106" t="s">
        <v>6318</v>
      </c>
      <c r="C535" s="107" t="s">
        <v>1513</v>
      </c>
      <c r="D535" s="108" t="s">
        <v>1514</v>
      </c>
      <c r="E535" s="109" t="s">
        <v>1515</v>
      </c>
      <c r="F535" s="110">
        <v>616000837</v>
      </c>
      <c r="G535" s="108" t="s">
        <v>1004</v>
      </c>
      <c r="H535" s="111" t="s">
        <v>207</v>
      </c>
      <c r="I535" s="111" t="s">
        <v>180</v>
      </c>
      <c r="J535" s="111" t="s">
        <v>4648</v>
      </c>
      <c r="K535" s="111" t="s">
        <v>199</v>
      </c>
      <c r="L535" s="112">
        <v>38840</v>
      </c>
      <c r="M535" s="111" t="s">
        <v>2502</v>
      </c>
      <c r="N535" s="113"/>
      <c r="O535" s="114" t="s">
        <v>225</v>
      </c>
      <c r="P535" s="114" t="s">
        <v>225</v>
      </c>
      <c r="Q535" s="114" t="s">
        <v>225</v>
      </c>
      <c r="R535" s="114" t="s">
        <v>7358</v>
      </c>
      <c r="S535" s="114" t="s">
        <v>225</v>
      </c>
      <c r="T535" s="114" t="s">
        <v>183</v>
      </c>
      <c r="U535" s="114" t="s">
        <v>183</v>
      </c>
      <c r="V535" s="115"/>
      <c r="W535" s="116" t="s">
        <v>1516</v>
      </c>
      <c r="X535" s="116" t="s">
        <v>1517</v>
      </c>
      <c r="Y535" s="117">
        <v>3485639</v>
      </c>
      <c r="Z535" s="117">
        <v>3486253</v>
      </c>
      <c r="AA535" s="118"/>
      <c r="AB535" s="119" t="s">
        <v>5749</v>
      </c>
      <c r="AC535" s="119" t="s">
        <v>1598</v>
      </c>
      <c r="AD535" s="119">
        <v>4350</v>
      </c>
      <c r="AE535" s="119" t="s">
        <v>1599</v>
      </c>
      <c r="AF535" s="119" t="s">
        <v>6177</v>
      </c>
      <c r="AG535" s="120"/>
      <c r="AH535" s="121">
        <v>44641</v>
      </c>
      <c r="AI535" s="121">
        <v>44641</v>
      </c>
      <c r="AJ535" s="121">
        <v>44641</v>
      </c>
      <c r="AK535" s="122">
        <v>44641</v>
      </c>
      <c r="AL535" s="122" t="e">
        <v>#N/A</v>
      </c>
      <c r="AM535" s="121" t="e">
        <v>#N/A</v>
      </c>
      <c r="AN535" s="121" t="e">
        <v>#N/A</v>
      </c>
      <c r="AO535" s="121" t="e">
        <v>#N/A</v>
      </c>
      <c r="AP535" s="122" t="e">
        <v>#N/A</v>
      </c>
      <c r="AQ535" s="122" t="e">
        <v>#N/A</v>
      </c>
      <c r="AR535" s="122" t="e">
        <v>#N/A</v>
      </c>
      <c r="AS535" s="122" t="e">
        <v>#N/A</v>
      </c>
      <c r="AT535" s="122" t="e">
        <v>#N/A</v>
      </c>
      <c r="AU535" s="121" t="e">
        <v>#N/A</v>
      </c>
      <c r="AV535" s="122" t="e">
        <v>#N/A</v>
      </c>
      <c r="AW535" s="122" t="e">
        <v>#N/A</v>
      </c>
      <c r="AX535" s="122" t="e">
        <v>#N/A</v>
      </c>
      <c r="AY535" s="122" t="e">
        <v>#N/A</v>
      </c>
      <c r="AZ535" s="122" t="e">
        <v>#N/A</v>
      </c>
      <c r="BA535" s="122" t="e">
        <v>#N/A</v>
      </c>
      <c r="BB535" s="122" t="e">
        <v>#N/A</v>
      </c>
      <c r="BC535" s="122" t="e">
        <v>#N/A</v>
      </c>
      <c r="BD535" s="122" t="e">
        <v>#N/A</v>
      </c>
      <c r="BE535" s="122" t="e">
        <v>#N/A</v>
      </c>
      <c r="BF535" s="122" t="e">
        <v>#N/A</v>
      </c>
      <c r="BG535" s="122" t="e">
        <v>#N/A</v>
      </c>
      <c r="BH535" s="122" t="e">
        <v>#N/A</v>
      </c>
      <c r="BI535" s="122" t="e">
        <v>#N/A</v>
      </c>
      <c r="BJ535" s="122" t="e">
        <v>#N/A</v>
      </c>
      <c r="BK535" s="122">
        <v>45953</v>
      </c>
      <c r="BL535" s="123"/>
      <c r="BM535" s="124">
        <v>45385</v>
      </c>
      <c r="BN535" s="124">
        <v>45385</v>
      </c>
      <c r="BO535" s="124" t="e">
        <v>#N/A</v>
      </c>
      <c r="BP535" s="124" t="e">
        <v>#N/A</v>
      </c>
      <c r="BQ535" s="124" t="e">
        <v>#N/A</v>
      </c>
      <c r="BR535" s="124" t="e">
        <v>#N/A</v>
      </c>
      <c r="BS535" s="124" t="s">
        <v>199</v>
      </c>
      <c r="BT535" s="124" t="e">
        <v>#N/A</v>
      </c>
      <c r="BU535" s="124" t="e">
        <v>#N/A</v>
      </c>
      <c r="BV535" s="124" t="e">
        <v>#N/A</v>
      </c>
      <c r="BW535" s="124" t="e">
        <v>#N/A</v>
      </c>
      <c r="BX535" s="124" t="e">
        <v>#N/A</v>
      </c>
      <c r="BY535" s="124" t="e">
        <v>#N/A</v>
      </c>
      <c r="BZ535" s="124" t="e">
        <v>#N/A</v>
      </c>
      <c r="CA535" s="125"/>
      <c r="CB535" s="124">
        <v>45727</v>
      </c>
      <c r="CC535" s="126">
        <v>1</v>
      </c>
      <c r="CD535" s="127" t="e">
        <v>#N/A</v>
      </c>
      <c r="CE535" s="128"/>
      <c r="CF535" s="77" t="s">
        <v>4213</v>
      </c>
    </row>
    <row r="536" spans="1:84" ht="14.5" x14ac:dyDescent="0.35">
      <c r="A536" s="77">
        <v>535</v>
      </c>
      <c r="B536" s="106" t="s">
        <v>6293</v>
      </c>
      <c r="C536" s="107" t="s">
        <v>6294</v>
      </c>
      <c r="D536" s="108" t="s">
        <v>2513</v>
      </c>
      <c r="E536" s="109" t="s">
        <v>2514</v>
      </c>
      <c r="F536" s="110">
        <v>699446496</v>
      </c>
      <c r="G536" s="108" t="s">
        <v>1004</v>
      </c>
      <c r="H536" s="111" t="s">
        <v>207</v>
      </c>
      <c r="I536" s="111" t="s">
        <v>180</v>
      </c>
      <c r="J536" s="111" t="s">
        <v>4648</v>
      </c>
      <c r="K536" s="111" t="s">
        <v>199</v>
      </c>
      <c r="L536" s="112">
        <v>38600</v>
      </c>
      <c r="M536" s="111" t="s">
        <v>2502</v>
      </c>
      <c r="N536" s="113"/>
      <c r="O536" s="114" t="s">
        <v>4353</v>
      </c>
      <c r="P536" s="114" t="s">
        <v>182</v>
      </c>
      <c r="Q536" s="114" t="s">
        <v>184</v>
      </c>
      <c r="R536" s="114" t="s">
        <v>7316</v>
      </c>
      <c r="S536" s="114" t="s">
        <v>182</v>
      </c>
      <c r="T536" s="114" t="s">
        <v>183</v>
      </c>
      <c r="U536" s="114" t="s">
        <v>183</v>
      </c>
      <c r="V536" s="115"/>
      <c r="W536" s="116" t="s">
        <v>2515</v>
      </c>
      <c r="X536" s="116" t="s">
        <v>2516</v>
      </c>
      <c r="Y536" s="117">
        <v>3485132</v>
      </c>
      <c r="Z536" s="117">
        <v>3481174</v>
      </c>
      <c r="AA536" s="118"/>
      <c r="AB536" s="119" t="s">
        <v>5275</v>
      </c>
      <c r="AC536" s="119" t="s">
        <v>2517</v>
      </c>
      <c r="AD536" s="119">
        <v>27047</v>
      </c>
      <c r="AE536" s="119" t="s">
        <v>2518</v>
      </c>
      <c r="AF536" s="119" t="s">
        <v>7634</v>
      </c>
      <c r="AG536" s="120"/>
      <c r="AH536" s="121">
        <v>44994</v>
      </c>
      <c r="AI536" s="121">
        <v>45002</v>
      </c>
      <c r="AJ536" s="121">
        <v>45002</v>
      </c>
      <c r="AK536" s="122">
        <v>45044</v>
      </c>
      <c r="AL536" s="122" t="e">
        <v>#N/A</v>
      </c>
      <c r="AM536" s="121" t="e">
        <v>#N/A</v>
      </c>
      <c r="AN536" s="121" t="e">
        <v>#N/A</v>
      </c>
      <c r="AO536" s="121" t="e">
        <v>#N/A</v>
      </c>
      <c r="AP536" s="122" t="e">
        <v>#N/A</v>
      </c>
      <c r="AQ536" s="122" t="e">
        <v>#N/A</v>
      </c>
      <c r="AR536" s="122" t="e">
        <v>#N/A</v>
      </c>
      <c r="AS536" s="122" t="e">
        <v>#N/A</v>
      </c>
      <c r="AT536" s="122">
        <v>45097</v>
      </c>
      <c r="AU536" s="121" t="e">
        <v>#N/A</v>
      </c>
      <c r="AV536" s="122" t="e">
        <v>#N/A</v>
      </c>
      <c r="AW536" s="122" t="e">
        <v>#N/A</v>
      </c>
      <c r="AX536" s="122" t="e">
        <v>#N/A</v>
      </c>
      <c r="AY536" s="122" t="e">
        <v>#N/A</v>
      </c>
      <c r="AZ536" s="122" t="e">
        <v>#N/A</v>
      </c>
      <c r="BA536" s="122" t="e">
        <v>#N/A</v>
      </c>
      <c r="BB536" s="122">
        <v>45057</v>
      </c>
      <c r="BC536" s="122" t="e">
        <v>#N/A</v>
      </c>
      <c r="BD536" s="122" t="e">
        <v>#N/A</v>
      </c>
      <c r="BE536" s="122" t="e">
        <v>#N/A</v>
      </c>
      <c r="BF536" s="122" t="e">
        <v>#N/A</v>
      </c>
      <c r="BG536" s="122" t="e">
        <v>#N/A</v>
      </c>
      <c r="BH536" s="122" t="e">
        <v>#N/A</v>
      </c>
      <c r="BI536" s="122" t="e">
        <v>#N/A</v>
      </c>
      <c r="BJ536" s="122" t="e">
        <v>#N/A</v>
      </c>
      <c r="BK536" s="122">
        <v>46009</v>
      </c>
      <c r="BL536" s="123"/>
      <c r="BM536" s="124">
        <v>45385</v>
      </c>
      <c r="BN536" s="124">
        <v>45385</v>
      </c>
      <c r="BO536" s="124">
        <v>45583</v>
      </c>
      <c r="BP536" s="124" t="e">
        <v>#N/A</v>
      </c>
      <c r="BQ536" s="124" t="e">
        <v>#N/A</v>
      </c>
      <c r="BR536" s="124" t="e">
        <v>#N/A</v>
      </c>
      <c r="BS536" s="124" t="s">
        <v>199</v>
      </c>
      <c r="BT536" s="124" t="e">
        <v>#N/A</v>
      </c>
      <c r="BU536" s="124" t="e">
        <v>#N/A</v>
      </c>
      <c r="BV536" s="124" t="e">
        <v>#N/A</v>
      </c>
      <c r="BW536" s="124" t="e">
        <v>#N/A</v>
      </c>
      <c r="BX536" s="124" t="e">
        <v>#N/A</v>
      </c>
      <c r="BY536" s="124" t="e">
        <v>#N/A</v>
      </c>
      <c r="BZ536" s="124" t="e">
        <v>#N/A</v>
      </c>
      <c r="CA536" s="125"/>
      <c r="CB536" s="124">
        <v>45727</v>
      </c>
      <c r="CC536" s="126">
        <v>1</v>
      </c>
      <c r="CD536" s="127" t="e">
        <v>#N/A</v>
      </c>
      <c r="CE536" s="128"/>
      <c r="CF536" s="77" t="s">
        <v>4214</v>
      </c>
    </row>
    <row r="537" spans="1:84" ht="14.5" x14ac:dyDescent="0.35">
      <c r="A537" s="77">
        <v>536</v>
      </c>
      <c r="B537" s="106" t="s">
        <v>33</v>
      </c>
      <c r="C537" s="107" t="s">
        <v>1299</v>
      </c>
      <c r="D537" s="108" t="s">
        <v>448</v>
      </c>
      <c r="E537" s="109" t="s">
        <v>449</v>
      </c>
      <c r="F537" s="110">
        <v>651321889</v>
      </c>
      <c r="G537" s="108" t="s">
        <v>1004</v>
      </c>
      <c r="H537" s="111" t="s">
        <v>207</v>
      </c>
      <c r="I537" s="111" t="s">
        <v>180</v>
      </c>
      <c r="J537" s="111" t="s">
        <v>4648</v>
      </c>
      <c r="K537" s="111" t="s">
        <v>199</v>
      </c>
      <c r="L537" s="112">
        <v>39939</v>
      </c>
      <c r="M537" s="111" t="s">
        <v>2502</v>
      </c>
      <c r="N537" s="113"/>
      <c r="O537" s="114" t="s">
        <v>226</v>
      </c>
      <c r="P537" s="114" t="s">
        <v>225</v>
      </c>
      <c r="Q537" s="114" t="s">
        <v>226</v>
      </c>
      <c r="R537" s="114" t="s">
        <v>7331</v>
      </c>
      <c r="S537" s="114" t="s">
        <v>226</v>
      </c>
      <c r="T537" s="114" t="s">
        <v>183</v>
      </c>
      <c r="U537" s="114" t="s">
        <v>183</v>
      </c>
      <c r="V537" s="115"/>
      <c r="W537" s="116" t="s">
        <v>450</v>
      </c>
      <c r="X537" s="116" t="s">
        <v>451</v>
      </c>
      <c r="Y537" s="117">
        <v>3485045</v>
      </c>
      <c r="Z537" s="117">
        <v>3481117</v>
      </c>
      <c r="AA537" s="118"/>
      <c r="AB537" s="119" t="s">
        <v>5233</v>
      </c>
      <c r="AC537" s="119" t="s">
        <v>1300</v>
      </c>
      <c r="AD537" s="119">
        <v>4339</v>
      </c>
      <c r="AE537" s="119" t="s">
        <v>452</v>
      </c>
      <c r="AF537" s="119" t="s">
        <v>6178</v>
      </c>
      <c r="AG537" s="120"/>
      <c r="AH537" s="121">
        <v>44197</v>
      </c>
      <c r="AI537" s="121">
        <v>44197</v>
      </c>
      <c r="AJ537" s="121">
        <v>44197</v>
      </c>
      <c r="AK537" s="122">
        <v>44197</v>
      </c>
      <c r="AL537" s="122" t="e">
        <v>#N/A</v>
      </c>
      <c r="AM537" s="121" t="e">
        <v>#N/A</v>
      </c>
      <c r="AN537" s="121" t="e">
        <v>#N/A</v>
      </c>
      <c r="AO537" s="121" t="e">
        <v>#N/A</v>
      </c>
      <c r="AP537" s="122" t="e">
        <v>#N/A</v>
      </c>
      <c r="AQ537" s="122" t="e">
        <v>#N/A</v>
      </c>
      <c r="AR537" s="122">
        <v>44676</v>
      </c>
      <c r="AS537" s="122">
        <v>44652</v>
      </c>
      <c r="AT537" s="122" t="e">
        <v>#N/A</v>
      </c>
      <c r="AU537" s="121" t="e">
        <v>#N/A</v>
      </c>
      <c r="AV537" s="122" t="e">
        <v>#N/A</v>
      </c>
      <c r="AW537" s="122" t="e">
        <v>#N/A</v>
      </c>
      <c r="AX537" s="122" t="e">
        <v>#N/A</v>
      </c>
      <c r="AY537" s="122" t="e">
        <v>#N/A</v>
      </c>
      <c r="AZ537" s="122" t="e">
        <v>#N/A</v>
      </c>
      <c r="BA537" s="122" t="e">
        <v>#N/A</v>
      </c>
      <c r="BB537" s="122" t="e">
        <v>#N/A</v>
      </c>
      <c r="BC537" s="122" t="e">
        <v>#N/A</v>
      </c>
      <c r="BD537" s="122" t="e">
        <v>#N/A</v>
      </c>
      <c r="BE537" s="122" t="e">
        <v>#N/A</v>
      </c>
      <c r="BF537" s="122" t="e">
        <v>#N/A</v>
      </c>
      <c r="BG537" s="122" t="e">
        <v>#N/A</v>
      </c>
      <c r="BH537" s="122" t="e">
        <v>#N/A</v>
      </c>
      <c r="BI537" s="122" t="e">
        <v>#N/A</v>
      </c>
      <c r="BJ537" s="122" t="e">
        <v>#N/A</v>
      </c>
      <c r="BK537" s="122" t="s">
        <v>6040</v>
      </c>
      <c r="BL537" s="123"/>
      <c r="BM537" s="124">
        <v>44746</v>
      </c>
      <c r="BN537" s="124">
        <v>44789</v>
      </c>
      <c r="BO537" s="124">
        <v>44882</v>
      </c>
      <c r="BP537" s="124">
        <v>44886</v>
      </c>
      <c r="BQ537" s="124">
        <v>44888</v>
      </c>
      <c r="BR537" s="124">
        <v>44889</v>
      </c>
      <c r="BS537" s="124">
        <v>44746</v>
      </c>
      <c r="BT537" s="124">
        <v>44746</v>
      </c>
      <c r="BU537" s="124" t="e">
        <v>#N/A</v>
      </c>
      <c r="BV537" s="124" t="e">
        <v>#N/A</v>
      </c>
      <c r="BW537" s="124" t="e">
        <v>#N/A</v>
      </c>
      <c r="BX537" s="124" t="s">
        <v>199</v>
      </c>
      <c r="BY537" s="124" t="e">
        <v>#N/A</v>
      </c>
      <c r="BZ537" s="124" t="e">
        <v>#N/A</v>
      </c>
      <c r="CA537" s="125"/>
      <c r="CB537" s="124">
        <v>45726</v>
      </c>
      <c r="CC537" s="126">
        <v>1</v>
      </c>
      <c r="CD537" s="127" t="s">
        <v>4169</v>
      </c>
      <c r="CE537" s="128"/>
      <c r="CF537" s="77" t="s">
        <v>4214</v>
      </c>
    </row>
    <row r="538" spans="1:84" ht="14.5" x14ac:dyDescent="0.35">
      <c r="A538" s="77">
        <v>537</v>
      </c>
      <c r="B538" s="106" t="s">
        <v>6295</v>
      </c>
      <c r="C538" s="107" t="s">
        <v>1393</v>
      </c>
      <c r="D538" s="108" t="s">
        <v>961</v>
      </c>
      <c r="E538" s="109" t="s">
        <v>1058</v>
      </c>
      <c r="F538" s="110">
        <v>637907986</v>
      </c>
      <c r="G538" s="108" t="s">
        <v>1004</v>
      </c>
      <c r="H538" s="111" t="s">
        <v>207</v>
      </c>
      <c r="I538" s="111" t="s">
        <v>180</v>
      </c>
      <c r="J538" s="111" t="s">
        <v>4648</v>
      </c>
      <c r="K538" s="111" t="s">
        <v>199</v>
      </c>
      <c r="L538" s="112">
        <v>38620</v>
      </c>
      <c r="M538" s="111" t="s">
        <v>2502</v>
      </c>
      <c r="N538" s="113"/>
      <c r="O538" s="114" t="s">
        <v>225</v>
      </c>
      <c r="P538" s="114" t="s">
        <v>225</v>
      </c>
      <c r="Q538" s="114" t="s">
        <v>225</v>
      </c>
      <c r="R538" s="114" t="s">
        <v>225</v>
      </c>
      <c r="S538" s="114" t="s">
        <v>225</v>
      </c>
      <c r="T538" s="114" t="s">
        <v>183</v>
      </c>
      <c r="U538" s="114" t="s">
        <v>183</v>
      </c>
      <c r="V538" s="115"/>
      <c r="W538" s="116" t="s">
        <v>962</v>
      </c>
      <c r="X538" s="116" t="s">
        <v>963</v>
      </c>
      <c r="Y538" s="117">
        <v>3485137</v>
      </c>
      <c r="Z538" s="117">
        <v>3486311</v>
      </c>
      <c r="AA538" s="118"/>
      <c r="AB538" s="119" t="s">
        <v>4926</v>
      </c>
      <c r="AC538" s="119" t="s">
        <v>1394</v>
      </c>
      <c r="AD538" s="119">
        <v>4082</v>
      </c>
      <c r="AE538" s="119" t="s">
        <v>1395</v>
      </c>
      <c r="AF538" s="119" t="s">
        <v>7635</v>
      </c>
      <c r="AG538" s="120"/>
      <c r="AH538" s="121">
        <v>44197</v>
      </c>
      <c r="AI538" s="121">
        <v>44550</v>
      </c>
      <c r="AJ538" s="121">
        <v>44550</v>
      </c>
      <c r="AK538" s="122">
        <v>44550</v>
      </c>
      <c r="AL538" s="122" t="e">
        <v>#N/A</v>
      </c>
      <c r="AM538" s="121" t="e">
        <v>#N/A</v>
      </c>
      <c r="AN538" s="121" t="e">
        <v>#N/A</v>
      </c>
      <c r="AO538" s="121" t="e">
        <v>#N/A</v>
      </c>
      <c r="AP538" s="122" t="e">
        <v>#N/A</v>
      </c>
      <c r="AQ538" s="122" t="e">
        <v>#N/A</v>
      </c>
      <c r="AR538" s="122" t="e">
        <v>#N/A</v>
      </c>
      <c r="AS538" s="122" t="e">
        <v>#N/A</v>
      </c>
      <c r="AT538" s="122" t="e">
        <v>#N/A</v>
      </c>
      <c r="AU538" s="121" t="e">
        <v>#N/A</v>
      </c>
      <c r="AV538" s="122" t="e">
        <v>#N/A</v>
      </c>
      <c r="AW538" s="122" t="e">
        <v>#N/A</v>
      </c>
      <c r="AX538" s="122" t="e">
        <v>#N/A</v>
      </c>
      <c r="AY538" s="122" t="e">
        <v>#N/A</v>
      </c>
      <c r="AZ538" s="122" t="e">
        <v>#N/A</v>
      </c>
      <c r="BA538" s="122" t="e">
        <v>#N/A</v>
      </c>
      <c r="BB538" s="122" t="e">
        <v>#N/A</v>
      </c>
      <c r="BC538" s="122" t="e">
        <v>#N/A</v>
      </c>
      <c r="BD538" s="122" t="e">
        <v>#N/A</v>
      </c>
      <c r="BE538" s="122" t="e">
        <v>#N/A</v>
      </c>
      <c r="BF538" s="122" t="e">
        <v>#N/A</v>
      </c>
      <c r="BG538" s="122" t="e">
        <v>#N/A</v>
      </c>
      <c r="BH538" s="122" t="e">
        <v>#N/A</v>
      </c>
      <c r="BI538" s="122" t="e">
        <v>#N/A</v>
      </c>
      <c r="BJ538" s="122" t="e">
        <v>#N/A</v>
      </c>
      <c r="BK538" s="122">
        <v>45980</v>
      </c>
      <c r="BL538" s="123"/>
      <c r="BM538" s="124">
        <v>44592</v>
      </c>
      <c r="BN538" s="124">
        <v>44734</v>
      </c>
      <c r="BO538" s="124">
        <v>44615</v>
      </c>
      <c r="BP538" s="124">
        <v>44642</v>
      </c>
      <c r="BQ538" s="124">
        <v>44733</v>
      </c>
      <c r="BR538" s="124">
        <v>44704</v>
      </c>
      <c r="BS538" s="124" t="s">
        <v>199</v>
      </c>
      <c r="BT538" s="124" t="s">
        <v>199</v>
      </c>
      <c r="BU538" s="124" t="e">
        <v>#N/A</v>
      </c>
      <c r="BV538" s="124" t="e">
        <v>#N/A</v>
      </c>
      <c r="BW538" s="124" t="e">
        <v>#N/A</v>
      </c>
      <c r="BX538" s="124" t="s">
        <v>199</v>
      </c>
      <c r="BY538" s="124" t="e">
        <v>#N/A</v>
      </c>
      <c r="BZ538" s="124" t="e">
        <v>#N/A</v>
      </c>
      <c r="CA538" s="125"/>
      <c r="CB538" s="124" t="e">
        <v>#N/A</v>
      </c>
      <c r="CC538" s="126">
        <v>1</v>
      </c>
      <c r="CD538" s="127" t="e">
        <v>#N/A</v>
      </c>
      <c r="CE538" s="128"/>
      <c r="CF538" s="77" t="s">
        <v>4214</v>
      </c>
    </row>
    <row r="539" spans="1:84" ht="14.5" x14ac:dyDescent="0.35">
      <c r="A539" s="77">
        <v>538</v>
      </c>
      <c r="B539" s="106" t="s">
        <v>110</v>
      </c>
      <c r="C539" s="107" t="s">
        <v>1202</v>
      </c>
      <c r="D539" s="108" t="s">
        <v>717</v>
      </c>
      <c r="E539" s="109" t="s">
        <v>718</v>
      </c>
      <c r="F539" s="110">
        <v>646801450</v>
      </c>
      <c r="G539" s="108" t="s">
        <v>1004</v>
      </c>
      <c r="H539" s="111" t="s">
        <v>207</v>
      </c>
      <c r="I539" s="111" t="s">
        <v>180</v>
      </c>
      <c r="J539" s="111" t="s">
        <v>4648</v>
      </c>
      <c r="K539" s="111" t="s">
        <v>199</v>
      </c>
      <c r="L539" s="112">
        <v>43048</v>
      </c>
      <c r="M539" s="111" t="s">
        <v>270</v>
      </c>
      <c r="N539" s="113"/>
      <c r="O539" s="114" t="s">
        <v>344</v>
      </c>
      <c r="P539" s="114" t="s">
        <v>344</v>
      </c>
      <c r="Q539" s="114" t="s">
        <v>344</v>
      </c>
      <c r="R539" s="114" t="s">
        <v>7334</v>
      </c>
      <c r="S539" s="114" t="s">
        <v>344</v>
      </c>
      <c r="T539" s="114" t="s">
        <v>183</v>
      </c>
      <c r="U539" s="114" t="s">
        <v>183</v>
      </c>
      <c r="V539" s="115"/>
      <c r="W539" s="116" t="s">
        <v>1203</v>
      </c>
      <c r="X539" s="116" t="s">
        <v>719</v>
      </c>
      <c r="Y539" s="117">
        <v>3485536</v>
      </c>
      <c r="Z539" s="117">
        <v>3481087</v>
      </c>
      <c r="AA539" s="118"/>
      <c r="AB539" s="119" t="s">
        <v>5750</v>
      </c>
      <c r="AC539" s="119" t="s">
        <v>1204</v>
      </c>
      <c r="AD539" s="119">
        <v>4094</v>
      </c>
      <c r="AE539" s="119" t="s">
        <v>720</v>
      </c>
      <c r="AF539" s="119" t="s">
        <v>7636</v>
      </c>
      <c r="AG539" s="120"/>
      <c r="AH539" s="121">
        <v>44197</v>
      </c>
      <c r="AI539" s="121">
        <v>44197</v>
      </c>
      <c r="AJ539" s="121">
        <v>44197</v>
      </c>
      <c r="AK539" s="122">
        <v>44197</v>
      </c>
      <c r="AL539" s="122" t="e">
        <v>#N/A</v>
      </c>
      <c r="AM539" s="122" t="e">
        <v>#N/A</v>
      </c>
      <c r="AN539" s="122" t="e">
        <v>#N/A</v>
      </c>
      <c r="AO539" s="121" t="e">
        <v>#N/A</v>
      </c>
      <c r="AP539" s="122" t="e">
        <v>#N/A</v>
      </c>
      <c r="AQ539" s="122" t="e">
        <v>#N/A</v>
      </c>
      <c r="AR539" s="122" t="e">
        <v>#N/A</v>
      </c>
      <c r="AS539" s="122" t="e">
        <v>#N/A</v>
      </c>
      <c r="AT539" s="122" t="e">
        <v>#N/A</v>
      </c>
      <c r="AU539" s="121" t="e">
        <v>#N/A</v>
      </c>
      <c r="AV539" s="122" t="e">
        <v>#N/A</v>
      </c>
      <c r="AW539" s="122" t="e">
        <v>#N/A</v>
      </c>
      <c r="AX539" s="122" t="e">
        <v>#N/A</v>
      </c>
      <c r="AY539" s="122" t="e">
        <v>#N/A</v>
      </c>
      <c r="AZ539" s="122" t="e">
        <v>#N/A</v>
      </c>
      <c r="BA539" s="122" t="e">
        <v>#N/A</v>
      </c>
      <c r="BB539" s="122" t="e">
        <v>#N/A</v>
      </c>
      <c r="BC539" s="122" t="e">
        <v>#N/A</v>
      </c>
      <c r="BD539" s="122" t="e">
        <v>#N/A</v>
      </c>
      <c r="BE539" s="122" t="e">
        <v>#N/A</v>
      </c>
      <c r="BF539" s="122" t="e">
        <v>#N/A</v>
      </c>
      <c r="BG539" s="122" t="e">
        <v>#N/A</v>
      </c>
      <c r="BH539" s="122" t="e">
        <v>#N/A</v>
      </c>
      <c r="BI539" s="122" t="e">
        <v>#N/A</v>
      </c>
      <c r="BJ539" s="122" t="e">
        <v>#N/A</v>
      </c>
      <c r="BK539" s="122">
        <v>45980</v>
      </c>
      <c r="BL539" s="123"/>
      <c r="BM539" s="124">
        <v>44197</v>
      </c>
      <c r="BN539" s="124">
        <v>44197</v>
      </c>
      <c r="BO539" s="124">
        <v>44615</v>
      </c>
      <c r="BP539" s="124">
        <v>44197</v>
      </c>
      <c r="BQ539" s="124">
        <v>44197</v>
      </c>
      <c r="BR539" s="124">
        <v>44704</v>
      </c>
      <c r="BS539" s="124" t="s">
        <v>199</v>
      </c>
      <c r="BT539" s="124" t="s">
        <v>199</v>
      </c>
      <c r="BU539" s="124" t="e">
        <v>#N/A</v>
      </c>
      <c r="BV539" s="124" t="e">
        <v>#N/A</v>
      </c>
      <c r="BW539" s="124" t="e">
        <v>#N/A</v>
      </c>
      <c r="BX539" s="124" t="s">
        <v>199</v>
      </c>
      <c r="BY539" s="124">
        <v>45078</v>
      </c>
      <c r="BZ539" s="124" t="e">
        <v>#N/A</v>
      </c>
      <c r="CA539" s="125"/>
      <c r="CB539" s="124">
        <v>45726</v>
      </c>
      <c r="CC539" s="126">
        <v>1</v>
      </c>
      <c r="CD539" s="127" t="s">
        <v>4169</v>
      </c>
      <c r="CE539" s="128"/>
      <c r="CF539" s="77" t="s">
        <v>4211</v>
      </c>
    </row>
    <row r="540" spans="1:84" ht="14.5" x14ac:dyDescent="0.35">
      <c r="A540" s="77">
        <v>539</v>
      </c>
      <c r="B540" s="106" t="s">
        <v>6375</v>
      </c>
      <c r="C540" s="107" t="s">
        <v>1130</v>
      </c>
      <c r="D540" s="108" t="s">
        <v>417</v>
      </c>
      <c r="E540" s="109" t="s">
        <v>418</v>
      </c>
      <c r="F540" s="110">
        <v>666959644</v>
      </c>
      <c r="G540" s="108" t="s">
        <v>1004</v>
      </c>
      <c r="H540" s="111" t="s">
        <v>207</v>
      </c>
      <c r="I540" s="111" t="s">
        <v>180</v>
      </c>
      <c r="J540" s="111" t="s">
        <v>4648</v>
      </c>
      <c r="K540" s="111" t="s">
        <v>199</v>
      </c>
      <c r="L540" s="112">
        <v>39560</v>
      </c>
      <c r="M540" s="111" t="s">
        <v>270</v>
      </c>
      <c r="N540" s="113"/>
      <c r="O540" s="114" t="s">
        <v>225</v>
      </c>
      <c r="P540" s="114" t="s">
        <v>225</v>
      </c>
      <c r="Q540" s="114" t="s">
        <v>225</v>
      </c>
      <c r="R540" s="114" t="s">
        <v>7358</v>
      </c>
      <c r="S540" s="114" t="s">
        <v>225</v>
      </c>
      <c r="T540" s="114" t="s">
        <v>183</v>
      </c>
      <c r="U540" s="114" t="s">
        <v>183</v>
      </c>
      <c r="V540" s="115"/>
      <c r="W540" s="116" t="s">
        <v>1814</v>
      </c>
      <c r="X540" s="116" t="s">
        <v>1815</v>
      </c>
      <c r="Y540" s="117">
        <v>3485154</v>
      </c>
      <c r="Z540" s="117">
        <v>3481010</v>
      </c>
      <c r="AA540" s="118"/>
      <c r="AB540" s="119" t="s">
        <v>5334</v>
      </c>
      <c r="AC540" s="119" t="s">
        <v>1816</v>
      </c>
      <c r="AD540" s="119">
        <v>5373</v>
      </c>
      <c r="AE540" s="119" t="s">
        <v>3351</v>
      </c>
      <c r="AF540" s="119" t="s">
        <v>7637</v>
      </c>
      <c r="AG540" s="120"/>
      <c r="AH540" s="121">
        <v>44197</v>
      </c>
      <c r="AI540" s="121">
        <v>44197</v>
      </c>
      <c r="AJ540" s="121">
        <v>44197</v>
      </c>
      <c r="AK540" s="122">
        <v>44197</v>
      </c>
      <c r="AL540" s="122" t="e">
        <v>#N/A</v>
      </c>
      <c r="AM540" s="121" t="e">
        <v>#N/A</v>
      </c>
      <c r="AN540" s="121" t="e">
        <v>#N/A</v>
      </c>
      <c r="AO540" s="121" t="e">
        <v>#N/A</v>
      </c>
      <c r="AP540" s="122" t="e">
        <v>#N/A</v>
      </c>
      <c r="AQ540" s="122" t="e">
        <v>#N/A</v>
      </c>
      <c r="AR540" s="122" t="e">
        <v>#N/A</v>
      </c>
      <c r="AS540" s="122" t="e">
        <v>#N/A</v>
      </c>
      <c r="AT540" s="122" t="e">
        <v>#N/A</v>
      </c>
      <c r="AU540" s="121" t="e">
        <v>#N/A</v>
      </c>
      <c r="AV540" s="122" t="e">
        <v>#N/A</v>
      </c>
      <c r="AW540" s="122" t="e">
        <v>#N/A</v>
      </c>
      <c r="AX540" s="122" t="e">
        <v>#N/A</v>
      </c>
      <c r="AY540" s="122" t="e">
        <v>#N/A</v>
      </c>
      <c r="AZ540" s="122" t="e">
        <v>#N/A</v>
      </c>
      <c r="BA540" s="122" t="e">
        <v>#N/A</v>
      </c>
      <c r="BB540" s="122" t="e">
        <v>#N/A</v>
      </c>
      <c r="BC540" s="122" t="e">
        <v>#N/A</v>
      </c>
      <c r="BD540" s="122" t="e">
        <v>#N/A</v>
      </c>
      <c r="BE540" s="122" t="e">
        <v>#N/A</v>
      </c>
      <c r="BF540" s="122" t="e">
        <v>#N/A</v>
      </c>
      <c r="BG540" s="122" t="e">
        <v>#N/A</v>
      </c>
      <c r="BH540" s="122" t="e">
        <v>#N/A</v>
      </c>
      <c r="BI540" s="122" t="e">
        <v>#N/A</v>
      </c>
      <c r="BJ540" s="122" t="e">
        <v>#N/A</v>
      </c>
      <c r="BK540" s="122">
        <v>45982</v>
      </c>
      <c r="BL540" s="123"/>
      <c r="BM540" s="124">
        <v>44197</v>
      </c>
      <c r="BN540" s="124">
        <v>44777</v>
      </c>
      <c r="BO540" s="124">
        <v>44197</v>
      </c>
      <c r="BP540" s="124">
        <v>44197</v>
      </c>
      <c r="BQ540" s="124">
        <v>44197</v>
      </c>
      <c r="BR540" s="124">
        <v>44783</v>
      </c>
      <c r="BS540" s="124" t="s">
        <v>199</v>
      </c>
      <c r="BT540" s="124" t="s">
        <v>199</v>
      </c>
      <c r="BU540" s="124" t="e">
        <v>#N/A</v>
      </c>
      <c r="BV540" s="124" t="e">
        <v>#N/A</v>
      </c>
      <c r="BW540" s="124" t="e">
        <v>#N/A</v>
      </c>
      <c r="BX540" s="124" t="s">
        <v>199</v>
      </c>
      <c r="BY540" s="124">
        <v>45078</v>
      </c>
      <c r="BZ540" s="124" t="e">
        <v>#N/A</v>
      </c>
      <c r="CA540" s="125"/>
      <c r="CB540" s="124" t="e">
        <v>#N/A</v>
      </c>
      <c r="CC540" s="126">
        <v>1</v>
      </c>
      <c r="CD540" s="127" t="e">
        <v>#N/A</v>
      </c>
      <c r="CE540" s="128"/>
      <c r="CF540" s="77" t="s">
        <v>4211</v>
      </c>
    </row>
    <row r="541" spans="1:84" ht="14.5" x14ac:dyDescent="0.35">
      <c r="A541" s="77">
        <v>540</v>
      </c>
      <c r="B541" s="106" t="s">
        <v>6264</v>
      </c>
      <c r="C541" s="107" t="s">
        <v>1217</v>
      </c>
      <c r="D541" s="108" t="s">
        <v>205</v>
      </c>
      <c r="E541" s="109" t="s">
        <v>206</v>
      </c>
      <c r="F541" s="110">
        <v>954406621</v>
      </c>
      <c r="G541" s="108" t="s">
        <v>1004</v>
      </c>
      <c r="H541" s="111" t="s">
        <v>207</v>
      </c>
      <c r="I541" s="111" t="s">
        <v>180</v>
      </c>
      <c r="J541" s="111" t="s">
        <v>4648</v>
      </c>
      <c r="K541" s="111" t="s">
        <v>199</v>
      </c>
      <c r="L541" s="112">
        <v>42604</v>
      </c>
      <c r="M541" s="111" t="s">
        <v>2383</v>
      </c>
      <c r="N541" s="113"/>
      <c r="O541" s="114" t="s">
        <v>182</v>
      </c>
      <c r="P541" s="114" t="s">
        <v>183</v>
      </c>
      <c r="Q541" s="114" t="s">
        <v>184</v>
      </c>
      <c r="R541" s="114" t="s">
        <v>182</v>
      </c>
      <c r="S541" s="114" t="s">
        <v>7245</v>
      </c>
      <c r="T541" s="114" t="s">
        <v>7245</v>
      </c>
      <c r="U541" s="114" t="s">
        <v>183</v>
      </c>
      <c r="V541" s="115"/>
      <c r="W541" s="116" t="s">
        <v>1873</v>
      </c>
      <c r="X541" s="116" t="s">
        <v>1874</v>
      </c>
      <c r="Y541" s="117">
        <v>3485273</v>
      </c>
      <c r="Z541" s="117">
        <v>3481114</v>
      </c>
      <c r="AA541" s="118"/>
      <c r="AB541" s="119" t="s">
        <v>5523</v>
      </c>
      <c r="AC541" s="119" t="s">
        <v>1875</v>
      </c>
      <c r="AD541" s="119">
        <v>5063</v>
      </c>
      <c r="AE541" s="119" t="s">
        <v>1876</v>
      </c>
      <c r="AF541" s="119" t="s">
        <v>6179</v>
      </c>
      <c r="AG541" s="120"/>
      <c r="AH541" s="121">
        <v>44197</v>
      </c>
      <c r="AI541" s="121">
        <v>44197</v>
      </c>
      <c r="AJ541" s="121">
        <v>44197</v>
      </c>
      <c r="AK541" s="122">
        <v>44197</v>
      </c>
      <c r="AL541" s="122" t="e">
        <v>#N/A</v>
      </c>
      <c r="AM541" s="121" t="e">
        <v>#N/A</v>
      </c>
      <c r="AN541" s="121" t="e">
        <v>#N/A</v>
      </c>
      <c r="AO541" s="121" t="e">
        <v>#N/A</v>
      </c>
      <c r="AP541" s="122" t="e">
        <v>#N/A</v>
      </c>
      <c r="AQ541" s="122" t="e">
        <v>#N/A</v>
      </c>
      <c r="AR541" s="122" t="e">
        <v>#N/A</v>
      </c>
      <c r="AS541" s="122" t="e">
        <v>#N/A</v>
      </c>
      <c r="AT541" s="122" t="e">
        <v>#N/A</v>
      </c>
      <c r="AU541" s="121" t="e">
        <v>#N/A</v>
      </c>
      <c r="AV541" s="122" t="e">
        <v>#N/A</v>
      </c>
      <c r="AW541" s="122" t="e">
        <v>#N/A</v>
      </c>
      <c r="AX541" s="122" t="e">
        <v>#N/A</v>
      </c>
      <c r="AY541" s="122" t="e">
        <v>#N/A</v>
      </c>
      <c r="AZ541" s="122" t="e">
        <v>#N/A</v>
      </c>
      <c r="BA541" s="122" t="e">
        <v>#N/A</v>
      </c>
      <c r="BB541" s="122" t="e">
        <v>#N/A</v>
      </c>
      <c r="BC541" s="122" t="e">
        <v>#N/A</v>
      </c>
      <c r="BD541" s="122" t="e">
        <v>#N/A</v>
      </c>
      <c r="BE541" s="122" t="e">
        <v>#N/A</v>
      </c>
      <c r="BF541" s="122" t="e">
        <v>#N/A</v>
      </c>
      <c r="BG541" s="122" t="e">
        <v>#N/A</v>
      </c>
      <c r="BH541" s="122" t="e">
        <v>#N/A</v>
      </c>
      <c r="BI541" s="122" t="e">
        <v>#N/A</v>
      </c>
      <c r="BJ541" s="122" t="e">
        <v>#N/A</v>
      </c>
      <c r="BK541" s="122">
        <v>45959</v>
      </c>
      <c r="BL541" s="123"/>
      <c r="BM541" s="124">
        <v>44197</v>
      </c>
      <c r="BN541" s="124">
        <v>44197</v>
      </c>
      <c r="BO541" s="124">
        <v>44531</v>
      </c>
      <c r="BP541" s="124">
        <v>44197</v>
      </c>
      <c r="BQ541" s="124">
        <v>44197</v>
      </c>
      <c r="BR541" s="124">
        <v>44704</v>
      </c>
      <c r="BS541" s="124" t="s">
        <v>199</v>
      </c>
      <c r="BT541" s="124" t="s">
        <v>199</v>
      </c>
      <c r="BU541" s="124" t="e">
        <v>#N/A</v>
      </c>
      <c r="BV541" s="124" t="e">
        <v>#N/A</v>
      </c>
      <c r="BW541" s="124" t="e">
        <v>#N/A</v>
      </c>
      <c r="BX541" s="124" t="s">
        <v>199</v>
      </c>
      <c r="BY541" s="124" t="e">
        <v>#N/A</v>
      </c>
      <c r="BZ541" s="124" t="e">
        <v>#N/A</v>
      </c>
      <c r="CA541" s="125"/>
      <c r="CB541" s="124">
        <v>45726</v>
      </c>
      <c r="CC541" s="126">
        <v>1</v>
      </c>
      <c r="CD541" s="127" t="e">
        <v>#N/A</v>
      </c>
      <c r="CE541" s="128"/>
      <c r="CF541" s="77" t="s">
        <v>4211</v>
      </c>
    </row>
    <row r="542" spans="1:84" ht="14.5" x14ac:dyDescent="0.35">
      <c r="A542" s="77">
        <v>541</v>
      </c>
      <c r="B542" s="106" t="s">
        <v>6291</v>
      </c>
      <c r="C542" s="107" t="s">
        <v>1191</v>
      </c>
      <c r="D542" s="108" t="s">
        <v>254</v>
      </c>
      <c r="E542" s="109" t="s">
        <v>255</v>
      </c>
      <c r="F542" s="110">
        <v>954074020</v>
      </c>
      <c r="G542" s="108" t="s">
        <v>190</v>
      </c>
      <c r="H542" s="111" t="s">
        <v>207</v>
      </c>
      <c r="I542" s="111" t="s">
        <v>180</v>
      </c>
      <c r="J542" s="111" t="s">
        <v>4648</v>
      </c>
      <c r="K542" s="111" t="s">
        <v>199</v>
      </c>
      <c r="L542" s="112">
        <v>38467</v>
      </c>
      <c r="M542" s="111" t="s">
        <v>740</v>
      </c>
      <c r="N542" s="113"/>
      <c r="O542" s="114" t="s">
        <v>3798</v>
      </c>
      <c r="P542" s="114" t="s">
        <v>3798</v>
      </c>
      <c r="Q542" s="114" t="s">
        <v>4381</v>
      </c>
      <c r="R542" s="114" t="s">
        <v>4381</v>
      </c>
      <c r="S542" s="114" t="s">
        <v>4381</v>
      </c>
      <c r="T542" s="114" t="s">
        <v>4356</v>
      </c>
      <c r="U542" s="114" t="s">
        <v>4356</v>
      </c>
      <c r="V542" s="115"/>
      <c r="W542" s="116" t="s">
        <v>2003</v>
      </c>
      <c r="X542" s="116" t="s">
        <v>2004</v>
      </c>
      <c r="Y542" s="117">
        <v>3485227</v>
      </c>
      <c r="Z542" s="117">
        <v>3481112</v>
      </c>
      <c r="AA542" s="118"/>
      <c r="AB542" s="119" t="s">
        <v>5319</v>
      </c>
      <c r="AC542" s="119" t="s">
        <v>2005</v>
      </c>
      <c r="AD542" s="119">
        <v>4076</v>
      </c>
      <c r="AE542" s="119" t="s">
        <v>2387</v>
      </c>
      <c r="AF542" s="119" t="s">
        <v>6889</v>
      </c>
      <c r="AG542" s="120"/>
      <c r="AH542" s="121">
        <v>44197</v>
      </c>
      <c r="AI542" s="121">
        <v>44197</v>
      </c>
      <c r="AJ542" s="121">
        <v>44197</v>
      </c>
      <c r="AK542" s="122">
        <v>44197</v>
      </c>
      <c r="AL542" s="122" t="e">
        <v>#N/A</v>
      </c>
      <c r="AM542" s="121" t="e">
        <v>#N/A</v>
      </c>
      <c r="AN542" s="121" t="e">
        <v>#N/A</v>
      </c>
      <c r="AO542" s="121" t="e">
        <v>#N/A</v>
      </c>
      <c r="AP542" s="122" t="e">
        <v>#N/A</v>
      </c>
      <c r="AQ542" s="122" t="e">
        <v>#N/A</v>
      </c>
      <c r="AR542" s="122" t="e">
        <v>#N/A</v>
      </c>
      <c r="AS542" s="122" t="e">
        <v>#N/A</v>
      </c>
      <c r="AT542" s="122" t="e">
        <v>#N/A</v>
      </c>
      <c r="AU542" s="121" t="e">
        <v>#N/A</v>
      </c>
      <c r="AV542" s="122" t="e">
        <v>#N/A</v>
      </c>
      <c r="AW542" s="122" t="e">
        <v>#N/A</v>
      </c>
      <c r="AX542" s="122" t="e">
        <v>#N/A</v>
      </c>
      <c r="AY542" s="122" t="e">
        <v>#N/A</v>
      </c>
      <c r="AZ542" s="122" t="e">
        <v>#N/A</v>
      </c>
      <c r="BA542" s="122" t="e">
        <v>#N/A</v>
      </c>
      <c r="BB542" s="122" t="e">
        <v>#N/A</v>
      </c>
      <c r="BC542" s="122" t="e">
        <v>#N/A</v>
      </c>
      <c r="BD542" s="122" t="e">
        <v>#N/A</v>
      </c>
      <c r="BE542" s="122" t="e">
        <v>#N/A</v>
      </c>
      <c r="BF542" s="122" t="e">
        <v>#N/A</v>
      </c>
      <c r="BG542" s="122" t="e">
        <v>#N/A</v>
      </c>
      <c r="BH542" s="122" t="e">
        <v>#N/A</v>
      </c>
      <c r="BI542" s="122" t="e">
        <v>#N/A</v>
      </c>
      <c r="BJ542" s="122" t="e">
        <v>#N/A</v>
      </c>
      <c r="BK542" s="122">
        <v>45971</v>
      </c>
      <c r="BL542" s="123"/>
      <c r="BM542" s="124">
        <v>44197</v>
      </c>
      <c r="BN542" s="124">
        <v>44197</v>
      </c>
      <c r="BO542" s="124">
        <v>44799</v>
      </c>
      <c r="BP542" s="124">
        <v>44530</v>
      </c>
      <c r="BQ542" s="124">
        <v>44532</v>
      </c>
      <c r="BR542" s="124">
        <v>44783</v>
      </c>
      <c r="BS542" s="124" t="s">
        <v>199</v>
      </c>
      <c r="BT542" s="124" t="s">
        <v>199</v>
      </c>
      <c r="BU542" s="124" t="e">
        <v>#N/A</v>
      </c>
      <c r="BV542" s="124" t="e">
        <v>#N/A</v>
      </c>
      <c r="BW542" s="124" t="e">
        <v>#N/A</v>
      </c>
      <c r="BX542" s="124" t="s">
        <v>199</v>
      </c>
      <c r="BY542" s="124" t="e">
        <v>#N/A</v>
      </c>
      <c r="BZ542" s="124" t="e">
        <v>#N/A</v>
      </c>
      <c r="CA542" s="125"/>
      <c r="CB542" s="124">
        <v>45733</v>
      </c>
      <c r="CC542" s="126">
        <v>1</v>
      </c>
      <c r="CD542" s="127" t="e">
        <v>#N/A</v>
      </c>
      <c r="CE542" s="128"/>
      <c r="CF542" s="77" t="s">
        <v>4211</v>
      </c>
    </row>
    <row r="543" spans="1:84" ht="14.5" x14ac:dyDescent="0.35">
      <c r="A543" s="77">
        <v>542</v>
      </c>
      <c r="B543" s="106" t="s">
        <v>6324</v>
      </c>
      <c r="C543" s="107" t="s">
        <v>6325</v>
      </c>
      <c r="D543" s="108" t="s">
        <v>2519</v>
      </c>
      <c r="E543" s="109" t="s">
        <v>2520</v>
      </c>
      <c r="F543" s="110">
        <v>660191050</v>
      </c>
      <c r="G543" s="108" t="s">
        <v>1004</v>
      </c>
      <c r="H543" s="111" t="s">
        <v>207</v>
      </c>
      <c r="I543" s="111" t="s">
        <v>180</v>
      </c>
      <c r="J543" s="111" t="s">
        <v>4648</v>
      </c>
      <c r="K543" s="111" t="s">
        <v>199</v>
      </c>
      <c r="L543" s="112">
        <v>40452</v>
      </c>
      <c r="M543" s="111" t="s">
        <v>2502</v>
      </c>
      <c r="N543" s="113"/>
      <c r="O543" s="114" t="s">
        <v>246</v>
      </c>
      <c r="P543" s="114" t="s">
        <v>257</v>
      </c>
      <c r="Q543" s="114" t="s">
        <v>246</v>
      </c>
      <c r="R543" s="114" t="s">
        <v>7364</v>
      </c>
      <c r="S543" s="114" t="s">
        <v>257</v>
      </c>
      <c r="T543" s="114" t="s">
        <v>183</v>
      </c>
      <c r="U543" s="114" t="s">
        <v>183</v>
      </c>
      <c r="V543" s="115"/>
      <c r="W543" s="116" t="s">
        <v>2521</v>
      </c>
      <c r="X543" s="116" t="s">
        <v>2522</v>
      </c>
      <c r="Y543" s="117">
        <v>3485263</v>
      </c>
      <c r="Z543" s="117">
        <v>3481251</v>
      </c>
      <c r="AA543" s="118"/>
      <c r="AB543" s="119" t="s">
        <v>5273</v>
      </c>
      <c r="AC543" s="119" t="s">
        <v>2523</v>
      </c>
      <c r="AD543" s="119">
        <v>27587</v>
      </c>
      <c r="AE543" s="119" t="s">
        <v>2524</v>
      </c>
      <c r="AF543" s="119" t="s">
        <v>6892</v>
      </c>
      <c r="AG543" s="120"/>
      <c r="AH543" s="121">
        <v>44994</v>
      </c>
      <c r="AI543" s="121">
        <v>45065</v>
      </c>
      <c r="AJ543" s="121">
        <v>45065</v>
      </c>
      <c r="AK543" s="122">
        <v>45065</v>
      </c>
      <c r="AL543" s="122" t="e">
        <v>#N/A</v>
      </c>
      <c r="AM543" s="122" t="e">
        <v>#N/A</v>
      </c>
      <c r="AN543" s="122" t="e">
        <v>#N/A</v>
      </c>
      <c r="AO543" s="121" t="e">
        <v>#N/A</v>
      </c>
      <c r="AP543" s="122" t="e">
        <v>#N/A</v>
      </c>
      <c r="AQ543" s="122" t="e">
        <v>#N/A</v>
      </c>
      <c r="AR543" s="122" t="e">
        <v>#N/A</v>
      </c>
      <c r="AS543" s="122" t="e">
        <v>#N/A</v>
      </c>
      <c r="AT543" s="122">
        <v>45008</v>
      </c>
      <c r="AU543" s="121" t="e">
        <v>#N/A</v>
      </c>
      <c r="AV543" s="122" t="e">
        <v>#N/A</v>
      </c>
      <c r="AW543" s="122" t="e">
        <v>#N/A</v>
      </c>
      <c r="AX543" s="122" t="e">
        <v>#N/A</v>
      </c>
      <c r="AY543" s="122" t="e">
        <v>#N/A</v>
      </c>
      <c r="AZ543" s="122" t="e">
        <v>#N/A</v>
      </c>
      <c r="BA543" s="122" t="e">
        <v>#N/A</v>
      </c>
      <c r="BB543" s="122" t="e">
        <v>#N/A</v>
      </c>
      <c r="BC543" s="122" t="e">
        <v>#N/A</v>
      </c>
      <c r="BD543" s="122" t="e">
        <v>#N/A</v>
      </c>
      <c r="BE543" s="122" t="e">
        <v>#N/A</v>
      </c>
      <c r="BF543" s="122" t="e">
        <v>#N/A</v>
      </c>
      <c r="BG543" s="122" t="e">
        <v>#N/A</v>
      </c>
      <c r="BH543" s="122" t="e">
        <v>#N/A</v>
      </c>
      <c r="BI543" s="122" t="e">
        <v>#N/A</v>
      </c>
      <c r="BJ543" s="122" t="e">
        <v>#N/A</v>
      </c>
      <c r="BK543" s="122">
        <v>45961</v>
      </c>
      <c r="BL543" s="123"/>
      <c r="BM543" s="124">
        <v>45573</v>
      </c>
      <c r="BN543" s="124">
        <v>45573</v>
      </c>
      <c r="BO543" s="124">
        <v>45573</v>
      </c>
      <c r="BP543" s="124" t="e">
        <v>#N/A</v>
      </c>
      <c r="BQ543" s="124" t="e">
        <v>#N/A</v>
      </c>
      <c r="BR543" s="124" t="e">
        <v>#N/A</v>
      </c>
      <c r="BS543" s="124" t="s">
        <v>199</v>
      </c>
      <c r="BT543" s="124" t="e">
        <v>#N/A</v>
      </c>
      <c r="BU543" s="124" t="e">
        <v>#N/A</v>
      </c>
      <c r="BV543" s="124" t="e">
        <v>#N/A</v>
      </c>
      <c r="BW543" s="124" t="e">
        <v>#N/A</v>
      </c>
      <c r="BX543" s="124" t="e">
        <v>#N/A</v>
      </c>
      <c r="BY543" s="124" t="e">
        <v>#N/A</v>
      </c>
      <c r="BZ543" s="124" t="e">
        <v>#N/A</v>
      </c>
      <c r="CA543" s="125"/>
      <c r="CB543" s="124">
        <v>45727</v>
      </c>
      <c r="CC543" s="126">
        <v>1</v>
      </c>
      <c r="CD543" s="127" t="e">
        <v>#N/A</v>
      </c>
      <c r="CE543" s="128"/>
      <c r="CF543" s="77" t="s">
        <v>4211</v>
      </c>
    </row>
    <row r="544" spans="1:84" ht="14.5" x14ac:dyDescent="0.35">
      <c r="A544" s="77">
        <v>543</v>
      </c>
      <c r="B544" s="106" t="s">
        <v>6315</v>
      </c>
      <c r="C544" s="107" t="s">
        <v>1292</v>
      </c>
      <c r="D544" s="108" t="s">
        <v>314</v>
      </c>
      <c r="E544" s="109" t="s">
        <v>315</v>
      </c>
      <c r="F544" s="110">
        <v>683544996</v>
      </c>
      <c r="G544" s="108" t="s">
        <v>1004</v>
      </c>
      <c r="H544" s="111" t="s">
        <v>207</v>
      </c>
      <c r="I544" s="111" t="s">
        <v>180</v>
      </c>
      <c r="J544" s="111" t="s">
        <v>4648</v>
      </c>
      <c r="K544" s="111" t="s">
        <v>199</v>
      </c>
      <c r="L544" s="112">
        <v>38734</v>
      </c>
      <c r="M544" s="111" t="s">
        <v>2502</v>
      </c>
      <c r="N544" s="113"/>
      <c r="O544" s="114" t="s">
        <v>246</v>
      </c>
      <c r="P544" s="114" t="s">
        <v>246</v>
      </c>
      <c r="Q544" s="114" t="s">
        <v>257</v>
      </c>
      <c r="R544" s="114" t="s">
        <v>7364</v>
      </c>
      <c r="S544" s="114" t="s">
        <v>257</v>
      </c>
      <c r="T544" s="114" t="s">
        <v>183</v>
      </c>
      <c r="U544" s="114" t="s">
        <v>183</v>
      </c>
      <c r="V544" s="115"/>
      <c r="W544" s="116" t="s">
        <v>4383</v>
      </c>
      <c r="X544" s="116" t="s">
        <v>4384</v>
      </c>
      <c r="Y544" s="117">
        <v>3485041</v>
      </c>
      <c r="Z544" s="117">
        <v>3481170</v>
      </c>
      <c r="AA544" s="118"/>
      <c r="AB544" s="119" t="s">
        <v>5296</v>
      </c>
      <c r="AC544" s="119" t="s">
        <v>4385</v>
      </c>
      <c r="AD544" s="119">
        <v>4216</v>
      </c>
      <c r="AE544" s="119" t="s">
        <v>4386</v>
      </c>
      <c r="AF544" s="119" t="s">
        <v>7638</v>
      </c>
      <c r="AG544" s="120"/>
      <c r="AH544" s="121">
        <v>44197</v>
      </c>
      <c r="AI544" s="121">
        <v>44197</v>
      </c>
      <c r="AJ544" s="121">
        <v>44197</v>
      </c>
      <c r="AK544" s="122">
        <v>44197</v>
      </c>
      <c r="AL544" s="122">
        <v>45481</v>
      </c>
      <c r="AM544" s="121">
        <v>45481</v>
      </c>
      <c r="AN544" s="121" t="s">
        <v>7056</v>
      </c>
      <c r="AO544" s="121" t="e">
        <v>#N/A</v>
      </c>
      <c r="AP544" s="122" t="e">
        <v>#N/A</v>
      </c>
      <c r="AQ544" s="122" t="e">
        <v>#N/A</v>
      </c>
      <c r="AR544" s="122">
        <v>44676</v>
      </c>
      <c r="AS544" s="122" t="e">
        <v>#N/A</v>
      </c>
      <c r="AT544" s="122" t="e">
        <v>#N/A</v>
      </c>
      <c r="AU544" s="121" t="e">
        <v>#N/A</v>
      </c>
      <c r="AV544" s="122" t="e">
        <v>#N/A</v>
      </c>
      <c r="AW544" s="122" t="e">
        <v>#N/A</v>
      </c>
      <c r="AX544" s="122" t="e">
        <v>#N/A</v>
      </c>
      <c r="AY544" s="122" t="e">
        <v>#N/A</v>
      </c>
      <c r="AZ544" s="122" t="e">
        <v>#N/A</v>
      </c>
      <c r="BA544" s="122" t="e">
        <v>#N/A</v>
      </c>
      <c r="BB544" s="122">
        <v>45057</v>
      </c>
      <c r="BC544" s="122" t="e">
        <v>#N/A</v>
      </c>
      <c r="BD544" s="122" t="e">
        <v>#N/A</v>
      </c>
      <c r="BE544" s="122" t="e">
        <v>#N/A</v>
      </c>
      <c r="BF544" s="122" t="e">
        <v>#N/A</v>
      </c>
      <c r="BG544" s="122" t="e">
        <v>#N/A</v>
      </c>
      <c r="BH544" s="122" t="e">
        <v>#N/A</v>
      </c>
      <c r="BI544" s="122" t="e">
        <v>#N/A</v>
      </c>
      <c r="BJ544" s="122" t="e">
        <v>#N/A</v>
      </c>
      <c r="BK544" s="122">
        <v>45982</v>
      </c>
      <c r="BL544" s="123"/>
      <c r="BM544" s="124">
        <v>45573</v>
      </c>
      <c r="BN544" s="124">
        <v>45573</v>
      </c>
      <c r="BO544" s="124">
        <v>45573</v>
      </c>
      <c r="BP544" s="124" t="e">
        <v>#N/A</v>
      </c>
      <c r="BQ544" s="124" t="e">
        <v>#N/A</v>
      </c>
      <c r="BR544" s="124" t="e">
        <v>#N/A</v>
      </c>
      <c r="BS544" s="124" t="s">
        <v>199</v>
      </c>
      <c r="BT544" s="124" t="e">
        <v>#N/A</v>
      </c>
      <c r="BU544" s="124" t="e">
        <v>#N/A</v>
      </c>
      <c r="BV544" s="124" t="e">
        <v>#N/A</v>
      </c>
      <c r="BW544" s="124" t="e">
        <v>#N/A</v>
      </c>
      <c r="BX544" s="124" t="e">
        <v>#N/A</v>
      </c>
      <c r="BY544" s="124" t="e">
        <v>#N/A</v>
      </c>
      <c r="BZ544" s="124" t="e">
        <v>#N/A</v>
      </c>
      <c r="CA544" s="125"/>
      <c r="CB544" s="124">
        <v>45727</v>
      </c>
      <c r="CC544" s="126">
        <v>1</v>
      </c>
      <c r="CD544" s="127" t="e">
        <v>#N/A</v>
      </c>
      <c r="CE544" s="128"/>
      <c r="CF544" s="77" t="s">
        <v>4211</v>
      </c>
    </row>
    <row r="545" spans="1:84" ht="14.5" x14ac:dyDescent="0.35">
      <c r="A545" s="77">
        <v>544</v>
      </c>
      <c r="B545" s="106" t="s">
        <v>48</v>
      </c>
      <c r="C545" s="107" t="s">
        <v>498</v>
      </c>
      <c r="D545" s="108" t="s">
        <v>499</v>
      </c>
      <c r="E545" s="109" t="s">
        <v>500</v>
      </c>
      <c r="F545" s="110">
        <v>652327727</v>
      </c>
      <c r="G545" s="108" t="s">
        <v>1004</v>
      </c>
      <c r="H545" s="111" t="s">
        <v>207</v>
      </c>
      <c r="I545" s="111" t="s">
        <v>180</v>
      </c>
      <c r="J545" s="111" t="s">
        <v>4648</v>
      </c>
      <c r="K545" s="111" t="s">
        <v>199</v>
      </c>
      <c r="L545" s="112">
        <v>41801</v>
      </c>
      <c r="M545" s="111" t="s">
        <v>2502</v>
      </c>
      <c r="N545" s="113"/>
      <c r="O545" s="114" t="s">
        <v>225</v>
      </c>
      <c r="P545" s="114" t="s">
        <v>225</v>
      </c>
      <c r="Q545" s="114" t="s">
        <v>225</v>
      </c>
      <c r="R545" s="114" t="s">
        <v>7358</v>
      </c>
      <c r="S545" s="114" t="s">
        <v>225</v>
      </c>
      <c r="T545" s="114" t="s">
        <v>183</v>
      </c>
      <c r="U545" s="114" t="s">
        <v>183</v>
      </c>
      <c r="V545" s="115"/>
      <c r="W545" s="116" t="s">
        <v>502</v>
      </c>
      <c r="X545" s="116" t="s">
        <v>503</v>
      </c>
      <c r="Y545" s="117">
        <v>3485330</v>
      </c>
      <c r="Z545" s="117">
        <v>3481082</v>
      </c>
      <c r="AA545" s="118"/>
      <c r="AB545" s="119" t="s">
        <v>5878</v>
      </c>
      <c r="AC545" s="119" t="s">
        <v>1156</v>
      </c>
      <c r="AD545" s="119">
        <v>4039</v>
      </c>
      <c r="AE545" s="119" t="s">
        <v>2992</v>
      </c>
      <c r="AF545" s="119" t="s">
        <v>7639</v>
      </c>
      <c r="AG545" s="120"/>
      <c r="AH545" s="121">
        <v>44197</v>
      </c>
      <c r="AI545" s="121">
        <v>44197</v>
      </c>
      <c r="AJ545" s="121">
        <v>44197</v>
      </c>
      <c r="AK545" s="122">
        <v>44197</v>
      </c>
      <c r="AL545" s="122">
        <v>44197</v>
      </c>
      <c r="AM545" s="121">
        <v>45245</v>
      </c>
      <c r="AN545" s="121" t="e">
        <v>#N/A</v>
      </c>
      <c r="AO545" s="121" t="e">
        <v>#N/A</v>
      </c>
      <c r="AP545" s="122" t="e">
        <v>#N/A</v>
      </c>
      <c r="AQ545" s="122" t="e">
        <v>#N/A</v>
      </c>
      <c r="AR545" s="122" t="e">
        <v>#N/A</v>
      </c>
      <c r="AS545" s="122" t="e">
        <v>#N/A</v>
      </c>
      <c r="AT545" s="122" t="e">
        <v>#N/A</v>
      </c>
      <c r="AU545" s="121" t="e">
        <v>#N/A</v>
      </c>
      <c r="AV545" s="122" t="e">
        <v>#N/A</v>
      </c>
      <c r="AW545" s="122" t="e">
        <v>#N/A</v>
      </c>
      <c r="AX545" s="122" t="e">
        <v>#N/A</v>
      </c>
      <c r="AY545" s="122" t="e">
        <v>#N/A</v>
      </c>
      <c r="AZ545" s="122" t="e">
        <v>#N/A</v>
      </c>
      <c r="BA545" s="122" t="e">
        <v>#N/A</v>
      </c>
      <c r="BB545" s="122" t="e">
        <v>#N/A</v>
      </c>
      <c r="BC545" s="122" t="e">
        <v>#N/A</v>
      </c>
      <c r="BD545" s="122">
        <v>44973</v>
      </c>
      <c r="BE545" s="122" t="e">
        <v>#N/A</v>
      </c>
      <c r="BF545" s="122" t="e">
        <v>#N/A</v>
      </c>
      <c r="BG545" s="122" t="e">
        <v>#N/A</v>
      </c>
      <c r="BH545" s="122" t="e">
        <v>#N/A</v>
      </c>
      <c r="BI545" s="122" t="e">
        <v>#N/A</v>
      </c>
      <c r="BJ545" s="122" t="e">
        <v>#N/A</v>
      </c>
      <c r="BK545" s="122">
        <v>46009</v>
      </c>
      <c r="BL545" s="123"/>
      <c r="BM545" s="124">
        <v>45579</v>
      </c>
      <c r="BN545" s="124">
        <v>45579</v>
      </c>
      <c r="BO545" s="124">
        <v>45579</v>
      </c>
      <c r="BP545" s="124" t="e">
        <v>#N/A</v>
      </c>
      <c r="BQ545" s="124" t="e">
        <v>#N/A</v>
      </c>
      <c r="BR545" s="124" t="e">
        <v>#N/A</v>
      </c>
      <c r="BS545" s="124" t="s">
        <v>199</v>
      </c>
      <c r="BT545" s="124" t="e">
        <v>#N/A</v>
      </c>
      <c r="BU545" s="124" t="e">
        <v>#N/A</v>
      </c>
      <c r="BV545" s="124" t="e">
        <v>#N/A</v>
      </c>
      <c r="BW545" s="124" t="e">
        <v>#N/A</v>
      </c>
      <c r="BX545" s="124" t="e">
        <v>#N/A</v>
      </c>
      <c r="BY545" s="124" t="e">
        <v>#N/A</v>
      </c>
      <c r="BZ545" s="124" t="e">
        <v>#N/A</v>
      </c>
      <c r="CA545" s="125"/>
      <c r="CB545" s="124">
        <v>45727</v>
      </c>
      <c r="CC545" s="126">
        <v>1</v>
      </c>
      <c r="CD545" s="127" t="s">
        <v>4169</v>
      </c>
      <c r="CE545" s="128"/>
      <c r="CF545" s="77" t="s">
        <v>4211</v>
      </c>
    </row>
    <row r="546" spans="1:84" ht="14.5" x14ac:dyDescent="0.35">
      <c r="A546" s="77">
        <v>545</v>
      </c>
      <c r="B546" s="106" t="s">
        <v>6314</v>
      </c>
      <c r="C546" s="107" t="s">
        <v>1251</v>
      </c>
      <c r="D546" s="108" t="s">
        <v>308</v>
      </c>
      <c r="E546" s="109" t="s">
        <v>309</v>
      </c>
      <c r="F546" s="110">
        <v>670970127</v>
      </c>
      <c r="G546" s="108" t="s">
        <v>1004</v>
      </c>
      <c r="H546" s="111" t="s">
        <v>207</v>
      </c>
      <c r="I546" s="111" t="s">
        <v>180</v>
      </c>
      <c r="J546" s="111" t="s">
        <v>4648</v>
      </c>
      <c r="K546" s="111" t="s">
        <v>199</v>
      </c>
      <c r="L546" s="112">
        <v>38719</v>
      </c>
      <c r="M546" s="111" t="s">
        <v>1656</v>
      </c>
      <c r="N546" s="113"/>
      <c r="O546" s="114" t="s">
        <v>310</v>
      </c>
      <c r="P546" s="114" t="s">
        <v>310</v>
      </c>
      <c r="Q546" s="114" t="s">
        <v>285</v>
      </c>
      <c r="R546" s="114" t="s">
        <v>7337</v>
      </c>
      <c r="S546" s="114" t="s">
        <v>310</v>
      </c>
      <c r="T546" s="114" t="s">
        <v>183</v>
      </c>
      <c r="U546" s="114" t="s">
        <v>183</v>
      </c>
      <c r="V546" s="115"/>
      <c r="W546" s="116" t="s">
        <v>311</v>
      </c>
      <c r="X546" s="116" t="s">
        <v>312</v>
      </c>
      <c r="Y546" s="117">
        <v>3485166</v>
      </c>
      <c r="Z546" s="117">
        <v>3481063</v>
      </c>
      <c r="AA546" s="118"/>
      <c r="AB546" s="119" t="s">
        <v>5539</v>
      </c>
      <c r="AC546" s="119" t="s">
        <v>1252</v>
      </c>
      <c r="AD546" s="119">
        <v>5248</v>
      </c>
      <c r="AE546" s="119" t="s">
        <v>313</v>
      </c>
      <c r="AF546" s="119" t="s">
        <v>7640</v>
      </c>
      <c r="AG546" s="120"/>
      <c r="AH546" s="121">
        <v>44197</v>
      </c>
      <c r="AI546" s="121">
        <v>44197</v>
      </c>
      <c r="AJ546" s="121">
        <v>44701</v>
      </c>
      <c r="AK546" s="122">
        <v>44197</v>
      </c>
      <c r="AL546" s="122" t="e">
        <v>#N/A</v>
      </c>
      <c r="AM546" s="121" t="e">
        <v>#N/A</v>
      </c>
      <c r="AN546" s="121" t="e">
        <v>#N/A</v>
      </c>
      <c r="AO546" s="121" t="e">
        <v>#N/A</v>
      </c>
      <c r="AP546" s="122" t="e">
        <v>#N/A</v>
      </c>
      <c r="AQ546" s="122" t="e">
        <v>#N/A</v>
      </c>
      <c r="AR546" s="122" t="e">
        <v>#N/A</v>
      </c>
      <c r="AS546" s="122" t="e">
        <v>#N/A</v>
      </c>
      <c r="AT546" s="122" t="e">
        <v>#N/A</v>
      </c>
      <c r="AU546" s="121" t="e">
        <v>#N/A</v>
      </c>
      <c r="AV546" s="122" t="e">
        <v>#N/A</v>
      </c>
      <c r="AW546" s="122" t="e">
        <v>#N/A</v>
      </c>
      <c r="AX546" s="122" t="e">
        <v>#N/A</v>
      </c>
      <c r="AY546" s="122" t="e">
        <v>#N/A</v>
      </c>
      <c r="AZ546" s="122" t="e">
        <v>#N/A</v>
      </c>
      <c r="BA546" s="122" t="e">
        <v>#N/A</v>
      </c>
      <c r="BB546" s="122" t="e">
        <v>#N/A</v>
      </c>
      <c r="BC546" s="122" t="e">
        <v>#N/A</v>
      </c>
      <c r="BD546" s="122" t="e">
        <v>#N/A</v>
      </c>
      <c r="BE546" s="122" t="e">
        <v>#N/A</v>
      </c>
      <c r="BF546" s="122" t="e">
        <v>#N/A</v>
      </c>
      <c r="BG546" s="122" t="e">
        <v>#N/A</v>
      </c>
      <c r="BH546" s="122" t="e">
        <v>#N/A</v>
      </c>
      <c r="BI546" s="122" t="e">
        <v>#N/A</v>
      </c>
      <c r="BJ546" s="122" t="e">
        <v>#N/A</v>
      </c>
      <c r="BK546" s="122">
        <v>45974</v>
      </c>
      <c r="BL546" s="123"/>
      <c r="BM546" s="124">
        <v>45546</v>
      </c>
      <c r="BN546" s="124">
        <v>45546</v>
      </c>
      <c r="BO546" s="124">
        <v>45546</v>
      </c>
      <c r="BP546" s="124" t="e">
        <v>#N/A</v>
      </c>
      <c r="BQ546" s="124" t="e">
        <v>#N/A</v>
      </c>
      <c r="BR546" s="124" t="e">
        <v>#N/A</v>
      </c>
      <c r="BS546" s="124" t="s">
        <v>199</v>
      </c>
      <c r="BT546" s="124" t="e">
        <v>#N/A</v>
      </c>
      <c r="BU546" s="124" t="e">
        <v>#N/A</v>
      </c>
      <c r="BV546" s="124" t="e">
        <v>#N/A</v>
      </c>
      <c r="BW546" s="124" t="e">
        <v>#N/A</v>
      </c>
      <c r="BX546" s="124" t="e">
        <v>#N/A</v>
      </c>
      <c r="BY546" s="124" t="e">
        <v>#N/A</v>
      </c>
      <c r="BZ546" s="124" t="e">
        <v>#N/A</v>
      </c>
      <c r="CA546" s="125"/>
      <c r="CB546" s="124" t="e">
        <v>#N/A</v>
      </c>
      <c r="CC546" s="126">
        <v>1</v>
      </c>
      <c r="CD546" s="127" t="e">
        <v>#N/A</v>
      </c>
      <c r="CE546" s="128"/>
      <c r="CF546" s="77" t="s">
        <v>4211</v>
      </c>
    </row>
    <row r="547" spans="1:84" ht="14.5" x14ac:dyDescent="0.35">
      <c r="A547" s="77">
        <v>546</v>
      </c>
      <c r="B547" s="106" t="s">
        <v>125</v>
      </c>
      <c r="C547" s="107" t="s">
        <v>1365</v>
      </c>
      <c r="D547" s="108" t="s">
        <v>766</v>
      </c>
      <c r="E547" s="109" t="s">
        <v>767</v>
      </c>
      <c r="F547" s="110">
        <v>615049183</v>
      </c>
      <c r="G547" s="108" t="s">
        <v>190</v>
      </c>
      <c r="H547" s="111" t="s">
        <v>207</v>
      </c>
      <c r="I547" s="111" t="s">
        <v>180</v>
      </c>
      <c r="J547" s="111" t="s">
        <v>4648</v>
      </c>
      <c r="K547" s="111" t="s">
        <v>199</v>
      </c>
      <c r="L547" s="112">
        <v>43248</v>
      </c>
      <c r="M547" s="111" t="s">
        <v>2628</v>
      </c>
      <c r="N547" s="113"/>
      <c r="O547" s="114" t="s">
        <v>7111</v>
      </c>
      <c r="P547" s="114" t="s">
        <v>7110</v>
      </c>
      <c r="Q547" s="114" t="s">
        <v>7111</v>
      </c>
      <c r="R547" s="114" t="s">
        <v>7111</v>
      </c>
      <c r="S547" s="114" t="s">
        <v>7110</v>
      </c>
      <c r="T547" s="114" t="s">
        <v>183</v>
      </c>
      <c r="U547" s="114" t="s">
        <v>183</v>
      </c>
      <c r="V547" s="115"/>
      <c r="W547" s="116" t="s">
        <v>1950</v>
      </c>
      <c r="X547" s="116" t="s">
        <v>1951</v>
      </c>
      <c r="Y547" s="117">
        <v>3485698</v>
      </c>
      <c r="Z547" s="117">
        <v>3481071</v>
      </c>
      <c r="AA547" s="118"/>
      <c r="AB547" s="119" t="s">
        <v>1952</v>
      </c>
      <c r="AC547" s="119" t="s">
        <v>1953</v>
      </c>
      <c r="AD547" s="119">
        <v>27989</v>
      </c>
      <c r="AE547" s="119" t="s">
        <v>1954</v>
      </c>
      <c r="AF547" s="119">
        <v>0</v>
      </c>
      <c r="AG547" s="120"/>
      <c r="AH547" s="121">
        <v>44197</v>
      </c>
      <c r="AI547" s="121">
        <v>44197</v>
      </c>
      <c r="AJ547" s="121">
        <v>44197</v>
      </c>
      <c r="AK547" s="122">
        <v>44197</v>
      </c>
      <c r="AL547" s="122" t="e">
        <v>#N/A</v>
      </c>
      <c r="AM547" s="121" t="e">
        <v>#N/A</v>
      </c>
      <c r="AN547" s="121" t="e">
        <v>#N/A</v>
      </c>
      <c r="AO547" s="121" t="e">
        <v>#N/A</v>
      </c>
      <c r="AP547" s="122" t="e">
        <v>#N/A</v>
      </c>
      <c r="AQ547" s="122" t="e">
        <v>#N/A</v>
      </c>
      <c r="AR547" s="122" t="e">
        <v>#N/A</v>
      </c>
      <c r="AS547" s="122" t="e">
        <v>#N/A</v>
      </c>
      <c r="AT547" s="122" t="e">
        <v>#N/A</v>
      </c>
      <c r="AU547" s="121" t="e">
        <v>#N/A</v>
      </c>
      <c r="AV547" s="122" t="e">
        <v>#N/A</v>
      </c>
      <c r="AW547" s="122" t="e">
        <v>#N/A</v>
      </c>
      <c r="AX547" s="122" t="e">
        <v>#N/A</v>
      </c>
      <c r="AY547" s="122" t="e">
        <v>#N/A</v>
      </c>
      <c r="AZ547" s="122" t="e">
        <v>#N/A</v>
      </c>
      <c r="BA547" s="122" t="e">
        <v>#N/A</v>
      </c>
      <c r="BB547" s="122" t="e">
        <v>#N/A</v>
      </c>
      <c r="BC547" s="122" t="e">
        <v>#N/A</v>
      </c>
      <c r="BD547" s="122" t="e">
        <v>#N/A</v>
      </c>
      <c r="BE547" s="122" t="e">
        <v>#N/A</v>
      </c>
      <c r="BF547" s="122" t="e">
        <v>#N/A</v>
      </c>
      <c r="BG547" s="122" t="e">
        <v>#N/A</v>
      </c>
      <c r="BH547" s="122" t="e">
        <v>#N/A</v>
      </c>
      <c r="BI547" s="122" t="e">
        <v>#N/A</v>
      </c>
      <c r="BJ547" s="122" t="e">
        <v>#N/A</v>
      </c>
      <c r="BK547" s="122" t="e">
        <v>#N/A</v>
      </c>
      <c r="BL547" s="123"/>
      <c r="BM547" s="124">
        <v>44550</v>
      </c>
      <c r="BN547" s="124">
        <v>44575</v>
      </c>
      <c r="BO547" s="124">
        <v>44594</v>
      </c>
      <c r="BP547" s="124">
        <v>44638</v>
      </c>
      <c r="BQ547" s="124">
        <v>44684</v>
      </c>
      <c r="BR547" s="124">
        <v>44704</v>
      </c>
      <c r="BS547" s="124" t="s">
        <v>199</v>
      </c>
      <c r="BT547" s="124" t="s">
        <v>199</v>
      </c>
      <c r="BU547" s="124" t="e">
        <v>#N/A</v>
      </c>
      <c r="BV547" s="124" t="e">
        <v>#N/A</v>
      </c>
      <c r="BW547" s="124" t="e">
        <v>#N/A</v>
      </c>
      <c r="BX547" s="124" t="s">
        <v>199</v>
      </c>
      <c r="BY547" s="124">
        <v>45078</v>
      </c>
      <c r="BZ547" s="124" t="e">
        <v>#N/A</v>
      </c>
      <c r="CA547" s="125"/>
      <c r="CB547" s="124">
        <v>45733</v>
      </c>
      <c r="CC547" s="126">
        <v>1</v>
      </c>
      <c r="CD547" s="127" t="s">
        <v>4169</v>
      </c>
      <c r="CE547" s="128"/>
      <c r="CF547" s="77" t="s">
        <v>4211</v>
      </c>
    </row>
    <row r="548" spans="1:84" ht="14.5" x14ac:dyDescent="0.35">
      <c r="A548" s="77">
        <v>547</v>
      </c>
      <c r="B548" s="106" t="s">
        <v>87</v>
      </c>
      <c r="C548" s="107" t="s">
        <v>1433</v>
      </c>
      <c r="D548" s="108" t="s">
        <v>651</v>
      </c>
      <c r="E548" s="109" t="s">
        <v>652</v>
      </c>
      <c r="F548" s="110">
        <v>654543703</v>
      </c>
      <c r="G548" s="108" t="s">
        <v>190</v>
      </c>
      <c r="H548" s="111" t="s">
        <v>207</v>
      </c>
      <c r="I548" s="111" t="s">
        <v>180</v>
      </c>
      <c r="J548" s="111" t="s">
        <v>4648</v>
      </c>
      <c r="K548" s="111" t="s">
        <v>199</v>
      </c>
      <c r="L548" s="112">
        <v>43191</v>
      </c>
      <c r="M548" s="111" t="s">
        <v>329</v>
      </c>
      <c r="N548" s="113"/>
      <c r="O548" s="114" t="s">
        <v>3797</v>
      </c>
      <c r="P548" s="114" t="s">
        <v>3797</v>
      </c>
      <c r="Q548" s="114" t="s">
        <v>3798</v>
      </c>
      <c r="R548" s="114" t="s">
        <v>7364</v>
      </c>
      <c r="S548" s="114" t="s">
        <v>3798</v>
      </c>
      <c r="T548" s="114" t="s">
        <v>183</v>
      </c>
      <c r="U548" s="114" t="s">
        <v>183</v>
      </c>
      <c r="V548" s="115"/>
      <c r="W548" s="116" t="s">
        <v>1991</v>
      </c>
      <c r="X548" s="116" t="s">
        <v>1992</v>
      </c>
      <c r="Y548" s="117">
        <v>3485666</v>
      </c>
      <c r="Z548" s="117">
        <v>3481057</v>
      </c>
      <c r="AA548" s="118"/>
      <c r="AB548" s="119" t="s">
        <v>4956</v>
      </c>
      <c r="AC548" s="119" t="s">
        <v>1993</v>
      </c>
      <c r="AD548" s="119">
        <v>4075</v>
      </c>
      <c r="AE548" s="119" t="s">
        <v>1994</v>
      </c>
      <c r="AF548" s="119">
        <v>0</v>
      </c>
      <c r="AG548" s="120"/>
      <c r="AH548" s="121">
        <v>44197</v>
      </c>
      <c r="AI548" s="121">
        <v>44197</v>
      </c>
      <c r="AJ548" s="121">
        <v>44197</v>
      </c>
      <c r="AK548" s="122">
        <v>44197</v>
      </c>
      <c r="AL548" s="122" t="e">
        <v>#N/A</v>
      </c>
      <c r="AM548" s="121" t="e">
        <v>#N/A</v>
      </c>
      <c r="AN548" s="121" t="e">
        <v>#N/A</v>
      </c>
      <c r="AO548" s="121" t="e">
        <v>#N/A</v>
      </c>
      <c r="AP548" s="122" t="e">
        <v>#N/A</v>
      </c>
      <c r="AQ548" s="122" t="e">
        <v>#N/A</v>
      </c>
      <c r="AR548" s="122" t="e">
        <v>#N/A</v>
      </c>
      <c r="AS548" s="122" t="e">
        <v>#N/A</v>
      </c>
      <c r="AT548" s="122" t="e">
        <v>#N/A</v>
      </c>
      <c r="AU548" s="121" t="e">
        <v>#N/A</v>
      </c>
      <c r="AV548" s="122" t="e">
        <v>#N/A</v>
      </c>
      <c r="AW548" s="122" t="e">
        <v>#N/A</v>
      </c>
      <c r="AX548" s="122" t="e">
        <v>#N/A</v>
      </c>
      <c r="AY548" s="122" t="e">
        <v>#N/A</v>
      </c>
      <c r="AZ548" s="122" t="e">
        <v>#N/A</v>
      </c>
      <c r="BA548" s="122" t="e">
        <v>#N/A</v>
      </c>
      <c r="BB548" s="122" t="e">
        <v>#N/A</v>
      </c>
      <c r="BC548" s="122" t="e">
        <v>#N/A</v>
      </c>
      <c r="BD548" s="122" t="e">
        <v>#N/A</v>
      </c>
      <c r="BE548" s="122" t="e">
        <v>#N/A</v>
      </c>
      <c r="BF548" s="122" t="e">
        <v>#N/A</v>
      </c>
      <c r="BG548" s="122" t="e">
        <v>#N/A</v>
      </c>
      <c r="BH548" s="122" t="e">
        <v>#N/A</v>
      </c>
      <c r="BI548" s="122" t="e">
        <v>#N/A</v>
      </c>
      <c r="BJ548" s="122" t="e">
        <v>#N/A</v>
      </c>
      <c r="BK548" s="122" t="e">
        <v>#N/A</v>
      </c>
      <c r="BL548" s="123"/>
      <c r="BM548" s="124">
        <v>44592</v>
      </c>
      <c r="BN548" s="124">
        <v>44734</v>
      </c>
      <c r="BO548" s="124">
        <v>44615</v>
      </c>
      <c r="BP548" s="124">
        <v>44642</v>
      </c>
      <c r="BQ548" s="124">
        <v>44756</v>
      </c>
      <c r="BR548" s="124">
        <v>44704</v>
      </c>
      <c r="BS548" s="124" t="s">
        <v>199</v>
      </c>
      <c r="BT548" s="124" t="s">
        <v>199</v>
      </c>
      <c r="BU548" s="124" t="e">
        <v>#N/A</v>
      </c>
      <c r="BV548" s="124" t="e">
        <v>#N/A</v>
      </c>
      <c r="BW548" s="124" t="e">
        <v>#N/A</v>
      </c>
      <c r="BX548" s="124" t="s">
        <v>199</v>
      </c>
      <c r="BY548" s="124" t="e">
        <v>#N/A</v>
      </c>
      <c r="BZ548" s="124" t="e">
        <v>#N/A</v>
      </c>
      <c r="CA548" s="125"/>
      <c r="CB548" s="124">
        <v>45733</v>
      </c>
      <c r="CC548" s="126">
        <v>1</v>
      </c>
      <c r="CD548" s="127" t="s">
        <v>4169</v>
      </c>
      <c r="CE548" s="128"/>
      <c r="CF548" s="77" t="s">
        <v>4211</v>
      </c>
    </row>
    <row r="549" spans="1:84" ht="14.5" x14ac:dyDescent="0.35">
      <c r="A549" s="77">
        <v>131</v>
      </c>
      <c r="B549" s="106" t="s">
        <v>6275</v>
      </c>
      <c r="C549" s="107" t="s">
        <v>6276</v>
      </c>
      <c r="D549" s="108" t="s">
        <v>2500</v>
      </c>
      <c r="E549" s="109" t="s">
        <v>2501</v>
      </c>
      <c r="F549" s="110">
        <v>617919518</v>
      </c>
      <c r="G549" s="108" t="s">
        <v>1004</v>
      </c>
      <c r="H549" s="111" t="s">
        <v>207</v>
      </c>
      <c r="I549" s="111" t="s">
        <v>180</v>
      </c>
      <c r="J549" s="111" t="s">
        <v>4648</v>
      </c>
      <c r="K549" s="111" t="s">
        <v>199</v>
      </c>
      <c r="L549" s="112">
        <v>40057</v>
      </c>
      <c r="M549" s="111" t="s">
        <v>270</v>
      </c>
      <c r="N549" s="113"/>
      <c r="O549" s="114" t="s">
        <v>4373</v>
      </c>
      <c r="P549" s="114" t="s">
        <v>4467</v>
      </c>
      <c r="Q549" s="114" t="s">
        <v>4467</v>
      </c>
      <c r="R549" s="114" t="s">
        <v>7331</v>
      </c>
      <c r="S549" s="114" t="s">
        <v>226</v>
      </c>
      <c r="T549" s="114" t="s">
        <v>183</v>
      </c>
      <c r="U549" s="114" t="s">
        <v>183</v>
      </c>
      <c r="V549" s="115"/>
      <c r="W549" s="116" t="s">
        <v>2503</v>
      </c>
      <c r="X549" s="116" t="s">
        <v>2504</v>
      </c>
      <c r="Y549" s="117">
        <v>3485261</v>
      </c>
      <c r="Z549" s="117">
        <v>3486124</v>
      </c>
      <c r="AA549" s="118"/>
      <c r="AB549" s="119" t="s">
        <v>5670</v>
      </c>
      <c r="AC549" s="119" t="s">
        <v>2505</v>
      </c>
      <c r="AD549" s="119">
        <v>27581</v>
      </c>
      <c r="AE549" s="119" t="s">
        <v>2506</v>
      </c>
      <c r="AF549" s="119" t="s">
        <v>7641</v>
      </c>
      <c r="AG549" s="120"/>
      <c r="AH549" s="121">
        <v>44994</v>
      </c>
      <c r="AI549" s="121">
        <v>45065</v>
      </c>
      <c r="AJ549" s="121">
        <v>45065</v>
      </c>
      <c r="AK549" s="122">
        <v>45065</v>
      </c>
      <c r="AL549" s="122" t="e">
        <v>#N/A</v>
      </c>
      <c r="AM549" s="121" t="e">
        <v>#N/A</v>
      </c>
      <c r="AN549" s="121" t="e">
        <v>#N/A</v>
      </c>
      <c r="AO549" s="121" t="e">
        <v>#N/A</v>
      </c>
      <c r="AP549" s="122" t="e">
        <v>#N/A</v>
      </c>
      <c r="AQ549" s="122" t="e">
        <v>#N/A</v>
      </c>
      <c r="AR549" s="122" t="e">
        <v>#N/A</v>
      </c>
      <c r="AS549" s="122" t="e">
        <v>#N/A</v>
      </c>
      <c r="AT549" s="122">
        <v>45008</v>
      </c>
      <c r="AU549" s="121" t="e">
        <v>#N/A</v>
      </c>
      <c r="AV549" s="122" t="e">
        <v>#N/A</v>
      </c>
      <c r="AW549" s="122" t="e">
        <v>#N/A</v>
      </c>
      <c r="AX549" s="122" t="e">
        <v>#N/A</v>
      </c>
      <c r="AY549" s="122" t="e">
        <v>#N/A</v>
      </c>
      <c r="AZ549" s="122" t="e">
        <v>#N/A</v>
      </c>
      <c r="BA549" s="122" t="e">
        <v>#N/A</v>
      </c>
      <c r="BB549" s="122" t="e">
        <v>#N/A</v>
      </c>
      <c r="BC549" s="122" t="e">
        <v>#N/A</v>
      </c>
      <c r="BD549" s="122" t="e">
        <v>#N/A</v>
      </c>
      <c r="BE549" s="122" t="e">
        <v>#N/A</v>
      </c>
      <c r="BF549" s="122" t="e">
        <v>#N/A</v>
      </c>
      <c r="BG549" s="122" t="e">
        <v>#N/A</v>
      </c>
      <c r="BH549" s="122" t="e">
        <v>#N/A</v>
      </c>
      <c r="BI549" s="122" t="e">
        <v>#N/A</v>
      </c>
      <c r="BJ549" s="122" t="e">
        <v>#N/A</v>
      </c>
      <c r="BK549" s="122">
        <v>45981</v>
      </c>
      <c r="BL549" s="123"/>
      <c r="BM549" s="124">
        <v>45573</v>
      </c>
      <c r="BN549" s="124">
        <v>45573</v>
      </c>
      <c r="BO549" s="124">
        <v>45573</v>
      </c>
      <c r="BP549" s="124" t="e">
        <v>#N/A</v>
      </c>
      <c r="BQ549" s="124" t="e">
        <v>#N/A</v>
      </c>
      <c r="BR549" s="124" t="e">
        <v>#N/A</v>
      </c>
      <c r="BS549" s="124" t="s">
        <v>199</v>
      </c>
      <c r="BT549" s="124" t="e">
        <v>#N/A</v>
      </c>
      <c r="BU549" s="124" t="e">
        <v>#N/A</v>
      </c>
      <c r="BV549" s="124" t="e">
        <v>#N/A</v>
      </c>
      <c r="BW549" s="124" t="e">
        <v>#N/A</v>
      </c>
      <c r="BX549" s="124" t="e">
        <v>#N/A</v>
      </c>
      <c r="BY549" s="124" t="e">
        <v>#N/A</v>
      </c>
      <c r="BZ549" s="124" t="e">
        <v>#N/A</v>
      </c>
      <c r="CA549" s="125"/>
      <c r="CB549" s="124">
        <v>45727</v>
      </c>
      <c r="CC549" s="126">
        <v>1</v>
      </c>
      <c r="CD549" s="127" t="e">
        <v>#N/A</v>
      </c>
      <c r="CE549" s="128"/>
      <c r="CF549" s="77" t="s">
        <v>4211</v>
      </c>
    </row>
    <row r="550" spans="1:84" ht="14.5" x14ac:dyDescent="0.35">
      <c r="A550" s="77">
        <v>548</v>
      </c>
      <c r="B550" s="106" t="s">
        <v>162</v>
      </c>
      <c r="C550" s="107" t="s">
        <v>1434</v>
      </c>
      <c r="D550" s="108" t="s">
        <v>893</v>
      </c>
      <c r="E550" s="109" t="s">
        <v>894</v>
      </c>
      <c r="F550" s="110">
        <v>678000679</v>
      </c>
      <c r="G550" s="108" t="s">
        <v>190</v>
      </c>
      <c r="H550" s="111" t="s">
        <v>405</v>
      </c>
      <c r="I550" s="111" t="s">
        <v>180</v>
      </c>
      <c r="J550" s="111" t="s">
        <v>4648</v>
      </c>
      <c r="K550" s="111" t="s">
        <v>400</v>
      </c>
      <c r="L550" s="112">
        <v>44179</v>
      </c>
      <c r="M550" s="111" t="s">
        <v>597</v>
      </c>
      <c r="N550" s="113"/>
      <c r="O550" s="114" t="s">
        <v>5992</v>
      </c>
      <c r="P550" s="114" t="s">
        <v>5992</v>
      </c>
      <c r="Q550" s="114" t="s">
        <v>5992</v>
      </c>
      <c r="R550" s="114" t="s">
        <v>5992</v>
      </c>
      <c r="S550" s="114" t="s">
        <v>5992</v>
      </c>
      <c r="T550" s="114" t="s">
        <v>183</v>
      </c>
      <c r="U550" s="114" t="s">
        <v>183</v>
      </c>
      <c r="V550" s="115"/>
      <c r="W550" s="116" t="s">
        <v>895</v>
      </c>
      <c r="X550" s="116" t="s">
        <v>896</v>
      </c>
      <c r="Y550" s="117">
        <v>3485019</v>
      </c>
      <c r="Z550" s="117">
        <v>3481079</v>
      </c>
      <c r="AA550" s="118"/>
      <c r="AB550" s="119" t="s">
        <v>2046</v>
      </c>
      <c r="AC550" s="119" t="s">
        <v>1435</v>
      </c>
      <c r="AD550" s="119">
        <v>4240</v>
      </c>
      <c r="AE550" s="119" t="s">
        <v>897</v>
      </c>
      <c r="AF550" s="119">
        <v>0</v>
      </c>
      <c r="AG550" s="120"/>
      <c r="AH550" s="121">
        <v>44197</v>
      </c>
      <c r="AI550" s="121">
        <v>44197</v>
      </c>
      <c r="AJ550" s="121">
        <v>44197</v>
      </c>
      <c r="AK550" s="122">
        <v>44197</v>
      </c>
      <c r="AL550" s="122" t="e">
        <v>#N/A</v>
      </c>
      <c r="AM550" s="121" t="e">
        <v>#N/A</v>
      </c>
      <c r="AN550" s="121" t="e">
        <v>#N/A</v>
      </c>
      <c r="AO550" s="121" t="e">
        <v>#N/A</v>
      </c>
      <c r="AP550" s="122" t="e">
        <v>#N/A</v>
      </c>
      <c r="AQ550" s="122" t="e">
        <v>#N/A</v>
      </c>
      <c r="AR550" s="122" t="e">
        <v>#N/A</v>
      </c>
      <c r="AS550" s="122" t="e">
        <v>#N/A</v>
      </c>
      <c r="AT550" s="122" t="e">
        <v>#N/A</v>
      </c>
      <c r="AU550" s="121" t="e">
        <v>#N/A</v>
      </c>
      <c r="AV550" s="122" t="e">
        <v>#N/A</v>
      </c>
      <c r="AW550" s="122" t="e">
        <v>#N/A</v>
      </c>
      <c r="AX550" s="122" t="e">
        <v>#N/A</v>
      </c>
      <c r="AY550" s="122" t="e">
        <v>#N/A</v>
      </c>
      <c r="AZ550" s="122" t="e">
        <v>#N/A</v>
      </c>
      <c r="BA550" s="122" t="e">
        <v>#N/A</v>
      </c>
      <c r="BB550" s="122" t="e">
        <v>#N/A</v>
      </c>
      <c r="BC550" s="122" t="e">
        <v>#N/A</v>
      </c>
      <c r="BD550" s="122" t="e">
        <v>#N/A</v>
      </c>
      <c r="BE550" s="122" t="e">
        <v>#N/A</v>
      </c>
      <c r="BF550" s="122" t="e">
        <v>#N/A</v>
      </c>
      <c r="BG550" s="122" t="e">
        <v>#N/A</v>
      </c>
      <c r="BH550" s="122" t="e">
        <v>#N/A</v>
      </c>
      <c r="BI550" s="122" t="e">
        <v>#N/A</v>
      </c>
      <c r="BJ550" s="122" t="e">
        <v>#N/A</v>
      </c>
      <c r="BK550" s="122" t="e">
        <v>#N/A</v>
      </c>
      <c r="BL550" s="123"/>
      <c r="BM550" s="124">
        <v>44592</v>
      </c>
      <c r="BN550" s="124">
        <v>44734</v>
      </c>
      <c r="BO550" s="124">
        <v>44732</v>
      </c>
      <c r="BP550" s="124">
        <v>44638</v>
      </c>
      <c r="BQ550" s="124">
        <v>44684</v>
      </c>
      <c r="BR550" s="124">
        <v>44704</v>
      </c>
      <c r="BS550" s="124">
        <v>44672</v>
      </c>
      <c r="BT550" s="124">
        <v>44672</v>
      </c>
      <c r="BU550" s="124" t="e">
        <v>#N/A</v>
      </c>
      <c r="BV550" s="124" t="e">
        <v>#N/A</v>
      </c>
      <c r="BW550" s="124" t="e">
        <v>#N/A</v>
      </c>
      <c r="BX550" s="124" t="e">
        <v>#N/A</v>
      </c>
      <c r="BY550" s="124" t="e">
        <v>#N/A</v>
      </c>
      <c r="BZ550" s="124" t="e">
        <v>#N/A</v>
      </c>
      <c r="CA550" s="125"/>
      <c r="CB550" s="124" t="e">
        <v>#N/A</v>
      </c>
      <c r="CC550" s="126">
        <v>1</v>
      </c>
      <c r="CD550" s="127" t="s">
        <v>4169</v>
      </c>
      <c r="CE550" s="128"/>
      <c r="CF550" s="77" t="s">
        <v>4211</v>
      </c>
    </row>
    <row r="551" spans="1:84" ht="14.5" x14ac:dyDescent="0.35">
      <c r="A551" s="77">
        <v>550</v>
      </c>
      <c r="B551" s="106" t="s">
        <v>100</v>
      </c>
      <c r="C551" s="107" t="s">
        <v>1425</v>
      </c>
      <c r="D551" s="108" t="s">
        <v>685</v>
      </c>
      <c r="E551" s="109" t="s">
        <v>686</v>
      </c>
      <c r="F551" s="110" t="s">
        <v>687</v>
      </c>
      <c r="G551" s="108" t="s">
        <v>1004</v>
      </c>
      <c r="H551" s="111" t="s">
        <v>405</v>
      </c>
      <c r="I551" s="111" t="s">
        <v>180</v>
      </c>
      <c r="J551" s="111" t="s">
        <v>4648</v>
      </c>
      <c r="K551" s="111" t="s">
        <v>400</v>
      </c>
      <c r="L551" s="112">
        <v>42999</v>
      </c>
      <c r="M551" s="111" t="s">
        <v>597</v>
      </c>
      <c r="N551" s="113"/>
      <c r="O551" s="114" t="s">
        <v>182</v>
      </c>
      <c r="P551" s="114" t="s">
        <v>184</v>
      </c>
      <c r="Q551" s="114" t="s">
        <v>184</v>
      </c>
      <c r="R551" s="114" t="s">
        <v>7316</v>
      </c>
      <c r="S551" s="114" t="s">
        <v>182</v>
      </c>
      <c r="T551" s="114" t="s">
        <v>183</v>
      </c>
      <c r="U551" s="114" t="s">
        <v>183</v>
      </c>
      <c r="V551" s="115"/>
      <c r="W551" s="116" t="s">
        <v>688</v>
      </c>
      <c r="X551" s="116" t="s">
        <v>689</v>
      </c>
      <c r="Y551" s="117">
        <v>3486033</v>
      </c>
      <c r="Z551" s="117">
        <v>3481099</v>
      </c>
      <c r="AA551" s="118"/>
      <c r="AB551" s="119" t="s">
        <v>2045</v>
      </c>
      <c r="AC551" s="119" t="s">
        <v>1426</v>
      </c>
      <c r="AD551" s="119">
        <v>5851</v>
      </c>
      <c r="AE551" s="119" t="s">
        <v>3404</v>
      </c>
      <c r="AF551" s="119" t="s">
        <v>6215</v>
      </c>
      <c r="AG551" s="120"/>
      <c r="AH551" s="121">
        <v>44197</v>
      </c>
      <c r="AI551" s="121">
        <v>44197</v>
      </c>
      <c r="AJ551" s="121">
        <v>44197</v>
      </c>
      <c r="AK551" s="122">
        <v>44197</v>
      </c>
      <c r="AL551" s="122" t="e">
        <v>#N/A</v>
      </c>
      <c r="AM551" s="121" t="e">
        <v>#N/A</v>
      </c>
      <c r="AN551" s="121" t="e">
        <v>#N/A</v>
      </c>
      <c r="AO551" s="121" t="e">
        <v>#N/A</v>
      </c>
      <c r="AP551" s="122" t="e">
        <v>#N/A</v>
      </c>
      <c r="AQ551" s="122" t="e">
        <v>#N/A</v>
      </c>
      <c r="AR551" s="122" t="e">
        <v>#N/A</v>
      </c>
      <c r="AS551" s="122" t="e">
        <v>#N/A</v>
      </c>
      <c r="AT551" s="122" t="e">
        <v>#N/A</v>
      </c>
      <c r="AU551" s="121" t="e">
        <v>#N/A</v>
      </c>
      <c r="AV551" s="122" t="e">
        <v>#N/A</v>
      </c>
      <c r="AW551" s="122" t="e">
        <v>#N/A</v>
      </c>
      <c r="AX551" s="122" t="e">
        <v>#N/A</v>
      </c>
      <c r="AY551" s="122" t="e">
        <v>#N/A</v>
      </c>
      <c r="AZ551" s="122" t="e">
        <v>#N/A</v>
      </c>
      <c r="BA551" s="122" t="e">
        <v>#N/A</v>
      </c>
      <c r="BB551" s="122" t="e">
        <v>#N/A</v>
      </c>
      <c r="BC551" s="122" t="e">
        <v>#N/A</v>
      </c>
      <c r="BD551" s="122" t="e">
        <v>#N/A</v>
      </c>
      <c r="BE551" s="122" t="e">
        <v>#N/A</v>
      </c>
      <c r="BF551" s="122" t="e">
        <v>#N/A</v>
      </c>
      <c r="BG551" s="122" t="e">
        <v>#N/A</v>
      </c>
      <c r="BH551" s="122" t="e">
        <v>#N/A</v>
      </c>
      <c r="BI551" s="122" t="e">
        <v>#N/A</v>
      </c>
      <c r="BJ551" s="122" t="e">
        <v>#N/A</v>
      </c>
      <c r="BK551" s="122">
        <v>45953</v>
      </c>
      <c r="BL551" s="123"/>
      <c r="BM551" s="124">
        <v>44519</v>
      </c>
      <c r="BN551" s="124">
        <v>44519</v>
      </c>
      <c r="BO551" s="124">
        <v>44519</v>
      </c>
      <c r="BP551" s="124">
        <v>44519</v>
      </c>
      <c r="BQ551" s="124">
        <v>44519</v>
      </c>
      <c r="BR551" s="124">
        <v>45986</v>
      </c>
      <c r="BS551" s="124">
        <v>44578</v>
      </c>
      <c r="BT551" s="124">
        <v>44578</v>
      </c>
      <c r="BU551" s="124" t="e">
        <v>#N/A</v>
      </c>
      <c r="BV551" s="124" t="e">
        <v>#N/A</v>
      </c>
      <c r="BW551" s="124" t="e">
        <v>#N/A</v>
      </c>
      <c r="BX551" s="124" t="e">
        <v>#N/A</v>
      </c>
      <c r="BY551" s="124" t="e">
        <v>#N/A</v>
      </c>
      <c r="BZ551" s="124" t="e">
        <v>#N/A</v>
      </c>
      <c r="CA551" s="125"/>
      <c r="CB551" s="124" t="e">
        <v>#N/A</v>
      </c>
      <c r="CC551" s="126">
        <v>1</v>
      </c>
      <c r="CD551" s="127" t="s">
        <v>4169</v>
      </c>
      <c r="CE551" s="128"/>
      <c r="CF551" s="77" t="s">
        <v>4211</v>
      </c>
    </row>
    <row r="552" spans="1:84" ht="14.5" x14ac:dyDescent="0.35">
      <c r="A552" s="77">
        <v>551</v>
      </c>
      <c r="B552" s="106" t="s">
        <v>1098</v>
      </c>
      <c r="C552" s="107" t="s">
        <v>1465</v>
      </c>
      <c r="D552" s="108" t="s">
        <v>1099</v>
      </c>
      <c r="E552" s="109" t="s">
        <v>1100</v>
      </c>
      <c r="F552" s="110">
        <v>632384835</v>
      </c>
      <c r="G552" s="108" t="s">
        <v>1004</v>
      </c>
      <c r="H552" s="111" t="s">
        <v>405</v>
      </c>
      <c r="I552" s="111" t="s">
        <v>180</v>
      </c>
      <c r="J552" s="111" t="s">
        <v>4648</v>
      </c>
      <c r="K552" s="111" t="s">
        <v>400</v>
      </c>
      <c r="L552" s="112">
        <v>44743</v>
      </c>
      <c r="M552" s="111" t="s">
        <v>728</v>
      </c>
      <c r="N552" s="113"/>
      <c r="O552" s="114" t="s">
        <v>182</v>
      </c>
      <c r="P552" s="114" t="s">
        <v>184</v>
      </c>
      <c r="Q552" s="114" t="s">
        <v>182</v>
      </c>
      <c r="R552" s="114" t="s">
        <v>7316</v>
      </c>
      <c r="S552" s="114" t="s">
        <v>184</v>
      </c>
      <c r="T552" s="114" t="s">
        <v>183</v>
      </c>
      <c r="U552" s="114" t="s">
        <v>183</v>
      </c>
      <c r="V552" s="115"/>
      <c r="W552" s="116" t="s">
        <v>1101</v>
      </c>
      <c r="X552" s="116" t="s">
        <v>1102</v>
      </c>
      <c r="Y552" s="117">
        <v>3485518</v>
      </c>
      <c r="Z552" s="117">
        <v>3486387</v>
      </c>
      <c r="AA552" s="118"/>
      <c r="AB552" s="119" t="s">
        <v>5879</v>
      </c>
      <c r="AC552" s="119" t="s">
        <v>1466</v>
      </c>
      <c r="AD552" s="119">
        <v>4297</v>
      </c>
      <c r="AE552" s="119" t="s">
        <v>1103</v>
      </c>
      <c r="AF552" s="119" t="s">
        <v>7127</v>
      </c>
      <c r="AG552" s="120"/>
      <c r="AH552" s="121">
        <v>44606</v>
      </c>
      <c r="AI552" s="121">
        <v>44606</v>
      </c>
      <c r="AJ552" s="121">
        <v>44606</v>
      </c>
      <c r="AK552" s="122">
        <v>44606</v>
      </c>
      <c r="AL552" s="122">
        <v>44911</v>
      </c>
      <c r="AM552" s="122" t="e">
        <v>#N/A</v>
      </c>
      <c r="AN552" s="122" t="e">
        <v>#N/A</v>
      </c>
      <c r="AO552" s="121" t="e">
        <v>#N/A</v>
      </c>
      <c r="AP552" s="122" t="e">
        <v>#N/A</v>
      </c>
      <c r="AQ552" s="122" t="e">
        <v>#N/A</v>
      </c>
      <c r="AR552" s="122" t="e">
        <v>#N/A</v>
      </c>
      <c r="AS552" s="122" t="e">
        <v>#N/A</v>
      </c>
      <c r="AT552" s="122" t="e">
        <v>#N/A</v>
      </c>
      <c r="AU552" s="121" t="e">
        <v>#N/A</v>
      </c>
      <c r="AV552" s="122" t="e">
        <v>#N/A</v>
      </c>
      <c r="AW552" s="122" t="e">
        <v>#N/A</v>
      </c>
      <c r="AX552" s="122" t="e">
        <v>#N/A</v>
      </c>
      <c r="AY552" s="122" t="e">
        <v>#N/A</v>
      </c>
      <c r="AZ552" s="122" t="e">
        <v>#N/A</v>
      </c>
      <c r="BA552" s="122" t="e">
        <v>#N/A</v>
      </c>
      <c r="BB552" s="122" t="e">
        <v>#N/A</v>
      </c>
      <c r="BC552" s="122" t="e">
        <v>#N/A</v>
      </c>
      <c r="BD552" s="122" t="e">
        <v>#N/A</v>
      </c>
      <c r="BE552" s="122" t="e">
        <v>#N/A</v>
      </c>
      <c r="BF552" s="122" t="e">
        <v>#N/A</v>
      </c>
      <c r="BG552" s="122" t="e">
        <v>#N/A</v>
      </c>
      <c r="BH552" s="122" t="e">
        <v>#N/A</v>
      </c>
      <c r="BI552" s="122" t="e">
        <v>#N/A</v>
      </c>
      <c r="BJ552" s="122" t="e">
        <v>#N/A</v>
      </c>
      <c r="BK552" s="122">
        <v>45968</v>
      </c>
      <c r="BL552" s="123"/>
      <c r="BM552" s="124">
        <v>45204</v>
      </c>
      <c r="BN552" s="124">
        <v>45205</v>
      </c>
      <c r="BO552" s="124">
        <v>45378</v>
      </c>
      <c r="BP552" s="124" t="e">
        <v>#N/A</v>
      </c>
      <c r="BQ552" s="124" t="e">
        <v>#N/A</v>
      </c>
      <c r="BR552" s="124">
        <v>45378</v>
      </c>
      <c r="BS552" s="124">
        <v>45205</v>
      </c>
      <c r="BT552" s="124">
        <v>45205</v>
      </c>
      <c r="BU552" s="124" t="e">
        <v>#N/A</v>
      </c>
      <c r="BV552" s="124" t="e">
        <v>#N/A</v>
      </c>
      <c r="BW552" s="124" t="e">
        <v>#N/A</v>
      </c>
      <c r="BX552" s="124" t="e">
        <v>#N/A</v>
      </c>
      <c r="BY552" s="124" t="e">
        <v>#N/A</v>
      </c>
      <c r="BZ552" s="124" t="e">
        <v>#N/A</v>
      </c>
      <c r="CA552" s="125"/>
      <c r="CB552" s="124" t="e">
        <v>#N/A</v>
      </c>
      <c r="CC552" s="126">
        <v>1</v>
      </c>
      <c r="CD552" s="127" t="s">
        <v>4149</v>
      </c>
      <c r="CE552" s="128"/>
      <c r="CF552" s="77" t="s">
        <v>4211</v>
      </c>
    </row>
    <row r="553" spans="1:84" ht="14.5" x14ac:dyDescent="0.35">
      <c r="A553" s="77">
        <v>552</v>
      </c>
      <c r="B553" s="106" t="s">
        <v>126</v>
      </c>
      <c r="C553" s="107" t="s">
        <v>1368</v>
      </c>
      <c r="D553" s="108" t="s">
        <v>768</v>
      </c>
      <c r="E553" s="109" t="s">
        <v>769</v>
      </c>
      <c r="F553" s="110" t="s">
        <v>770</v>
      </c>
      <c r="G553" s="108" t="s">
        <v>1004</v>
      </c>
      <c r="H553" s="111" t="s">
        <v>405</v>
      </c>
      <c r="I553" s="111" t="s">
        <v>180</v>
      </c>
      <c r="J553" s="111" t="s">
        <v>4648</v>
      </c>
      <c r="K553" s="111" t="s">
        <v>400</v>
      </c>
      <c r="L553" s="112">
        <v>43248</v>
      </c>
      <c r="M553" s="111" t="s">
        <v>270</v>
      </c>
      <c r="N553" s="113"/>
      <c r="O553" s="114" t="s">
        <v>226</v>
      </c>
      <c r="P553" s="114" t="s">
        <v>225</v>
      </c>
      <c r="Q553" s="114" t="s">
        <v>225</v>
      </c>
      <c r="R553" s="114" t="s">
        <v>226</v>
      </c>
      <c r="S553" s="114" t="s">
        <v>226</v>
      </c>
      <c r="T553" s="114" t="s">
        <v>183</v>
      </c>
      <c r="U553" s="114" t="s">
        <v>183</v>
      </c>
      <c r="V553" s="115"/>
      <c r="W553" s="116" t="s">
        <v>771</v>
      </c>
      <c r="X553" s="116" t="s">
        <v>772</v>
      </c>
      <c r="Y553" s="117">
        <v>3485201</v>
      </c>
      <c r="Z553" s="117">
        <v>3481142</v>
      </c>
      <c r="AA553" s="118"/>
      <c r="AB553" s="119" t="s">
        <v>2044</v>
      </c>
      <c r="AC553" s="119" t="s">
        <v>1369</v>
      </c>
      <c r="AD553" s="119">
        <v>27969</v>
      </c>
      <c r="AE553" s="119" t="s">
        <v>773</v>
      </c>
      <c r="AF553" s="119" t="s">
        <v>6223</v>
      </c>
      <c r="AG553" s="120"/>
      <c r="AH553" s="121">
        <v>44197</v>
      </c>
      <c r="AI553" s="121">
        <v>44197</v>
      </c>
      <c r="AJ553" s="121">
        <v>44197</v>
      </c>
      <c r="AK553" s="122">
        <v>44197</v>
      </c>
      <c r="AL553" s="122" t="e">
        <v>#N/A</v>
      </c>
      <c r="AM553" s="121" t="e">
        <v>#N/A</v>
      </c>
      <c r="AN553" s="121" t="e">
        <v>#N/A</v>
      </c>
      <c r="AO553" s="121" t="e">
        <v>#N/A</v>
      </c>
      <c r="AP553" s="122" t="e">
        <v>#N/A</v>
      </c>
      <c r="AQ553" s="122" t="e">
        <v>#N/A</v>
      </c>
      <c r="AR553" s="122" t="e">
        <v>#N/A</v>
      </c>
      <c r="AS553" s="122" t="e">
        <v>#N/A</v>
      </c>
      <c r="AT553" s="122" t="e">
        <v>#N/A</v>
      </c>
      <c r="AU553" s="121" t="e">
        <v>#N/A</v>
      </c>
      <c r="AV553" s="122" t="e">
        <v>#N/A</v>
      </c>
      <c r="AW553" s="122" t="e">
        <v>#N/A</v>
      </c>
      <c r="AX553" s="122" t="e">
        <v>#N/A</v>
      </c>
      <c r="AY553" s="122" t="e">
        <v>#N/A</v>
      </c>
      <c r="AZ553" s="122" t="e">
        <v>#N/A</v>
      </c>
      <c r="BA553" s="122" t="e">
        <v>#N/A</v>
      </c>
      <c r="BB553" s="122" t="e">
        <v>#N/A</v>
      </c>
      <c r="BC553" s="122" t="e">
        <v>#N/A</v>
      </c>
      <c r="BD553" s="122" t="e">
        <v>#N/A</v>
      </c>
      <c r="BE553" s="122" t="e">
        <v>#N/A</v>
      </c>
      <c r="BF553" s="122" t="e">
        <v>#N/A</v>
      </c>
      <c r="BG553" s="122" t="e">
        <v>#N/A</v>
      </c>
      <c r="BH553" s="122" t="e">
        <v>#N/A</v>
      </c>
      <c r="BI553" s="122" t="e">
        <v>#N/A</v>
      </c>
      <c r="BJ553" s="122" t="e">
        <v>#N/A</v>
      </c>
      <c r="BK553" s="122">
        <v>45959</v>
      </c>
      <c r="BL553" s="123"/>
      <c r="BM553" s="124">
        <v>44519</v>
      </c>
      <c r="BN553" s="124">
        <v>44519</v>
      </c>
      <c r="BO553" s="124">
        <v>44519</v>
      </c>
      <c r="BP553" s="124">
        <v>44519</v>
      </c>
      <c r="BQ553" s="124">
        <v>44519</v>
      </c>
      <c r="BR553" s="124">
        <v>44704</v>
      </c>
      <c r="BS553" s="124">
        <v>44578</v>
      </c>
      <c r="BT553" s="124">
        <v>44578</v>
      </c>
      <c r="BU553" s="124" t="e">
        <v>#N/A</v>
      </c>
      <c r="BV553" s="124" t="e">
        <v>#N/A</v>
      </c>
      <c r="BW553" s="124" t="e">
        <v>#N/A</v>
      </c>
      <c r="BX553" s="124" t="s">
        <v>199</v>
      </c>
      <c r="BY553" s="124" t="e">
        <v>#N/A</v>
      </c>
      <c r="BZ553" s="124" t="e">
        <v>#N/A</v>
      </c>
      <c r="CA553" s="125"/>
      <c r="CB553" s="124" t="e">
        <v>#N/A</v>
      </c>
      <c r="CC553" s="126">
        <v>1</v>
      </c>
      <c r="CD553" s="127" t="s">
        <v>4169</v>
      </c>
      <c r="CE553" s="128"/>
      <c r="CF553" s="77" t="s">
        <v>4211</v>
      </c>
    </row>
    <row r="554" spans="1:84" ht="14.5" x14ac:dyDescent="0.35">
      <c r="A554" s="77">
        <v>553</v>
      </c>
      <c r="B554" s="106" t="s">
        <v>170</v>
      </c>
      <c r="C554" s="107" t="s">
        <v>1229</v>
      </c>
      <c r="D554" s="108" t="s">
        <v>925</v>
      </c>
      <c r="E554" s="109" t="s">
        <v>926</v>
      </c>
      <c r="F554" s="110" t="s">
        <v>927</v>
      </c>
      <c r="G554" s="108" t="s">
        <v>1004</v>
      </c>
      <c r="H554" s="111" t="s">
        <v>405</v>
      </c>
      <c r="I554" s="111" t="s">
        <v>180</v>
      </c>
      <c r="J554" s="111" t="s">
        <v>4648</v>
      </c>
      <c r="K554" s="111" t="s">
        <v>400</v>
      </c>
      <c r="L554" s="112">
        <v>44179</v>
      </c>
      <c r="M554" s="111" t="s">
        <v>1656</v>
      </c>
      <c r="N554" s="113"/>
      <c r="O554" s="114" t="s">
        <v>7642</v>
      </c>
      <c r="P554" s="114" t="s">
        <v>7642</v>
      </c>
      <c r="Q554" s="114" t="s">
        <v>7642</v>
      </c>
      <c r="R554" s="114" t="s">
        <v>7642</v>
      </c>
      <c r="S554" s="114" t="s">
        <v>7642</v>
      </c>
      <c r="T554" s="114" t="s">
        <v>4356</v>
      </c>
      <c r="U554" s="114" t="s">
        <v>4356</v>
      </c>
      <c r="V554" s="115"/>
      <c r="W554" s="116" t="s">
        <v>1898</v>
      </c>
      <c r="X554" s="116" t="s">
        <v>1899</v>
      </c>
      <c r="Y554" s="117">
        <v>3485374</v>
      </c>
      <c r="Z554" s="117">
        <v>3486222</v>
      </c>
      <c r="AA554" s="118"/>
      <c r="AB554" s="119" t="s">
        <v>5880</v>
      </c>
      <c r="AC554" s="119" t="s">
        <v>1900</v>
      </c>
      <c r="AD554" s="119">
        <v>4234</v>
      </c>
      <c r="AE554" s="119" t="s">
        <v>1901</v>
      </c>
      <c r="AF554" s="119" t="s">
        <v>7643</v>
      </c>
      <c r="AG554" s="120"/>
      <c r="AH554" s="121">
        <v>44197</v>
      </c>
      <c r="AI554" s="121">
        <v>44197</v>
      </c>
      <c r="AJ554" s="121">
        <v>44197</v>
      </c>
      <c r="AK554" s="122">
        <v>44197</v>
      </c>
      <c r="AL554" s="122" t="e">
        <v>#N/A</v>
      </c>
      <c r="AM554" s="121" t="e">
        <v>#N/A</v>
      </c>
      <c r="AN554" s="121" t="e">
        <v>#N/A</v>
      </c>
      <c r="AO554" s="121" t="e">
        <v>#N/A</v>
      </c>
      <c r="AP554" s="122" t="e">
        <v>#N/A</v>
      </c>
      <c r="AQ554" s="122" t="e">
        <v>#N/A</v>
      </c>
      <c r="AR554" s="122" t="e">
        <v>#N/A</v>
      </c>
      <c r="AS554" s="122" t="e">
        <v>#N/A</v>
      </c>
      <c r="AT554" s="122" t="e">
        <v>#N/A</v>
      </c>
      <c r="AU554" s="121" t="e">
        <v>#N/A</v>
      </c>
      <c r="AV554" s="122" t="e">
        <v>#N/A</v>
      </c>
      <c r="AW554" s="122" t="e">
        <v>#N/A</v>
      </c>
      <c r="AX554" s="122" t="e">
        <v>#N/A</v>
      </c>
      <c r="AY554" s="122" t="e">
        <v>#N/A</v>
      </c>
      <c r="AZ554" s="122" t="e">
        <v>#N/A</v>
      </c>
      <c r="BA554" s="122" t="e">
        <v>#N/A</v>
      </c>
      <c r="BB554" s="122" t="e">
        <v>#N/A</v>
      </c>
      <c r="BC554" s="122" t="e">
        <v>#N/A</v>
      </c>
      <c r="BD554" s="122" t="e">
        <v>#N/A</v>
      </c>
      <c r="BE554" s="122" t="e">
        <v>#N/A</v>
      </c>
      <c r="BF554" s="122" t="e">
        <v>#N/A</v>
      </c>
      <c r="BG554" s="122" t="e">
        <v>#N/A</v>
      </c>
      <c r="BH554" s="122" t="e">
        <v>#N/A</v>
      </c>
      <c r="BI554" s="122" t="e">
        <v>#N/A</v>
      </c>
      <c r="BJ554" s="122" t="e">
        <v>#N/A</v>
      </c>
      <c r="BK554" s="122">
        <v>46002</v>
      </c>
      <c r="BL554" s="123"/>
      <c r="BM554" s="124">
        <v>44197</v>
      </c>
      <c r="BN554" s="124">
        <v>44532</v>
      </c>
      <c r="BO554" s="124">
        <v>44732</v>
      </c>
      <c r="BP554" s="124">
        <v>44530</v>
      </c>
      <c r="BQ554" s="124">
        <v>44684</v>
      </c>
      <c r="BR554" s="124">
        <v>44704</v>
      </c>
      <c r="BS554" s="124">
        <v>44197</v>
      </c>
      <c r="BT554" s="124">
        <v>44672</v>
      </c>
      <c r="BU554" s="124" t="e">
        <v>#N/A</v>
      </c>
      <c r="BV554" s="124" t="e">
        <v>#N/A</v>
      </c>
      <c r="BW554" s="124" t="e">
        <v>#N/A</v>
      </c>
      <c r="BX554" s="124">
        <v>44197</v>
      </c>
      <c r="BY554" s="124" t="e">
        <v>#N/A</v>
      </c>
      <c r="BZ554" s="124" t="e">
        <v>#N/A</v>
      </c>
      <c r="CA554" s="125"/>
      <c r="CB554" s="124" t="e">
        <v>#N/A</v>
      </c>
      <c r="CC554" s="126">
        <v>1</v>
      </c>
      <c r="CD554" s="127" t="s">
        <v>4169</v>
      </c>
      <c r="CE554" s="128"/>
      <c r="CF554" s="77" t="s">
        <v>4211</v>
      </c>
    </row>
    <row r="555" spans="1:84" ht="14.5" x14ac:dyDescent="0.35">
      <c r="A555" s="77">
        <v>554</v>
      </c>
      <c r="B555" s="106" t="s">
        <v>80</v>
      </c>
      <c r="C555" s="107" t="s">
        <v>1221</v>
      </c>
      <c r="D555" s="108" t="s">
        <v>620</v>
      </c>
      <c r="E555" s="109" t="s">
        <v>621</v>
      </c>
      <c r="F555" s="110">
        <v>615595915</v>
      </c>
      <c r="G555" s="108" t="s">
        <v>1004</v>
      </c>
      <c r="H555" s="111" t="s">
        <v>405</v>
      </c>
      <c r="I555" s="111" t="s">
        <v>180</v>
      </c>
      <c r="J555" s="111" t="s">
        <v>4648</v>
      </c>
      <c r="K555" s="111" t="s">
        <v>400</v>
      </c>
      <c r="L555" s="112">
        <v>43358</v>
      </c>
      <c r="M555" s="111" t="s">
        <v>740</v>
      </c>
      <c r="N555" s="113"/>
      <c r="O555" s="114" t="s">
        <v>5710</v>
      </c>
      <c r="P555" s="114" t="s">
        <v>5710</v>
      </c>
      <c r="Q555" s="114" t="s">
        <v>5710</v>
      </c>
      <c r="R555" s="114" t="s">
        <v>7523</v>
      </c>
      <c r="S555" s="114" t="s">
        <v>5710</v>
      </c>
      <c r="T555" s="114" t="s">
        <v>183</v>
      </c>
      <c r="U555" s="114" t="s">
        <v>183</v>
      </c>
      <c r="V555" s="115"/>
      <c r="W555" s="116" t="s">
        <v>622</v>
      </c>
      <c r="X555" s="116" t="s">
        <v>623</v>
      </c>
      <c r="Y555" s="117">
        <v>3485175</v>
      </c>
      <c r="Z555" s="117">
        <v>3481105</v>
      </c>
      <c r="AA555" s="118"/>
      <c r="AB555" s="119" t="s">
        <v>5547</v>
      </c>
      <c r="AC555" s="119" t="s">
        <v>1222</v>
      </c>
      <c r="AD555" s="119">
        <v>4085</v>
      </c>
      <c r="AE555" s="119" t="s">
        <v>624</v>
      </c>
      <c r="AF555" s="119">
        <v>0</v>
      </c>
      <c r="AG555" s="120"/>
      <c r="AH555" s="121">
        <v>44197</v>
      </c>
      <c r="AI555" s="121">
        <v>44197</v>
      </c>
      <c r="AJ555" s="121">
        <v>44197</v>
      </c>
      <c r="AK555" s="122">
        <v>44197</v>
      </c>
      <c r="AL555" s="122" t="e">
        <v>#N/A</v>
      </c>
      <c r="AM555" s="121" t="e">
        <v>#N/A</v>
      </c>
      <c r="AN555" s="121" t="e">
        <v>#N/A</v>
      </c>
      <c r="AO555" s="121" t="e">
        <v>#N/A</v>
      </c>
      <c r="AP555" s="122" t="e">
        <v>#N/A</v>
      </c>
      <c r="AQ555" s="122" t="e">
        <v>#N/A</v>
      </c>
      <c r="AR555" s="122" t="e">
        <v>#N/A</v>
      </c>
      <c r="AS555" s="122" t="e">
        <v>#N/A</v>
      </c>
      <c r="AT555" s="122" t="e">
        <v>#N/A</v>
      </c>
      <c r="AU555" s="121" t="e">
        <v>#N/A</v>
      </c>
      <c r="AV555" s="122" t="e">
        <v>#N/A</v>
      </c>
      <c r="AW555" s="122" t="e">
        <v>#N/A</v>
      </c>
      <c r="AX555" s="122" t="e">
        <v>#N/A</v>
      </c>
      <c r="AY555" s="122" t="e">
        <v>#N/A</v>
      </c>
      <c r="AZ555" s="122" t="e">
        <v>#N/A</v>
      </c>
      <c r="BA555" s="122" t="e">
        <v>#N/A</v>
      </c>
      <c r="BB555" s="122" t="e">
        <v>#N/A</v>
      </c>
      <c r="BC555" s="122" t="e">
        <v>#N/A</v>
      </c>
      <c r="BD555" s="122" t="e">
        <v>#N/A</v>
      </c>
      <c r="BE555" s="122" t="e">
        <v>#N/A</v>
      </c>
      <c r="BF555" s="122" t="e">
        <v>#N/A</v>
      </c>
      <c r="BG555" s="122" t="e">
        <v>#N/A</v>
      </c>
      <c r="BH555" s="122" t="e">
        <v>#N/A</v>
      </c>
      <c r="BI555" s="122" t="e">
        <v>#N/A</v>
      </c>
      <c r="BJ555" s="122" t="e">
        <v>#N/A</v>
      </c>
      <c r="BK555" s="122" t="e">
        <v>#N/A</v>
      </c>
      <c r="BL555" s="123"/>
      <c r="BM555" s="124">
        <v>44197</v>
      </c>
      <c r="BN555" s="124">
        <v>44197</v>
      </c>
      <c r="BO555" s="124">
        <v>44531</v>
      </c>
      <c r="BP555" s="124">
        <v>44530</v>
      </c>
      <c r="BQ555" s="124">
        <v>44684</v>
      </c>
      <c r="BR555" s="124">
        <v>44704</v>
      </c>
      <c r="BS555" s="124">
        <v>44197</v>
      </c>
      <c r="BT555" s="124">
        <v>44197</v>
      </c>
      <c r="BU555" s="124" t="e">
        <v>#N/A</v>
      </c>
      <c r="BV555" s="124" t="e">
        <v>#N/A</v>
      </c>
      <c r="BW555" s="124" t="e">
        <v>#N/A</v>
      </c>
      <c r="BX555" s="124" t="e">
        <v>#N/A</v>
      </c>
      <c r="BY555" s="124" t="e">
        <v>#N/A</v>
      </c>
      <c r="BZ555" s="124" t="e">
        <v>#N/A</v>
      </c>
      <c r="CA555" s="125"/>
      <c r="CB555" s="124" t="e">
        <v>#N/A</v>
      </c>
      <c r="CC555" s="126">
        <v>1</v>
      </c>
      <c r="CD555" s="127" t="s">
        <v>4169</v>
      </c>
      <c r="CE555" s="128"/>
      <c r="CF555" s="77" t="s">
        <v>4211</v>
      </c>
    </row>
    <row r="556" spans="1:84" ht="14.5" x14ac:dyDescent="0.35">
      <c r="A556" s="77">
        <v>555</v>
      </c>
      <c r="B556" s="106" t="s">
        <v>6369</v>
      </c>
      <c r="C556" s="107" t="s">
        <v>1396</v>
      </c>
      <c r="D556" s="108" t="s">
        <v>403</v>
      </c>
      <c r="E556" s="109" t="s">
        <v>404</v>
      </c>
      <c r="F556" s="110">
        <v>671734865</v>
      </c>
      <c r="G556" s="108" t="s">
        <v>1004</v>
      </c>
      <c r="H556" s="111" t="s">
        <v>405</v>
      </c>
      <c r="I556" s="111" t="s">
        <v>180</v>
      </c>
      <c r="J556" s="111" t="s">
        <v>4648</v>
      </c>
      <c r="K556" s="111" t="s">
        <v>400</v>
      </c>
      <c r="L556" s="112">
        <v>39466</v>
      </c>
      <c r="M556" s="111" t="s">
        <v>740</v>
      </c>
      <c r="N556" s="113"/>
      <c r="O556" s="114" t="s">
        <v>184</v>
      </c>
      <c r="P556" s="114" t="s">
        <v>184</v>
      </c>
      <c r="Q556" s="114" t="s">
        <v>184</v>
      </c>
      <c r="R556" s="114" t="s">
        <v>7370</v>
      </c>
      <c r="S556" s="114" t="s">
        <v>184</v>
      </c>
      <c r="T556" s="114" t="s">
        <v>183</v>
      </c>
      <c r="U556" s="114" t="s">
        <v>183</v>
      </c>
      <c r="V556" s="115"/>
      <c r="W556" s="116" t="s">
        <v>1059</v>
      </c>
      <c r="X556" s="116" t="s">
        <v>406</v>
      </c>
      <c r="Y556" s="117">
        <v>3485194</v>
      </c>
      <c r="Z556" s="117">
        <v>3481011</v>
      </c>
      <c r="AA556" s="118"/>
      <c r="AB556" s="119" t="s">
        <v>5671</v>
      </c>
      <c r="AC556" s="119" t="s">
        <v>1397</v>
      </c>
      <c r="AD556" s="119">
        <v>5151</v>
      </c>
      <c r="AE556" s="119" t="s">
        <v>407</v>
      </c>
      <c r="AF556" s="119">
        <v>0</v>
      </c>
      <c r="AG556" s="120"/>
      <c r="AH556" s="121">
        <v>44197</v>
      </c>
      <c r="AI556" s="121">
        <v>44197</v>
      </c>
      <c r="AJ556" s="121">
        <v>44197</v>
      </c>
      <c r="AK556" s="122">
        <v>44197</v>
      </c>
      <c r="AL556" s="122" t="e">
        <v>#N/A</v>
      </c>
      <c r="AM556" s="122" t="e">
        <v>#N/A</v>
      </c>
      <c r="AN556" s="122" t="e">
        <v>#N/A</v>
      </c>
      <c r="AO556" s="121" t="e">
        <v>#N/A</v>
      </c>
      <c r="AP556" s="122" t="e">
        <v>#N/A</v>
      </c>
      <c r="AQ556" s="122" t="e">
        <v>#N/A</v>
      </c>
      <c r="AR556" s="122" t="e">
        <v>#N/A</v>
      </c>
      <c r="AS556" s="122" t="e">
        <v>#N/A</v>
      </c>
      <c r="AT556" s="122" t="e">
        <v>#N/A</v>
      </c>
      <c r="AU556" s="121">
        <v>45912</v>
      </c>
      <c r="AV556" s="122">
        <v>44607</v>
      </c>
      <c r="AW556" s="122">
        <v>44607</v>
      </c>
      <c r="AX556" s="122" t="e">
        <v>#N/A</v>
      </c>
      <c r="AY556" s="122" t="e">
        <v>#N/A</v>
      </c>
      <c r="AZ556" s="122" t="e">
        <v>#N/A</v>
      </c>
      <c r="BA556" s="122" t="e">
        <v>#N/A</v>
      </c>
      <c r="BB556" s="122" t="e">
        <v>#N/A</v>
      </c>
      <c r="BC556" s="122" t="e">
        <v>#N/A</v>
      </c>
      <c r="BD556" s="122" t="e">
        <v>#N/A</v>
      </c>
      <c r="BE556" s="122" t="e">
        <v>#N/A</v>
      </c>
      <c r="BF556" s="122" t="e">
        <v>#N/A</v>
      </c>
      <c r="BG556" s="122" t="e">
        <v>#N/A</v>
      </c>
      <c r="BH556" s="122" t="e">
        <v>#N/A</v>
      </c>
      <c r="BI556" s="122" t="e">
        <v>#N/A</v>
      </c>
      <c r="BJ556" s="122" t="e">
        <v>#N/A</v>
      </c>
      <c r="BK556" s="122" t="e">
        <v>#N/A</v>
      </c>
      <c r="BL556" s="123"/>
      <c r="BM556" s="124">
        <v>44197</v>
      </c>
      <c r="BN556" s="124">
        <v>44197</v>
      </c>
      <c r="BO556" s="124">
        <v>44197</v>
      </c>
      <c r="BP556" s="124">
        <v>44197</v>
      </c>
      <c r="BQ556" s="124">
        <v>44197</v>
      </c>
      <c r="BR556" s="124">
        <v>44197</v>
      </c>
      <c r="BS556" s="124">
        <v>44197</v>
      </c>
      <c r="BT556" s="124">
        <v>44197</v>
      </c>
      <c r="BU556" s="124" t="e">
        <v>#N/A</v>
      </c>
      <c r="BV556" s="124" t="e">
        <v>#N/A</v>
      </c>
      <c r="BW556" s="124">
        <v>44197</v>
      </c>
      <c r="BX556" s="124">
        <v>44197</v>
      </c>
      <c r="BY556" s="124" t="e">
        <v>#N/A</v>
      </c>
      <c r="BZ556" s="124" t="e">
        <v>#N/A</v>
      </c>
      <c r="CA556" s="125"/>
      <c r="CB556" s="124" t="e">
        <v>#N/A</v>
      </c>
      <c r="CC556" s="126">
        <v>1</v>
      </c>
      <c r="CD556" s="127" t="e">
        <v>#N/A</v>
      </c>
      <c r="CE556" s="128"/>
      <c r="CF556" s="77" t="s">
        <v>4211</v>
      </c>
    </row>
    <row r="557" spans="1:84" ht="14.5" x14ac:dyDescent="0.35">
      <c r="A557" s="77">
        <v>556</v>
      </c>
      <c r="B557" s="106" t="s">
        <v>2018</v>
      </c>
      <c r="C557" s="107" t="s">
        <v>6492</v>
      </c>
      <c r="D557" s="108" t="s">
        <v>1791</v>
      </c>
      <c r="E557" s="109" t="s">
        <v>1792</v>
      </c>
      <c r="F557" s="110">
        <v>677468278</v>
      </c>
      <c r="G557" s="108" t="s">
        <v>1004</v>
      </c>
      <c r="H557" s="111" t="s">
        <v>2607</v>
      </c>
      <c r="I557" s="111" t="s">
        <v>180</v>
      </c>
      <c r="J557" s="111" t="s">
        <v>4648</v>
      </c>
      <c r="K557" s="111" t="s">
        <v>3159</v>
      </c>
      <c r="L557" s="112">
        <v>44939</v>
      </c>
      <c r="M557" s="111" t="s">
        <v>740</v>
      </c>
      <c r="N557" s="113"/>
      <c r="O557" s="114" t="s">
        <v>607</v>
      </c>
      <c r="P557" s="114" t="s">
        <v>557</v>
      </c>
      <c r="Q557" s="114" t="s">
        <v>607</v>
      </c>
      <c r="R557" s="114" t="s">
        <v>7297</v>
      </c>
      <c r="S557" s="114" t="s">
        <v>557</v>
      </c>
      <c r="T557" s="114" t="s">
        <v>183</v>
      </c>
      <c r="U557" s="114" t="s">
        <v>183</v>
      </c>
      <c r="V557" s="115"/>
      <c r="W557" s="116" t="s">
        <v>1793</v>
      </c>
      <c r="X557" s="116" t="s">
        <v>1794</v>
      </c>
      <c r="Y557" s="117">
        <v>3485685</v>
      </c>
      <c r="Z557" s="117">
        <v>3486535</v>
      </c>
      <c r="AA557" s="118"/>
      <c r="AB557" s="119" t="s">
        <v>2057</v>
      </c>
      <c r="AC557" s="119" t="s">
        <v>1795</v>
      </c>
      <c r="AD557" s="119">
        <v>4428</v>
      </c>
      <c r="AE557" s="119" t="s">
        <v>1796</v>
      </c>
      <c r="AF557" s="119">
        <v>0</v>
      </c>
      <c r="AG557" s="120"/>
      <c r="AH557" s="121">
        <v>44754</v>
      </c>
      <c r="AI557" s="121">
        <v>44754</v>
      </c>
      <c r="AJ557" s="121">
        <v>44754</v>
      </c>
      <c r="AK557" s="122">
        <v>44879</v>
      </c>
      <c r="AL557" s="122" t="e">
        <v>#N/A</v>
      </c>
      <c r="AM557" s="121" t="e">
        <v>#N/A</v>
      </c>
      <c r="AN557" s="121" t="e">
        <v>#N/A</v>
      </c>
      <c r="AO557" s="121" t="e">
        <v>#N/A</v>
      </c>
      <c r="AP557" s="122" t="e">
        <v>#N/A</v>
      </c>
      <c r="AQ557" s="122" t="e">
        <v>#N/A</v>
      </c>
      <c r="AR557" s="122" t="e">
        <v>#N/A</v>
      </c>
      <c r="AS557" s="122" t="e">
        <v>#N/A</v>
      </c>
      <c r="AT557" s="122" t="e">
        <v>#N/A</v>
      </c>
      <c r="AU557" s="121" t="e">
        <v>#N/A</v>
      </c>
      <c r="AV557" s="122" t="e">
        <v>#N/A</v>
      </c>
      <c r="AW557" s="122" t="e">
        <v>#N/A</v>
      </c>
      <c r="AX557" s="122" t="e">
        <v>#N/A</v>
      </c>
      <c r="AY557" s="122" t="e">
        <v>#N/A</v>
      </c>
      <c r="AZ557" s="122" t="e">
        <v>#N/A</v>
      </c>
      <c r="BA557" s="122" t="e">
        <v>#N/A</v>
      </c>
      <c r="BB557" s="122" t="e">
        <v>#N/A</v>
      </c>
      <c r="BC557" s="122" t="e">
        <v>#N/A</v>
      </c>
      <c r="BD557" s="122" t="e">
        <v>#N/A</v>
      </c>
      <c r="BE557" s="122" t="e">
        <v>#N/A</v>
      </c>
      <c r="BF557" s="122" t="e">
        <v>#N/A</v>
      </c>
      <c r="BG557" s="122" t="e">
        <v>#N/A</v>
      </c>
      <c r="BH557" s="122" t="e">
        <v>#N/A</v>
      </c>
      <c r="BI557" s="122" t="e">
        <v>#N/A</v>
      </c>
      <c r="BJ557" s="122" t="e">
        <v>#N/A</v>
      </c>
      <c r="BK557" s="122" t="e">
        <v>#N/A</v>
      </c>
      <c r="BL557" s="123"/>
      <c r="BM557" s="124">
        <v>45000</v>
      </c>
      <c r="BN557" s="124">
        <v>45000</v>
      </c>
      <c r="BO557" s="124">
        <v>45000</v>
      </c>
      <c r="BP557" s="124">
        <v>45000</v>
      </c>
      <c r="BQ557" s="124">
        <v>45000</v>
      </c>
      <c r="BR557" s="124">
        <v>45985</v>
      </c>
      <c r="BS557" s="124">
        <v>45029</v>
      </c>
      <c r="BT557" s="124">
        <v>45029</v>
      </c>
      <c r="BU557" s="124" t="e">
        <v>#N/A</v>
      </c>
      <c r="BV557" s="124" t="e">
        <v>#N/A</v>
      </c>
      <c r="BW557" s="124" t="e">
        <v>#N/A</v>
      </c>
      <c r="BX557" s="124">
        <v>44197</v>
      </c>
      <c r="BY557" s="124">
        <v>45078</v>
      </c>
      <c r="BZ557" s="124" t="e">
        <v>#N/A</v>
      </c>
      <c r="CA557" s="125"/>
      <c r="CB557" s="124" t="e">
        <v>#N/A</v>
      </c>
      <c r="CC557" s="126">
        <v>1</v>
      </c>
      <c r="CD557" s="127"/>
      <c r="CE557" s="128"/>
      <c r="CF557" s="77" t="s">
        <v>4211</v>
      </c>
    </row>
    <row r="558" spans="1:84" ht="14.5" x14ac:dyDescent="0.35">
      <c r="A558" s="77">
        <v>557</v>
      </c>
      <c r="B558" s="106" t="s">
        <v>3309</v>
      </c>
      <c r="C558" s="107" t="s">
        <v>6584</v>
      </c>
      <c r="D558" s="108" t="s">
        <v>3324</v>
      </c>
      <c r="E558" s="109" t="s">
        <v>3310</v>
      </c>
      <c r="F558" s="110">
        <v>665382046</v>
      </c>
      <c r="G558" s="108" t="s">
        <v>1004</v>
      </c>
      <c r="H558" s="111" t="s">
        <v>2607</v>
      </c>
      <c r="I558" s="111" t="s">
        <v>180</v>
      </c>
      <c r="J558" s="111" t="s">
        <v>4648</v>
      </c>
      <c r="K558" s="111" t="s">
        <v>199</v>
      </c>
      <c r="L558" s="112">
        <v>45253</v>
      </c>
      <c r="M558" s="111" t="s">
        <v>728</v>
      </c>
      <c r="N558" s="113"/>
      <c r="O558" s="114" t="s">
        <v>6041</v>
      </c>
      <c r="P558" s="114" t="s">
        <v>4263</v>
      </c>
      <c r="Q558" s="114" t="s">
        <v>607</v>
      </c>
      <c r="R558" s="114" t="s">
        <v>813</v>
      </c>
      <c r="S558" s="114" t="s">
        <v>285</v>
      </c>
      <c r="T558" s="114" t="s">
        <v>813</v>
      </c>
      <c r="U558" s="114" t="s">
        <v>183</v>
      </c>
      <c r="V558" s="115"/>
      <c r="W558" s="116" t="s">
        <v>3311</v>
      </c>
      <c r="X558" s="116" t="s">
        <v>3312</v>
      </c>
      <c r="Y558" s="117">
        <v>3485798</v>
      </c>
      <c r="Z558" s="117">
        <v>3486312</v>
      </c>
      <c r="AA558" s="118"/>
      <c r="AB558" s="119" t="s">
        <v>5881</v>
      </c>
      <c r="AC558" s="119" t="s">
        <v>3313</v>
      </c>
      <c r="AD558" s="119">
        <v>5213</v>
      </c>
      <c r="AE558" s="119" t="s">
        <v>4051</v>
      </c>
      <c r="AF558" s="119" t="s">
        <v>6250</v>
      </c>
      <c r="AG558" s="120"/>
      <c r="AH558" s="121">
        <v>45448</v>
      </c>
      <c r="AI558" s="121">
        <v>45448</v>
      </c>
      <c r="AJ558" s="121">
        <v>45448</v>
      </c>
      <c r="AK558" s="122">
        <v>45448</v>
      </c>
      <c r="AL558" s="122" t="e">
        <v>#N/A</v>
      </c>
      <c r="AM558" s="122" t="e">
        <v>#N/A</v>
      </c>
      <c r="AN558" s="122" t="e">
        <v>#N/A</v>
      </c>
      <c r="AO558" s="121" t="e">
        <v>#N/A</v>
      </c>
      <c r="AP558" s="122" t="e">
        <v>#N/A</v>
      </c>
      <c r="AQ558" s="122" t="e">
        <v>#N/A</v>
      </c>
      <c r="AR558" s="122" t="e">
        <v>#N/A</v>
      </c>
      <c r="AS558" s="122" t="e">
        <v>#N/A</v>
      </c>
      <c r="AT558" s="122">
        <v>45441</v>
      </c>
      <c r="AU558" s="121" t="e">
        <v>#N/A</v>
      </c>
      <c r="AV558" s="122" t="e">
        <v>#N/A</v>
      </c>
      <c r="AW558" s="122" t="e">
        <v>#N/A</v>
      </c>
      <c r="AX558" s="122" t="e">
        <v>#N/A</v>
      </c>
      <c r="AY558" s="122" t="e">
        <v>#N/A</v>
      </c>
      <c r="AZ558" s="122" t="e">
        <v>#N/A</v>
      </c>
      <c r="BA558" s="122" t="e">
        <v>#N/A</v>
      </c>
      <c r="BB558" s="122" t="e">
        <v>#N/A</v>
      </c>
      <c r="BC558" s="122" t="e">
        <v>#N/A</v>
      </c>
      <c r="BD558" s="122" t="e">
        <v>#N/A</v>
      </c>
      <c r="BE558" s="122" t="e">
        <v>#N/A</v>
      </c>
      <c r="BF558" s="122" t="e">
        <v>#N/A</v>
      </c>
      <c r="BG558" s="122" t="e">
        <v>#N/A</v>
      </c>
      <c r="BH558" s="122" t="e">
        <v>#N/A</v>
      </c>
      <c r="BI558" s="122" t="e">
        <v>#N/A</v>
      </c>
      <c r="BJ558" s="122" t="e">
        <v>#N/A</v>
      </c>
      <c r="BK558" s="122">
        <v>45958</v>
      </c>
      <c r="BL558" s="123"/>
      <c r="BM558" s="124">
        <v>45546</v>
      </c>
      <c r="BN558" s="124">
        <v>45546</v>
      </c>
      <c r="BO558" s="124">
        <v>45702</v>
      </c>
      <c r="BP558" s="124" t="e">
        <v>#N/A</v>
      </c>
      <c r="BQ558" s="124" t="e">
        <v>#N/A</v>
      </c>
      <c r="BR558" s="124" t="e">
        <v>#N/A</v>
      </c>
      <c r="BS558" s="124">
        <v>45546</v>
      </c>
      <c r="BT558" s="124">
        <v>45863</v>
      </c>
      <c r="BU558" s="124" t="e">
        <v>#N/A</v>
      </c>
      <c r="BV558" s="124" t="e">
        <v>#N/A</v>
      </c>
      <c r="BW558" s="124" t="e">
        <v>#N/A</v>
      </c>
      <c r="BX558" s="124">
        <v>45863</v>
      </c>
      <c r="BY558" s="124" t="e">
        <v>#N/A</v>
      </c>
      <c r="BZ558" s="124" t="e">
        <v>#N/A</v>
      </c>
      <c r="CA558" s="125"/>
      <c r="CB558" s="124" t="e">
        <v>#N/A</v>
      </c>
      <c r="CC558" s="126">
        <v>1</v>
      </c>
      <c r="CD558" s="127" t="s">
        <v>4150</v>
      </c>
      <c r="CE558" s="128"/>
      <c r="CF558" s="77" t="s">
        <v>4211</v>
      </c>
    </row>
    <row r="559" spans="1:84" ht="14.5" x14ac:dyDescent="0.35">
      <c r="A559" s="77">
        <v>558</v>
      </c>
      <c r="B559" s="106" t="s">
        <v>115</v>
      </c>
      <c r="C559" s="107" t="s">
        <v>1346</v>
      </c>
      <c r="D559" s="108" t="s">
        <v>735</v>
      </c>
      <c r="E559" s="109" t="s">
        <v>736</v>
      </c>
      <c r="F559" s="110">
        <v>652196177</v>
      </c>
      <c r="G559" s="108" t="s">
        <v>1004</v>
      </c>
      <c r="H559" s="111" t="s">
        <v>322</v>
      </c>
      <c r="I559" s="111" t="s">
        <v>180</v>
      </c>
      <c r="J559" s="111" t="s">
        <v>4648</v>
      </c>
      <c r="K559" s="111" t="s">
        <v>3159</v>
      </c>
      <c r="L559" s="112">
        <v>43519</v>
      </c>
      <c r="M559" s="111" t="s">
        <v>728</v>
      </c>
      <c r="N559" s="113"/>
      <c r="O559" s="114" t="s">
        <v>257</v>
      </c>
      <c r="P559" s="114" t="s">
        <v>257</v>
      </c>
      <c r="Q559" s="114" t="s">
        <v>257</v>
      </c>
      <c r="R559" s="114" t="s">
        <v>257</v>
      </c>
      <c r="S559" s="114" t="s">
        <v>257</v>
      </c>
      <c r="T559" s="114" t="s">
        <v>183</v>
      </c>
      <c r="U559" s="114" t="s">
        <v>183</v>
      </c>
      <c r="V559" s="115"/>
      <c r="W559" s="116" t="s">
        <v>1940</v>
      </c>
      <c r="X559" s="116" t="s">
        <v>1941</v>
      </c>
      <c r="Y559" s="117">
        <v>3485510</v>
      </c>
      <c r="Z559" s="117">
        <v>3481096</v>
      </c>
      <c r="AA559" s="118"/>
      <c r="AB559" s="119" t="s">
        <v>5883</v>
      </c>
      <c r="AC559" s="119" t="s">
        <v>1942</v>
      </c>
      <c r="AD559" s="119">
        <v>4110</v>
      </c>
      <c r="AE559" s="119" t="s">
        <v>1943</v>
      </c>
      <c r="AF559" s="119">
        <v>0</v>
      </c>
      <c r="AG559" s="120"/>
      <c r="AH559" s="121">
        <v>44197</v>
      </c>
      <c r="AI559" s="121">
        <v>44197</v>
      </c>
      <c r="AJ559" s="121">
        <v>44197</v>
      </c>
      <c r="AK559" s="122">
        <v>44197</v>
      </c>
      <c r="AL559" s="122" t="e">
        <v>#N/A</v>
      </c>
      <c r="AM559" s="121" t="e">
        <v>#N/A</v>
      </c>
      <c r="AN559" s="121" t="e">
        <v>#N/A</v>
      </c>
      <c r="AO559" s="121" t="e">
        <v>#N/A</v>
      </c>
      <c r="AP559" s="122" t="e">
        <v>#N/A</v>
      </c>
      <c r="AQ559" s="122" t="e">
        <v>#N/A</v>
      </c>
      <c r="AR559" s="122" t="e">
        <v>#N/A</v>
      </c>
      <c r="AS559" s="122" t="e">
        <v>#N/A</v>
      </c>
      <c r="AT559" s="122" t="e">
        <v>#N/A</v>
      </c>
      <c r="AU559" s="121" t="e">
        <v>#N/A</v>
      </c>
      <c r="AV559" s="122" t="e">
        <v>#N/A</v>
      </c>
      <c r="AW559" s="122" t="e">
        <v>#N/A</v>
      </c>
      <c r="AX559" s="122" t="e">
        <v>#N/A</v>
      </c>
      <c r="AY559" s="122" t="e">
        <v>#N/A</v>
      </c>
      <c r="AZ559" s="122" t="e">
        <v>#N/A</v>
      </c>
      <c r="BA559" s="122" t="e">
        <v>#N/A</v>
      </c>
      <c r="BB559" s="122" t="e">
        <v>#N/A</v>
      </c>
      <c r="BC559" s="122" t="e">
        <v>#N/A</v>
      </c>
      <c r="BD559" s="122" t="e">
        <v>#N/A</v>
      </c>
      <c r="BE559" s="122" t="e">
        <v>#N/A</v>
      </c>
      <c r="BF559" s="122" t="e">
        <v>#N/A</v>
      </c>
      <c r="BG559" s="122" t="e">
        <v>#N/A</v>
      </c>
      <c r="BH559" s="122" t="e">
        <v>#N/A</v>
      </c>
      <c r="BI559" s="122" t="e">
        <v>#N/A</v>
      </c>
      <c r="BJ559" s="122" t="e">
        <v>#N/A</v>
      </c>
      <c r="BK559" s="122" t="e">
        <v>#N/A</v>
      </c>
      <c r="BL559" s="123"/>
      <c r="BM559" s="124">
        <v>44197</v>
      </c>
      <c r="BN559" s="124">
        <v>44197</v>
      </c>
      <c r="BO559" s="124">
        <v>44615</v>
      </c>
      <c r="BP559" s="124">
        <v>44642</v>
      </c>
      <c r="BQ559" s="124">
        <v>44756</v>
      </c>
      <c r="BR559" s="124">
        <v>44714</v>
      </c>
      <c r="BS559" s="124">
        <v>44197</v>
      </c>
      <c r="BT559" s="124">
        <v>44197</v>
      </c>
      <c r="BU559" s="124" t="e">
        <v>#N/A</v>
      </c>
      <c r="BV559" s="124" t="e">
        <v>#N/A</v>
      </c>
      <c r="BW559" s="124" t="e">
        <v>#N/A</v>
      </c>
      <c r="BX559" s="124">
        <v>44197</v>
      </c>
      <c r="BY559" s="124" t="e">
        <v>#N/A</v>
      </c>
      <c r="BZ559" s="124">
        <v>45597</v>
      </c>
      <c r="CA559" s="125"/>
      <c r="CB559" s="124" t="e">
        <v>#N/A</v>
      </c>
      <c r="CC559" s="126">
        <v>1</v>
      </c>
      <c r="CD559" s="127" t="s">
        <v>4169</v>
      </c>
      <c r="CE559" s="128"/>
      <c r="CF559" s="77" t="s">
        <v>4211</v>
      </c>
    </row>
    <row r="560" spans="1:84" ht="14.5" x14ac:dyDescent="0.35">
      <c r="A560" s="77">
        <v>559</v>
      </c>
      <c r="B560" s="106" t="s">
        <v>137</v>
      </c>
      <c r="C560" s="107" t="s">
        <v>1119</v>
      </c>
      <c r="D560" s="108" t="s">
        <v>806</v>
      </c>
      <c r="E560" s="109" t="s">
        <v>807</v>
      </c>
      <c r="F560" s="110">
        <v>659984642</v>
      </c>
      <c r="G560" s="108" t="s">
        <v>1004</v>
      </c>
      <c r="H560" s="111" t="s">
        <v>322</v>
      </c>
      <c r="I560" s="111" t="s">
        <v>180</v>
      </c>
      <c r="J560" s="111" t="s">
        <v>4648</v>
      </c>
      <c r="K560" s="111" t="s">
        <v>3159</v>
      </c>
      <c r="L560" s="112">
        <v>43647</v>
      </c>
      <c r="M560" s="111" t="s">
        <v>728</v>
      </c>
      <c r="N560" s="113"/>
      <c r="O560" s="114" t="s">
        <v>246</v>
      </c>
      <c r="P560" s="114" t="s">
        <v>246</v>
      </c>
      <c r="Q560" s="114" t="s">
        <v>246</v>
      </c>
      <c r="R560" s="114" t="s">
        <v>246</v>
      </c>
      <c r="S560" s="114" t="s">
        <v>246</v>
      </c>
      <c r="T560" s="114" t="s">
        <v>183</v>
      </c>
      <c r="U560" s="114" t="s">
        <v>183</v>
      </c>
      <c r="V560" s="115"/>
      <c r="W560" s="116" t="s">
        <v>808</v>
      </c>
      <c r="X560" s="116" t="s">
        <v>809</v>
      </c>
      <c r="Y560" s="117">
        <v>3485591</v>
      </c>
      <c r="Z560" s="117">
        <v>3481352</v>
      </c>
      <c r="AA560" s="118"/>
      <c r="AB560" s="119" t="s">
        <v>2049</v>
      </c>
      <c r="AC560" s="119" t="s">
        <v>1120</v>
      </c>
      <c r="AD560" s="119">
        <v>27829</v>
      </c>
      <c r="AE560" s="119" t="s">
        <v>810</v>
      </c>
      <c r="AF560" s="119" t="s">
        <v>7115</v>
      </c>
      <c r="AG560" s="120"/>
      <c r="AH560" s="121">
        <v>44197</v>
      </c>
      <c r="AI560" s="121">
        <v>44197</v>
      </c>
      <c r="AJ560" s="121">
        <v>44197</v>
      </c>
      <c r="AK560" s="122">
        <v>44197</v>
      </c>
      <c r="AL560" s="122">
        <v>44740</v>
      </c>
      <c r="AM560" s="121" t="e">
        <v>#N/A</v>
      </c>
      <c r="AN560" s="121" t="e">
        <v>#N/A</v>
      </c>
      <c r="AO560" s="121" t="e">
        <v>#N/A</v>
      </c>
      <c r="AP560" s="122" t="e">
        <v>#N/A</v>
      </c>
      <c r="AQ560" s="122" t="e">
        <v>#N/A</v>
      </c>
      <c r="AR560" s="122" t="e">
        <v>#N/A</v>
      </c>
      <c r="AS560" s="122" t="e">
        <v>#N/A</v>
      </c>
      <c r="AT560" s="122" t="e">
        <v>#N/A</v>
      </c>
      <c r="AU560" s="121" t="e">
        <v>#N/A</v>
      </c>
      <c r="AV560" s="122" t="e">
        <v>#N/A</v>
      </c>
      <c r="AW560" s="122" t="e">
        <v>#N/A</v>
      </c>
      <c r="AX560" s="122" t="e">
        <v>#N/A</v>
      </c>
      <c r="AY560" s="122" t="e">
        <v>#N/A</v>
      </c>
      <c r="AZ560" s="122" t="e">
        <v>#N/A</v>
      </c>
      <c r="BA560" s="122" t="e">
        <v>#N/A</v>
      </c>
      <c r="BB560" s="122" t="e">
        <v>#N/A</v>
      </c>
      <c r="BC560" s="122" t="e">
        <v>#N/A</v>
      </c>
      <c r="BD560" s="122" t="e">
        <v>#N/A</v>
      </c>
      <c r="BE560" s="122" t="e">
        <v>#N/A</v>
      </c>
      <c r="BF560" s="122" t="e">
        <v>#N/A</v>
      </c>
      <c r="BG560" s="122" t="e">
        <v>#N/A</v>
      </c>
      <c r="BH560" s="122" t="e">
        <v>#N/A</v>
      </c>
      <c r="BI560" s="122" t="e">
        <v>#N/A</v>
      </c>
      <c r="BJ560" s="122" t="e">
        <v>#N/A</v>
      </c>
      <c r="BK560" s="122">
        <v>45968</v>
      </c>
      <c r="BL560" s="123"/>
      <c r="BM560" s="124">
        <v>45075</v>
      </c>
      <c r="BN560" s="124">
        <v>45078</v>
      </c>
      <c r="BO560" s="124">
        <v>45110</v>
      </c>
      <c r="BP560" s="124">
        <v>45369</v>
      </c>
      <c r="BQ560" s="124">
        <v>45110</v>
      </c>
      <c r="BR560" s="124" t="e">
        <v>#N/A</v>
      </c>
      <c r="BS560" s="124">
        <v>45272</v>
      </c>
      <c r="BT560" s="124">
        <v>45272</v>
      </c>
      <c r="BU560" s="124" t="e">
        <v>#N/A</v>
      </c>
      <c r="BV560" s="124" t="e">
        <v>#N/A</v>
      </c>
      <c r="BW560" s="124" t="e">
        <v>#N/A</v>
      </c>
      <c r="BX560" s="124">
        <v>44197</v>
      </c>
      <c r="BY560" s="124" t="e">
        <v>#N/A</v>
      </c>
      <c r="BZ560" s="124" t="e">
        <v>#N/A</v>
      </c>
      <c r="CA560" s="125"/>
      <c r="CB560" s="124">
        <v>45726</v>
      </c>
      <c r="CC560" s="126">
        <v>1</v>
      </c>
      <c r="CD560" s="127" t="s">
        <v>4169</v>
      </c>
      <c r="CE560" s="128"/>
    </row>
    <row r="561" spans="1:85" ht="14.5" x14ac:dyDescent="0.35">
      <c r="A561" s="77">
        <v>560</v>
      </c>
      <c r="B561" s="106" t="s">
        <v>60</v>
      </c>
      <c r="C561" s="107" t="s">
        <v>1423</v>
      </c>
      <c r="D561" s="108" t="s">
        <v>553</v>
      </c>
      <c r="E561" s="109" t="s">
        <v>554</v>
      </c>
      <c r="F561" s="110">
        <v>609648168</v>
      </c>
      <c r="G561" s="108" t="s">
        <v>1004</v>
      </c>
      <c r="H561" s="111" t="s">
        <v>322</v>
      </c>
      <c r="I561" s="111" t="s">
        <v>180</v>
      </c>
      <c r="J561" s="111" t="s">
        <v>4648</v>
      </c>
      <c r="K561" s="111" t="s">
        <v>3159</v>
      </c>
      <c r="L561" s="112">
        <v>42864</v>
      </c>
      <c r="M561" s="111" t="s">
        <v>728</v>
      </c>
      <c r="N561" s="113"/>
      <c r="O561" s="114" t="s">
        <v>6897</v>
      </c>
      <c r="P561" s="114" t="s">
        <v>6897</v>
      </c>
      <c r="Q561" s="114" t="s">
        <v>6897</v>
      </c>
      <c r="R561" s="114" t="s">
        <v>7414</v>
      </c>
      <c r="S561" s="114" t="s">
        <v>2910</v>
      </c>
      <c r="T561" s="114" t="s">
        <v>183</v>
      </c>
      <c r="U561" s="114" t="s">
        <v>183</v>
      </c>
      <c r="V561" s="115"/>
      <c r="W561" s="116" t="s">
        <v>1983</v>
      </c>
      <c r="X561" s="116" t="s">
        <v>1984</v>
      </c>
      <c r="Y561" s="117">
        <v>3485498</v>
      </c>
      <c r="Z561" s="117">
        <v>3481070</v>
      </c>
      <c r="AA561" s="118"/>
      <c r="AB561" s="119" t="s">
        <v>1985</v>
      </c>
      <c r="AC561" s="119" t="s">
        <v>1986</v>
      </c>
      <c r="AD561" s="119">
        <v>5079</v>
      </c>
      <c r="AE561" s="119" t="s">
        <v>3756</v>
      </c>
      <c r="AF561" s="119">
        <v>0</v>
      </c>
      <c r="AG561" s="120"/>
      <c r="AH561" s="121">
        <v>44197</v>
      </c>
      <c r="AI561" s="121">
        <v>44197</v>
      </c>
      <c r="AJ561" s="121">
        <v>44197</v>
      </c>
      <c r="AK561" s="122">
        <v>44197</v>
      </c>
      <c r="AL561" s="122">
        <v>44197</v>
      </c>
      <c r="AM561" s="122" t="e">
        <v>#N/A</v>
      </c>
      <c r="AN561" s="122" t="e">
        <v>#N/A</v>
      </c>
      <c r="AO561" s="121" t="e">
        <v>#N/A</v>
      </c>
      <c r="AP561" s="122" t="e">
        <v>#N/A</v>
      </c>
      <c r="AQ561" s="122" t="e">
        <v>#N/A</v>
      </c>
      <c r="AR561" s="122" t="e">
        <v>#N/A</v>
      </c>
      <c r="AS561" s="122" t="e">
        <v>#N/A</v>
      </c>
      <c r="AT561" s="122" t="e">
        <v>#N/A</v>
      </c>
      <c r="AU561" s="121" t="e">
        <v>#N/A</v>
      </c>
      <c r="AV561" s="122" t="e">
        <v>#N/A</v>
      </c>
      <c r="AW561" s="122" t="e">
        <v>#N/A</v>
      </c>
      <c r="AX561" s="122" t="e">
        <v>#N/A</v>
      </c>
      <c r="AY561" s="122" t="e">
        <v>#N/A</v>
      </c>
      <c r="AZ561" s="122" t="e">
        <v>#N/A</v>
      </c>
      <c r="BA561" s="122" t="e">
        <v>#N/A</v>
      </c>
      <c r="BB561" s="122" t="e">
        <v>#N/A</v>
      </c>
      <c r="BC561" s="122" t="e">
        <v>#N/A</v>
      </c>
      <c r="BD561" s="122" t="e">
        <v>#N/A</v>
      </c>
      <c r="BE561" s="122" t="e">
        <v>#N/A</v>
      </c>
      <c r="BF561" s="122" t="e">
        <v>#N/A</v>
      </c>
      <c r="BG561" s="122" t="e">
        <v>#N/A</v>
      </c>
      <c r="BH561" s="122" t="e">
        <v>#N/A</v>
      </c>
      <c r="BI561" s="122" t="e">
        <v>#N/A</v>
      </c>
      <c r="BJ561" s="122" t="e">
        <v>#N/A</v>
      </c>
      <c r="BK561" s="122" t="e">
        <v>#N/A</v>
      </c>
      <c r="BL561" s="123"/>
      <c r="BM561" s="124">
        <v>44592</v>
      </c>
      <c r="BN561" s="124">
        <v>44777</v>
      </c>
      <c r="BO561" s="124">
        <v>45518</v>
      </c>
      <c r="BP561" s="124">
        <v>44642</v>
      </c>
      <c r="BQ561" s="124">
        <v>44701</v>
      </c>
      <c r="BR561" s="124">
        <v>44704</v>
      </c>
      <c r="BS561" s="124">
        <v>44614</v>
      </c>
      <c r="BT561" s="124">
        <v>44635</v>
      </c>
      <c r="BU561" s="124" t="e">
        <v>#N/A</v>
      </c>
      <c r="BV561" s="124" t="e">
        <v>#N/A</v>
      </c>
      <c r="BW561" s="124" t="e">
        <v>#N/A</v>
      </c>
      <c r="BX561" s="124" t="e">
        <v>#N/A</v>
      </c>
      <c r="BY561" s="124" t="e">
        <v>#N/A</v>
      </c>
      <c r="BZ561" s="124" t="e">
        <v>#N/A</v>
      </c>
      <c r="CA561" s="125"/>
      <c r="CB561" s="124">
        <v>45733</v>
      </c>
      <c r="CC561" s="126">
        <v>1</v>
      </c>
      <c r="CD561" s="127" t="s">
        <v>4169</v>
      </c>
      <c r="CE561" s="128"/>
      <c r="CF561" s="77" t="s">
        <v>4211</v>
      </c>
    </row>
    <row r="562" spans="1:85" ht="14.5" x14ac:dyDescent="0.35">
      <c r="A562" s="77">
        <v>561</v>
      </c>
      <c r="B562" s="106" t="s">
        <v>164</v>
      </c>
      <c r="C562" s="107" t="s">
        <v>1212</v>
      </c>
      <c r="D562" s="108" t="s">
        <v>903</v>
      </c>
      <c r="E562" s="109" t="s">
        <v>904</v>
      </c>
      <c r="F562" s="110">
        <v>685865637</v>
      </c>
      <c r="G562" s="108" t="s">
        <v>1004</v>
      </c>
      <c r="H562" s="111" t="s">
        <v>322</v>
      </c>
      <c r="I562" s="111" t="s">
        <v>180</v>
      </c>
      <c r="J562" s="111" t="s">
        <v>4648</v>
      </c>
      <c r="K562" s="111" t="s">
        <v>3159</v>
      </c>
      <c r="L562" s="112">
        <v>44179</v>
      </c>
      <c r="M562" s="111" t="s">
        <v>597</v>
      </c>
      <c r="N562" s="113"/>
      <c r="O562" s="114" t="s">
        <v>246</v>
      </c>
      <c r="P562" s="114" t="s">
        <v>257</v>
      </c>
      <c r="Q562" s="114" t="s">
        <v>257</v>
      </c>
      <c r="R562" s="114" t="s">
        <v>7364</v>
      </c>
      <c r="S562" s="114" t="s">
        <v>246</v>
      </c>
      <c r="T562" s="114" t="s">
        <v>183</v>
      </c>
      <c r="U562" s="114" t="s">
        <v>183</v>
      </c>
      <c r="V562" s="115"/>
      <c r="W562" s="116" t="s">
        <v>905</v>
      </c>
      <c r="X562" s="116" t="s">
        <v>906</v>
      </c>
      <c r="Y562" s="117">
        <v>3485026</v>
      </c>
      <c r="Z562" s="117">
        <v>3481163</v>
      </c>
      <c r="AA562" s="118"/>
      <c r="AB562" s="119" t="s">
        <v>5672</v>
      </c>
      <c r="AC562" s="119" t="s">
        <v>1213</v>
      </c>
      <c r="AD562" s="119">
        <v>4368</v>
      </c>
      <c r="AE562" s="119" t="s">
        <v>1616</v>
      </c>
      <c r="AF562" s="119" t="s">
        <v>7644</v>
      </c>
      <c r="AG562" s="120"/>
      <c r="AH562" s="121">
        <v>44197</v>
      </c>
      <c r="AI562" s="121">
        <v>44197</v>
      </c>
      <c r="AJ562" s="121">
        <v>44197</v>
      </c>
      <c r="AK562" s="122">
        <v>44197</v>
      </c>
      <c r="AL562" s="122" t="e">
        <v>#N/A</v>
      </c>
      <c r="AM562" s="122" t="e">
        <v>#N/A</v>
      </c>
      <c r="AN562" s="122" t="e">
        <v>#N/A</v>
      </c>
      <c r="AO562" s="121" t="e">
        <v>#N/A</v>
      </c>
      <c r="AP562" s="122" t="e">
        <v>#N/A</v>
      </c>
      <c r="AQ562" s="122" t="e">
        <v>#N/A</v>
      </c>
      <c r="AR562" s="122" t="e">
        <v>#N/A</v>
      </c>
      <c r="AS562" s="122" t="e">
        <v>#N/A</v>
      </c>
      <c r="AT562" s="122" t="e">
        <v>#N/A</v>
      </c>
      <c r="AU562" s="121">
        <v>45923</v>
      </c>
      <c r="AV562" s="122">
        <v>45601</v>
      </c>
      <c r="AW562" s="122">
        <v>45607</v>
      </c>
      <c r="AX562" s="122" t="e">
        <v>#N/A</v>
      </c>
      <c r="AY562" s="122" t="e">
        <v>#N/A</v>
      </c>
      <c r="AZ562" s="122" t="e">
        <v>#N/A</v>
      </c>
      <c r="BA562" s="122" t="e">
        <v>#N/A</v>
      </c>
      <c r="BB562" s="122" t="e">
        <v>#N/A</v>
      </c>
      <c r="BC562" s="122" t="e">
        <v>#N/A</v>
      </c>
      <c r="BD562" s="122" t="e">
        <v>#N/A</v>
      </c>
      <c r="BE562" s="122" t="e">
        <v>#N/A</v>
      </c>
      <c r="BF562" s="122" t="e">
        <v>#N/A</v>
      </c>
      <c r="BG562" s="122" t="e">
        <v>#N/A</v>
      </c>
      <c r="BH562" s="122" t="e">
        <v>#N/A</v>
      </c>
      <c r="BI562" s="122" t="e">
        <v>#N/A</v>
      </c>
      <c r="BJ562" s="122" t="e">
        <v>#N/A</v>
      </c>
      <c r="BK562" s="122">
        <v>46009</v>
      </c>
      <c r="BL562" s="123"/>
      <c r="BM562" s="124">
        <v>44197</v>
      </c>
      <c r="BN562" s="124">
        <v>44197</v>
      </c>
      <c r="BO562" s="124">
        <v>44615</v>
      </c>
      <c r="BP562" s="124">
        <v>45369</v>
      </c>
      <c r="BQ562" s="124">
        <v>44701</v>
      </c>
      <c r="BR562" s="124">
        <v>44704</v>
      </c>
      <c r="BS562" s="124">
        <v>44197</v>
      </c>
      <c r="BT562" s="124">
        <v>44197</v>
      </c>
      <c r="BU562" s="124" t="e">
        <v>#N/A</v>
      </c>
      <c r="BV562" s="124" t="e">
        <v>#N/A</v>
      </c>
      <c r="BW562" s="124" t="e">
        <v>#N/A</v>
      </c>
      <c r="BX562" s="124">
        <v>44197</v>
      </c>
      <c r="BY562" s="124" t="e">
        <v>#N/A</v>
      </c>
      <c r="BZ562" s="124">
        <v>45597</v>
      </c>
      <c r="CA562" s="125"/>
      <c r="CB562" s="124" t="e">
        <v>#N/A</v>
      </c>
      <c r="CC562" s="126">
        <v>1</v>
      </c>
      <c r="CD562" s="127" t="s">
        <v>4169</v>
      </c>
      <c r="CE562" s="128"/>
      <c r="CF562" s="77" t="s">
        <v>4211</v>
      </c>
    </row>
    <row r="563" spans="1:85" ht="14.5" x14ac:dyDescent="0.35">
      <c r="A563" s="77">
        <v>562</v>
      </c>
      <c r="B563" s="106" t="s">
        <v>95</v>
      </c>
      <c r="C563" s="107" t="s">
        <v>1383</v>
      </c>
      <c r="D563" s="108" t="s">
        <v>671</v>
      </c>
      <c r="E563" s="109" t="s">
        <v>1691</v>
      </c>
      <c r="F563" s="110">
        <v>618650755</v>
      </c>
      <c r="G563" s="108" t="s">
        <v>1004</v>
      </c>
      <c r="H563" s="111" t="s">
        <v>322</v>
      </c>
      <c r="I563" s="111" t="s">
        <v>180</v>
      </c>
      <c r="J563" s="111" t="s">
        <v>4648</v>
      </c>
      <c r="K563" s="111" t="s">
        <v>3159</v>
      </c>
      <c r="L563" s="112">
        <v>43647</v>
      </c>
      <c r="M563" s="111" t="s">
        <v>597</v>
      </c>
      <c r="N563" s="113"/>
      <c r="O563" s="114" t="s">
        <v>6899</v>
      </c>
      <c r="P563" s="114" t="s">
        <v>6899</v>
      </c>
      <c r="Q563" s="114" t="s">
        <v>6899</v>
      </c>
      <c r="R563" s="114" t="s">
        <v>6899</v>
      </c>
      <c r="S563" s="114" t="s">
        <v>6899</v>
      </c>
      <c r="T563" s="114" t="s">
        <v>6899</v>
      </c>
      <c r="U563" s="114" t="s">
        <v>6899</v>
      </c>
      <c r="V563" s="115"/>
      <c r="W563" s="116" t="s">
        <v>672</v>
      </c>
      <c r="X563" s="116" t="s">
        <v>673</v>
      </c>
      <c r="Y563" s="117">
        <v>3485013</v>
      </c>
      <c r="Z563" s="117">
        <v>3481125</v>
      </c>
      <c r="AA563" s="118"/>
      <c r="AB563" s="119" t="s">
        <v>5884</v>
      </c>
      <c r="AC563" s="119" t="s">
        <v>1384</v>
      </c>
      <c r="AD563" s="119">
        <v>27943</v>
      </c>
      <c r="AE563" s="119" t="s">
        <v>674</v>
      </c>
      <c r="AF563" s="119" t="s">
        <v>7645</v>
      </c>
      <c r="AG563" s="120"/>
      <c r="AH563" s="121">
        <v>44197</v>
      </c>
      <c r="AI563" s="121">
        <v>44197</v>
      </c>
      <c r="AJ563" s="121">
        <v>44197</v>
      </c>
      <c r="AK563" s="122">
        <v>44197</v>
      </c>
      <c r="AL563" s="122" t="e">
        <v>#N/A</v>
      </c>
      <c r="AM563" s="122" t="e">
        <v>#N/A</v>
      </c>
      <c r="AN563" s="122" t="e">
        <v>#N/A</v>
      </c>
      <c r="AO563" s="121" t="e">
        <v>#N/A</v>
      </c>
      <c r="AP563" s="122" t="e">
        <v>#N/A</v>
      </c>
      <c r="AQ563" s="122" t="e">
        <v>#N/A</v>
      </c>
      <c r="AR563" s="122" t="e">
        <v>#N/A</v>
      </c>
      <c r="AS563" s="122" t="e">
        <v>#N/A</v>
      </c>
      <c r="AT563" s="122" t="e">
        <v>#N/A</v>
      </c>
      <c r="AU563" s="121">
        <v>45912</v>
      </c>
      <c r="AV563" s="122">
        <v>45601</v>
      </c>
      <c r="AW563" s="122">
        <v>45607</v>
      </c>
      <c r="AX563" s="122" t="e">
        <v>#N/A</v>
      </c>
      <c r="AY563" s="122" t="e">
        <v>#N/A</v>
      </c>
      <c r="AZ563" s="122" t="e">
        <v>#N/A</v>
      </c>
      <c r="BA563" s="122" t="e">
        <v>#N/A</v>
      </c>
      <c r="BB563" s="122" t="e">
        <v>#N/A</v>
      </c>
      <c r="BC563" s="122" t="e">
        <v>#N/A</v>
      </c>
      <c r="BD563" s="122" t="e">
        <v>#N/A</v>
      </c>
      <c r="BE563" s="122" t="e">
        <v>#N/A</v>
      </c>
      <c r="BF563" s="122" t="e">
        <v>#N/A</v>
      </c>
      <c r="BG563" s="122" t="e">
        <v>#N/A</v>
      </c>
      <c r="BH563" s="122" t="e">
        <v>#N/A</v>
      </c>
      <c r="BI563" s="122" t="e">
        <v>#N/A</v>
      </c>
      <c r="BJ563" s="122" t="e">
        <v>#N/A</v>
      </c>
      <c r="BK563" s="122">
        <v>45980</v>
      </c>
      <c r="BL563" s="123"/>
      <c r="BM563" s="124">
        <v>44519</v>
      </c>
      <c r="BN563" s="124">
        <v>44519</v>
      </c>
      <c r="BO563" s="124">
        <v>44519</v>
      </c>
      <c r="BP563" s="124">
        <v>45369</v>
      </c>
      <c r="BQ563" s="124">
        <v>44519</v>
      </c>
      <c r="BR563" s="124">
        <v>44704</v>
      </c>
      <c r="BS563" s="124">
        <v>44614</v>
      </c>
      <c r="BT563" s="124">
        <v>44635</v>
      </c>
      <c r="BU563" s="124" t="e">
        <v>#N/A</v>
      </c>
      <c r="BV563" s="124" t="e">
        <v>#N/A</v>
      </c>
      <c r="BW563" s="124" t="e">
        <v>#N/A</v>
      </c>
      <c r="BX563" s="124" t="e">
        <v>#N/A</v>
      </c>
      <c r="BY563" s="124" t="e">
        <v>#N/A</v>
      </c>
      <c r="BZ563" s="124">
        <v>45597</v>
      </c>
      <c r="CA563" s="125"/>
      <c r="CB563" s="124" t="e">
        <v>#N/A</v>
      </c>
      <c r="CC563" s="126">
        <v>1</v>
      </c>
      <c r="CD563" s="127" t="s">
        <v>4169</v>
      </c>
      <c r="CE563" s="128"/>
      <c r="CF563" s="77" t="s">
        <v>4211</v>
      </c>
    </row>
    <row r="564" spans="1:85" ht="14.5" x14ac:dyDescent="0.35">
      <c r="A564" s="77">
        <v>563</v>
      </c>
      <c r="B564" s="106" t="s">
        <v>101</v>
      </c>
      <c r="C564" s="107" t="s">
        <v>1225</v>
      </c>
      <c r="D564" s="108" t="s">
        <v>690</v>
      </c>
      <c r="E564" s="109" t="s">
        <v>691</v>
      </c>
      <c r="F564" s="110">
        <v>663459936</v>
      </c>
      <c r="G564" s="108" t="s">
        <v>1004</v>
      </c>
      <c r="H564" s="111" t="s">
        <v>322</v>
      </c>
      <c r="I564" s="111" t="s">
        <v>180</v>
      </c>
      <c r="J564" s="111" t="s">
        <v>4648</v>
      </c>
      <c r="K564" s="111" t="s">
        <v>3159</v>
      </c>
      <c r="L564" s="112">
        <v>43230</v>
      </c>
      <c r="M564" s="111" t="s">
        <v>597</v>
      </c>
      <c r="N564" s="113"/>
      <c r="O564" s="114" t="s">
        <v>367</v>
      </c>
      <c r="P564" s="114" t="s">
        <v>367</v>
      </c>
      <c r="Q564" s="114" t="s">
        <v>7411</v>
      </c>
      <c r="R564" s="114" t="s">
        <v>7411</v>
      </c>
      <c r="S564" s="114" t="s">
        <v>7411</v>
      </c>
      <c r="T564" s="114" t="s">
        <v>4356</v>
      </c>
      <c r="U564" s="114" t="s">
        <v>4356</v>
      </c>
      <c r="V564" s="115"/>
      <c r="W564" s="116" t="s">
        <v>1888</v>
      </c>
      <c r="X564" s="116" t="s">
        <v>2605</v>
      </c>
      <c r="Y564" s="117">
        <v>3485280</v>
      </c>
      <c r="Z564" s="117">
        <v>3481043</v>
      </c>
      <c r="AA564" s="118"/>
      <c r="AB564" s="119" t="s">
        <v>5340</v>
      </c>
      <c r="AC564" s="119" t="s">
        <v>1889</v>
      </c>
      <c r="AD564" s="119">
        <v>4290</v>
      </c>
      <c r="AE564" s="119" t="s">
        <v>1890</v>
      </c>
      <c r="AF564" s="119" t="s">
        <v>6216</v>
      </c>
      <c r="AG564" s="120"/>
      <c r="AH564" s="121">
        <v>44197</v>
      </c>
      <c r="AI564" s="121">
        <v>44197</v>
      </c>
      <c r="AJ564" s="121">
        <v>44197</v>
      </c>
      <c r="AK564" s="122">
        <v>44197</v>
      </c>
      <c r="AL564" s="122" t="e">
        <v>#N/A</v>
      </c>
      <c r="AM564" s="121" t="e">
        <v>#N/A</v>
      </c>
      <c r="AN564" s="121" t="e">
        <v>#N/A</v>
      </c>
      <c r="AO564" s="121" t="e">
        <v>#N/A</v>
      </c>
      <c r="AP564" s="122" t="e">
        <v>#N/A</v>
      </c>
      <c r="AQ564" s="122" t="e">
        <v>#N/A</v>
      </c>
      <c r="AR564" s="122" t="e">
        <v>#N/A</v>
      </c>
      <c r="AS564" s="122" t="e">
        <v>#N/A</v>
      </c>
      <c r="AT564" s="122" t="e">
        <v>#N/A</v>
      </c>
      <c r="AU564" s="121">
        <v>45912</v>
      </c>
      <c r="AV564" s="122">
        <v>45601</v>
      </c>
      <c r="AW564" s="122">
        <v>45607</v>
      </c>
      <c r="AX564" s="122" t="e">
        <v>#N/A</v>
      </c>
      <c r="AY564" s="122" t="e">
        <v>#N/A</v>
      </c>
      <c r="AZ564" s="122" t="e">
        <v>#N/A</v>
      </c>
      <c r="BA564" s="122" t="e">
        <v>#N/A</v>
      </c>
      <c r="BB564" s="122" t="e">
        <v>#N/A</v>
      </c>
      <c r="BC564" s="122" t="e">
        <v>#N/A</v>
      </c>
      <c r="BD564" s="122" t="e">
        <v>#N/A</v>
      </c>
      <c r="BE564" s="122" t="e">
        <v>#N/A</v>
      </c>
      <c r="BF564" s="122" t="e">
        <v>#N/A</v>
      </c>
      <c r="BG564" s="122" t="e">
        <v>#N/A</v>
      </c>
      <c r="BH564" s="122" t="e">
        <v>#N/A</v>
      </c>
      <c r="BI564" s="122" t="e">
        <v>#N/A</v>
      </c>
      <c r="BJ564" s="122" t="e">
        <v>#N/A</v>
      </c>
      <c r="BK564" s="122">
        <v>45953</v>
      </c>
      <c r="BL564" s="123"/>
      <c r="BM564" s="124">
        <v>44197</v>
      </c>
      <c r="BN564" s="124">
        <v>44197</v>
      </c>
      <c r="BO564" s="124">
        <v>44197</v>
      </c>
      <c r="BP564" s="124">
        <v>44197</v>
      </c>
      <c r="BQ564" s="124">
        <v>44197</v>
      </c>
      <c r="BR564" s="124">
        <v>44197</v>
      </c>
      <c r="BS564" s="124">
        <v>44197</v>
      </c>
      <c r="BT564" s="124">
        <v>44197</v>
      </c>
      <c r="BU564" s="124" t="e">
        <v>#N/A</v>
      </c>
      <c r="BV564" s="124" t="e">
        <v>#N/A</v>
      </c>
      <c r="BW564" s="124" t="e">
        <v>#N/A</v>
      </c>
      <c r="BX564" s="124">
        <v>44197</v>
      </c>
      <c r="BY564" s="124" t="e">
        <v>#N/A</v>
      </c>
      <c r="BZ564" s="124">
        <v>45597</v>
      </c>
      <c r="CA564" s="125"/>
      <c r="CB564" s="124">
        <v>45726</v>
      </c>
      <c r="CC564" s="126">
        <v>1</v>
      </c>
      <c r="CD564" s="127" t="s">
        <v>4169</v>
      </c>
      <c r="CE564" s="128"/>
      <c r="CF564" s="77" t="s">
        <v>7003</v>
      </c>
    </row>
    <row r="565" spans="1:85" ht="14.5" x14ac:dyDescent="0.35">
      <c r="A565" s="77">
        <v>564</v>
      </c>
      <c r="B565" s="106" t="s">
        <v>2305</v>
      </c>
      <c r="C565" s="107" t="s">
        <v>6487</v>
      </c>
      <c r="D565" s="108" t="s">
        <v>2306</v>
      </c>
      <c r="E565" s="109" t="s">
        <v>2307</v>
      </c>
      <c r="F565" s="110">
        <v>683236423</v>
      </c>
      <c r="G565" s="108" t="s">
        <v>1004</v>
      </c>
      <c r="H565" s="111" t="s">
        <v>322</v>
      </c>
      <c r="I565" s="111" t="s">
        <v>180</v>
      </c>
      <c r="J565" s="111" t="s">
        <v>4648</v>
      </c>
      <c r="K565" s="111" t="s">
        <v>3159</v>
      </c>
      <c r="L565" s="112">
        <v>44901</v>
      </c>
      <c r="M565" s="111" t="s">
        <v>1656</v>
      </c>
      <c r="N565" s="113"/>
      <c r="O565" s="114" t="s">
        <v>607</v>
      </c>
      <c r="P565" s="114" t="s">
        <v>557</v>
      </c>
      <c r="Q565" s="114" t="s">
        <v>4451</v>
      </c>
      <c r="R565" s="114" t="s">
        <v>7297</v>
      </c>
      <c r="S565" s="114" t="s">
        <v>607</v>
      </c>
      <c r="T565" s="114" t="s">
        <v>183</v>
      </c>
      <c r="U565" s="114" t="s">
        <v>183</v>
      </c>
      <c r="V565" s="115"/>
      <c r="W565" s="116" t="s">
        <v>2308</v>
      </c>
      <c r="X565" s="116" t="s">
        <v>2309</v>
      </c>
      <c r="Y565" s="117">
        <v>3485759</v>
      </c>
      <c r="Z565" s="117">
        <v>3486589</v>
      </c>
      <c r="AA565" s="118"/>
      <c r="AB565" s="119" t="s">
        <v>5178</v>
      </c>
      <c r="AC565" s="119" t="s">
        <v>2376</v>
      </c>
      <c r="AD565" s="119">
        <v>4475</v>
      </c>
      <c r="AE565" s="119" t="s">
        <v>2347</v>
      </c>
      <c r="AF565" s="119" t="s">
        <v>7646</v>
      </c>
      <c r="AG565" s="120"/>
      <c r="AH565" s="121">
        <v>44824</v>
      </c>
      <c r="AI565" s="121">
        <v>44824</v>
      </c>
      <c r="AJ565" s="121">
        <v>44824</v>
      </c>
      <c r="AK565" s="122">
        <v>44994</v>
      </c>
      <c r="AL565" s="122">
        <v>45072</v>
      </c>
      <c r="AM565" s="121">
        <v>45082</v>
      </c>
      <c r="AN565" s="121" t="s">
        <v>7106</v>
      </c>
      <c r="AO565" s="121" t="e">
        <v>#N/A</v>
      </c>
      <c r="AP565" s="122" t="e">
        <v>#N/A</v>
      </c>
      <c r="AQ565" s="122" t="e">
        <v>#N/A</v>
      </c>
      <c r="AR565" s="122">
        <v>45072</v>
      </c>
      <c r="AS565" s="122" t="e">
        <v>#N/A</v>
      </c>
      <c r="AT565" s="122" t="e">
        <v>#N/A</v>
      </c>
      <c r="AU565" s="121" t="e">
        <v>#N/A</v>
      </c>
      <c r="AV565" s="122" t="e">
        <v>#N/A</v>
      </c>
      <c r="AW565" s="122" t="e">
        <v>#N/A</v>
      </c>
      <c r="AX565" s="122" t="e">
        <v>#N/A</v>
      </c>
      <c r="AY565" s="122" t="e">
        <v>#N/A</v>
      </c>
      <c r="AZ565" s="122" t="e">
        <v>#N/A</v>
      </c>
      <c r="BA565" s="122">
        <v>45082</v>
      </c>
      <c r="BB565" s="122" t="e">
        <v>#N/A</v>
      </c>
      <c r="BC565" s="122" t="e">
        <v>#N/A</v>
      </c>
      <c r="BD565" s="122" t="e">
        <v>#N/A</v>
      </c>
      <c r="BE565" s="122" t="e">
        <v>#N/A</v>
      </c>
      <c r="BF565" s="122" t="e">
        <v>#N/A</v>
      </c>
      <c r="BG565" s="122" t="e">
        <v>#N/A</v>
      </c>
      <c r="BH565" s="122" t="e">
        <v>#N/A</v>
      </c>
      <c r="BI565" s="122" t="e">
        <v>#N/A</v>
      </c>
      <c r="BJ565" s="122" t="e">
        <v>#N/A</v>
      </c>
      <c r="BK565" s="122">
        <v>45974</v>
      </c>
      <c r="BL565" s="123"/>
      <c r="BM565" s="124">
        <v>45371</v>
      </c>
      <c r="BN565" s="124">
        <v>45373</v>
      </c>
      <c r="BO565" s="124">
        <v>45583</v>
      </c>
      <c r="BP565" s="124" t="e">
        <v>#N/A</v>
      </c>
      <c r="BQ565" s="124" t="e">
        <v>#N/A</v>
      </c>
      <c r="BR565" s="124">
        <v>45971</v>
      </c>
      <c r="BS565" s="124">
        <v>45583</v>
      </c>
      <c r="BT565" s="124">
        <v>45583</v>
      </c>
      <c r="BU565" s="124" t="e">
        <v>#N/A</v>
      </c>
      <c r="BV565" s="124" t="e">
        <v>#N/A</v>
      </c>
      <c r="BW565" s="124" t="e">
        <v>#N/A</v>
      </c>
      <c r="BX565" s="124">
        <v>45863</v>
      </c>
      <c r="BY565" s="124" t="e">
        <v>#N/A</v>
      </c>
      <c r="BZ565" s="124" t="e">
        <v>#N/A</v>
      </c>
      <c r="CA565" s="125"/>
      <c r="CB565" s="124" t="e">
        <v>#N/A</v>
      </c>
      <c r="CC565" s="126">
        <v>1</v>
      </c>
      <c r="CD565" s="127" t="s">
        <v>4187</v>
      </c>
      <c r="CE565" s="128" t="e">
        <v>#REF!</v>
      </c>
      <c r="CF565" s="77" t="s">
        <v>4395</v>
      </c>
      <c r="CG565" s="77" t="e">
        <v>#REF!</v>
      </c>
    </row>
    <row r="566" spans="1:85" ht="14.5" x14ac:dyDescent="0.35">
      <c r="A566" s="77">
        <v>565</v>
      </c>
      <c r="B566" s="106" t="s">
        <v>2313</v>
      </c>
      <c r="C566" s="107" t="s">
        <v>6418</v>
      </c>
      <c r="D566" s="108" t="s">
        <v>2314</v>
      </c>
      <c r="E566" s="109" t="s">
        <v>2315</v>
      </c>
      <c r="F566" s="110">
        <v>636873559</v>
      </c>
      <c r="G566" s="108" t="s">
        <v>1004</v>
      </c>
      <c r="H566" s="111" t="s">
        <v>322</v>
      </c>
      <c r="I566" s="111" t="s">
        <v>180</v>
      </c>
      <c r="J566" s="111" t="s">
        <v>4648</v>
      </c>
      <c r="K566" s="111" t="s">
        <v>3159</v>
      </c>
      <c r="L566" s="112">
        <v>40820</v>
      </c>
      <c r="M566" s="111" t="s">
        <v>740</v>
      </c>
      <c r="N566" s="113"/>
      <c r="O566" s="114" t="s">
        <v>459</v>
      </c>
      <c r="P566" s="114" t="s">
        <v>459</v>
      </c>
      <c r="Q566" s="114" t="s">
        <v>459</v>
      </c>
      <c r="R566" s="114" t="s">
        <v>7322</v>
      </c>
      <c r="S566" s="114" t="s">
        <v>459</v>
      </c>
      <c r="T566" s="114" t="s">
        <v>183</v>
      </c>
      <c r="U566" s="114" t="s">
        <v>183</v>
      </c>
      <c r="V566" s="115"/>
      <c r="W566" s="116" t="s">
        <v>2316</v>
      </c>
      <c r="X566" s="116" t="s">
        <v>2317</v>
      </c>
      <c r="Y566" s="117">
        <v>3485655</v>
      </c>
      <c r="Z566" s="117">
        <v>3486591</v>
      </c>
      <c r="AA566" s="118"/>
      <c r="AB566" s="119" t="s">
        <v>5751</v>
      </c>
      <c r="AC566" s="119" t="s">
        <v>2318</v>
      </c>
      <c r="AD566" s="119">
        <v>27686</v>
      </c>
      <c r="AE566" s="119" t="s">
        <v>2319</v>
      </c>
      <c r="AF566" s="119">
        <v>0</v>
      </c>
      <c r="AG566" s="120"/>
      <c r="AH566" s="121">
        <v>44826</v>
      </c>
      <c r="AI566" s="121">
        <v>44826</v>
      </c>
      <c r="AJ566" s="121">
        <v>44826</v>
      </c>
      <c r="AK566" s="122">
        <v>44894</v>
      </c>
      <c r="AL566" s="122">
        <v>45075</v>
      </c>
      <c r="AM566" s="121">
        <v>45082</v>
      </c>
      <c r="AN566" s="121" t="s">
        <v>5691</v>
      </c>
      <c r="AO566" s="121" t="e">
        <v>#N/A</v>
      </c>
      <c r="AP566" s="122" t="e">
        <v>#N/A</v>
      </c>
      <c r="AQ566" s="122" t="e">
        <v>#N/A</v>
      </c>
      <c r="AR566" s="122">
        <v>45075</v>
      </c>
      <c r="AS566" s="122" t="e">
        <v>#N/A</v>
      </c>
      <c r="AT566" s="122" t="e">
        <v>#N/A</v>
      </c>
      <c r="AU566" s="121" t="e">
        <v>#N/A</v>
      </c>
      <c r="AV566" s="122" t="e">
        <v>#N/A</v>
      </c>
      <c r="AW566" s="122" t="e">
        <v>#N/A</v>
      </c>
      <c r="AX566" s="122" t="e">
        <v>#N/A</v>
      </c>
      <c r="AY566" s="122" t="e">
        <v>#N/A</v>
      </c>
      <c r="AZ566" s="122" t="e">
        <v>#N/A</v>
      </c>
      <c r="BA566" s="122">
        <v>45082</v>
      </c>
      <c r="BB566" s="122" t="e">
        <v>#N/A</v>
      </c>
      <c r="BC566" s="122" t="e">
        <v>#N/A</v>
      </c>
      <c r="BD566" s="122" t="e">
        <v>#N/A</v>
      </c>
      <c r="BE566" s="122" t="e">
        <v>#N/A</v>
      </c>
      <c r="BF566" s="122" t="e">
        <v>#N/A</v>
      </c>
      <c r="BG566" s="122" t="e">
        <v>#N/A</v>
      </c>
      <c r="BH566" s="122" t="e">
        <v>#N/A</v>
      </c>
      <c r="BI566" s="122" t="e">
        <v>#N/A</v>
      </c>
      <c r="BJ566" s="122" t="e">
        <v>#N/A</v>
      </c>
      <c r="BK566" s="122" t="e">
        <v>#N/A</v>
      </c>
      <c r="BL566" s="123"/>
      <c r="BM566" s="124">
        <v>45371</v>
      </c>
      <c r="BN566" s="124">
        <v>45373</v>
      </c>
      <c r="BO566" s="124">
        <v>45583</v>
      </c>
      <c r="BP566" s="124" t="e">
        <v>#N/A</v>
      </c>
      <c r="BQ566" s="124" t="e">
        <v>#N/A</v>
      </c>
      <c r="BR566" s="124" t="e">
        <v>#N/A</v>
      </c>
      <c r="BS566" s="124">
        <v>45373</v>
      </c>
      <c r="BT566" s="124" t="e">
        <v>#N/A</v>
      </c>
      <c r="BU566" s="124" t="e">
        <v>#N/A</v>
      </c>
      <c r="BV566" s="124" t="e">
        <v>#N/A</v>
      </c>
      <c r="BW566" s="124" t="e">
        <v>#N/A</v>
      </c>
      <c r="BX566" s="124" t="e">
        <v>#N/A</v>
      </c>
      <c r="BY566" s="124" t="e">
        <v>#N/A</v>
      </c>
      <c r="BZ566" s="124" t="e">
        <v>#N/A</v>
      </c>
      <c r="CA566" s="125"/>
      <c r="CB566" s="124">
        <v>45733</v>
      </c>
      <c r="CC566" s="126">
        <v>1</v>
      </c>
      <c r="CD566" s="127" t="s">
        <v>4189</v>
      </c>
      <c r="CE566" s="128"/>
      <c r="CF566" s="77" t="s">
        <v>4395</v>
      </c>
    </row>
    <row r="567" spans="1:85" ht="14.5" x14ac:dyDescent="0.35">
      <c r="A567" s="77">
        <v>566</v>
      </c>
      <c r="B567" s="106" t="s">
        <v>2300</v>
      </c>
      <c r="C567" s="107" t="s">
        <v>6488</v>
      </c>
      <c r="D567" s="108" t="s">
        <v>2301</v>
      </c>
      <c r="E567" s="109" t="s">
        <v>2302</v>
      </c>
      <c r="F567" s="110">
        <v>663649815</v>
      </c>
      <c r="G567" s="108" t="s">
        <v>1004</v>
      </c>
      <c r="H567" s="111" t="s">
        <v>322</v>
      </c>
      <c r="I567" s="111" t="s">
        <v>180</v>
      </c>
      <c r="J567" s="111" t="s">
        <v>4648</v>
      </c>
      <c r="K567" s="111" t="s">
        <v>3159</v>
      </c>
      <c r="L567" s="112">
        <v>44901</v>
      </c>
      <c r="M567" s="111" t="s">
        <v>728</v>
      </c>
      <c r="N567" s="113"/>
      <c r="O567" s="114" t="s">
        <v>286</v>
      </c>
      <c r="P567" s="114" t="s">
        <v>286</v>
      </c>
      <c r="Q567" s="114" t="s">
        <v>286</v>
      </c>
      <c r="R567" s="114" t="s">
        <v>7301</v>
      </c>
      <c r="S567" s="114" t="s">
        <v>286</v>
      </c>
      <c r="T567" s="114" t="s">
        <v>183</v>
      </c>
      <c r="U567" s="114" t="s">
        <v>183</v>
      </c>
      <c r="V567" s="115"/>
      <c r="W567" s="116" t="s">
        <v>2303</v>
      </c>
      <c r="X567" s="116" t="s">
        <v>2304</v>
      </c>
      <c r="Y567" s="117">
        <v>3485764</v>
      </c>
      <c r="Z567" s="117">
        <v>3486590</v>
      </c>
      <c r="AA567" s="118"/>
      <c r="AB567" s="119" t="s">
        <v>5885</v>
      </c>
      <c r="AC567" s="119" t="s">
        <v>2375</v>
      </c>
      <c r="AD567" s="119">
        <v>5894</v>
      </c>
      <c r="AE567" s="119" t="s">
        <v>3405</v>
      </c>
      <c r="AF567" s="119">
        <v>0</v>
      </c>
      <c r="AG567" s="120"/>
      <c r="AH567" s="121">
        <v>44824</v>
      </c>
      <c r="AI567" s="121">
        <v>44824</v>
      </c>
      <c r="AJ567" s="121">
        <v>44824</v>
      </c>
      <c r="AK567" s="122">
        <v>44879</v>
      </c>
      <c r="AL567" s="122">
        <v>44911</v>
      </c>
      <c r="AM567" s="122" t="e">
        <v>#N/A</v>
      </c>
      <c r="AN567" s="122" t="e">
        <v>#N/A</v>
      </c>
      <c r="AO567" s="121" t="e">
        <v>#N/A</v>
      </c>
      <c r="AP567" s="122" t="e">
        <v>#N/A</v>
      </c>
      <c r="AQ567" s="122" t="e">
        <v>#N/A</v>
      </c>
      <c r="AR567" s="122" t="e">
        <v>#N/A</v>
      </c>
      <c r="AS567" s="122" t="e">
        <v>#N/A</v>
      </c>
      <c r="AT567" s="122" t="e">
        <v>#N/A</v>
      </c>
      <c r="AU567" s="121" t="e">
        <v>#N/A</v>
      </c>
      <c r="AV567" s="122" t="e">
        <v>#N/A</v>
      </c>
      <c r="AW567" s="122" t="e">
        <v>#N/A</v>
      </c>
      <c r="AX567" s="122" t="e">
        <v>#N/A</v>
      </c>
      <c r="AY567" s="122" t="e">
        <v>#N/A</v>
      </c>
      <c r="AZ567" s="122" t="e">
        <v>#N/A</v>
      </c>
      <c r="BA567" s="122" t="e">
        <v>#N/A</v>
      </c>
      <c r="BB567" s="122" t="e">
        <v>#N/A</v>
      </c>
      <c r="BC567" s="122" t="e">
        <v>#N/A</v>
      </c>
      <c r="BD567" s="122" t="e">
        <v>#N/A</v>
      </c>
      <c r="BE567" s="122" t="e">
        <v>#N/A</v>
      </c>
      <c r="BF567" s="122" t="e">
        <v>#N/A</v>
      </c>
      <c r="BG567" s="122" t="e">
        <v>#N/A</v>
      </c>
      <c r="BH567" s="122" t="e">
        <v>#N/A</v>
      </c>
      <c r="BI567" s="122" t="e">
        <v>#N/A</v>
      </c>
      <c r="BJ567" s="122" t="e">
        <v>#N/A</v>
      </c>
      <c r="BK567" s="122" t="e">
        <v>#N/A</v>
      </c>
      <c r="BL567" s="123"/>
      <c r="BM567" s="124">
        <v>45000</v>
      </c>
      <c r="BN567" s="124">
        <v>45000</v>
      </c>
      <c r="BO567" s="124">
        <v>45000</v>
      </c>
      <c r="BP567" s="124">
        <v>45000</v>
      </c>
      <c r="BQ567" s="124">
        <v>45000</v>
      </c>
      <c r="BR567" s="124">
        <v>45000</v>
      </c>
      <c r="BS567" s="124">
        <v>45029</v>
      </c>
      <c r="BT567" s="124">
        <v>45029</v>
      </c>
      <c r="BU567" s="124" t="e">
        <v>#N/A</v>
      </c>
      <c r="BV567" s="124" t="e">
        <v>#N/A</v>
      </c>
      <c r="BW567" s="124" t="e">
        <v>#N/A</v>
      </c>
      <c r="BX567" s="124">
        <v>44197</v>
      </c>
      <c r="BY567" s="124" t="e">
        <v>#N/A</v>
      </c>
      <c r="BZ567" s="124" t="e">
        <v>#N/A</v>
      </c>
      <c r="CA567" s="125"/>
      <c r="CB567" s="124" t="e">
        <v>#N/A</v>
      </c>
      <c r="CC567" s="126">
        <v>1</v>
      </c>
      <c r="CD567" s="127" t="s">
        <v>4187</v>
      </c>
      <c r="CE567" s="128"/>
      <c r="CF567" s="77" t="s">
        <v>4394</v>
      </c>
    </row>
    <row r="568" spans="1:85" ht="14.5" x14ac:dyDescent="0.35">
      <c r="A568" s="77">
        <v>567</v>
      </c>
      <c r="B568" s="106" t="s">
        <v>67</v>
      </c>
      <c r="C568" s="107" t="s">
        <v>1208</v>
      </c>
      <c r="D568" s="108" t="s">
        <v>583</v>
      </c>
      <c r="E568" s="109" t="s">
        <v>584</v>
      </c>
      <c r="F568" s="110">
        <v>687377028</v>
      </c>
      <c r="G568" s="108" t="s">
        <v>1004</v>
      </c>
      <c r="H568" s="111" t="s">
        <v>322</v>
      </c>
      <c r="I568" s="111" t="s">
        <v>180</v>
      </c>
      <c r="J568" s="111" t="s">
        <v>4648</v>
      </c>
      <c r="K568" s="111" t="s">
        <v>3159</v>
      </c>
      <c r="L568" s="112">
        <v>42705</v>
      </c>
      <c r="M568" s="111" t="s">
        <v>728</v>
      </c>
      <c r="N568" s="113"/>
      <c r="O568" s="114" t="s">
        <v>585</v>
      </c>
      <c r="P568" s="114" t="s">
        <v>585</v>
      </c>
      <c r="Q568" s="114" t="s">
        <v>4477</v>
      </c>
      <c r="R568" s="114" t="s">
        <v>7296</v>
      </c>
      <c r="S568" s="114" t="s">
        <v>585</v>
      </c>
      <c r="T568" s="114" t="s">
        <v>183</v>
      </c>
      <c r="U568" s="114" t="s">
        <v>183</v>
      </c>
      <c r="V568" s="115"/>
      <c r="W568" s="116" t="s">
        <v>1857</v>
      </c>
      <c r="X568" s="116" t="s">
        <v>1858</v>
      </c>
      <c r="Y568" s="117">
        <v>3485542</v>
      </c>
      <c r="Z568" s="117">
        <v>3481005</v>
      </c>
      <c r="AA568" s="118"/>
      <c r="AB568" s="119" t="s">
        <v>5886</v>
      </c>
      <c r="AC568" s="119" t="s">
        <v>1859</v>
      </c>
      <c r="AD568" s="119">
        <v>5156</v>
      </c>
      <c r="AE568" s="119" t="s">
        <v>1860</v>
      </c>
      <c r="AF568" s="119">
        <v>0</v>
      </c>
      <c r="AG568" s="120"/>
      <c r="AH568" s="121">
        <v>44197</v>
      </c>
      <c r="AI568" s="121">
        <v>44197</v>
      </c>
      <c r="AJ568" s="121">
        <v>44197</v>
      </c>
      <c r="AK568" s="122">
        <v>44197</v>
      </c>
      <c r="AL568" s="122" t="e">
        <v>#N/A</v>
      </c>
      <c r="AM568" s="121" t="e">
        <v>#N/A</v>
      </c>
      <c r="AN568" s="121" t="e">
        <v>#N/A</v>
      </c>
      <c r="AO568" s="121" t="e">
        <v>#N/A</v>
      </c>
      <c r="AP568" s="122" t="e">
        <v>#N/A</v>
      </c>
      <c r="AQ568" s="122" t="e">
        <v>#N/A</v>
      </c>
      <c r="AR568" s="122" t="e">
        <v>#N/A</v>
      </c>
      <c r="AS568" s="122" t="e">
        <v>#N/A</v>
      </c>
      <c r="AT568" s="122" t="e">
        <v>#N/A</v>
      </c>
      <c r="AU568" s="121" t="e">
        <v>#N/A</v>
      </c>
      <c r="AV568" s="122" t="e">
        <v>#N/A</v>
      </c>
      <c r="AW568" s="122" t="e">
        <v>#N/A</v>
      </c>
      <c r="AX568" s="122" t="e">
        <v>#N/A</v>
      </c>
      <c r="AY568" s="122" t="e">
        <v>#N/A</v>
      </c>
      <c r="AZ568" s="122" t="e">
        <v>#N/A</v>
      </c>
      <c r="BA568" s="122" t="e">
        <v>#N/A</v>
      </c>
      <c r="BB568" s="122" t="e">
        <v>#N/A</v>
      </c>
      <c r="BC568" s="122" t="e">
        <v>#N/A</v>
      </c>
      <c r="BD568" s="122" t="e">
        <v>#N/A</v>
      </c>
      <c r="BE568" s="122" t="e">
        <v>#N/A</v>
      </c>
      <c r="BF568" s="122" t="e">
        <v>#N/A</v>
      </c>
      <c r="BG568" s="122" t="e">
        <v>#N/A</v>
      </c>
      <c r="BH568" s="122" t="e">
        <v>#N/A</v>
      </c>
      <c r="BI568" s="122" t="e">
        <v>#N/A</v>
      </c>
      <c r="BJ568" s="122" t="e">
        <v>#N/A</v>
      </c>
      <c r="BK568" s="122" t="e">
        <v>#N/A</v>
      </c>
      <c r="BL568" s="123"/>
      <c r="BM568" s="124">
        <v>44197</v>
      </c>
      <c r="BN568" s="124">
        <v>44197</v>
      </c>
      <c r="BO568" s="124">
        <v>44197</v>
      </c>
      <c r="BP568" s="124">
        <v>44197</v>
      </c>
      <c r="BQ568" s="124">
        <v>44197</v>
      </c>
      <c r="BR568" s="124">
        <v>44704</v>
      </c>
      <c r="BS568" s="124">
        <v>44197</v>
      </c>
      <c r="BT568" s="124">
        <v>44636</v>
      </c>
      <c r="BU568" s="124" t="e">
        <v>#N/A</v>
      </c>
      <c r="BV568" s="124" t="e">
        <v>#N/A</v>
      </c>
      <c r="BW568" s="124" t="e">
        <v>#N/A</v>
      </c>
      <c r="BX568" s="124">
        <v>44636</v>
      </c>
      <c r="BY568" s="124" t="e">
        <v>#N/A</v>
      </c>
      <c r="BZ568" s="124" t="e">
        <v>#N/A</v>
      </c>
      <c r="CA568" s="125"/>
      <c r="CB568" s="124" t="e">
        <v>#N/A</v>
      </c>
      <c r="CC568" s="126">
        <v>1</v>
      </c>
      <c r="CD568" s="127" t="s">
        <v>4169</v>
      </c>
      <c r="CE568" s="128"/>
      <c r="CF568" s="77" t="s">
        <v>4395</v>
      </c>
    </row>
    <row r="569" spans="1:85" ht="14.5" x14ac:dyDescent="0.35">
      <c r="A569" s="77">
        <v>568</v>
      </c>
      <c r="B569" s="106" t="s">
        <v>94</v>
      </c>
      <c r="C569" s="107" t="s">
        <v>1424</v>
      </c>
      <c r="D569" s="108" t="s">
        <v>669</v>
      </c>
      <c r="E569" s="109" t="s">
        <v>670</v>
      </c>
      <c r="F569" s="110">
        <v>645716634</v>
      </c>
      <c r="G569" s="108" t="s">
        <v>1004</v>
      </c>
      <c r="H569" s="111" t="s">
        <v>322</v>
      </c>
      <c r="I569" s="111" t="s">
        <v>180</v>
      </c>
      <c r="J569" s="111" t="s">
        <v>4648</v>
      </c>
      <c r="K569" s="111" t="s">
        <v>3159</v>
      </c>
      <c r="L569" s="112">
        <v>43230</v>
      </c>
      <c r="M569" s="111" t="s">
        <v>740</v>
      </c>
      <c r="N569" s="113"/>
      <c r="O569" s="114" t="s">
        <v>557</v>
      </c>
      <c r="P569" s="114" t="s">
        <v>7647</v>
      </c>
      <c r="Q569" s="114" t="s">
        <v>557</v>
      </c>
      <c r="R569" s="114" t="s">
        <v>557</v>
      </c>
      <c r="S569" s="114" t="s">
        <v>557</v>
      </c>
      <c r="T569" s="114" t="s">
        <v>183</v>
      </c>
      <c r="U569" s="114" t="s">
        <v>183</v>
      </c>
      <c r="V569" s="115"/>
      <c r="W569" s="116" t="s">
        <v>1987</v>
      </c>
      <c r="X569" s="116" t="s">
        <v>1988</v>
      </c>
      <c r="Y569" s="117">
        <v>3485541</v>
      </c>
      <c r="Z569" s="117">
        <v>3481080</v>
      </c>
      <c r="AA569" s="118"/>
      <c r="AB569" s="119" t="s">
        <v>1989</v>
      </c>
      <c r="AC569" s="119" t="s">
        <v>1990</v>
      </c>
      <c r="AD569" s="119">
        <v>5395</v>
      </c>
      <c r="AE569" s="119" t="s">
        <v>5674</v>
      </c>
      <c r="AF569" s="119" t="s">
        <v>7648</v>
      </c>
      <c r="AG569" s="120"/>
      <c r="AH569" s="121">
        <v>44197</v>
      </c>
      <c r="AI569" s="121">
        <v>44197</v>
      </c>
      <c r="AJ569" s="121">
        <v>44197</v>
      </c>
      <c r="AK569" s="122">
        <v>44197</v>
      </c>
      <c r="AL569" s="122" t="e">
        <v>#N/A</v>
      </c>
      <c r="AM569" s="121" t="e">
        <v>#N/A</v>
      </c>
      <c r="AN569" s="121" t="e">
        <v>#N/A</v>
      </c>
      <c r="AO569" s="121" t="e">
        <v>#N/A</v>
      </c>
      <c r="AP569" s="122" t="e">
        <v>#N/A</v>
      </c>
      <c r="AQ569" s="122" t="e">
        <v>#N/A</v>
      </c>
      <c r="AR569" s="122" t="e">
        <v>#N/A</v>
      </c>
      <c r="AS569" s="122" t="e">
        <v>#N/A</v>
      </c>
      <c r="AT569" s="122" t="e">
        <v>#N/A</v>
      </c>
      <c r="AU569" s="121" t="e">
        <v>#N/A</v>
      </c>
      <c r="AV569" s="122" t="e">
        <v>#N/A</v>
      </c>
      <c r="AW569" s="122" t="e">
        <v>#N/A</v>
      </c>
      <c r="AX569" s="122" t="e">
        <v>#N/A</v>
      </c>
      <c r="AY569" s="122" t="e">
        <v>#N/A</v>
      </c>
      <c r="AZ569" s="122" t="e">
        <v>#N/A</v>
      </c>
      <c r="BA569" s="122" t="e">
        <v>#N/A</v>
      </c>
      <c r="BB569" s="122" t="e">
        <v>#N/A</v>
      </c>
      <c r="BC569" s="122" t="e">
        <v>#N/A</v>
      </c>
      <c r="BD569" s="122" t="e">
        <v>#N/A</v>
      </c>
      <c r="BE569" s="122" t="e">
        <v>#N/A</v>
      </c>
      <c r="BF569" s="122" t="e">
        <v>#N/A</v>
      </c>
      <c r="BG569" s="122" t="e">
        <v>#N/A</v>
      </c>
      <c r="BH569" s="122" t="e">
        <v>#N/A</v>
      </c>
      <c r="BI569" s="122" t="e">
        <v>#N/A</v>
      </c>
      <c r="BJ569" s="122" t="e">
        <v>#N/A</v>
      </c>
      <c r="BK569" s="122">
        <v>45974</v>
      </c>
      <c r="BL569" s="123"/>
      <c r="BM569" s="124">
        <v>44197</v>
      </c>
      <c r="BN569" s="124">
        <v>44777</v>
      </c>
      <c r="BO569" s="124">
        <v>44615</v>
      </c>
      <c r="BP569" s="124">
        <v>44642</v>
      </c>
      <c r="BQ569" s="124">
        <v>44701</v>
      </c>
      <c r="BR569" s="124">
        <v>44704</v>
      </c>
      <c r="BS569" s="124">
        <v>44614</v>
      </c>
      <c r="BT569" s="124">
        <v>44614</v>
      </c>
      <c r="BU569" s="124" t="e">
        <v>#N/A</v>
      </c>
      <c r="BV569" s="124" t="e">
        <v>#N/A</v>
      </c>
      <c r="BW569" s="124" t="e">
        <v>#N/A</v>
      </c>
      <c r="BX569" s="124">
        <v>45944</v>
      </c>
      <c r="BY569" s="124" t="e">
        <v>#N/A</v>
      </c>
      <c r="BZ569" s="124" t="e">
        <v>#N/A</v>
      </c>
      <c r="CA569" s="125"/>
      <c r="CB569" s="124" t="e">
        <v>#N/A</v>
      </c>
      <c r="CC569" s="126">
        <v>1</v>
      </c>
      <c r="CD569" s="127" t="s">
        <v>4169</v>
      </c>
      <c r="CE569" s="128"/>
      <c r="CF569" s="77" t="s">
        <v>4395</v>
      </c>
    </row>
    <row r="570" spans="1:85" ht="14.5" x14ac:dyDescent="0.35">
      <c r="A570" s="77">
        <v>569</v>
      </c>
      <c r="B570" s="106" t="s">
        <v>104</v>
      </c>
      <c r="C570" s="107" t="s">
        <v>1331</v>
      </c>
      <c r="D570" s="108" t="s">
        <v>697</v>
      </c>
      <c r="E570" s="109" t="s">
        <v>698</v>
      </c>
      <c r="F570" s="110">
        <v>677815458</v>
      </c>
      <c r="G570" s="108" t="s">
        <v>1004</v>
      </c>
      <c r="H570" s="111" t="s">
        <v>322</v>
      </c>
      <c r="I570" s="111" t="s">
        <v>180</v>
      </c>
      <c r="J570" s="111" t="s">
        <v>4648</v>
      </c>
      <c r="K570" s="111" t="s">
        <v>3159</v>
      </c>
      <c r="L570" s="112">
        <v>43230</v>
      </c>
      <c r="M570" s="111" t="s">
        <v>728</v>
      </c>
      <c r="N570" s="113"/>
      <c r="O570" s="114" t="s">
        <v>4046</v>
      </c>
      <c r="P570" s="114" t="s">
        <v>4046</v>
      </c>
      <c r="Q570" s="114" t="s">
        <v>4046</v>
      </c>
      <c r="R570" s="114" t="s">
        <v>7649</v>
      </c>
      <c r="S570" s="114" t="s">
        <v>4046</v>
      </c>
      <c r="T570" s="114" t="s">
        <v>183</v>
      </c>
      <c r="U570" s="114" t="s">
        <v>183</v>
      </c>
      <c r="V570" s="115"/>
      <c r="W570" s="116" t="s">
        <v>699</v>
      </c>
      <c r="X570" s="116" t="s">
        <v>700</v>
      </c>
      <c r="Y570" s="117">
        <v>3485277</v>
      </c>
      <c r="Z570" s="117">
        <v>3481086</v>
      </c>
      <c r="AA570" s="118"/>
      <c r="AB570" s="119" t="s">
        <v>5675</v>
      </c>
      <c r="AC570" s="119" t="s">
        <v>1332</v>
      </c>
      <c r="AD570" s="119">
        <v>4280</v>
      </c>
      <c r="AE570" s="119" t="s">
        <v>701</v>
      </c>
      <c r="AF570" s="119">
        <v>0</v>
      </c>
      <c r="AG570" s="120"/>
      <c r="AH570" s="121">
        <v>44197</v>
      </c>
      <c r="AI570" s="121">
        <v>44197</v>
      </c>
      <c r="AJ570" s="121">
        <v>44197</v>
      </c>
      <c r="AK570" s="122">
        <v>44197</v>
      </c>
      <c r="AL570" s="122" t="e">
        <v>#N/A</v>
      </c>
      <c r="AM570" s="121">
        <v>44197</v>
      </c>
      <c r="AN570" s="121" t="e">
        <v>#N/A</v>
      </c>
      <c r="AO570" s="121" t="e">
        <v>#N/A</v>
      </c>
      <c r="AP570" s="122" t="e">
        <v>#N/A</v>
      </c>
      <c r="AQ570" s="122">
        <v>45106</v>
      </c>
      <c r="AR570" s="122">
        <v>44676</v>
      </c>
      <c r="AS570" s="122" t="e">
        <v>#N/A</v>
      </c>
      <c r="AT570" s="122" t="e">
        <v>#N/A</v>
      </c>
      <c r="AU570" s="121">
        <v>45912</v>
      </c>
      <c r="AV570" s="122">
        <v>44607</v>
      </c>
      <c r="AW570" s="122">
        <v>44607</v>
      </c>
      <c r="AX570" s="122" t="e">
        <v>#N/A</v>
      </c>
      <c r="AY570" s="122" t="e">
        <v>#N/A</v>
      </c>
      <c r="AZ570" s="122" t="e">
        <v>#N/A</v>
      </c>
      <c r="BA570" s="122" t="e">
        <v>#N/A</v>
      </c>
      <c r="BB570" s="122" t="e">
        <v>#N/A</v>
      </c>
      <c r="BC570" s="122" t="e">
        <v>#N/A</v>
      </c>
      <c r="BD570" s="122">
        <v>44862</v>
      </c>
      <c r="BE570" s="122" t="e">
        <v>#N/A</v>
      </c>
      <c r="BF570" s="122" t="e">
        <v>#N/A</v>
      </c>
      <c r="BG570" s="122" t="e">
        <v>#N/A</v>
      </c>
      <c r="BH570" s="122" t="e">
        <v>#N/A</v>
      </c>
      <c r="BI570" s="122" t="e">
        <v>#N/A</v>
      </c>
      <c r="BJ570" s="122" t="e">
        <v>#N/A</v>
      </c>
      <c r="BK570" s="122" t="e">
        <v>#N/A</v>
      </c>
      <c r="BL570" s="123"/>
      <c r="BM570" s="124">
        <v>45204</v>
      </c>
      <c r="BN570" s="124">
        <v>45205</v>
      </c>
      <c r="BO570" s="124">
        <v>45378</v>
      </c>
      <c r="BP570" s="124" t="e">
        <v>#N/A</v>
      </c>
      <c r="BQ570" s="124" t="e">
        <v>#N/A</v>
      </c>
      <c r="BR570" s="124">
        <v>45378</v>
      </c>
      <c r="BS570" s="124">
        <v>45205</v>
      </c>
      <c r="BT570" s="124">
        <v>45205</v>
      </c>
      <c r="BU570" s="124" t="e">
        <v>#N/A</v>
      </c>
      <c r="BV570" s="124" t="e">
        <v>#N/A</v>
      </c>
      <c r="BW570" s="124" t="e">
        <v>#N/A</v>
      </c>
      <c r="BX570" s="124" t="e">
        <v>#N/A</v>
      </c>
      <c r="BY570" s="124" t="e">
        <v>#N/A</v>
      </c>
      <c r="BZ570" s="124">
        <v>45597</v>
      </c>
      <c r="CA570" s="125"/>
      <c r="CB570" s="124" t="e">
        <v>#N/A</v>
      </c>
      <c r="CC570" s="126">
        <v>1</v>
      </c>
      <c r="CD570" s="127" t="s">
        <v>4169</v>
      </c>
      <c r="CE570" s="128"/>
      <c r="CF570" s="77" t="s">
        <v>4395</v>
      </c>
    </row>
    <row r="571" spans="1:85" ht="14.5" x14ac:dyDescent="0.35">
      <c r="A571" s="77">
        <v>570</v>
      </c>
      <c r="B571" s="106" t="s">
        <v>66</v>
      </c>
      <c r="C571" s="107" t="s">
        <v>1431</v>
      </c>
      <c r="D571" s="108" t="s">
        <v>578</v>
      </c>
      <c r="E571" s="109" t="s">
        <v>579</v>
      </c>
      <c r="F571" s="110">
        <v>686378170</v>
      </c>
      <c r="G571" s="108" t="s">
        <v>1004</v>
      </c>
      <c r="H571" s="111" t="s">
        <v>322</v>
      </c>
      <c r="I571" s="111" t="s">
        <v>180</v>
      </c>
      <c r="J571" s="111" t="s">
        <v>4648</v>
      </c>
      <c r="K571" s="111" t="s">
        <v>3159</v>
      </c>
      <c r="L571" s="112">
        <v>45535</v>
      </c>
      <c r="M571" s="111" t="s">
        <v>740</v>
      </c>
      <c r="N571" s="113"/>
      <c r="O571" s="114" t="s">
        <v>246</v>
      </c>
      <c r="P571" s="114" t="s">
        <v>246</v>
      </c>
      <c r="Q571" s="114" t="s">
        <v>257</v>
      </c>
      <c r="R571" s="114" t="s">
        <v>246</v>
      </c>
      <c r="S571" s="114" t="s">
        <v>246</v>
      </c>
      <c r="T571" s="114" t="s">
        <v>183</v>
      </c>
      <c r="U571" s="114" t="s">
        <v>183</v>
      </c>
      <c r="V571" s="115"/>
      <c r="W571" s="116" t="s">
        <v>580</v>
      </c>
      <c r="X571" s="116" t="s">
        <v>581</v>
      </c>
      <c r="Y571" s="117">
        <v>3485540</v>
      </c>
      <c r="Z571" s="117">
        <v>3481048</v>
      </c>
      <c r="AA571" s="118"/>
      <c r="AB571" s="119" t="s">
        <v>582</v>
      </c>
      <c r="AC571" s="119" t="s">
        <v>1432</v>
      </c>
      <c r="AD571" s="119">
        <v>4026</v>
      </c>
      <c r="AE571" s="119" t="s">
        <v>3055</v>
      </c>
      <c r="AF571" s="119">
        <v>0</v>
      </c>
      <c r="AG571" s="120"/>
      <c r="AH571" s="121">
        <v>44197</v>
      </c>
      <c r="AI571" s="121">
        <v>44197</v>
      </c>
      <c r="AJ571" s="121">
        <v>44197</v>
      </c>
      <c r="AK571" s="122">
        <v>44197</v>
      </c>
      <c r="AL571" s="122" t="e">
        <v>#N/A</v>
      </c>
      <c r="AM571" s="121" t="e">
        <v>#N/A</v>
      </c>
      <c r="AN571" s="121" t="e">
        <v>#N/A</v>
      </c>
      <c r="AO571" s="121" t="e">
        <v>#N/A</v>
      </c>
      <c r="AP571" s="122" t="e">
        <v>#N/A</v>
      </c>
      <c r="AQ571" s="122" t="e">
        <v>#N/A</v>
      </c>
      <c r="AR571" s="122" t="e">
        <v>#N/A</v>
      </c>
      <c r="AS571" s="122" t="e">
        <v>#N/A</v>
      </c>
      <c r="AT571" s="122" t="e">
        <v>#N/A</v>
      </c>
      <c r="AU571" s="121" t="e">
        <v>#N/A</v>
      </c>
      <c r="AV571" s="122" t="e">
        <v>#N/A</v>
      </c>
      <c r="AW571" s="122" t="e">
        <v>#N/A</v>
      </c>
      <c r="AX571" s="122" t="e">
        <v>#N/A</v>
      </c>
      <c r="AY571" s="122" t="e">
        <v>#N/A</v>
      </c>
      <c r="AZ571" s="122" t="e">
        <v>#N/A</v>
      </c>
      <c r="BA571" s="122" t="e">
        <v>#N/A</v>
      </c>
      <c r="BB571" s="122" t="e">
        <v>#N/A</v>
      </c>
      <c r="BC571" s="122" t="e">
        <v>#N/A</v>
      </c>
      <c r="BD571" s="122" t="e">
        <v>#N/A</v>
      </c>
      <c r="BE571" s="122" t="e">
        <v>#N/A</v>
      </c>
      <c r="BF571" s="122" t="e">
        <v>#N/A</v>
      </c>
      <c r="BG571" s="122" t="e">
        <v>#N/A</v>
      </c>
      <c r="BH571" s="122" t="e">
        <v>#N/A</v>
      </c>
      <c r="BI571" s="122" t="e">
        <v>#N/A</v>
      </c>
      <c r="BJ571" s="122" t="e">
        <v>#N/A</v>
      </c>
      <c r="BK571" s="122" t="e">
        <v>#N/A</v>
      </c>
      <c r="BL571" s="123"/>
      <c r="BM571" s="124">
        <v>44197</v>
      </c>
      <c r="BN571" s="124">
        <v>44197</v>
      </c>
      <c r="BO571" s="124">
        <v>44197</v>
      </c>
      <c r="BP571" s="124">
        <v>44197</v>
      </c>
      <c r="BQ571" s="124">
        <v>44197</v>
      </c>
      <c r="BR571" s="124">
        <v>44714</v>
      </c>
      <c r="BS571" s="124">
        <v>44197</v>
      </c>
      <c r="BT571" s="124">
        <v>44197</v>
      </c>
      <c r="BU571" s="124" t="e">
        <v>#N/A</v>
      </c>
      <c r="BV571" s="124" t="e">
        <v>#N/A</v>
      </c>
      <c r="BW571" s="124" t="e">
        <v>#N/A</v>
      </c>
      <c r="BX571" s="124">
        <v>44197</v>
      </c>
      <c r="BY571" s="124">
        <v>45078</v>
      </c>
      <c r="BZ571" s="124" t="e">
        <v>#N/A</v>
      </c>
      <c r="CA571" s="125"/>
      <c r="CB571" s="124" t="e">
        <v>#N/A</v>
      </c>
      <c r="CC571" s="126">
        <v>1</v>
      </c>
      <c r="CD571" s="127" t="s">
        <v>4169</v>
      </c>
      <c r="CE571" s="128"/>
      <c r="CF571" s="77" t="s">
        <v>4394</v>
      </c>
    </row>
    <row r="572" spans="1:85" ht="14.5" x14ac:dyDescent="0.35">
      <c r="A572" s="77">
        <v>571</v>
      </c>
      <c r="B572" s="106" t="s">
        <v>1806</v>
      </c>
      <c r="C572" s="107" t="s">
        <v>6443</v>
      </c>
      <c r="D572" s="108" t="s">
        <v>1829</v>
      </c>
      <c r="E572" s="109" t="s">
        <v>1830</v>
      </c>
      <c r="F572" s="110">
        <v>655673137</v>
      </c>
      <c r="G572" s="108" t="s">
        <v>1004</v>
      </c>
      <c r="H572" s="111" t="s">
        <v>322</v>
      </c>
      <c r="I572" s="111" t="s">
        <v>180</v>
      </c>
      <c r="J572" s="111" t="s">
        <v>4648</v>
      </c>
      <c r="K572" s="111" t="s">
        <v>3159</v>
      </c>
      <c r="L572" s="112">
        <v>41962</v>
      </c>
      <c r="M572" s="111" t="s">
        <v>740</v>
      </c>
      <c r="N572" s="113"/>
      <c r="O572" s="114" t="s">
        <v>226</v>
      </c>
      <c r="P572" s="114" t="s">
        <v>226</v>
      </c>
      <c r="Q572" s="114" t="s">
        <v>225</v>
      </c>
      <c r="R572" s="114" t="s">
        <v>7331</v>
      </c>
      <c r="S572" s="114" t="s">
        <v>225</v>
      </c>
      <c r="T572" s="114" t="s">
        <v>183</v>
      </c>
      <c r="U572" s="114" t="s">
        <v>183</v>
      </c>
      <c r="V572" s="115"/>
      <c r="W572" s="116" t="s">
        <v>1831</v>
      </c>
      <c r="X572" s="116" t="s">
        <v>2974</v>
      </c>
      <c r="Y572" s="117">
        <v>3485364</v>
      </c>
      <c r="Z572" s="117">
        <v>3481041</v>
      </c>
      <c r="AA572" s="118"/>
      <c r="AB572" s="119" t="s">
        <v>5470</v>
      </c>
      <c r="AC572" s="119" t="s">
        <v>1832</v>
      </c>
      <c r="AD572" s="119">
        <v>5511</v>
      </c>
      <c r="AE572" s="119" t="s">
        <v>1833</v>
      </c>
      <c r="AF572" s="119" t="s">
        <v>7650</v>
      </c>
      <c r="AG572" s="120"/>
      <c r="AH572" s="121">
        <v>44197</v>
      </c>
      <c r="AI572" s="121">
        <v>44197</v>
      </c>
      <c r="AJ572" s="121">
        <v>44197</v>
      </c>
      <c r="AK572" s="122">
        <v>44197</v>
      </c>
      <c r="AL572" s="122" t="e">
        <v>#N/A</v>
      </c>
      <c r="AM572" s="122" t="e">
        <v>#N/A</v>
      </c>
      <c r="AN572" s="122" t="e">
        <v>#N/A</v>
      </c>
      <c r="AO572" s="121" t="e">
        <v>#N/A</v>
      </c>
      <c r="AP572" s="122" t="e">
        <v>#N/A</v>
      </c>
      <c r="AQ572" s="122" t="e">
        <v>#N/A</v>
      </c>
      <c r="AR572" s="122" t="e">
        <v>#N/A</v>
      </c>
      <c r="AS572" s="122" t="e">
        <v>#N/A</v>
      </c>
      <c r="AT572" s="122" t="e">
        <v>#N/A</v>
      </c>
      <c r="AU572" s="121" t="e">
        <v>#N/A</v>
      </c>
      <c r="AV572" s="122" t="e">
        <v>#N/A</v>
      </c>
      <c r="AW572" s="122" t="e">
        <v>#N/A</v>
      </c>
      <c r="AX572" s="122" t="e">
        <v>#N/A</v>
      </c>
      <c r="AY572" s="122">
        <v>44631</v>
      </c>
      <c r="AZ572" s="122" t="e">
        <v>#N/A</v>
      </c>
      <c r="BA572" s="122" t="e">
        <v>#N/A</v>
      </c>
      <c r="BB572" s="122" t="e">
        <v>#N/A</v>
      </c>
      <c r="BC572" s="122" t="e">
        <v>#N/A</v>
      </c>
      <c r="BD572" s="122" t="e">
        <v>#N/A</v>
      </c>
      <c r="BE572" s="122" t="e">
        <v>#N/A</v>
      </c>
      <c r="BF572" s="122" t="e">
        <v>#N/A</v>
      </c>
      <c r="BG572" s="122" t="e">
        <v>#N/A</v>
      </c>
      <c r="BH572" s="122" t="e">
        <v>#N/A</v>
      </c>
      <c r="BI572" s="122" t="e">
        <v>#N/A</v>
      </c>
      <c r="BJ572" s="122" t="e">
        <v>#N/A</v>
      </c>
      <c r="BK572" s="122">
        <v>46000</v>
      </c>
      <c r="BL572" s="123"/>
      <c r="BM572" s="124">
        <v>44197</v>
      </c>
      <c r="BN572" s="124">
        <v>44197</v>
      </c>
      <c r="BO572" s="124">
        <v>44197</v>
      </c>
      <c r="BP572" s="124">
        <v>44197</v>
      </c>
      <c r="BQ572" s="124">
        <v>44197</v>
      </c>
      <c r="BR572" s="124">
        <v>44197</v>
      </c>
      <c r="BS572" s="124">
        <v>44197</v>
      </c>
      <c r="BT572" s="124">
        <v>44197</v>
      </c>
      <c r="BU572" s="124" t="e">
        <v>#N/A</v>
      </c>
      <c r="BV572" s="124" t="e">
        <v>#N/A</v>
      </c>
      <c r="BW572" s="124" t="e">
        <v>#N/A</v>
      </c>
      <c r="BX572" s="124">
        <v>44197</v>
      </c>
      <c r="BY572" s="124">
        <v>45078</v>
      </c>
      <c r="BZ572" s="124" t="e">
        <v>#N/A</v>
      </c>
      <c r="CA572" s="125"/>
      <c r="CB572" s="124">
        <v>45726</v>
      </c>
      <c r="CC572" s="126">
        <v>1</v>
      </c>
      <c r="CD572" s="127" t="s">
        <v>4169</v>
      </c>
      <c r="CE572" s="128"/>
      <c r="CF572" s="77" t="s">
        <v>4394</v>
      </c>
    </row>
    <row r="573" spans="1:85" ht="14.5" x14ac:dyDescent="0.35">
      <c r="A573" s="77">
        <v>572</v>
      </c>
      <c r="B573" s="106" t="s">
        <v>1092</v>
      </c>
      <c r="C573" s="107" t="s">
        <v>1462</v>
      </c>
      <c r="D573" s="108" t="s">
        <v>1093</v>
      </c>
      <c r="E573" s="109" t="s">
        <v>1094</v>
      </c>
      <c r="F573" s="110">
        <v>625171853</v>
      </c>
      <c r="G573" s="108" t="s">
        <v>1004</v>
      </c>
      <c r="H573" s="111" t="s">
        <v>322</v>
      </c>
      <c r="I573" s="111" t="s">
        <v>180</v>
      </c>
      <c r="J573" s="111" t="s">
        <v>4648</v>
      </c>
      <c r="K573" s="111" t="s">
        <v>3159</v>
      </c>
      <c r="L573" s="112">
        <v>44743</v>
      </c>
      <c r="M573" s="111" t="s">
        <v>740</v>
      </c>
      <c r="N573" s="113"/>
      <c r="O573" s="114" t="s">
        <v>4467</v>
      </c>
      <c r="P573" s="114" t="s">
        <v>4467</v>
      </c>
      <c r="Q573" s="114" t="s">
        <v>4467</v>
      </c>
      <c r="R573" s="114" t="s">
        <v>4467</v>
      </c>
      <c r="S573" s="114" t="s">
        <v>4467</v>
      </c>
      <c r="T573" s="114" t="s">
        <v>4356</v>
      </c>
      <c r="U573" s="114" t="s">
        <v>4356</v>
      </c>
      <c r="V573" s="115"/>
      <c r="W573" s="116" t="s">
        <v>1095</v>
      </c>
      <c r="X573" s="116" t="s">
        <v>1096</v>
      </c>
      <c r="Y573" s="117">
        <v>3485529</v>
      </c>
      <c r="Z573" s="117">
        <v>3486389</v>
      </c>
      <c r="AA573" s="118"/>
      <c r="AB573" s="119" t="s">
        <v>5676</v>
      </c>
      <c r="AC573" s="119" t="s">
        <v>1463</v>
      </c>
      <c r="AD573" s="119">
        <v>4301</v>
      </c>
      <c r="AE573" s="119" t="s">
        <v>1097</v>
      </c>
      <c r="AF573" s="119">
        <v>0</v>
      </c>
      <c r="AG573" s="120"/>
      <c r="AH573" s="121">
        <v>44606</v>
      </c>
      <c r="AI573" s="121">
        <v>44606</v>
      </c>
      <c r="AJ573" s="121">
        <v>44606</v>
      </c>
      <c r="AK573" s="122">
        <v>44606</v>
      </c>
      <c r="AL573" s="122">
        <v>45076</v>
      </c>
      <c r="AM573" s="121">
        <v>45082</v>
      </c>
      <c r="AN573" s="121" t="s">
        <v>7070</v>
      </c>
      <c r="AO573" s="121" t="e">
        <v>#N/A</v>
      </c>
      <c r="AP573" s="122" t="e">
        <v>#N/A</v>
      </c>
      <c r="AQ573" s="122" t="e">
        <v>#N/A</v>
      </c>
      <c r="AR573" s="122">
        <v>45076</v>
      </c>
      <c r="AS573" s="122" t="e">
        <v>#N/A</v>
      </c>
      <c r="AT573" s="122" t="e">
        <v>#N/A</v>
      </c>
      <c r="AU573" s="121" t="e">
        <v>#N/A</v>
      </c>
      <c r="AV573" s="122" t="e">
        <v>#N/A</v>
      </c>
      <c r="AW573" s="122" t="e">
        <v>#N/A</v>
      </c>
      <c r="AX573" s="122" t="e">
        <v>#N/A</v>
      </c>
      <c r="AY573" s="122" t="e">
        <v>#N/A</v>
      </c>
      <c r="AZ573" s="122" t="e">
        <v>#N/A</v>
      </c>
      <c r="BA573" s="122">
        <v>45082</v>
      </c>
      <c r="BB573" s="122" t="e">
        <v>#N/A</v>
      </c>
      <c r="BC573" s="122" t="e">
        <v>#N/A</v>
      </c>
      <c r="BD573" s="122" t="e">
        <v>#N/A</v>
      </c>
      <c r="BE573" s="122" t="e">
        <v>#N/A</v>
      </c>
      <c r="BF573" s="122" t="e">
        <v>#N/A</v>
      </c>
      <c r="BG573" s="122" t="e">
        <v>#N/A</v>
      </c>
      <c r="BH573" s="122" t="e">
        <v>#N/A</v>
      </c>
      <c r="BI573" s="122" t="e">
        <v>#N/A</v>
      </c>
      <c r="BJ573" s="122" t="e">
        <v>#N/A</v>
      </c>
      <c r="BK573" s="122" t="e">
        <v>#N/A</v>
      </c>
      <c r="BL573" s="123"/>
      <c r="BM573" s="124">
        <v>45204</v>
      </c>
      <c r="BN573" s="124">
        <v>45205</v>
      </c>
      <c r="BO573" s="124">
        <v>45378</v>
      </c>
      <c r="BP573" s="124" t="e">
        <v>#N/A</v>
      </c>
      <c r="BQ573" s="124" t="e">
        <v>#N/A</v>
      </c>
      <c r="BR573" s="124">
        <v>45378</v>
      </c>
      <c r="BS573" s="124">
        <v>45205</v>
      </c>
      <c r="BT573" s="124">
        <v>45205</v>
      </c>
      <c r="BU573" s="124" t="e">
        <v>#N/A</v>
      </c>
      <c r="BV573" s="124" t="e">
        <v>#N/A</v>
      </c>
      <c r="BW573" s="124" t="e">
        <v>#N/A</v>
      </c>
      <c r="BX573" s="124">
        <v>45863</v>
      </c>
      <c r="BY573" s="124" t="e">
        <v>#N/A</v>
      </c>
      <c r="BZ573" s="124" t="e">
        <v>#N/A</v>
      </c>
      <c r="CA573" s="125"/>
      <c r="CB573" s="124">
        <v>45726</v>
      </c>
      <c r="CC573" s="126">
        <v>1</v>
      </c>
      <c r="CD573" s="127" t="s">
        <v>4149</v>
      </c>
      <c r="CE573" s="128"/>
      <c r="CF573" s="77" t="s">
        <v>4480</v>
      </c>
    </row>
    <row r="574" spans="1:85" ht="14.5" x14ac:dyDescent="0.35">
      <c r="A574" s="77">
        <v>573</v>
      </c>
      <c r="B574" s="106" t="s">
        <v>2873</v>
      </c>
      <c r="C574" s="107" t="s">
        <v>6504</v>
      </c>
      <c r="D574" s="108" t="s">
        <v>2874</v>
      </c>
      <c r="E574" s="109" t="s">
        <v>2875</v>
      </c>
      <c r="F574" s="110">
        <v>655814047</v>
      </c>
      <c r="G574" s="108" t="s">
        <v>1004</v>
      </c>
      <c r="H574" s="111" t="s">
        <v>322</v>
      </c>
      <c r="I574" s="111" t="s">
        <v>180</v>
      </c>
      <c r="J574" s="111" t="s">
        <v>4648</v>
      </c>
      <c r="K574" s="111" t="s">
        <v>3159</v>
      </c>
      <c r="L574" s="112">
        <v>45155</v>
      </c>
      <c r="M574" s="111" t="s">
        <v>740</v>
      </c>
      <c r="N574" s="113"/>
      <c r="O574" s="114" t="s">
        <v>459</v>
      </c>
      <c r="P574" s="114" t="s">
        <v>459</v>
      </c>
      <c r="Q574" s="114" t="s">
        <v>459</v>
      </c>
      <c r="R574" s="114" t="s">
        <v>459</v>
      </c>
      <c r="S574" s="114" t="s">
        <v>459</v>
      </c>
      <c r="T574" s="114" t="s">
        <v>183</v>
      </c>
      <c r="U574" s="114" t="s">
        <v>183</v>
      </c>
      <c r="V574" s="115"/>
      <c r="W574" s="116" t="s">
        <v>2876</v>
      </c>
      <c r="X574" s="116" t="s">
        <v>2877</v>
      </c>
      <c r="Y574" s="117">
        <v>3485815</v>
      </c>
      <c r="Z574" s="117">
        <v>3486346</v>
      </c>
      <c r="AA574" s="118"/>
      <c r="AB574" s="119" t="s">
        <v>5677</v>
      </c>
      <c r="AC574" s="119" t="s">
        <v>2878</v>
      </c>
      <c r="AD574" s="119">
        <v>4455</v>
      </c>
      <c r="AE574" s="119" t="s">
        <v>2879</v>
      </c>
      <c r="AF574" s="119" t="s">
        <v>7651</v>
      </c>
      <c r="AG574" s="120"/>
      <c r="AH574" s="121">
        <v>44802</v>
      </c>
      <c r="AI574" s="121">
        <v>45166</v>
      </c>
      <c r="AJ574" s="121">
        <v>45155</v>
      </c>
      <c r="AK574" s="122">
        <v>45166</v>
      </c>
      <c r="AL574" s="122" t="e">
        <v>#N/A</v>
      </c>
      <c r="AM574" s="122" t="e">
        <v>#N/A</v>
      </c>
      <c r="AN574" s="122" t="e">
        <v>#N/A</v>
      </c>
      <c r="AO574" s="121" t="e">
        <v>#N/A</v>
      </c>
      <c r="AP574" s="122" t="e">
        <v>#N/A</v>
      </c>
      <c r="AQ574" s="122" t="e">
        <v>#N/A</v>
      </c>
      <c r="AR574" s="122" t="e">
        <v>#N/A</v>
      </c>
      <c r="AS574" s="122" t="e">
        <v>#N/A</v>
      </c>
      <c r="AT574" s="122" t="e">
        <v>#N/A</v>
      </c>
      <c r="AU574" s="121" t="e">
        <v>#N/A</v>
      </c>
      <c r="AV574" s="122" t="e">
        <v>#N/A</v>
      </c>
      <c r="AW574" s="122" t="e">
        <v>#N/A</v>
      </c>
      <c r="AX574" s="122" t="e">
        <v>#N/A</v>
      </c>
      <c r="AY574" s="122" t="e">
        <v>#N/A</v>
      </c>
      <c r="AZ574" s="122" t="e">
        <v>#N/A</v>
      </c>
      <c r="BA574" s="122" t="e">
        <v>#N/A</v>
      </c>
      <c r="BB574" s="122" t="e">
        <v>#N/A</v>
      </c>
      <c r="BC574" s="122" t="e">
        <v>#N/A</v>
      </c>
      <c r="BD574" s="122" t="e">
        <v>#N/A</v>
      </c>
      <c r="BE574" s="122" t="e">
        <v>#N/A</v>
      </c>
      <c r="BF574" s="122" t="e">
        <v>#N/A</v>
      </c>
      <c r="BG574" s="122" t="e">
        <v>#N/A</v>
      </c>
      <c r="BH574" s="122" t="e">
        <v>#N/A</v>
      </c>
      <c r="BI574" s="122" t="e">
        <v>#N/A</v>
      </c>
      <c r="BJ574" s="122" t="e">
        <v>#N/A</v>
      </c>
      <c r="BK574" s="122">
        <v>45972</v>
      </c>
      <c r="BL574" s="123"/>
      <c r="BM574" s="124">
        <v>45371</v>
      </c>
      <c r="BN574" s="124">
        <v>45373</v>
      </c>
      <c r="BO574" s="124">
        <v>45373</v>
      </c>
      <c r="BP574" s="124" t="e">
        <v>#N/A</v>
      </c>
      <c r="BQ574" s="124" t="e">
        <v>#N/A</v>
      </c>
      <c r="BR574" s="124" t="e">
        <v>#N/A</v>
      </c>
      <c r="BS574" s="124">
        <v>45373</v>
      </c>
      <c r="BT574" s="124" t="e">
        <v>#N/A</v>
      </c>
      <c r="BU574" s="124" t="e">
        <v>#N/A</v>
      </c>
      <c r="BV574" s="124" t="e">
        <v>#N/A</v>
      </c>
      <c r="BW574" s="124" t="e">
        <v>#N/A</v>
      </c>
      <c r="BX574" s="124" t="e">
        <v>#N/A</v>
      </c>
      <c r="BY574" s="124" t="e">
        <v>#N/A</v>
      </c>
      <c r="BZ574" s="124" t="e">
        <v>#N/A</v>
      </c>
      <c r="CA574" s="125"/>
      <c r="CB574" s="124">
        <v>45727</v>
      </c>
      <c r="CC574" s="126">
        <v>1</v>
      </c>
      <c r="CD574" s="127" t="s">
        <v>4177</v>
      </c>
      <c r="CE574" s="128"/>
      <c r="CF574" s="77" t="s">
        <v>4479</v>
      </c>
    </row>
    <row r="575" spans="1:85" ht="14.5" x14ac:dyDescent="0.35">
      <c r="A575" s="77">
        <v>574</v>
      </c>
      <c r="B575" s="106" t="s">
        <v>138</v>
      </c>
      <c r="C575" s="107" t="s">
        <v>1211</v>
      </c>
      <c r="D575" s="108" t="s">
        <v>811</v>
      </c>
      <c r="E575" s="109" t="s">
        <v>812</v>
      </c>
      <c r="F575" s="110">
        <v>687568302</v>
      </c>
      <c r="G575" s="108" t="s">
        <v>1004</v>
      </c>
      <c r="H575" s="111" t="s">
        <v>322</v>
      </c>
      <c r="I575" s="111" t="s">
        <v>180</v>
      </c>
      <c r="J575" s="111" t="s">
        <v>4648</v>
      </c>
      <c r="K575" s="111" t="s">
        <v>3159</v>
      </c>
      <c r="L575" s="112">
        <v>43586</v>
      </c>
      <c r="M575" s="111" t="s">
        <v>2383</v>
      </c>
      <c r="N575" s="113"/>
      <c r="O575" s="114" t="s">
        <v>7652</v>
      </c>
      <c r="P575" s="114" t="s">
        <v>4356</v>
      </c>
      <c r="Q575" s="114" t="s">
        <v>7653</v>
      </c>
      <c r="R575" s="114" t="s">
        <v>7652</v>
      </c>
      <c r="S575" s="114" t="s">
        <v>7653</v>
      </c>
      <c r="T575" s="114" t="s">
        <v>7652</v>
      </c>
      <c r="U575" s="114" t="s">
        <v>4356</v>
      </c>
      <c r="V575" s="115"/>
      <c r="W575" s="116" t="s">
        <v>1865</v>
      </c>
      <c r="X575" s="116" t="s">
        <v>1866</v>
      </c>
      <c r="Y575" s="117">
        <v>3485246</v>
      </c>
      <c r="Z575" s="117">
        <v>3486228</v>
      </c>
      <c r="AA575" s="118"/>
      <c r="AB575" s="119" t="s">
        <v>2041</v>
      </c>
      <c r="AC575" s="119" t="s">
        <v>1867</v>
      </c>
      <c r="AD575" s="119">
        <v>4267</v>
      </c>
      <c r="AE575" s="119" t="s">
        <v>1868</v>
      </c>
      <c r="AF575" s="119">
        <v>0</v>
      </c>
      <c r="AG575" s="120"/>
      <c r="AH575" s="121">
        <v>44197</v>
      </c>
      <c r="AI575" s="121">
        <v>44197</v>
      </c>
      <c r="AJ575" s="121">
        <v>44197</v>
      </c>
      <c r="AK575" s="122">
        <v>44197</v>
      </c>
      <c r="AL575" s="122" t="e">
        <v>#N/A</v>
      </c>
      <c r="AM575" s="121" t="e">
        <v>#N/A</v>
      </c>
      <c r="AN575" s="121" t="e">
        <v>#N/A</v>
      </c>
      <c r="AO575" s="121" t="e">
        <v>#N/A</v>
      </c>
      <c r="AP575" s="122" t="e">
        <v>#N/A</v>
      </c>
      <c r="AQ575" s="122" t="e">
        <v>#N/A</v>
      </c>
      <c r="AR575" s="122" t="e">
        <v>#N/A</v>
      </c>
      <c r="AS575" s="122" t="e">
        <v>#N/A</v>
      </c>
      <c r="AT575" s="122" t="e">
        <v>#N/A</v>
      </c>
      <c r="AU575" s="121" t="e">
        <v>#N/A</v>
      </c>
      <c r="AV575" s="122" t="e">
        <v>#N/A</v>
      </c>
      <c r="AW575" s="122" t="e">
        <v>#N/A</v>
      </c>
      <c r="AX575" s="122" t="e">
        <v>#N/A</v>
      </c>
      <c r="AY575" s="122" t="e">
        <v>#N/A</v>
      </c>
      <c r="AZ575" s="122" t="e">
        <v>#N/A</v>
      </c>
      <c r="BA575" s="122" t="e">
        <v>#N/A</v>
      </c>
      <c r="BB575" s="122" t="e">
        <v>#N/A</v>
      </c>
      <c r="BC575" s="122" t="e">
        <v>#N/A</v>
      </c>
      <c r="BD575" s="122" t="e">
        <v>#N/A</v>
      </c>
      <c r="BE575" s="122" t="e">
        <v>#N/A</v>
      </c>
      <c r="BF575" s="122" t="e">
        <v>#N/A</v>
      </c>
      <c r="BG575" s="122" t="e">
        <v>#N/A</v>
      </c>
      <c r="BH575" s="122" t="e">
        <v>#N/A</v>
      </c>
      <c r="BI575" s="122" t="e">
        <v>#N/A</v>
      </c>
      <c r="BJ575" s="122" t="e">
        <v>#N/A</v>
      </c>
      <c r="BK575" s="122" t="e">
        <v>#N/A</v>
      </c>
      <c r="BL575" s="123"/>
      <c r="BM575" s="124">
        <v>44197</v>
      </c>
      <c r="BN575" s="124">
        <v>44575</v>
      </c>
      <c r="BO575" s="124">
        <v>44615</v>
      </c>
      <c r="BP575" s="124">
        <v>44638</v>
      </c>
      <c r="BQ575" s="124">
        <v>44697</v>
      </c>
      <c r="BR575" s="124">
        <v>45986</v>
      </c>
      <c r="BS575" s="124">
        <v>44197</v>
      </c>
      <c r="BT575" s="124">
        <v>44197</v>
      </c>
      <c r="BU575" s="124" t="e">
        <v>#N/A</v>
      </c>
      <c r="BV575" s="124" t="e">
        <v>#N/A</v>
      </c>
      <c r="BW575" s="124" t="e">
        <v>#N/A</v>
      </c>
      <c r="BX575" s="124">
        <v>44197</v>
      </c>
      <c r="BY575" s="124" t="e">
        <v>#N/A</v>
      </c>
      <c r="BZ575" s="124" t="e">
        <v>#N/A</v>
      </c>
      <c r="CA575" s="125"/>
      <c r="CB575" s="124" t="e">
        <v>#N/A</v>
      </c>
      <c r="CC575" s="126">
        <v>1</v>
      </c>
      <c r="CD575" s="127" t="s">
        <v>4169</v>
      </c>
      <c r="CE575" s="128"/>
      <c r="CF575" s="77" t="s">
        <v>4480</v>
      </c>
    </row>
    <row r="576" spans="1:85" ht="14.5" x14ac:dyDescent="0.35">
      <c r="A576" s="77">
        <v>575</v>
      </c>
      <c r="B576" s="106" t="s">
        <v>2614</v>
      </c>
      <c r="C576" s="107" t="s">
        <v>6474</v>
      </c>
      <c r="D576" s="108" t="s">
        <v>2622</v>
      </c>
      <c r="E576" s="109" t="s">
        <v>2615</v>
      </c>
      <c r="F576" s="110">
        <v>664735675</v>
      </c>
      <c r="G576" s="108" t="s">
        <v>1004</v>
      </c>
      <c r="H576" s="111" t="s">
        <v>322</v>
      </c>
      <c r="I576" s="111" t="s">
        <v>180</v>
      </c>
      <c r="J576" s="111" t="s">
        <v>4648</v>
      </c>
      <c r="K576" s="111" t="s">
        <v>3159</v>
      </c>
      <c r="L576" s="112">
        <v>43528</v>
      </c>
      <c r="M576" s="111" t="s">
        <v>1656</v>
      </c>
      <c r="N576" s="113"/>
      <c r="O576" s="114" t="s">
        <v>310</v>
      </c>
      <c r="P576" s="114" t="s">
        <v>310</v>
      </c>
      <c r="Q576" s="114" t="s">
        <v>285</v>
      </c>
      <c r="R576" s="114" t="s">
        <v>7337</v>
      </c>
      <c r="S576" s="114" t="s">
        <v>310</v>
      </c>
      <c r="T576" s="114" t="s">
        <v>183</v>
      </c>
      <c r="U576" s="114" t="s">
        <v>183</v>
      </c>
      <c r="V576" s="115"/>
      <c r="W576" s="116" t="s">
        <v>2616</v>
      </c>
      <c r="X576" s="116" t="s">
        <v>2617</v>
      </c>
      <c r="Y576" s="117">
        <v>3485788</v>
      </c>
      <c r="Z576" s="117">
        <v>3481473</v>
      </c>
      <c r="AA576" s="118"/>
      <c r="AB576" s="119" t="s">
        <v>5752</v>
      </c>
      <c r="AC576" s="119" t="s">
        <v>2705</v>
      </c>
      <c r="AD576" s="119">
        <v>4060</v>
      </c>
      <c r="AE576" s="119" t="s">
        <v>3060</v>
      </c>
      <c r="AF576" s="119" t="s">
        <v>7654</v>
      </c>
      <c r="AG576" s="120"/>
      <c r="AH576" s="121">
        <v>44197</v>
      </c>
      <c r="AI576" s="121">
        <v>44197</v>
      </c>
      <c r="AJ576" s="121">
        <v>44197</v>
      </c>
      <c r="AK576" s="122">
        <v>45057</v>
      </c>
      <c r="AL576" s="122" t="e">
        <v>#N/A</v>
      </c>
      <c r="AM576" s="121" t="e">
        <v>#N/A</v>
      </c>
      <c r="AN576" s="121" t="e">
        <v>#N/A</v>
      </c>
      <c r="AO576" s="121" t="e">
        <v>#N/A</v>
      </c>
      <c r="AP576" s="122" t="e">
        <v>#N/A</v>
      </c>
      <c r="AQ576" s="122" t="e">
        <v>#N/A</v>
      </c>
      <c r="AR576" s="122" t="e">
        <v>#N/A</v>
      </c>
      <c r="AS576" s="122" t="e">
        <v>#N/A</v>
      </c>
      <c r="AT576" s="122" t="e">
        <v>#N/A</v>
      </c>
      <c r="AU576" s="121" t="e">
        <v>#N/A</v>
      </c>
      <c r="AV576" s="122" t="e">
        <v>#N/A</v>
      </c>
      <c r="AW576" s="122" t="e">
        <v>#N/A</v>
      </c>
      <c r="AX576" s="122" t="e">
        <v>#N/A</v>
      </c>
      <c r="AY576" s="122" t="e">
        <v>#N/A</v>
      </c>
      <c r="AZ576" s="122" t="e">
        <v>#N/A</v>
      </c>
      <c r="BA576" s="122" t="e">
        <v>#N/A</v>
      </c>
      <c r="BB576" s="122" t="e">
        <v>#N/A</v>
      </c>
      <c r="BC576" s="122" t="e">
        <v>#N/A</v>
      </c>
      <c r="BD576" s="122" t="e">
        <v>#N/A</v>
      </c>
      <c r="BE576" s="122" t="e">
        <v>#N/A</v>
      </c>
      <c r="BF576" s="122" t="e">
        <v>#N/A</v>
      </c>
      <c r="BG576" s="122" t="e">
        <v>#N/A</v>
      </c>
      <c r="BH576" s="122" t="e">
        <v>#N/A</v>
      </c>
      <c r="BI576" s="122" t="e">
        <v>#N/A</v>
      </c>
      <c r="BJ576" s="122" t="e">
        <v>#N/A</v>
      </c>
      <c r="BK576" s="122">
        <v>45974</v>
      </c>
      <c r="BL576" s="123"/>
      <c r="BM576" s="124">
        <v>45523</v>
      </c>
      <c r="BN576" s="124">
        <v>45523</v>
      </c>
      <c r="BO576" s="124">
        <v>45702</v>
      </c>
      <c r="BP576" s="124" t="e">
        <v>#N/A</v>
      </c>
      <c r="BQ576" s="124" t="e">
        <v>#N/A</v>
      </c>
      <c r="BR576" s="124" t="e">
        <v>#N/A</v>
      </c>
      <c r="BS576" s="124">
        <v>45523</v>
      </c>
      <c r="BT576" s="124" t="e">
        <v>#N/A</v>
      </c>
      <c r="BU576" s="124" t="e">
        <v>#N/A</v>
      </c>
      <c r="BV576" s="124" t="e">
        <v>#N/A</v>
      </c>
      <c r="BW576" s="124" t="e">
        <v>#N/A</v>
      </c>
      <c r="BX576" s="124" t="e">
        <v>#N/A</v>
      </c>
      <c r="BY576" s="124" t="e">
        <v>#N/A</v>
      </c>
      <c r="BZ576" s="124" t="e">
        <v>#N/A</v>
      </c>
      <c r="CA576" s="125"/>
      <c r="CB576" s="124" t="e">
        <v>#N/A</v>
      </c>
      <c r="CC576" s="126">
        <v>1</v>
      </c>
      <c r="CD576" s="127" t="s">
        <v>4163</v>
      </c>
      <c r="CE576" s="128"/>
      <c r="CF576" s="77" t="s">
        <v>4479</v>
      </c>
    </row>
    <row r="577" spans="1:84" ht="14.5" x14ac:dyDescent="0.35">
      <c r="A577" s="77">
        <v>576</v>
      </c>
      <c r="B577" s="106" t="s">
        <v>2880</v>
      </c>
      <c r="C577" s="107" t="s">
        <v>6505</v>
      </c>
      <c r="D577" s="108" t="s">
        <v>2881</v>
      </c>
      <c r="E577" s="109" t="s">
        <v>2882</v>
      </c>
      <c r="F577" s="110">
        <v>666171991</v>
      </c>
      <c r="G577" s="108" t="s">
        <v>1004</v>
      </c>
      <c r="H577" s="111" t="s">
        <v>322</v>
      </c>
      <c r="I577" s="111" t="s">
        <v>180</v>
      </c>
      <c r="J577" s="111" t="s">
        <v>4648</v>
      </c>
      <c r="K577" s="111" t="s">
        <v>3159</v>
      </c>
      <c r="L577" s="112">
        <v>45155</v>
      </c>
      <c r="M577" s="111" t="s">
        <v>740</v>
      </c>
      <c r="N577" s="113"/>
      <c r="O577" s="114" t="s">
        <v>557</v>
      </c>
      <c r="P577" s="114" t="s">
        <v>557</v>
      </c>
      <c r="Q577" s="114" t="s">
        <v>557</v>
      </c>
      <c r="R577" s="114" t="s">
        <v>557</v>
      </c>
      <c r="S577" s="114" t="s">
        <v>557</v>
      </c>
      <c r="T577" s="114" t="s">
        <v>183</v>
      </c>
      <c r="U577" s="114" t="s">
        <v>183</v>
      </c>
      <c r="V577" s="115"/>
      <c r="W577" s="116" t="s">
        <v>2883</v>
      </c>
      <c r="X577" s="116" t="s">
        <v>2884</v>
      </c>
      <c r="Y577" s="117">
        <v>3485816</v>
      </c>
      <c r="Z577" s="117">
        <v>3486608</v>
      </c>
      <c r="AA577" s="118"/>
      <c r="AB577" s="119" t="s">
        <v>5887</v>
      </c>
      <c r="AC577" s="119" t="s">
        <v>2885</v>
      </c>
      <c r="AD577" s="119">
        <v>4253</v>
      </c>
      <c r="AE577" s="119" t="s">
        <v>2886</v>
      </c>
      <c r="AF577" s="119" t="s">
        <v>7655</v>
      </c>
      <c r="AG577" s="120"/>
      <c r="AH577" s="121">
        <v>44802</v>
      </c>
      <c r="AI577" s="121">
        <v>45166</v>
      </c>
      <c r="AJ577" s="121">
        <v>45155</v>
      </c>
      <c r="AK577" s="122">
        <v>45166</v>
      </c>
      <c r="AL577" s="122">
        <v>45482</v>
      </c>
      <c r="AM577" s="121">
        <v>45482</v>
      </c>
      <c r="AN577" s="121" t="s">
        <v>7133</v>
      </c>
      <c r="AO577" s="121" t="e">
        <v>#N/A</v>
      </c>
      <c r="AP577" s="122" t="e">
        <v>#N/A</v>
      </c>
      <c r="AQ577" s="122" t="e">
        <v>#N/A</v>
      </c>
      <c r="AR577" s="122">
        <v>45482</v>
      </c>
      <c r="AS577" s="122" t="e">
        <v>#N/A</v>
      </c>
      <c r="AT577" s="122" t="e">
        <v>#N/A</v>
      </c>
      <c r="AU577" s="121" t="e">
        <v>#N/A</v>
      </c>
      <c r="AV577" s="122" t="e">
        <v>#N/A</v>
      </c>
      <c r="AW577" s="122" t="e">
        <v>#N/A</v>
      </c>
      <c r="AX577" s="122" t="e">
        <v>#N/A</v>
      </c>
      <c r="AY577" s="122" t="e">
        <v>#N/A</v>
      </c>
      <c r="AZ577" s="122" t="e">
        <v>#N/A</v>
      </c>
      <c r="BA577" s="122" t="e">
        <v>#N/A</v>
      </c>
      <c r="BB577" s="122" t="e">
        <v>#N/A</v>
      </c>
      <c r="BC577" s="122" t="e">
        <v>#N/A</v>
      </c>
      <c r="BD577" s="122" t="e">
        <v>#N/A</v>
      </c>
      <c r="BE577" s="122" t="e">
        <v>#N/A</v>
      </c>
      <c r="BF577" s="122" t="e">
        <v>#N/A</v>
      </c>
      <c r="BG577" s="122" t="e">
        <v>#N/A</v>
      </c>
      <c r="BH577" s="122" t="e">
        <v>#N/A</v>
      </c>
      <c r="BI577" s="122" t="e">
        <v>#N/A</v>
      </c>
      <c r="BJ577" s="122" t="e">
        <v>#N/A</v>
      </c>
      <c r="BK577" s="122">
        <v>46001</v>
      </c>
      <c r="BL577" s="123"/>
      <c r="BM577" s="124">
        <v>45530</v>
      </c>
      <c r="BN577" s="124">
        <v>45530</v>
      </c>
      <c r="BO577" s="124">
        <v>45702</v>
      </c>
      <c r="BP577" s="124" t="e">
        <v>#N/A</v>
      </c>
      <c r="BQ577" s="124" t="e">
        <v>#N/A</v>
      </c>
      <c r="BR577" s="124" t="e">
        <v>#N/A</v>
      </c>
      <c r="BS577" s="124">
        <v>45530</v>
      </c>
      <c r="BT577" s="124" t="e">
        <v>#N/A</v>
      </c>
      <c r="BU577" s="124" t="e">
        <v>#N/A</v>
      </c>
      <c r="BV577" s="124" t="e">
        <v>#N/A</v>
      </c>
      <c r="BW577" s="124" t="e">
        <v>#N/A</v>
      </c>
      <c r="BX577" s="124">
        <v>45863</v>
      </c>
      <c r="BY577" s="124" t="e">
        <v>#N/A</v>
      </c>
      <c r="BZ577" s="124" t="e">
        <v>#N/A</v>
      </c>
      <c r="CA577" s="125"/>
      <c r="CB577" s="124" t="e">
        <v>#N/A</v>
      </c>
      <c r="CC577" s="126">
        <v>1</v>
      </c>
      <c r="CD577" s="127" t="s">
        <v>4177</v>
      </c>
      <c r="CE577" s="128"/>
      <c r="CF577" s="77" t="s">
        <v>4479</v>
      </c>
    </row>
    <row r="578" spans="1:84" ht="14.5" x14ac:dyDescent="0.35">
      <c r="A578" s="77">
        <v>577</v>
      </c>
      <c r="B578" s="106" t="s">
        <v>2658</v>
      </c>
      <c r="C578" s="107" t="s">
        <v>6522</v>
      </c>
      <c r="D578" s="108" t="s">
        <v>2659</v>
      </c>
      <c r="E578" s="109" t="s">
        <v>2660</v>
      </c>
      <c r="F578" s="110" t="s">
        <v>2712</v>
      </c>
      <c r="G578" s="108" t="s">
        <v>1004</v>
      </c>
      <c r="H578" s="111" t="s">
        <v>322</v>
      </c>
      <c r="I578" s="111" t="s">
        <v>180</v>
      </c>
      <c r="J578" s="111" t="s">
        <v>4648</v>
      </c>
      <c r="K578" s="111" t="s">
        <v>3159</v>
      </c>
      <c r="L578" s="112">
        <v>45061</v>
      </c>
      <c r="M578" s="111" t="s">
        <v>728</v>
      </c>
      <c r="N578" s="113"/>
      <c r="O578" s="114" t="s">
        <v>246</v>
      </c>
      <c r="P578" s="114" t="s">
        <v>246</v>
      </c>
      <c r="Q578" s="114" t="s">
        <v>257</v>
      </c>
      <c r="R578" s="114" t="s">
        <v>246</v>
      </c>
      <c r="S578" s="114" t="s">
        <v>246</v>
      </c>
      <c r="T578" s="114" t="s">
        <v>183</v>
      </c>
      <c r="U578" s="114" t="s">
        <v>183</v>
      </c>
      <c r="V578" s="115"/>
      <c r="W578" s="116" t="s">
        <v>2661</v>
      </c>
      <c r="X578" s="116" t="s">
        <v>2662</v>
      </c>
      <c r="Y578" s="117">
        <v>3485031</v>
      </c>
      <c r="Z578" s="117">
        <v>3481139</v>
      </c>
      <c r="AA578" s="118"/>
      <c r="AB578" s="119" t="s">
        <v>2729</v>
      </c>
      <c r="AC578" s="119" t="s">
        <v>2755</v>
      </c>
      <c r="AD578" s="119">
        <v>4000</v>
      </c>
      <c r="AE578" s="119" t="s">
        <v>2756</v>
      </c>
      <c r="AF578" s="119">
        <v>0</v>
      </c>
      <c r="AG578" s="120"/>
      <c r="AH578" s="121">
        <v>45089</v>
      </c>
      <c r="AI578" s="121">
        <v>45089</v>
      </c>
      <c r="AJ578" s="121">
        <v>45089</v>
      </c>
      <c r="AK578" s="122">
        <v>45089</v>
      </c>
      <c r="AL578" s="122">
        <v>45481</v>
      </c>
      <c r="AM578" s="122">
        <v>45481</v>
      </c>
      <c r="AN578" s="122" t="s">
        <v>7056</v>
      </c>
      <c r="AO578" s="121" t="e">
        <v>#N/A</v>
      </c>
      <c r="AP578" s="122" t="e">
        <v>#N/A</v>
      </c>
      <c r="AQ578" s="122" t="e">
        <v>#N/A</v>
      </c>
      <c r="AR578" s="122">
        <v>45481</v>
      </c>
      <c r="AS578" s="122" t="e">
        <v>#N/A</v>
      </c>
      <c r="AT578" s="122" t="e">
        <v>#N/A</v>
      </c>
      <c r="AU578" s="121" t="e">
        <v>#N/A</v>
      </c>
      <c r="AV578" s="122" t="e">
        <v>#N/A</v>
      </c>
      <c r="AW578" s="122" t="e">
        <v>#N/A</v>
      </c>
      <c r="AX578" s="122" t="e">
        <v>#N/A</v>
      </c>
      <c r="AY578" s="122" t="e">
        <v>#N/A</v>
      </c>
      <c r="AZ578" s="122" t="e">
        <v>#N/A</v>
      </c>
      <c r="BA578" s="122" t="e">
        <v>#N/A</v>
      </c>
      <c r="BB578" s="122" t="e">
        <v>#N/A</v>
      </c>
      <c r="BC578" s="122" t="e">
        <v>#N/A</v>
      </c>
      <c r="BD578" s="122" t="e">
        <v>#N/A</v>
      </c>
      <c r="BE578" s="122" t="e">
        <v>#N/A</v>
      </c>
      <c r="BF578" s="122" t="e">
        <v>#N/A</v>
      </c>
      <c r="BG578" s="122" t="e">
        <v>#N/A</v>
      </c>
      <c r="BH578" s="122" t="e">
        <v>#N/A</v>
      </c>
      <c r="BI578" s="122" t="e">
        <v>#N/A</v>
      </c>
      <c r="BJ578" s="122" t="e">
        <v>#N/A</v>
      </c>
      <c r="BK578" s="122" t="e">
        <v>#N/A</v>
      </c>
      <c r="BL578" s="123"/>
      <c r="BM578" s="124">
        <v>45573</v>
      </c>
      <c r="BN578" s="124">
        <v>45573</v>
      </c>
      <c r="BO578" s="124">
        <v>45702</v>
      </c>
      <c r="BP578" s="124" t="e">
        <v>#N/A</v>
      </c>
      <c r="BQ578" s="124" t="e">
        <v>#N/A</v>
      </c>
      <c r="BR578" s="124" t="e">
        <v>#N/A</v>
      </c>
      <c r="BS578" s="124">
        <v>45573</v>
      </c>
      <c r="BT578" s="124" t="e">
        <v>#N/A</v>
      </c>
      <c r="BU578" s="124" t="e">
        <v>#N/A</v>
      </c>
      <c r="BV578" s="124" t="e">
        <v>#N/A</v>
      </c>
      <c r="BW578" s="124" t="e">
        <v>#N/A</v>
      </c>
      <c r="BX578" s="124" t="e">
        <v>#N/A</v>
      </c>
      <c r="BY578" s="124" t="e">
        <v>#N/A</v>
      </c>
      <c r="BZ578" s="124" t="e">
        <v>#N/A</v>
      </c>
      <c r="CA578" s="125"/>
      <c r="CB578" s="124">
        <v>45727</v>
      </c>
      <c r="CC578" s="126">
        <v>1</v>
      </c>
      <c r="CD578" s="127" t="s">
        <v>4167</v>
      </c>
      <c r="CE578" s="128"/>
      <c r="CF578" s="77" t="s">
        <v>4479</v>
      </c>
    </row>
    <row r="579" spans="1:84" ht="14.5" x14ac:dyDescent="0.35">
      <c r="A579" s="77">
        <v>578</v>
      </c>
      <c r="B579" s="106" t="s">
        <v>2990</v>
      </c>
      <c r="C579" s="107" t="s">
        <v>6567</v>
      </c>
      <c r="D579" s="108" t="s">
        <v>2957</v>
      </c>
      <c r="E579" s="109" t="s">
        <v>2958</v>
      </c>
      <c r="F579" s="110">
        <v>644715524</v>
      </c>
      <c r="G579" s="108" t="s">
        <v>1004</v>
      </c>
      <c r="H579" s="111" t="s">
        <v>322</v>
      </c>
      <c r="I579" s="111" t="s">
        <v>180</v>
      </c>
      <c r="J579" s="111" t="s">
        <v>4648</v>
      </c>
      <c r="K579" s="111" t="s">
        <v>3159</v>
      </c>
      <c r="L579" s="112">
        <v>45195</v>
      </c>
      <c r="M579" s="111" t="s">
        <v>740</v>
      </c>
      <c r="N579" s="113"/>
      <c r="O579" s="114" t="s">
        <v>6912</v>
      </c>
      <c r="P579" s="114" t="s">
        <v>6912</v>
      </c>
      <c r="Q579" s="114" t="s">
        <v>6018</v>
      </c>
      <c r="R579" s="114" t="s">
        <v>6018</v>
      </c>
      <c r="S579" s="114" t="s">
        <v>6018</v>
      </c>
      <c r="T579" s="114" t="s">
        <v>183</v>
      </c>
      <c r="U579" s="114" t="s">
        <v>183</v>
      </c>
      <c r="V579" s="115"/>
      <c r="W579" s="116" t="s">
        <v>2959</v>
      </c>
      <c r="X579" s="116" t="s">
        <v>2960</v>
      </c>
      <c r="Y579" s="117">
        <v>3485610</v>
      </c>
      <c r="Z579" s="117">
        <v>3486111</v>
      </c>
      <c r="AA579" s="118"/>
      <c r="AB579" s="119" t="s">
        <v>5888</v>
      </c>
      <c r="AC579" s="119" t="s">
        <v>2996</v>
      </c>
      <c r="AD579" s="119">
        <v>4037</v>
      </c>
      <c r="AE579" s="119" t="s">
        <v>2991</v>
      </c>
      <c r="AF579" s="119">
        <v>0</v>
      </c>
      <c r="AG579" s="120"/>
      <c r="AH579" s="121">
        <v>45195</v>
      </c>
      <c r="AI579" s="121">
        <v>45260</v>
      </c>
      <c r="AJ579" s="121">
        <v>45195</v>
      </c>
      <c r="AK579" s="122">
        <v>45260</v>
      </c>
      <c r="AL579" s="122">
        <v>45259</v>
      </c>
      <c r="AM579" s="122" t="e">
        <v>#N/A</v>
      </c>
      <c r="AN579" s="122" t="s">
        <v>7157</v>
      </c>
      <c r="AO579" s="121" t="e">
        <v>#N/A</v>
      </c>
      <c r="AP579" s="122" t="e">
        <v>#N/A</v>
      </c>
      <c r="AQ579" s="122" t="e">
        <v>#N/A</v>
      </c>
      <c r="AR579" s="122" t="e">
        <v>#N/A</v>
      </c>
      <c r="AS579" s="122" t="e">
        <v>#N/A</v>
      </c>
      <c r="AT579" s="122" t="e">
        <v>#N/A</v>
      </c>
      <c r="AU579" s="121" t="e">
        <v>#N/A</v>
      </c>
      <c r="AV579" s="122" t="e">
        <v>#N/A</v>
      </c>
      <c r="AW579" s="122" t="e">
        <v>#N/A</v>
      </c>
      <c r="AX579" s="122" t="e">
        <v>#N/A</v>
      </c>
      <c r="AY579" s="122" t="e">
        <v>#N/A</v>
      </c>
      <c r="AZ579" s="122" t="e">
        <v>#N/A</v>
      </c>
      <c r="BA579" s="122" t="e">
        <v>#N/A</v>
      </c>
      <c r="BB579" s="122" t="e">
        <v>#N/A</v>
      </c>
      <c r="BC579" s="122" t="e">
        <v>#N/A</v>
      </c>
      <c r="BD579" s="122" t="e">
        <v>#N/A</v>
      </c>
      <c r="BE579" s="122" t="e">
        <v>#N/A</v>
      </c>
      <c r="BF579" s="122" t="e">
        <v>#N/A</v>
      </c>
      <c r="BG579" s="122" t="e">
        <v>#N/A</v>
      </c>
      <c r="BH579" s="122" t="e">
        <v>#N/A</v>
      </c>
      <c r="BI579" s="122" t="e">
        <v>#N/A</v>
      </c>
      <c r="BJ579" s="122" t="e">
        <v>#N/A</v>
      </c>
      <c r="BK579" s="122" t="e">
        <v>#N/A</v>
      </c>
      <c r="BL579" s="123"/>
      <c r="BM579" s="124">
        <v>45530</v>
      </c>
      <c r="BN579" s="124">
        <v>45530</v>
      </c>
      <c r="BO579" s="124">
        <v>45702</v>
      </c>
      <c r="BP579" s="124" t="e">
        <v>#N/A</v>
      </c>
      <c r="BQ579" s="124" t="e">
        <v>#N/A</v>
      </c>
      <c r="BR579" s="124" t="e">
        <v>#N/A</v>
      </c>
      <c r="BS579" s="124">
        <v>45530</v>
      </c>
      <c r="BT579" s="124" t="e">
        <v>#N/A</v>
      </c>
      <c r="BU579" s="124" t="e">
        <v>#N/A</v>
      </c>
      <c r="BV579" s="124" t="e">
        <v>#N/A</v>
      </c>
      <c r="BW579" s="124" t="e">
        <v>#N/A</v>
      </c>
      <c r="BX579" s="124">
        <v>45863</v>
      </c>
      <c r="BY579" s="124" t="e">
        <v>#N/A</v>
      </c>
      <c r="BZ579" s="124" t="e">
        <v>#N/A</v>
      </c>
      <c r="CA579" s="125"/>
      <c r="CB579" s="124" t="e">
        <v>#N/A</v>
      </c>
      <c r="CC579" s="126">
        <v>1</v>
      </c>
      <c r="CD579" s="127" t="s">
        <v>4183</v>
      </c>
      <c r="CE579" s="128"/>
      <c r="CF579" s="77" t="s">
        <v>4480</v>
      </c>
    </row>
    <row r="580" spans="1:84" ht="14.5" x14ac:dyDescent="0.35">
      <c r="A580" s="77">
        <v>579</v>
      </c>
      <c r="B580" s="106" t="s">
        <v>129</v>
      </c>
      <c r="C580" s="107" t="s">
        <v>1108</v>
      </c>
      <c r="D580" s="108" t="s">
        <v>781</v>
      </c>
      <c r="E580" s="109" t="s">
        <v>782</v>
      </c>
      <c r="F580" s="110">
        <v>645907424</v>
      </c>
      <c r="G580" s="108" t="s">
        <v>1004</v>
      </c>
      <c r="H580" s="111" t="s">
        <v>322</v>
      </c>
      <c r="I580" s="111" t="s">
        <v>180</v>
      </c>
      <c r="J580" s="111" t="s">
        <v>4648</v>
      </c>
      <c r="K580" s="111" t="s">
        <v>3159</v>
      </c>
      <c r="L580" s="112">
        <v>43248</v>
      </c>
      <c r="M580" s="111" t="s">
        <v>728</v>
      </c>
      <c r="N580" s="113"/>
      <c r="O580" s="114" t="s">
        <v>344</v>
      </c>
      <c r="P580" s="114" t="s">
        <v>344</v>
      </c>
      <c r="Q580" s="114" t="s">
        <v>344</v>
      </c>
      <c r="R580" s="114" t="s">
        <v>7334</v>
      </c>
      <c r="S580" s="114" t="s">
        <v>344</v>
      </c>
      <c r="T580" s="114" t="s">
        <v>183</v>
      </c>
      <c r="U580" s="114" t="s">
        <v>183</v>
      </c>
      <c r="V580" s="115"/>
      <c r="W580" s="116" t="s">
        <v>783</v>
      </c>
      <c r="X580" s="116" t="s">
        <v>784</v>
      </c>
      <c r="Y580" s="117">
        <v>3485606</v>
      </c>
      <c r="Z580" s="117">
        <v>3481308</v>
      </c>
      <c r="AA580" s="118"/>
      <c r="AB580" s="119" t="s">
        <v>2039</v>
      </c>
      <c r="AC580" s="119" t="s">
        <v>1109</v>
      </c>
      <c r="AD580" s="119">
        <v>27811</v>
      </c>
      <c r="AE580" s="119" t="s">
        <v>785</v>
      </c>
      <c r="AF580" s="119" t="s">
        <v>7112</v>
      </c>
      <c r="AG580" s="120"/>
      <c r="AH580" s="121">
        <v>44197</v>
      </c>
      <c r="AI580" s="121">
        <v>44197</v>
      </c>
      <c r="AJ580" s="121">
        <v>44197</v>
      </c>
      <c r="AK580" s="122">
        <v>44197</v>
      </c>
      <c r="AL580" s="122">
        <v>45481</v>
      </c>
      <c r="AM580" s="121">
        <v>45481</v>
      </c>
      <c r="AN580" s="121" t="s">
        <v>7056</v>
      </c>
      <c r="AO580" s="121" t="e">
        <v>#N/A</v>
      </c>
      <c r="AP580" s="122" t="e">
        <v>#N/A</v>
      </c>
      <c r="AQ580" s="122" t="e">
        <v>#N/A</v>
      </c>
      <c r="AR580" s="122">
        <v>45481</v>
      </c>
      <c r="AS580" s="122" t="e">
        <v>#N/A</v>
      </c>
      <c r="AT580" s="122" t="e">
        <v>#N/A</v>
      </c>
      <c r="AU580" s="121" t="e">
        <v>#N/A</v>
      </c>
      <c r="AV580" s="122" t="e">
        <v>#N/A</v>
      </c>
      <c r="AW580" s="122" t="e">
        <v>#N/A</v>
      </c>
      <c r="AX580" s="122" t="e">
        <v>#N/A</v>
      </c>
      <c r="AY580" s="122" t="e">
        <v>#N/A</v>
      </c>
      <c r="AZ580" s="122" t="e">
        <v>#N/A</v>
      </c>
      <c r="BA580" s="122" t="e">
        <v>#N/A</v>
      </c>
      <c r="BB580" s="122" t="e">
        <v>#N/A</v>
      </c>
      <c r="BC580" s="122" t="e">
        <v>#N/A</v>
      </c>
      <c r="BD580" s="122" t="e">
        <v>#N/A</v>
      </c>
      <c r="BE580" s="122">
        <v>44991</v>
      </c>
      <c r="BF580" s="122" t="e">
        <v>#N/A</v>
      </c>
      <c r="BG580" s="122" t="e">
        <v>#N/A</v>
      </c>
      <c r="BH580" s="122" t="e">
        <v>#N/A</v>
      </c>
      <c r="BI580" s="122" t="e">
        <v>#N/A</v>
      </c>
      <c r="BJ580" s="122" t="e">
        <v>#N/A</v>
      </c>
      <c r="BK580" s="122">
        <v>45968</v>
      </c>
      <c r="BL580" s="123"/>
      <c r="BM580" s="124">
        <v>45573</v>
      </c>
      <c r="BN580" s="124">
        <v>45573</v>
      </c>
      <c r="BO580" s="124" t="e">
        <v>#N/A</v>
      </c>
      <c r="BP580" s="124" t="e">
        <v>#N/A</v>
      </c>
      <c r="BQ580" s="124" t="e">
        <v>#N/A</v>
      </c>
      <c r="BR580" s="124" t="e">
        <v>#N/A</v>
      </c>
      <c r="BS580" s="124">
        <v>45579</v>
      </c>
      <c r="BT580" s="124" t="e">
        <v>#N/A</v>
      </c>
      <c r="BU580" s="124" t="e">
        <v>#N/A</v>
      </c>
      <c r="BV580" s="124" t="e">
        <v>#N/A</v>
      </c>
      <c r="BW580" s="124" t="e">
        <v>#N/A</v>
      </c>
      <c r="BX580" s="124">
        <v>45863</v>
      </c>
      <c r="BY580" s="124" t="e">
        <v>#N/A</v>
      </c>
      <c r="BZ580" s="124" t="e">
        <v>#N/A</v>
      </c>
      <c r="CA580" s="125"/>
      <c r="CB580" s="124">
        <v>45727</v>
      </c>
      <c r="CC580" s="126">
        <v>1</v>
      </c>
      <c r="CD580" s="127" t="s">
        <v>4169</v>
      </c>
      <c r="CE580" s="128"/>
      <c r="CF580" s="77" t="s">
        <v>4450</v>
      </c>
    </row>
    <row r="581" spans="1:84" ht="14.5" x14ac:dyDescent="0.35">
      <c r="A581" s="77">
        <v>580</v>
      </c>
      <c r="B581" s="106" t="s">
        <v>2360</v>
      </c>
      <c r="C581" s="107" t="s">
        <v>6458</v>
      </c>
      <c r="D581" s="108" t="s">
        <v>2361</v>
      </c>
      <c r="E581" s="109" t="s">
        <v>2362</v>
      </c>
      <c r="F581" s="110" t="s">
        <v>2363</v>
      </c>
      <c r="G581" s="108" t="s">
        <v>1004</v>
      </c>
      <c r="H581" s="111" t="s">
        <v>322</v>
      </c>
      <c r="I581" s="111" t="s">
        <v>180</v>
      </c>
      <c r="J581" s="111" t="s">
        <v>4648</v>
      </c>
      <c r="K581" s="111" t="s">
        <v>3159</v>
      </c>
      <c r="L581" s="112">
        <v>42999</v>
      </c>
      <c r="M581" s="111" t="s">
        <v>740</v>
      </c>
      <c r="N581" s="113"/>
      <c r="O581" s="114" t="s">
        <v>285</v>
      </c>
      <c r="P581" s="114" t="s">
        <v>4263</v>
      </c>
      <c r="Q581" s="114" t="s">
        <v>285</v>
      </c>
      <c r="R581" s="114" t="s">
        <v>285</v>
      </c>
      <c r="S581" s="114" t="s">
        <v>7315</v>
      </c>
      <c r="T581" s="114" t="s">
        <v>7656</v>
      </c>
      <c r="U581" s="114" t="s">
        <v>183</v>
      </c>
      <c r="V581" s="115"/>
      <c r="W581" s="116" t="s">
        <v>2364</v>
      </c>
      <c r="X581" s="116" t="s">
        <v>2365</v>
      </c>
      <c r="Y581" s="117">
        <v>3485649</v>
      </c>
      <c r="Z581" s="117">
        <v>3486571</v>
      </c>
      <c r="AA581" s="118"/>
      <c r="AB581" s="119" t="s">
        <v>2366</v>
      </c>
      <c r="AC581" s="119" t="s">
        <v>2367</v>
      </c>
      <c r="AD581" s="119">
        <v>26193</v>
      </c>
      <c r="AE581" s="119" t="s">
        <v>3933</v>
      </c>
      <c r="AF581" s="119" t="s">
        <v>7657</v>
      </c>
      <c r="AG581" s="120"/>
      <c r="AH581" s="121">
        <v>44844</v>
      </c>
      <c r="AI581" s="121">
        <v>44844</v>
      </c>
      <c r="AJ581" s="121">
        <v>44844</v>
      </c>
      <c r="AK581" s="122">
        <v>45006</v>
      </c>
      <c r="AL581" s="122" t="e">
        <v>#N/A</v>
      </c>
      <c r="AM581" s="121" t="e">
        <v>#N/A</v>
      </c>
      <c r="AN581" s="121" t="e">
        <v>#N/A</v>
      </c>
      <c r="AO581" s="121" t="e">
        <v>#N/A</v>
      </c>
      <c r="AP581" s="122" t="e">
        <v>#N/A</v>
      </c>
      <c r="AQ581" s="122" t="e">
        <v>#N/A</v>
      </c>
      <c r="AR581" s="122" t="e">
        <v>#N/A</v>
      </c>
      <c r="AS581" s="122" t="e">
        <v>#N/A</v>
      </c>
      <c r="AT581" s="122" t="e">
        <v>#N/A</v>
      </c>
      <c r="AU581" s="121" t="e">
        <v>#N/A</v>
      </c>
      <c r="AV581" s="122" t="e">
        <v>#N/A</v>
      </c>
      <c r="AW581" s="122" t="e">
        <v>#N/A</v>
      </c>
      <c r="AX581" s="122" t="e">
        <v>#N/A</v>
      </c>
      <c r="AY581" s="122" t="e">
        <v>#N/A</v>
      </c>
      <c r="AZ581" s="122" t="e">
        <v>#N/A</v>
      </c>
      <c r="BA581" s="122" t="e">
        <v>#N/A</v>
      </c>
      <c r="BB581" s="122" t="e">
        <v>#N/A</v>
      </c>
      <c r="BC581" s="122" t="e">
        <v>#N/A</v>
      </c>
      <c r="BD581" s="122" t="e">
        <v>#N/A</v>
      </c>
      <c r="BE581" s="122" t="e">
        <v>#N/A</v>
      </c>
      <c r="BF581" s="122" t="e">
        <v>#N/A</v>
      </c>
      <c r="BG581" s="122" t="e">
        <v>#N/A</v>
      </c>
      <c r="BH581" s="122" t="e">
        <v>#N/A</v>
      </c>
      <c r="BI581" s="122" t="e">
        <v>#N/A</v>
      </c>
      <c r="BJ581" s="122" t="e">
        <v>#N/A</v>
      </c>
      <c r="BK581" s="122">
        <v>45973</v>
      </c>
      <c r="BL581" s="123"/>
      <c r="BM581" s="124">
        <v>45523</v>
      </c>
      <c r="BN581" s="124">
        <v>45523</v>
      </c>
      <c r="BO581" s="124">
        <v>45702</v>
      </c>
      <c r="BP581" s="124" t="e">
        <v>#N/A</v>
      </c>
      <c r="BQ581" s="124" t="e">
        <v>#N/A</v>
      </c>
      <c r="BR581" s="124">
        <v>45971</v>
      </c>
      <c r="BS581" s="124">
        <v>45523</v>
      </c>
      <c r="BT581" s="124" t="e">
        <v>#N/A</v>
      </c>
      <c r="BU581" s="124" t="e">
        <v>#N/A</v>
      </c>
      <c r="BV581" s="124" t="e">
        <v>#N/A</v>
      </c>
      <c r="BW581" s="124" t="e">
        <v>#N/A</v>
      </c>
      <c r="BX581" s="124">
        <v>45863</v>
      </c>
      <c r="BY581" s="124" t="e">
        <v>#N/A</v>
      </c>
      <c r="BZ581" s="124" t="e">
        <v>#N/A</v>
      </c>
      <c r="CA581" s="125"/>
      <c r="CB581" s="124" t="e">
        <v>#N/A</v>
      </c>
      <c r="CC581" s="126">
        <v>1</v>
      </c>
      <c r="CD581" s="127" t="s">
        <v>4190</v>
      </c>
      <c r="CE581" s="128"/>
      <c r="CF581" s="77" t="s">
        <v>4450</v>
      </c>
    </row>
    <row r="582" spans="1:84" ht="14.5" x14ac:dyDescent="0.35">
      <c r="A582" s="77">
        <v>581</v>
      </c>
      <c r="B582" s="106" t="s">
        <v>1625</v>
      </c>
      <c r="C582" s="107" t="s">
        <v>1626</v>
      </c>
      <c r="D582" s="108" t="s">
        <v>1674</v>
      </c>
      <c r="E582" s="109" t="s">
        <v>1627</v>
      </c>
      <c r="F582" s="110">
        <v>661308309</v>
      </c>
      <c r="G582" s="108" t="s">
        <v>1004</v>
      </c>
      <c r="H582" s="111" t="s">
        <v>322</v>
      </c>
      <c r="I582" s="111" t="s">
        <v>180</v>
      </c>
      <c r="J582" s="111" t="s">
        <v>4648</v>
      </c>
      <c r="K582" s="111" t="s">
        <v>3159</v>
      </c>
      <c r="L582" s="112">
        <v>43242</v>
      </c>
      <c r="M582" s="111" t="s">
        <v>597</v>
      </c>
      <c r="N582" s="113"/>
      <c r="O582" s="114" t="s">
        <v>7496</v>
      </c>
      <c r="P582" s="114" t="s">
        <v>7496</v>
      </c>
      <c r="Q582" s="114" t="s">
        <v>7496</v>
      </c>
      <c r="R582" s="114" t="s">
        <v>7496</v>
      </c>
      <c r="S582" s="114" t="s">
        <v>7496</v>
      </c>
      <c r="T582" s="114" t="s">
        <v>4356</v>
      </c>
      <c r="U582" s="114" t="s">
        <v>4356</v>
      </c>
      <c r="V582" s="115"/>
      <c r="W582" s="116" t="s">
        <v>1628</v>
      </c>
      <c r="X582" s="116" t="s">
        <v>1629</v>
      </c>
      <c r="Y582" s="117">
        <v>3485184</v>
      </c>
      <c r="Z582" s="117">
        <v>3481344</v>
      </c>
      <c r="AA582" s="118"/>
      <c r="AB582" s="119" t="s">
        <v>1630</v>
      </c>
      <c r="AC582" s="119" t="s">
        <v>1631</v>
      </c>
      <c r="AD582" s="119">
        <v>27177</v>
      </c>
      <c r="AE582" s="119" t="s">
        <v>1675</v>
      </c>
      <c r="AF582" s="119">
        <v>0</v>
      </c>
      <c r="AG582" s="120"/>
      <c r="AH582" s="121">
        <v>44690</v>
      </c>
      <c r="AI582" s="121">
        <v>44690</v>
      </c>
      <c r="AJ582" s="121">
        <v>44690</v>
      </c>
      <c r="AK582" s="122">
        <v>44690</v>
      </c>
      <c r="AL582" s="122" t="e">
        <v>#N/A</v>
      </c>
      <c r="AM582" s="121" t="e">
        <v>#N/A</v>
      </c>
      <c r="AN582" s="121" t="e">
        <v>#N/A</v>
      </c>
      <c r="AO582" s="121" t="e">
        <v>#N/A</v>
      </c>
      <c r="AP582" s="122" t="e">
        <v>#N/A</v>
      </c>
      <c r="AQ582" s="122" t="e">
        <v>#N/A</v>
      </c>
      <c r="AR582" s="122" t="e">
        <v>#N/A</v>
      </c>
      <c r="AS582" s="122" t="e">
        <v>#N/A</v>
      </c>
      <c r="AT582" s="122">
        <v>44690</v>
      </c>
      <c r="AU582" s="121" t="e">
        <v>#N/A</v>
      </c>
      <c r="AV582" s="122" t="e">
        <v>#N/A</v>
      </c>
      <c r="AW582" s="122" t="e">
        <v>#N/A</v>
      </c>
      <c r="AX582" s="122" t="e">
        <v>#N/A</v>
      </c>
      <c r="AY582" s="122" t="e">
        <v>#N/A</v>
      </c>
      <c r="AZ582" s="122" t="e">
        <v>#N/A</v>
      </c>
      <c r="BA582" s="122" t="e">
        <v>#N/A</v>
      </c>
      <c r="BB582" s="122" t="e">
        <v>#N/A</v>
      </c>
      <c r="BC582" s="122" t="e">
        <v>#N/A</v>
      </c>
      <c r="BD582" s="122" t="e">
        <v>#N/A</v>
      </c>
      <c r="BE582" s="122" t="e">
        <v>#N/A</v>
      </c>
      <c r="BF582" s="122" t="e">
        <v>#N/A</v>
      </c>
      <c r="BG582" s="122" t="e">
        <v>#N/A</v>
      </c>
      <c r="BH582" s="122" t="e">
        <v>#N/A</v>
      </c>
      <c r="BI582" s="122" t="e">
        <v>#N/A</v>
      </c>
      <c r="BJ582" s="122" t="e">
        <v>#N/A</v>
      </c>
      <c r="BK582" s="122">
        <v>46010</v>
      </c>
      <c r="BL582" s="123"/>
      <c r="BM582" s="124">
        <v>45000</v>
      </c>
      <c r="BN582" s="124">
        <v>45000</v>
      </c>
      <c r="BO582" s="124">
        <v>45000</v>
      </c>
      <c r="BP582" s="124" t="e">
        <v>#N/A</v>
      </c>
      <c r="BQ582" s="124">
        <v>45000</v>
      </c>
      <c r="BR582" s="124" t="e">
        <v>#N/A</v>
      </c>
      <c r="BS582" s="124">
        <v>45029</v>
      </c>
      <c r="BT582" s="124">
        <v>45029</v>
      </c>
      <c r="BU582" s="124" t="e">
        <v>#N/A</v>
      </c>
      <c r="BV582" s="124" t="e">
        <v>#N/A</v>
      </c>
      <c r="BW582" s="124" t="e">
        <v>#N/A</v>
      </c>
      <c r="BX582" s="124">
        <v>44197</v>
      </c>
      <c r="BY582" s="124" t="e">
        <v>#N/A</v>
      </c>
      <c r="BZ582" s="124">
        <v>45597</v>
      </c>
      <c r="CA582" s="125"/>
      <c r="CB582" s="124">
        <v>45733</v>
      </c>
      <c r="CC582" s="126">
        <v>1</v>
      </c>
      <c r="CD582" s="127" t="s">
        <v>4153</v>
      </c>
      <c r="CE582" s="128"/>
      <c r="CF582" s="77" t="s">
        <v>4450</v>
      </c>
    </row>
    <row r="583" spans="1:84" ht="14.5" x14ac:dyDescent="0.35">
      <c r="A583" s="77">
        <v>582</v>
      </c>
      <c r="B583" s="106" t="s">
        <v>1572</v>
      </c>
      <c r="C583" s="107" t="s">
        <v>1593</v>
      </c>
      <c r="D583" s="108" t="s">
        <v>1573</v>
      </c>
      <c r="E583" s="109" t="s">
        <v>1574</v>
      </c>
      <c r="F583" s="110">
        <v>637043683</v>
      </c>
      <c r="G583" s="108" t="s">
        <v>1004</v>
      </c>
      <c r="H583" s="111" t="s">
        <v>322</v>
      </c>
      <c r="I583" s="111" t="s">
        <v>180</v>
      </c>
      <c r="J583" s="111" t="s">
        <v>4648</v>
      </c>
      <c r="K583" s="111" t="s">
        <v>3159</v>
      </c>
      <c r="L583" s="112">
        <v>43344</v>
      </c>
      <c r="M583" s="111" t="s">
        <v>597</v>
      </c>
      <c r="N583" s="113"/>
      <c r="O583" s="114" t="s">
        <v>182</v>
      </c>
      <c r="P583" s="114" t="s">
        <v>184</v>
      </c>
      <c r="Q583" s="114" t="s">
        <v>184</v>
      </c>
      <c r="R583" s="114" t="s">
        <v>7316</v>
      </c>
      <c r="S583" s="114" t="s">
        <v>182</v>
      </c>
      <c r="T583" s="114" t="s">
        <v>183</v>
      </c>
      <c r="U583" s="114" t="s">
        <v>183</v>
      </c>
      <c r="V583" s="115"/>
      <c r="W583" s="116" t="s">
        <v>1575</v>
      </c>
      <c r="X583" s="116" t="s">
        <v>2373</v>
      </c>
      <c r="Y583" s="117">
        <v>3485643</v>
      </c>
      <c r="Z583" s="117">
        <v>3486298</v>
      </c>
      <c r="AA583" s="118"/>
      <c r="AB583" s="119" t="s">
        <v>1619</v>
      </c>
      <c r="AC583" s="119" t="s">
        <v>1620</v>
      </c>
      <c r="AD583" s="119">
        <v>4364</v>
      </c>
      <c r="AE583" s="119" t="s">
        <v>1621</v>
      </c>
      <c r="AF583" s="119" t="s">
        <v>7658</v>
      </c>
      <c r="AG583" s="120"/>
      <c r="AH583" s="121">
        <v>44652</v>
      </c>
      <c r="AI583" s="121">
        <v>44652</v>
      </c>
      <c r="AJ583" s="121">
        <v>44652</v>
      </c>
      <c r="AK583" s="122">
        <v>44652</v>
      </c>
      <c r="AL583" s="122" t="e">
        <v>#N/A</v>
      </c>
      <c r="AM583" s="121" t="e">
        <v>#N/A</v>
      </c>
      <c r="AN583" s="121" t="e">
        <v>#N/A</v>
      </c>
      <c r="AO583" s="121" t="e">
        <v>#N/A</v>
      </c>
      <c r="AP583" s="122" t="e">
        <v>#N/A</v>
      </c>
      <c r="AQ583" s="122" t="e">
        <v>#N/A</v>
      </c>
      <c r="AR583" s="122" t="e">
        <v>#N/A</v>
      </c>
      <c r="AS583" s="122" t="e">
        <v>#N/A</v>
      </c>
      <c r="AT583" s="122" t="e">
        <v>#N/A</v>
      </c>
      <c r="AU583" s="121">
        <v>45912</v>
      </c>
      <c r="AV583" s="122">
        <v>45078</v>
      </c>
      <c r="AW583" s="122">
        <v>45033</v>
      </c>
      <c r="AX583" s="122" t="e">
        <v>#N/A</v>
      </c>
      <c r="AY583" s="122" t="e">
        <v>#N/A</v>
      </c>
      <c r="AZ583" s="122" t="e">
        <v>#N/A</v>
      </c>
      <c r="BA583" s="122" t="e">
        <v>#N/A</v>
      </c>
      <c r="BB583" s="122" t="e">
        <v>#N/A</v>
      </c>
      <c r="BC583" s="122" t="e">
        <v>#N/A</v>
      </c>
      <c r="BD583" s="122" t="e">
        <v>#N/A</v>
      </c>
      <c r="BE583" s="122" t="e">
        <v>#N/A</v>
      </c>
      <c r="BF583" s="122" t="e">
        <v>#N/A</v>
      </c>
      <c r="BG583" s="122" t="e">
        <v>#N/A</v>
      </c>
      <c r="BH583" s="122" t="e">
        <v>#N/A</v>
      </c>
      <c r="BI583" s="122" t="e">
        <v>#N/A</v>
      </c>
      <c r="BJ583" s="122" t="e">
        <v>#N/A</v>
      </c>
      <c r="BK583" s="122">
        <v>46009</v>
      </c>
      <c r="BL583" s="123"/>
      <c r="BM583" s="124">
        <v>45371</v>
      </c>
      <c r="BN583" s="124">
        <v>45373</v>
      </c>
      <c r="BO583" s="124">
        <v>45373</v>
      </c>
      <c r="BP583" s="124" t="e">
        <v>#N/A</v>
      </c>
      <c r="BQ583" s="124" t="e">
        <v>#N/A</v>
      </c>
      <c r="BR583" s="124" t="e">
        <v>#N/A</v>
      </c>
      <c r="BS583" s="124">
        <v>45373</v>
      </c>
      <c r="BT583" s="124">
        <v>45373</v>
      </c>
      <c r="BU583" s="124" t="e">
        <v>#N/A</v>
      </c>
      <c r="BV583" s="124" t="e">
        <v>#N/A</v>
      </c>
      <c r="BW583" s="124" t="e">
        <v>#N/A</v>
      </c>
      <c r="BX583" s="124">
        <v>45863</v>
      </c>
      <c r="BY583" s="124" t="e">
        <v>#N/A</v>
      </c>
      <c r="BZ583" s="124" t="e">
        <v>#N/A</v>
      </c>
      <c r="CA583" s="125"/>
      <c r="CB583" s="124">
        <v>45727</v>
      </c>
      <c r="CC583" s="126">
        <v>1</v>
      </c>
      <c r="CD583" s="127" t="s">
        <v>4152</v>
      </c>
      <c r="CE583" s="128"/>
      <c r="CF583" s="77" t="s">
        <v>4450</v>
      </c>
    </row>
    <row r="584" spans="1:84" ht="14.5" x14ac:dyDescent="0.35">
      <c r="A584" s="77">
        <v>583</v>
      </c>
      <c r="B584" s="106" t="s">
        <v>3202</v>
      </c>
      <c r="C584" s="107" t="s">
        <v>6605</v>
      </c>
      <c r="D584" s="108" t="s">
        <v>3157</v>
      </c>
      <c r="E584" s="109" t="s">
        <v>3158</v>
      </c>
      <c r="F584" s="110">
        <v>722424934</v>
      </c>
      <c r="G584" s="108" t="s">
        <v>1004</v>
      </c>
      <c r="H584" s="111" t="s">
        <v>322</v>
      </c>
      <c r="I584" s="111" t="s">
        <v>180</v>
      </c>
      <c r="J584" s="111" t="s">
        <v>4648</v>
      </c>
      <c r="K584" s="111" t="s">
        <v>3159</v>
      </c>
      <c r="L584" s="112">
        <v>45349</v>
      </c>
      <c r="M584" s="111" t="s">
        <v>740</v>
      </c>
      <c r="N584" s="113"/>
      <c r="O584" s="114" t="s">
        <v>2910</v>
      </c>
      <c r="P584" s="114" t="s">
        <v>2910</v>
      </c>
      <c r="Q584" s="114" t="s">
        <v>2910</v>
      </c>
      <c r="R584" s="114" t="s">
        <v>7414</v>
      </c>
      <c r="S584" s="114" t="s">
        <v>2910</v>
      </c>
      <c r="T584" s="114" t="s">
        <v>183</v>
      </c>
      <c r="U584" s="114" t="s">
        <v>183</v>
      </c>
      <c r="V584" s="115"/>
      <c r="W584" s="116" t="s">
        <v>3160</v>
      </c>
      <c r="X584" s="116" t="s">
        <v>3161</v>
      </c>
      <c r="Y584" s="117">
        <v>3485843</v>
      </c>
      <c r="Z584" s="117">
        <v>3486374</v>
      </c>
      <c r="AA584" s="118"/>
      <c r="AB584" s="119" t="s">
        <v>3162</v>
      </c>
      <c r="AC584" s="119" t="s">
        <v>3163</v>
      </c>
      <c r="AD584" s="119">
        <v>5403</v>
      </c>
      <c r="AE584" s="119" t="s">
        <v>3164</v>
      </c>
      <c r="AF584" s="119" t="s">
        <v>7167</v>
      </c>
      <c r="AG584" s="120"/>
      <c r="AH584" s="121">
        <v>45345</v>
      </c>
      <c r="AI584" s="121">
        <v>45376</v>
      </c>
      <c r="AJ584" s="121">
        <v>45345</v>
      </c>
      <c r="AK584" s="122">
        <v>45376</v>
      </c>
      <c r="AL584" s="122" t="e">
        <v>#N/A</v>
      </c>
      <c r="AM584" s="121" t="e">
        <v>#N/A</v>
      </c>
      <c r="AN584" s="121" t="e">
        <v>#N/A</v>
      </c>
      <c r="AO584" s="121" t="e">
        <v>#N/A</v>
      </c>
      <c r="AP584" s="122" t="e">
        <v>#N/A</v>
      </c>
      <c r="AQ584" s="122" t="e">
        <v>#N/A</v>
      </c>
      <c r="AR584" s="122" t="e">
        <v>#N/A</v>
      </c>
      <c r="AS584" s="122" t="e">
        <v>#N/A</v>
      </c>
      <c r="AT584" s="122" t="e">
        <v>#N/A</v>
      </c>
      <c r="AU584" s="121" t="e">
        <v>#N/A</v>
      </c>
      <c r="AV584" s="122" t="e">
        <v>#N/A</v>
      </c>
      <c r="AW584" s="122" t="e">
        <v>#N/A</v>
      </c>
      <c r="AX584" s="122" t="e">
        <v>#N/A</v>
      </c>
      <c r="AY584" s="122" t="e">
        <v>#N/A</v>
      </c>
      <c r="AZ584" s="122" t="e">
        <v>#N/A</v>
      </c>
      <c r="BA584" s="122" t="e">
        <v>#N/A</v>
      </c>
      <c r="BB584" s="122" t="e">
        <v>#N/A</v>
      </c>
      <c r="BC584" s="122" t="e">
        <v>#N/A</v>
      </c>
      <c r="BD584" s="122" t="e">
        <v>#N/A</v>
      </c>
      <c r="BE584" s="122" t="e">
        <v>#N/A</v>
      </c>
      <c r="BF584" s="122" t="e">
        <v>#N/A</v>
      </c>
      <c r="BG584" s="122" t="e">
        <v>#N/A</v>
      </c>
      <c r="BH584" s="122" t="e">
        <v>#N/A</v>
      </c>
      <c r="BI584" s="122" t="e">
        <v>#N/A</v>
      </c>
      <c r="BJ584" s="122" t="e">
        <v>#N/A</v>
      </c>
      <c r="BK584" s="122">
        <v>45967</v>
      </c>
      <c r="BL584" s="123"/>
      <c r="BM584" s="124">
        <v>45546</v>
      </c>
      <c r="BN584" s="124">
        <v>45546</v>
      </c>
      <c r="BO584" s="124">
        <v>45702</v>
      </c>
      <c r="BP584" s="124" t="e">
        <v>#N/A</v>
      </c>
      <c r="BQ584" s="124" t="e">
        <v>#N/A</v>
      </c>
      <c r="BR584" s="124" t="e">
        <v>#N/A</v>
      </c>
      <c r="BS584" s="124">
        <v>45546</v>
      </c>
      <c r="BT584" s="124" t="e">
        <v>#N/A</v>
      </c>
      <c r="BU584" s="124" t="e">
        <v>#N/A</v>
      </c>
      <c r="BV584" s="124" t="e">
        <v>#N/A</v>
      </c>
      <c r="BW584" s="124" t="e">
        <v>#N/A</v>
      </c>
      <c r="BX584" s="124">
        <v>45863</v>
      </c>
      <c r="BY584" s="124" t="e">
        <v>#N/A</v>
      </c>
      <c r="BZ584" s="124" t="e">
        <v>#N/A</v>
      </c>
      <c r="CA584" s="125"/>
      <c r="CB584" s="124" t="e">
        <v>#N/A</v>
      </c>
      <c r="CC584" s="126">
        <v>1</v>
      </c>
      <c r="CD584" s="127" t="s">
        <v>4198</v>
      </c>
      <c r="CE584" s="128"/>
      <c r="CF584" s="77" t="s">
        <v>4538</v>
      </c>
    </row>
    <row r="585" spans="1:84" ht="14.5" x14ac:dyDescent="0.35">
      <c r="A585" s="77">
        <v>584</v>
      </c>
      <c r="B585" s="106" t="s">
        <v>61</v>
      </c>
      <c r="C585" s="107" t="s">
        <v>1207</v>
      </c>
      <c r="D585" s="108" t="s">
        <v>555</v>
      </c>
      <c r="E585" s="109" t="s">
        <v>556</v>
      </c>
      <c r="F585" s="110">
        <v>669739564</v>
      </c>
      <c r="G585" s="108" t="s">
        <v>1004</v>
      </c>
      <c r="H585" s="111" t="s">
        <v>322</v>
      </c>
      <c r="I585" s="111" t="s">
        <v>180</v>
      </c>
      <c r="J585" s="111" t="s">
        <v>4648</v>
      </c>
      <c r="K585" s="111" t="s">
        <v>3159</v>
      </c>
      <c r="L585" s="112">
        <v>42690</v>
      </c>
      <c r="M585" s="111" t="s">
        <v>597</v>
      </c>
      <c r="N585" s="113"/>
      <c r="O585" s="114" t="s">
        <v>2910</v>
      </c>
      <c r="P585" s="114" t="s">
        <v>183</v>
      </c>
      <c r="Q585" s="114" t="s">
        <v>2910</v>
      </c>
      <c r="R585" s="114" t="s">
        <v>7414</v>
      </c>
      <c r="S585" s="114" t="s">
        <v>7659</v>
      </c>
      <c r="T585" s="114" t="s">
        <v>7659</v>
      </c>
      <c r="U585" s="114" t="s">
        <v>183</v>
      </c>
      <c r="V585" s="115"/>
      <c r="W585" s="116" t="s">
        <v>1854</v>
      </c>
      <c r="X585" s="116" t="s">
        <v>1855</v>
      </c>
      <c r="Y585" s="117">
        <v>3485499</v>
      </c>
      <c r="Z585" s="117">
        <v>3481003</v>
      </c>
      <c r="AA585" s="118"/>
      <c r="AB585" s="119" t="s">
        <v>5678</v>
      </c>
      <c r="AC585" s="119" t="s">
        <v>1856</v>
      </c>
      <c r="AD585" s="119" t="s">
        <v>6180</v>
      </c>
      <c r="AE585" s="119" t="s">
        <v>6181</v>
      </c>
      <c r="AF585" s="119">
        <v>0</v>
      </c>
      <c r="AG585" s="120"/>
      <c r="AH585" s="121">
        <v>44197</v>
      </c>
      <c r="AI585" s="121">
        <v>44197</v>
      </c>
      <c r="AJ585" s="121">
        <v>44197</v>
      </c>
      <c r="AK585" s="122">
        <v>44197</v>
      </c>
      <c r="AL585" s="122" t="e">
        <v>#N/A</v>
      </c>
      <c r="AM585" s="121" t="e">
        <v>#N/A</v>
      </c>
      <c r="AN585" s="121" t="e">
        <v>#N/A</v>
      </c>
      <c r="AO585" s="121" t="e">
        <v>#N/A</v>
      </c>
      <c r="AP585" s="122" t="e">
        <v>#N/A</v>
      </c>
      <c r="AQ585" s="122" t="e">
        <v>#N/A</v>
      </c>
      <c r="AR585" s="122" t="e">
        <v>#N/A</v>
      </c>
      <c r="AS585" s="122" t="e">
        <v>#N/A</v>
      </c>
      <c r="AT585" s="122" t="e">
        <v>#N/A</v>
      </c>
      <c r="AU585" s="121" t="e">
        <v>#N/A</v>
      </c>
      <c r="AV585" s="122">
        <v>45601</v>
      </c>
      <c r="AW585" s="122">
        <v>45607</v>
      </c>
      <c r="AX585" s="122" t="e">
        <v>#N/A</v>
      </c>
      <c r="AY585" s="122" t="e">
        <v>#N/A</v>
      </c>
      <c r="AZ585" s="122" t="e">
        <v>#N/A</v>
      </c>
      <c r="BA585" s="122" t="e">
        <v>#N/A</v>
      </c>
      <c r="BB585" s="122" t="e">
        <v>#N/A</v>
      </c>
      <c r="BC585" s="122" t="e">
        <v>#N/A</v>
      </c>
      <c r="BD585" s="122" t="e">
        <v>#N/A</v>
      </c>
      <c r="BE585" s="122" t="e">
        <v>#N/A</v>
      </c>
      <c r="BF585" s="122" t="e">
        <v>#N/A</v>
      </c>
      <c r="BG585" s="122" t="e">
        <v>#N/A</v>
      </c>
      <c r="BH585" s="122" t="e">
        <v>#N/A</v>
      </c>
      <c r="BI585" s="122" t="e">
        <v>#N/A</v>
      </c>
      <c r="BJ585" s="122" t="e">
        <v>#N/A</v>
      </c>
      <c r="BK585" s="122" t="e">
        <v>#N/A</v>
      </c>
      <c r="BL585" s="123"/>
      <c r="BM585" s="124">
        <v>44197</v>
      </c>
      <c r="BN585" s="124">
        <v>44197</v>
      </c>
      <c r="BO585" s="124">
        <v>44197</v>
      </c>
      <c r="BP585" s="124">
        <v>44197</v>
      </c>
      <c r="BQ585" s="124">
        <v>44197</v>
      </c>
      <c r="BR585" s="124">
        <v>44704</v>
      </c>
      <c r="BS585" s="124">
        <v>44197</v>
      </c>
      <c r="BT585" s="124">
        <v>44197</v>
      </c>
      <c r="BU585" s="124" t="e">
        <v>#N/A</v>
      </c>
      <c r="BV585" s="124" t="e">
        <v>#N/A</v>
      </c>
      <c r="BW585" s="124">
        <v>44197</v>
      </c>
      <c r="BX585" s="124">
        <v>44197</v>
      </c>
      <c r="BY585" s="124" t="e">
        <v>#N/A</v>
      </c>
      <c r="BZ585" s="124">
        <v>45597</v>
      </c>
      <c r="CA585" s="125"/>
      <c r="CB585" s="124" t="e">
        <v>#N/A</v>
      </c>
      <c r="CC585" s="126">
        <v>1</v>
      </c>
      <c r="CD585" s="127" t="s">
        <v>4169</v>
      </c>
      <c r="CE585" s="128"/>
      <c r="CF585" s="77" t="s">
        <v>4538</v>
      </c>
    </row>
    <row r="586" spans="1:84" ht="14.5" x14ac:dyDescent="0.35">
      <c r="A586" s="77">
        <v>585</v>
      </c>
      <c r="B586" s="106" t="s">
        <v>2868</v>
      </c>
      <c r="C586" s="107" t="s">
        <v>6552</v>
      </c>
      <c r="D586" s="108" t="s">
        <v>2778</v>
      </c>
      <c r="E586" s="109" t="s">
        <v>2779</v>
      </c>
      <c r="F586" s="110">
        <v>654524637</v>
      </c>
      <c r="G586" s="108" t="s">
        <v>1004</v>
      </c>
      <c r="H586" s="111" t="s">
        <v>337</v>
      </c>
      <c r="I586" s="111" t="s">
        <v>180</v>
      </c>
      <c r="J586" s="111" t="s">
        <v>4648</v>
      </c>
      <c r="K586" s="111" t="s">
        <v>305</v>
      </c>
      <c r="L586" s="112">
        <v>45125</v>
      </c>
      <c r="M586" s="111" t="s">
        <v>1656</v>
      </c>
      <c r="N586" s="113"/>
      <c r="O586" s="114" t="s">
        <v>501</v>
      </c>
      <c r="P586" s="114" t="s">
        <v>501</v>
      </c>
      <c r="Q586" s="114" t="s">
        <v>501</v>
      </c>
      <c r="R586" s="114" t="s">
        <v>7321</v>
      </c>
      <c r="S586" s="114" t="s">
        <v>501</v>
      </c>
      <c r="T586" s="114" t="s">
        <v>183</v>
      </c>
      <c r="U586" s="114" t="s">
        <v>183</v>
      </c>
      <c r="V586" s="115"/>
      <c r="W586" s="116" t="s">
        <v>2780</v>
      </c>
      <c r="X586" s="116" t="s">
        <v>2781</v>
      </c>
      <c r="Y586" s="117">
        <v>3485794</v>
      </c>
      <c r="Z586" s="117">
        <v>3481438</v>
      </c>
      <c r="AA586" s="118"/>
      <c r="AB586" s="119" t="s">
        <v>2782</v>
      </c>
      <c r="AC586" s="119" t="s">
        <v>2783</v>
      </c>
      <c r="AD586" s="119">
        <v>4169</v>
      </c>
      <c r="AE586" s="119" t="s">
        <v>2784</v>
      </c>
      <c r="AF586" s="119" t="s">
        <v>7154</v>
      </c>
      <c r="AG586" s="120"/>
      <c r="AH586" s="121">
        <v>45124</v>
      </c>
      <c r="AI586" s="121">
        <v>45166</v>
      </c>
      <c r="AJ586" s="121">
        <v>45124</v>
      </c>
      <c r="AK586" s="122">
        <v>45166</v>
      </c>
      <c r="AL586" s="122" t="e">
        <v>#N/A</v>
      </c>
      <c r="AM586" s="121" t="e">
        <v>#N/A</v>
      </c>
      <c r="AN586" s="121" t="e">
        <v>#N/A</v>
      </c>
      <c r="AO586" s="121" t="e">
        <v>#N/A</v>
      </c>
      <c r="AP586" s="122" t="e">
        <v>#N/A</v>
      </c>
      <c r="AQ586" s="122" t="e">
        <v>#N/A</v>
      </c>
      <c r="AR586" s="122" t="e">
        <v>#N/A</v>
      </c>
      <c r="AS586" s="122" t="e">
        <v>#N/A</v>
      </c>
      <c r="AT586" s="122" t="e">
        <v>#N/A</v>
      </c>
      <c r="AU586" s="121" t="e">
        <v>#N/A</v>
      </c>
      <c r="AV586" s="122" t="e">
        <v>#N/A</v>
      </c>
      <c r="AW586" s="122" t="e">
        <v>#N/A</v>
      </c>
      <c r="AX586" s="122" t="e">
        <v>#N/A</v>
      </c>
      <c r="AY586" s="122" t="e">
        <v>#N/A</v>
      </c>
      <c r="AZ586" s="122" t="e">
        <v>#N/A</v>
      </c>
      <c r="BA586" s="122" t="e">
        <v>#N/A</v>
      </c>
      <c r="BB586" s="122" t="e">
        <v>#N/A</v>
      </c>
      <c r="BC586" s="122" t="e">
        <v>#N/A</v>
      </c>
      <c r="BD586" s="122" t="e">
        <v>#N/A</v>
      </c>
      <c r="BE586" s="122" t="e">
        <v>#N/A</v>
      </c>
      <c r="BF586" s="122" t="e">
        <v>#N/A</v>
      </c>
      <c r="BG586" s="122" t="e">
        <v>#N/A</v>
      </c>
      <c r="BH586" s="122" t="e">
        <v>#N/A</v>
      </c>
      <c r="BI586" s="122" t="e">
        <v>#N/A</v>
      </c>
      <c r="BJ586" s="122" t="e">
        <v>#N/A</v>
      </c>
      <c r="BK586" s="122">
        <v>45967</v>
      </c>
      <c r="BL586" s="123"/>
      <c r="BM586" s="124">
        <v>45523</v>
      </c>
      <c r="BN586" s="124">
        <v>45523</v>
      </c>
      <c r="BO586" s="124">
        <v>45702</v>
      </c>
      <c r="BP586" s="124" t="e">
        <v>#N/A</v>
      </c>
      <c r="BQ586" s="124" t="e">
        <v>#N/A</v>
      </c>
      <c r="BR586" s="124" t="e">
        <v>#N/A</v>
      </c>
      <c r="BS586" s="124">
        <v>45523</v>
      </c>
      <c r="BT586" s="124" t="e">
        <v>#N/A</v>
      </c>
      <c r="BU586" s="124" t="e">
        <v>#N/A</v>
      </c>
      <c r="BV586" s="124" t="e">
        <v>#N/A</v>
      </c>
      <c r="BW586" s="124" t="e">
        <v>#N/A</v>
      </c>
      <c r="BX586" s="124" t="e">
        <v>#N/A</v>
      </c>
      <c r="BY586" s="124" t="e">
        <v>#N/A</v>
      </c>
      <c r="BZ586" s="124" t="e">
        <v>#N/A</v>
      </c>
      <c r="CA586" s="125"/>
      <c r="CB586" s="124" t="e">
        <v>#N/A</v>
      </c>
      <c r="CC586" s="126">
        <v>1</v>
      </c>
      <c r="CD586" s="127" t="s">
        <v>4168</v>
      </c>
      <c r="CE586" s="128"/>
      <c r="CF586" s="77" t="s">
        <v>4538</v>
      </c>
    </row>
    <row r="587" spans="1:84" ht="14.5" x14ac:dyDescent="0.35">
      <c r="A587" s="77">
        <v>586</v>
      </c>
      <c r="B587" s="106" t="s">
        <v>6326</v>
      </c>
      <c r="C587" s="107" t="s">
        <v>1194</v>
      </c>
      <c r="D587" s="108" t="s">
        <v>335</v>
      </c>
      <c r="E587" s="109" t="s">
        <v>336</v>
      </c>
      <c r="F587" s="110">
        <v>600086024</v>
      </c>
      <c r="G587" s="108" t="s">
        <v>1004</v>
      </c>
      <c r="H587" s="111" t="s">
        <v>337</v>
      </c>
      <c r="I587" s="111" t="s">
        <v>180</v>
      </c>
      <c r="J587" s="111" t="s">
        <v>4648</v>
      </c>
      <c r="K587" s="111" t="s">
        <v>305</v>
      </c>
      <c r="L587" s="112">
        <v>43160</v>
      </c>
      <c r="M587" s="111" t="s">
        <v>1656</v>
      </c>
      <c r="N587" s="113"/>
      <c r="O587" s="114" t="s">
        <v>330</v>
      </c>
      <c r="P587" s="114" t="s">
        <v>330</v>
      </c>
      <c r="Q587" s="114" t="s">
        <v>330</v>
      </c>
      <c r="R587" s="114" t="s">
        <v>4469</v>
      </c>
      <c r="S587" s="114" t="s">
        <v>330</v>
      </c>
      <c r="T587" s="114" t="s">
        <v>183</v>
      </c>
      <c r="U587" s="114" t="s">
        <v>183</v>
      </c>
      <c r="V587" s="115"/>
      <c r="W587" s="116" t="s">
        <v>1838</v>
      </c>
      <c r="X587" s="116" t="s">
        <v>1839</v>
      </c>
      <c r="Y587" s="117">
        <v>3485230</v>
      </c>
      <c r="Z587" s="117">
        <v>3481078</v>
      </c>
      <c r="AA587" s="118"/>
      <c r="AB587" s="119" t="s">
        <v>5537</v>
      </c>
      <c r="AC587" s="119" t="s">
        <v>1840</v>
      </c>
      <c r="AD587" s="119">
        <v>4184</v>
      </c>
      <c r="AE587" s="119" t="s">
        <v>1841</v>
      </c>
      <c r="AF587" s="119" t="s">
        <v>7660</v>
      </c>
      <c r="AG587" s="120"/>
      <c r="AH587" s="121">
        <v>44197</v>
      </c>
      <c r="AI587" s="121">
        <v>44197</v>
      </c>
      <c r="AJ587" s="121">
        <v>44197</v>
      </c>
      <c r="AK587" s="122">
        <v>44197</v>
      </c>
      <c r="AL587" s="122" t="e">
        <v>#N/A</v>
      </c>
      <c r="AM587" s="121" t="e">
        <v>#N/A</v>
      </c>
      <c r="AN587" s="121" t="e">
        <v>#N/A</v>
      </c>
      <c r="AO587" s="121" t="e">
        <v>#N/A</v>
      </c>
      <c r="AP587" s="122" t="e">
        <v>#N/A</v>
      </c>
      <c r="AQ587" s="122" t="e">
        <v>#N/A</v>
      </c>
      <c r="AR587" s="122" t="e">
        <v>#N/A</v>
      </c>
      <c r="AS587" s="122" t="e">
        <v>#N/A</v>
      </c>
      <c r="AT587" s="122" t="e">
        <v>#N/A</v>
      </c>
      <c r="AU587" s="121" t="e">
        <v>#N/A</v>
      </c>
      <c r="AV587" s="122" t="e">
        <v>#N/A</v>
      </c>
      <c r="AW587" s="122" t="e">
        <v>#N/A</v>
      </c>
      <c r="AX587" s="122" t="e">
        <v>#N/A</v>
      </c>
      <c r="AY587" s="122" t="e">
        <v>#N/A</v>
      </c>
      <c r="AZ587" s="122" t="e">
        <v>#N/A</v>
      </c>
      <c r="BA587" s="122" t="e">
        <v>#N/A</v>
      </c>
      <c r="BB587" s="122" t="e">
        <v>#N/A</v>
      </c>
      <c r="BC587" s="122" t="e">
        <v>#N/A</v>
      </c>
      <c r="BD587" s="122" t="e">
        <v>#N/A</v>
      </c>
      <c r="BE587" s="122" t="e">
        <v>#N/A</v>
      </c>
      <c r="BF587" s="122" t="e">
        <v>#N/A</v>
      </c>
      <c r="BG587" s="122" t="e">
        <v>#N/A</v>
      </c>
      <c r="BH587" s="122" t="e">
        <v>#N/A</v>
      </c>
      <c r="BI587" s="122" t="e">
        <v>#N/A</v>
      </c>
      <c r="BJ587" s="122" t="e">
        <v>#N/A</v>
      </c>
      <c r="BK587" s="122">
        <v>45972</v>
      </c>
      <c r="BL587" s="123"/>
      <c r="BM587" s="124">
        <v>44197</v>
      </c>
      <c r="BN587" s="124">
        <v>44197</v>
      </c>
      <c r="BO587" s="124">
        <v>44615</v>
      </c>
      <c r="BP587" s="124">
        <v>44530</v>
      </c>
      <c r="BQ587" s="124">
        <v>44697</v>
      </c>
      <c r="BR587" s="124">
        <v>44799</v>
      </c>
      <c r="BS587" s="124">
        <v>44804</v>
      </c>
      <c r="BT587" s="124">
        <v>44804</v>
      </c>
      <c r="BU587" s="124" t="e">
        <v>#N/A</v>
      </c>
      <c r="BV587" s="124" t="e">
        <v>#N/A</v>
      </c>
      <c r="BW587" s="124" t="e">
        <v>#N/A</v>
      </c>
      <c r="BX587" s="124">
        <v>44197</v>
      </c>
      <c r="BY587" s="124" t="e">
        <v>#N/A</v>
      </c>
      <c r="BZ587" s="124" t="e">
        <v>#N/A</v>
      </c>
      <c r="CA587" s="125"/>
      <c r="CB587" s="124">
        <v>45733</v>
      </c>
      <c r="CC587" s="126">
        <v>1</v>
      </c>
      <c r="CD587" s="127" t="e">
        <v>#N/A</v>
      </c>
      <c r="CE587" s="128"/>
      <c r="CF587" s="77" t="s">
        <v>4538</v>
      </c>
    </row>
    <row r="588" spans="1:84" ht="14.5" x14ac:dyDescent="0.35">
      <c r="A588" s="77">
        <v>587</v>
      </c>
      <c r="B588" s="106" t="s">
        <v>69</v>
      </c>
      <c r="C588" s="107" t="s">
        <v>1220</v>
      </c>
      <c r="D588" s="108" t="s">
        <v>588</v>
      </c>
      <c r="E588" s="109" t="s">
        <v>589</v>
      </c>
      <c r="F588" s="110">
        <v>606692040</v>
      </c>
      <c r="G588" s="108" t="s">
        <v>1004</v>
      </c>
      <c r="H588" s="111" t="s">
        <v>337</v>
      </c>
      <c r="I588" s="111" t="s">
        <v>180</v>
      </c>
      <c r="J588" s="111" t="s">
        <v>4648</v>
      </c>
      <c r="K588" s="111" t="s">
        <v>305</v>
      </c>
      <c r="L588" s="112">
        <v>42444</v>
      </c>
      <c r="M588" s="111" t="s">
        <v>1656</v>
      </c>
      <c r="N588" s="113"/>
      <c r="O588" s="114" t="s">
        <v>7256</v>
      </c>
      <c r="P588" s="114" t="s">
        <v>7256</v>
      </c>
      <c r="Q588" s="114" t="s">
        <v>7256</v>
      </c>
      <c r="R588" s="114" t="s">
        <v>7256</v>
      </c>
      <c r="S588" s="114" t="s">
        <v>7256</v>
      </c>
      <c r="T588" s="114" t="s">
        <v>4356</v>
      </c>
      <c r="U588" s="114" t="s">
        <v>4356</v>
      </c>
      <c r="V588" s="115"/>
      <c r="W588" s="116" t="s">
        <v>1884</v>
      </c>
      <c r="X588" s="116" t="s">
        <v>1885</v>
      </c>
      <c r="Y588" s="117">
        <v>3485385</v>
      </c>
      <c r="Z588" s="117">
        <v>3481026</v>
      </c>
      <c r="AA588" s="118"/>
      <c r="AB588" s="119" t="s">
        <v>5536</v>
      </c>
      <c r="AC588" s="119" t="s">
        <v>1886</v>
      </c>
      <c r="AD588" s="119">
        <v>2160</v>
      </c>
      <c r="AE588" s="119" t="s">
        <v>1887</v>
      </c>
      <c r="AF588" s="119" t="s">
        <v>7661</v>
      </c>
      <c r="AG588" s="120"/>
      <c r="AH588" s="121">
        <v>44197</v>
      </c>
      <c r="AI588" s="121">
        <v>44197</v>
      </c>
      <c r="AJ588" s="121">
        <v>44197</v>
      </c>
      <c r="AK588" s="122">
        <v>44197</v>
      </c>
      <c r="AL588" s="122" t="e">
        <v>#N/A</v>
      </c>
      <c r="AM588" s="121" t="e">
        <v>#N/A</v>
      </c>
      <c r="AN588" s="121" t="e">
        <v>#N/A</v>
      </c>
      <c r="AO588" s="121" t="e">
        <v>#N/A</v>
      </c>
      <c r="AP588" s="122" t="e">
        <v>#N/A</v>
      </c>
      <c r="AQ588" s="122" t="e">
        <v>#N/A</v>
      </c>
      <c r="AR588" s="122" t="e">
        <v>#N/A</v>
      </c>
      <c r="AS588" s="122" t="e">
        <v>#N/A</v>
      </c>
      <c r="AT588" s="122" t="e">
        <v>#N/A</v>
      </c>
      <c r="AU588" s="121">
        <v>45912</v>
      </c>
      <c r="AV588" s="122">
        <v>44607</v>
      </c>
      <c r="AW588" s="122">
        <v>44607</v>
      </c>
      <c r="AX588" s="122" t="e">
        <v>#N/A</v>
      </c>
      <c r="AY588" s="122" t="e">
        <v>#N/A</v>
      </c>
      <c r="AZ588" s="122" t="e">
        <v>#N/A</v>
      </c>
      <c r="BA588" s="122" t="e">
        <v>#N/A</v>
      </c>
      <c r="BB588" s="122" t="e">
        <v>#N/A</v>
      </c>
      <c r="BC588" s="122" t="e">
        <v>#N/A</v>
      </c>
      <c r="BD588" s="122" t="e">
        <v>#N/A</v>
      </c>
      <c r="BE588" s="122" t="e">
        <v>#N/A</v>
      </c>
      <c r="BF588" s="122" t="e">
        <v>#N/A</v>
      </c>
      <c r="BG588" s="122" t="e">
        <v>#N/A</v>
      </c>
      <c r="BH588" s="122" t="e">
        <v>#N/A</v>
      </c>
      <c r="BI588" s="122" t="e">
        <v>#N/A</v>
      </c>
      <c r="BJ588" s="122" t="e">
        <v>#N/A</v>
      </c>
      <c r="BK588" s="122">
        <v>46000</v>
      </c>
      <c r="BL588" s="123"/>
      <c r="BM588" s="124">
        <v>44197</v>
      </c>
      <c r="BN588" s="124">
        <v>44197</v>
      </c>
      <c r="BO588" s="124">
        <v>44197</v>
      </c>
      <c r="BP588" s="124">
        <v>44197</v>
      </c>
      <c r="BQ588" s="124">
        <v>44197</v>
      </c>
      <c r="BR588" s="124">
        <v>44197</v>
      </c>
      <c r="BS588" s="124">
        <v>44978</v>
      </c>
      <c r="BT588" s="124">
        <v>44978</v>
      </c>
      <c r="BU588" s="124">
        <v>44197</v>
      </c>
      <c r="BV588" s="124">
        <v>44197</v>
      </c>
      <c r="BW588" s="124">
        <v>44197</v>
      </c>
      <c r="BX588" s="124">
        <v>44197</v>
      </c>
      <c r="BY588" s="124" t="e">
        <v>#N/A</v>
      </c>
      <c r="BZ588" s="124" t="e">
        <v>#N/A</v>
      </c>
      <c r="CA588" s="125"/>
      <c r="CB588" s="124">
        <v>45727</v>
      </c>
      <c r="CC588" s="126">
        <v>1</v>
      </c>
      <c r="CD588" s="127" t="s">
        <v>4169</v>
      </c>
      <c r="CE588" s="128"/>
      <c r="CF588" s="77" t="s">
        <v>4538</v>
      </c>
    </row>
    <row r="589" spans="1:84" ht="14.5" x14ac:dyDescent="0.35">
      <c r="A589" s="77">
        <v>588</v>
      </c>
      <c r="B589" s="106" t="s">
        <v>1576</v>
      </c>
      <c r="C589" s="107" t="s">
        <v>1577</v>
      </c>
      <c r="D589" s="108" t="s">
        <v>1578</v>
      </c>
      <c r="E589" s="109" t="s">
        <v>1579</v>
      </c>
      <c r="F589" s="110">
        <v>657519468</v>
      </c>
      <c r="G589" s="108" t="s">
        <v>1004</v>
      </c>
      <c r="H589" s="111" t="s">
        <v>337</v>
      </c>
      <c r="I589" s="111" t="s">
        <v>180</v>
      </c>
      <c r="J589" s="111" t="s">
        <v>4648</v>
      </c>
      <c r="K589" s="111" t="s">
        <v>305</v>
      </c>
      <c r="L589" s="112">
        <v>43862</v>
      </c>
      <c r="M589" s="111" t="s">
        <v>1656</v>
      </c>
      <c r="N589" s="113"/>
      <c r="O589" s="114" t="s">
        <v>246</v>
      </c>
      <c r="P589" s="114" t="s">
        <v>257</v>
      </c>
      <c r="Q589" s="114" t="s">
        <v>257</v>
      </c>
      <c r="R589" s="114" t="s">
        <v>246</v>
      </c>
      <c r="S589" s="114" t="s">
        <v>246</v>
      </c>
      <c r="T589" s="114" t="s">
        <v>183</v>
      </c>
      <c r="U589" s="114" t="s">
        <v>183</v>
      </c>
      <c r="V589" s="115"/>
      <c r="W589" s="116" t="s">
        <v>1580</v>
      </c>
      <c r="X589" s="116" t="s">
        <v>1581</v>
      </c>
      <c r="Y589" s="117">
        <v>3485644</v>
      </c>
      <c r="Z589" s="117">
        <v>3486382</v>
      </c>
      <c r="AA589" s="118"/>
      <c r="AB589" s="119" t="s">
        <v>5889</v>
      </c>
      <c r="AC589" s="119" t="s">
        <v>1594</v>
      </c>
      <c r="AD589" s="119">
        <v>4356</v>
      </c>
      <c r="AE589" s="119" t="s">
        <v>1622</v>
      </c>
      <c r="AF589" s="119" t="s">
        <v>7662</v>
      </c>
      <c r="AG589" s="120"/>
      <c r="AH589" s="121">
        <v>44652</v>
      </c>
      <c r="AI589" s="121">
        <v>44652</v>
      </c>
      <c r="AJ589" s="121">
        <v>44652</v>
      </c>
      <c r="AK589" s="122">
        <v>44652</v>
      </c>
      <c r="AL589" s="122" t="e">
        <v>#N/A</v>
      </c>
      <c r="AM589" s="121" t="e">
        <v>#N/A</v>
      </c>
      <c r="AN589" s="121" t="e">
        <v>#N/A</v>
      </c>
      <c r="AO589" s="121" t="e">
        <v>#N/A</v>
      </c>
      <c r="AP589" s="122" t="e">
        <v>#N/A</v>
      </c>
      <c r="AQ589" s="122" t="e">
        <v>#N/A</v>
      </c>
      <c r="AR589" s="122" t="e">
        <v>#N/A</v>
      </c>
      <c r="AS589" s="122" t="e">
        <v>#N/A</v>
      </c>
      <c r="AT589" s="122" t="e">
        <v>#N/A</v>
      </c>
      <c r="AU589" s="121" t="e">
        <v>#N/A</v>
      </c>
      <c r="AV589" s="122" t="e">
        <v>#N/A</v>
      </c>
      <c r="AW589" s="122" t="e">
        <v>#N/A</v>
      </c>
      <c r="AX589" s="122" t="e">
        <v>#N/A</v>
      </c>
      <c r="AY589" s="122" t="e">
        <v>#N/A</v>
      </c>
      <c r="AZ589" s="122" t="e">
        <v>#N/A</v>
      </c>
      <c r="BA589" s="122" t="e">
        <v>#N/A</v>
      </c>
      <c r="BB589" s="122" t="e">
        <v>#N/A</v>
      </c>
      <c r="BC589" s="122" t="e">
        <v>#N/A</v>
      </c>
      <c r="BD589" s="122" t="e">
        <v>#N/A</v>
      </c>
      <c r="BE589" s="122" t="e">
        <v>#N/A</v>
      </c>
      <c r="BF589" s="122" t="e">
        <v>#N/A</v>
      </c>
      <c r="BG589" s="122" t="e">
        <v>#N/A</v>
      </c>
      <c r="BH589" s="122" t="e">
        <v>#N/A</v>
      </c>
      <c r="BI589" s="122" t="e">
        <v>#N/A</v>
      </c>
      <c r="BJ589" s="122" t="e">
        <v>#N/A</v>
      </c>
      <c r="BK589" s="122" t="e">
        <v>#N/A</v>
      </c>
      <c r="BL589" s="123"/>
      <c r="BM589" s="124">
        <v>44781</v>
      </c>
      <c r="BN589" s="124">
        <v>44816</v>
      </c>
      <c r="BO589" s="124">
        <v>44882</v>
      </c>
      <c r="BP589" s="124">
        <v>44909</v>
      </c>
      <c r="BQ589" s="124" t="e">
        <v>#N/A</v>
      </c>
      <c r="BR589" s="124" t="e">
        <v>#N/A</v>
      </c>
      <c r="BS589" s="124">
        <v>45020</v>
      </c>
      <c r="BT589" s="124" t="e">
        <v>#N/A</v>
      </c>
      <c r="BU589" s="124" t="e">
        <v>#N/A</v>
      </c>
      <c r="BV589" s="124" t="e">
        <v>#N/A</v>
      </c>
      <c r="BW589" s="124" t="e">
        <v>#N/A</v>
      </c>
      <c r="BX589" s="124" t="e">
        <v>#N/A</v>
      </c>
      <c r="BY589" s="124" t="e">
        <v>#N/A</v>
      </c>
      <c r="BZ589" s="124" t="e">
        <v>#N/A</v>
      </c>
      <c r="CA589" s="125"/>
      <c r="CB589" s="124" t="e">
        <v>#N/A</v>
      </c>
      <c r="CC589" s="126">
        <v>1</v>
      </c>
      <c r="CD589" s="127" t="s">
        <v>4152</v>
      </c>
      <c r="CE589" s="128"/>
      <c r="CF589" s="77" t="s">
        <v>4538</v>
      </c>
    </row>
    <row r="590" spans="1:84" ht="14.5" x14ac:dyDescent="0.35">
      <c r="A590" s="77">
        <v>589</v>
      </c>
      <c r="B590" s="106" t="s">
        <v>98</v>
      </c>
      <c r="C590" s="107" t="s">
        <v>1209</v>
      </c>
      <c r="D590" s="108" t="s">
        <v>679</v>
      </c>
      <c r="E590" s="109" t="s">
        <v>680</v>
      </c>
      <c r="F590" s="110">
        <v>647016992</v>
      </c>
      <c r="G590" s="108" t="s">
        <v>1004</v>
      </c>
      <c r="H590" s="111" t="s">
        <v>337</v>
      </c>
      <c r="I590" s="111" t="s">
        <v>180</v>
      </c>
      <c r="J590" s="111" t="s">
        <v>4648</v>
      </c>
      <c r="K590" s="111" t="s">
        <v>305</v>
      </c>
      <c r="L590" s="112">
        <v>43230</v>
      </c>
      <c r="M590" s="111" t="s">
        <v>1656</v>
      </c>
      <c r="N590" s="113"/>
      <c r="O590" s="114" t="s">
        <v>226</v>
      </c>
      <c r="P590" s="114" t="s">
        <v>226</v>
      </c>
      <c r="Q590" s="114" t="s">
        <v>226</v>
      </c>
      <c r="R590" s="114" t="s">
        <v>7331</v>
      </c>
      <c r="S590" s="114" t="s">
        <v>225</v>
      </c>
      <c r="T590" s="114" t="s">
        <v>183</v>
      </c>
      <c r="U590" s="114" t="s">
        <v>183</v>
      </c>
      <c r="V590" s="115"/>
      <c r="W590" s="116" t="s">
        <v>1861</v>
      </c>
      <c r="X590" s="116" t="s">
        <v>1862</v>
      </c>
      <c r="Y590" s="117">
        <v>3485568</v>
      </c>
      <c r="Z590" s="117">
        <v>3481047</v>
      </c>
      <c r="AA590" s="118"/>
      <c r="AB590" s="119" t="s">
        <v>5680</v>
      </c>
      <c r="AC590" s="119" t="s">
        <v>1863</v>
      </c>
      <c r="AD590" s="119">
        <v>4090</v>
      </c>
      <c r="AE590" s="119" t="s">
        <v>1864</v>
      </c>
      <c r="AF590" s="119">
        <v>0</v>
      </c>
      <c r="AG590" s="120"/>
      <c r="AH590" s="121">
        <v>44197</v>
      </c>
      <c r="AI590" s="121">
        <v>44197</v>
      </c>
      <c r="AJ590" s="121">
        <v>44197</v>
      </c>
      <c r="AK590" s="122">
        <v>44197</v>
      </c>
      <c r="AL590" s="122" t="e">
        <v>#N/A</v>
      </c>
      <c r="AM590" s="122" t="e">
        <v>#N/A</v>
      </c>
      <c r="AN590" s="122" t="e">
        <v>#N/A</v>
      </c>
      <c r="AO590" s="121" t="e">
        <v>#N/A</v>
      </c>
      <c r="AP590" s="122" t="e">
        <v>#N/A</v>
      </c>
      <c r="AQ590" s="122" t="e">
        <v>#N/A</v>
      </c>
      <c r="AR590" s="122" t="e">
        <v>#N/A</v>
      </c>
      <c r="AS590" s="122" t="e">
        <v>#N/A</v>
      </c>
      <c r="AT590" s="122" t="e">
        <v>#N/A</v>
      </c>
      <c r="AU590" s="121" t="e">
        <v>#N/A</v>
      </c>
      <c r="AV590" s="122" t="e">
        <v>#N/A</v>
      </c>
      <c r="AW590" s="122" t="e">
        <v>#N/A</v>
      </c>
      <c r="AX590" s="122" t="e">
        <v>#N/A</v>
      </c>
      <c r="AY590" s="122" t="e">
        <v>#N/A</v>
      </c>
      <c r="AZ590" s="122" t="e">
        <v>#N/A</v>
      </c>
      <c r="BA590" s="122" t="e">
        <v>#N/A</v>
      </c>
      <c r="BB590" s="122" t="e">
        <v>#N/A</v>
      </c>
      <c r="BC590" s="122" t="e">
        <v>#N/A</v>
      </c>
      <c r="BD590" s="122" t="e">
        <v>#N/A</v>
      </c>
      <c r="BE590" s="122" t="e">
        <v>#N/A</v>
      </c>
      <c r="BF590" s="122" t="e">
        <v>#N/A</v>
      </c>
      <c r="BG590" s="122" t="e">
        <v>#N/A</v>
      </c>
      <c r="BH590" s="122" t="e">
        <v>#N/A</v>
      </c>
      <c r="BI590" s="122" t="e">
        <v>#N/A</v>
      </c>
      <c r="BJ590" s="122" t="e">
        <v>#N/A</v>
      </c>
      <c r="BK590" s="122" t="e">
        <v>#N/A</v>
      </c>
      <c r="BL590" s="123"/>
      <c r="BM590" s="124">
        <v>44197</v>
      </c>
      <c r="BN590" s="124">
        <v>44197</v>
      </c>
      <c r="BO590" s="124">
        <v>44197</v>
      </c>
      <c r="BP590" s="124">
        <v>44197</v>
      </c>
      <c r="BQ590" s="124">
        <v>44197</v>
      </c>
      <c r="BR590" s="124">
        <v>44714</v>
      </c>
      <c r="BS590" s="124">
        <v>44197</v>
      </c>
      <c r="BT590" s="124">
        <v>44197</v>
      </c>
      <c r="BU590" s="124" t="e">
        <v>#N/A</v>
      </c>
      <c r="BV590" s="124" t="e">
        <v>#N/A</v>
      </c>
      <c r="BW590" s="124" t="e">
        <v>#N/A</v>
      </c>
      <c r="BX590" s="124">
        <v>44197</v>
      </c>
      <c r="BY590" s="124" t="e">
        <v>#N/A</v>
      </c>
      <c r="BZ590" s="124" t="e">
        <v>#N/A</v>
      </c>
      <c r="CA590" s="125"/>
      <c r="CB590" s="124">
        <v>45733</v>
      </c>
      <c r="CC590" s="126">
        <v>1</v>
      </c>
      <c r="CD590" s="127" t="s">
        <v>4169</v>
      </c>
      <c r="CE590" s="128"/>
      <c r="CF590" s="77" t="s">
        <v>4538</v>
      </c>
    </row>
    <row r="591" spans="1:84" ht="14.5" x14ac:dyDescent="0.35">
      <c r="A591" s="77">
        <v>590</v>
      </c>
      <c r="B591" s="106" t="s">
        <v>6328</v>
      </c>
      <c r="C591" s="107" t="s">
        <v>1275</v>
      </c>
      <c r="D591" s="108" t="s">
        <v>342</v>
      </c>
      <c r="E591" s="109" t="s">
        <v>343</v>
      </c>
      <c r="F591" s="110">
        <v>655157321</v>
      </c>
      <c r="G591" s="108" t="s">
        <v>1004</v>
      </c>
      <c r="H591" s="111" t="s">
        <v>337</v>
      </c>
      <c r="I591" s="111" t="s">
        <v>180</v>
      </c>
      <c r="J591" s="111" t="s">
        <v>4648</v>
      </c>
      <c r="K591" s="111" t="s">
        <v>305</v>
      </c>
      <c r="L591" s="112">
        <v>43344</v>
      </c>
      <c r="M591" s="111" t="s">
        <v>270</v>
      </c>
      <c r="N591" s="113"/>
      <c r="O591" s="114" t="s">
        <v>226</v>
      </c>
      <c r="P591" s="114" t="s">
        <v>226</v>
      </c>
      <c r="Q591" s="114" t="s">
        <v>226</v>
      </c>
      <c r="R591" s="114" t="s">
        <v>7331</v>
      </c>
      <c r="S591" s="114" t="s">
        <v>225</v>
      </c>
      <c r="T591" s="114" t="s">
        <v>183</v>
      </c>
      <c r="U591" s="114" t="s">
        <v>183</v>
      </c>
      <c r="V591" s="115"/>
      <c r="W591" s="116" t="s">
        <v>345</v>
      </c>
      <c r="X591" s="116" t="s">
        <v>346</v>
      </c>
      <c r="Y591" s="117">
        <v>3485294</v>
      </c>
      <c r="Z591" s="117">
        <v>3486125</v>
      </c>
      <c r="AA591" s="118"/>
      <c r="AB591" s="119" t="s">
        <v>5272</v>
      </c>
      <c r="AC591" s="119" t="s">
        <v>1276</v>
      </c>
      <c r="AD591" s="119">
        <v>4306</v>
      </c>
      <c r="AE591" s="119" t="s">
        <v>1056</v>
      </c>
      <c r="AF591" s="119" t="s">
        <v>7663</v>
      </c>
      <c r="AG591" s="120"/>
      <c r="AH591" s="121">
        <v>44197</v>
      </c>
      <c r="AI591" s="121">
        <v>44197</v>
      </c>
      <c r="AJ591" s="121">
        <v>44197</v>
      </c>
      <c r="AK591" s="122">
        <v>44197</v>
      </c>
      <c r="AL591" s="122">
        <v>44768</v>
      </c>
      <c r="AM591" s="121" t="e">
        <v>#N/A</v>
      </c>
      <c r="AN591" s="121" t="s">
        <v>7054</v>
      </c>
      <c r="AO591" s="121" t="e">
        <v>#N/A</v>
      </c>
      <c r="AP591" s="122" t="e">
        <v>#N/A</v>
      </c>
      <c r="AQ591" s="122" t="e">
        <v>#N/A</v>
      </c>
      <c r="AR591" s="122">
        <v>44197</v>
      </c>
      <c r="AS591" s="122" t="e">
        <v>#N/A</v>
      </c>
      <c r="AT591" s="122" t="e">
        <v>#N/A</v>
      </c>
      <c r="AU591" s="121" t="e">
        <v>#N/A</v>
      </c>
      <c r="AV591" s="122" t="e">
        <v>#N/A</v>
      </c>
      <c r="AW591" s="122" t="e">
        <v>#N/A</v>
      </c>
      <c r="AX591" s="122" t="e">
        <v>#N/A</v>
      </c>
      <c r="AY591" s="122" t="e">
        <v>#N/A</v>
      </c>
      <c r="AZ591" s="122" t="e">
        <v>#N/A</v>
      </c>
      <c r="BA591" s="122" t="e">
        <v>#N/A</v>
      </c>
      <c r="BB591" s="122" t="e">
        <v>#N/A</v>
      </c>
      <c r="BC591" s="122" t="e">
        <v>#N/A</v>
      </c>
      <c r="BD591" s="122" t="e">
        <v>#N/A</v>
      </c>
      <c r="BE591" s="122" t="e">
        <v>#N/A</v>
      </c>
      <c r="BF591" s="122" t="e">
        <v>#N/A</v>
      </c>
      <c r="BG591" s="122" t="e">
        <v>#N/A</v>
      </c>
      <c r="BH591" s="122" t="e">
        <v>#N/A</v>
      </c>
      <c r="BI591" s="122" t="e">
        <v>#N/A</v>
      </c>
      <c r="BJ591" s="122" t="e">
        <v>#N/A</v>
      </c>
      <c r="BK591" s="122">
        <v>45980</v>
      </c>
      <c r="BL591" s="123"/>
      <c r="BM591" s="124">
        <v>45000</v>
      </c>
      <c r="BN591" s="124">
        <v>45000</v>
      </c>
      <c r="BO591" s="124">
        <v>45000</v>
      </c>
      <c r="BP591" s="124">
        <v>45000</v>
      </c>
      <c r="BQ591" s="124">
        <v>45000</v>
      </c>
      <c r="BR591" s="124">
        <v>45000</v>
      </c>
      <c r="BS591" s="124">
        <v>45000</v>
      </c>
      <c r="BT591" s="124">
        <v>45000</v>
      </c>
      <c r="BU591" s="124" t="e">
        <v>#N/A</v>
      </c>
      <c r="BV591" s="124" t="e">
        <v>#N/A</v>
      </c>
      <c r="BW591" s="124" t="e">
        <v>#N/A</v>
      </c>
      <c r="BX591" s="124">
        <v>44197</v>
      </c>
      <c r="BY591" s="124">
        <v>45078</v>
      </c>
      <c r="BZ591" s="124" t="e">
        <v>#N/A</v>
      </c>
      <c r="CA591" s="125"/>
      <c r="CB591" s="124" t="e">
        <v>#N/A</v>
      </c>
      <c r="CC591" s="126">
        <v>1</v>
      </c>
      <c r="CD591" s="127" t="e">
        <v>#N/A</v>
      </c>
      <c r="CE591" s="128"/>
      <c r="CF591" s="77" t="s">
        <v>4538</v>
      </c>
    </row>
    <row r="592" spans="1:84" ht="14.5" x14ac:dyDescent="0.35">
      <c r="A592" s="77">
        <v>591</v>
      </c>
      <c r="B592" s="106" t="s">
        <v>2110</v>
      </c>
      <c r="C592" s="107" t="s">
        <v>6497</v>
      </c>
      <c r="D592" s="108" t="s">
        <v>2079</v>
      </c>
      <c r="E592" s="109" t="s">
        <v>2080</v>
      </c>
      <c r="F592" s="110" t="s">
        <v>2081</v>
      </c>
      <c r="G592" s="108" t="s">
        <v>1004</v>
      </c>
      <c r="H592" s="111" t="s">
        <v>337</v>
      </c>
      <c r="I592" s="111" t="s">
        <v>180</v>
      </c>
      <c r="J592" s="111" t="s">
        <v>4648</v>
      </c>
      <c r="K592" s="111" t="s">
        <v>305</v>
      </c>
      <c r="L592" s="112">
        <v>44959</v>
      </c>
      <c r="M592" s="111" t="s">
        <v>1656</v>
      </c>
      <c r="N592" s="113"/>
      <c r="O592" s="114" t="s">
        <v>607</v>
      </c>
      <c r="P592" s="114" t="s">
        <v>607</v>
      </c>
      <c r="Q592" s="114" t="s">
        <v>557</v>
      </c>
      <c r="R592" s="114" t="s">
        <v>7297</v>
      </c>
      <c r="S592" s="114" t="s">
        <v>557</v>
      </c>
      <c r="T592" s="114" t="s">
        <v>183</v>
      </c>
      <c r="U592" s="114" t="s">
        <v>183</v>
      </c>
      <c r="V592" s="115"/>
      <c r="W592" s="116" t="s">
        <v>2082</v>
      </c>
      <c r="X592" s="116" t="s">
        <v>2083</v>
      </c>
      <c r="Y592" s="117">
        <v>3485717</v>
      </c>
      <c r="Z592" s="117">
        <v>3481407</v>
      </c>
      <c r="AA592" s="118"/>
      <c r="AB592" s="119" t="s">
        <v>2084</v>
      </c>
      <c r="AC592" s="119" t="s">
        <v>2479</v>
      </c>
      <c r="AD592" s="119">
        <v>4003</v>
      </c>
      <c r="AE592" s="119" t="s">
        <v>3057</v>
      </c>
      <c r="AF592" s="119" t="s">
        <v>7664</v>
      </c>
      <c r="AG592" s="120"/>
      <c r="AH592" s="121">
        <v>44769</v>
      </c>
      <c r="AI592" s="121">
        <v>44775</v>
      </c>
      <c r="AJ592" s="121">
        <v>44775</v>
      </c>
      <c r="AK592" s="122">
        <v>44994</v>
      </c>
      <c r="AL592" s="122">
        <v>45072</v>
      </c>
      <c r="AM592" s="121">
        <v>45084</v>
      </c>
      <c r="AN592" s="121" t="s">
        <v>7106</v>
      </c>
      <c r="AO592" s="121" t="e">
        <v>#N/A</v>
      </c>
      <c r="AP592" s="122" t="e">
        <v>#N/A</v>
      </c>
      <c r="AQ592" s="122" t="e">
        <v>#N/A</v>
      </c>
      <c r="AR592" s="122">
        <v>45084</v>
      </c>
      <c r="AS592" s="122" t="e">
        <v>#N/A</v>
      </c>
      <c r="AT592" s="122" t="e">
        <v>#N/A</v>
      </c>
      <c r="AU592" s="121" t="e">
        <v>#N/A</v>
      </c>
      <c r="AV592" s="122" t="e">
        <v>#N/A</v>
      </c>
      <c r="AW592" s="122">
        <v>45754</v>
      </c>
      <c r="AX592" s="122" t="e">
        <v>#N/A</v>
      </c>
      <c r="AY592" s="122" t="e">
        <v>#N/A</v>
      </c>
      <c r="AZ592" s="122" t="e">
        <v>#N/A</v>
      </c>
      <c r="BA592" s="122">
        <v>45084</v>
      </c>
      <c r="BB592" s="122" t="e">
        <v>#N/A</v>
      </c>
      <c r="BC592" s="122" t="e">
        <v>#N/A</v>
      </c>
      <c r="BD592" s="122" t="e">
        <v>#N/A</v>
      </c>
      <c r="BE592" s="122" t="e">
        <v>#N/A</v>
      </c>
      <c r="BF592" s="122" t="e">
        <v>#N/A</v>
      </c>
      <c r="BG592" s="122">
        <v>45450</v>
      </c>
      <c r="BH592" s="122" t="e">
        <v>#N/A</v>
      </c>
      <c r="BI592" s="122" t="e">
        <v>#N/A</v>
      </c>
      <c r="BJ592" s="122" t="e">
        <v>#N/A</v>
      </c>
      <c r="BK592" s="122">
        <v>46001</v>
      </c>
      <c r="BL592" s="123"/>
      <c r="BM592" s="124">
        <v>45849</v>
      </c>
      <c r="BN592" s="124" t="e">
        <v>#N/A</v>
      </c>
      <c r="BO592" s="124" t="e">
        <v>#N/A</v>
      </c>
      <c r="BP592" s="124" t="e">
        <v>#N/A</v>
      </c>
      <c r="BQ592" s="124" t="e">
        <v>#N/A</v>
      </c>
      <c r="BR592" s="124" t="e">
        <v>#N/A</v>
      </c>
      <c r="BS592" s="124">
        <v>45849</v>
      </c>
      <c r="BT592" s="124" t="e">
        <v>#N/A</v>
      </c>
      <c r="BU592" s="124" t="e">
        <v>#N/A</v>
      </c>
      <c r="BV592" s="124" t="e">
        <v>#N/A</v>
      </c>
      <c r="BW592" s="124" t="e">
        <v>#N/A</v>
      </c>
      <c r="BX592" s="124" t="e">
        <v>#N/A</v>
      </c>
      <c r="BY592" s="124" t="e">
        <v>#N/A</v>
      </c>
      <c r="BZ592" s="124" t="e">
        <v>#N/A</v>
      </c>
      <c r="CA592" s="125"/>
      <c r="CB592" s="124">
        <v>45842</v>
      </c>
      <c r="CC592" s="126">
        <v>1</v>
      </c>
      <c r="CD592" s="127" t="s">
        <v>4174</v>
      </c>
      <c r="CE592" s="128"/>
      <c r="CF592" s="77" t="s">
        <v>4538</v>
      </c>
    </row>
    <row r="593" spans="1:85" ht="14.5" x14ac:dyDescent="0.35">
      <c r="A593" s="77">
        <v>592</v>
      </c>
      <c r="B593" s="106" t="s">
        <v>7141</v>
      </c>
      <c r="C593" s="107" t="s">
        <v>7142</v>
      </c>
      <c r="D593" s="108" t="s">
        <v>7143</v>
      </c>
      <c r="E593" s="109" t="s">
        <v>7144</v>
      </c>
      <c r="F593" s="110" t="s">
        <v>7145</v>
      </c>
      <c r="G593" s="108" t="s">
        <v>1004</v>
      </c>
      <c r="H593" s="111" t="s">
        <v>337</v>
      </c>
      <c r="I593" s="111" t="s">
        <v>180</v>
      </c>
      <c r="J593" s="111" t="s">
        <v>4648</v>
      </c>
      <c r="K593" s="111" t="s">
        <v>305</v>
      </c>
      <c r="L593" s="112">
        <v>45063</v>
      </c>
      <c r="M593" s="111" t="s">
        <v>1656</v>
      </c>
      <c r="N593" s="113"/>
      <c r="O593" s="114" t="s">
        <v>7272</v>
      </c>
      <c r="P593" s="114" t="s">
        <v>7272</v>
      </c>
      <c r="Q593" s="114" t="s">
        <v>7273</v>
      </c>
      <c r="R593" s="114" t="s">
        <v>7297</v>
      </c>
      <c r="S593" s="114" t="s">
        <v>7273</v>
      </c>
      <c r="T593" s="114" t="s">
        <v>183</v>
      </c>
      <c r="U593" s="114" t="s">
        <v>183</v>
      </c>
      <c r="V593" s="115"/>
      <c r="W593" s="116" t="s">
        <v>7146</v>
      </c>
      <c r="X593" s="116" t="s">
        <v>7147</v>
      </c>
      <c r="Y593" s="117">
        <v>3485567</v>
      </c>
      <c r="Z593" s="117">
        <v>3481454</v>
      </c>
      <c r="AA593" s="118"/>
      <c r="AB593" s="119" t="s">
        <v>7148</v>
      </c>
      <c r="AC593" s="119" t="s">
        <v>7149</v>
      </c>
      <c r="AD593" s="119">
        <v>4613</v>
      </c>
      <c r="AE593" s="119" t="s">
        <v>7150</v>
      </c>
      <c r="AF593" s="119">
        <v>0</v>
      </c>
      <c r="AG593" s="120"/>
      <c r="AH593" s="121">
        <v>45062</v>
      </c>
      <c r="AI593" s="121">
        <v>45062</v>
      </c>
      <c r="AJ593" s="121">
        <v>45062</v>
      </c>
      <c r="AK593" s="122">
        <v>45062</v>
      </c>
      <c r="AL593" s="122" t="e">
        <v>#N/A</v>
      </c>
      <c r="AM593" s="121" t="e">
        <v>#N/A</v>
      </c>
      <c r="AN593" s="121" t="e">
        <v>#N/A</v>
      </c>
      <c r="AO593" s="121" t="e">
        <v>#N/A</v>
      </c>
      <c r="AP593" s="122" t="e">
        <v>#N/A</v>
      </c>
      <c r="AQ593" s="122" t="e">
        <v>#N/A</v>
      </c>
      <c r="AR593" s="122" t="e">
        <v>#N/A</v>
      </c>
      <c r="AS593" s="122" t="e">
        <v>#N/A</v>
      </c>
      <c r="AT593" s="122" t="e">
        <v>#N/A</v>
      </c>
      <c r="AU593" s="121" t="e">
        <v>#N/A</v>
      </c>
      <c r="AV593" s="122" t="e">
        <v>#N/A</v>
      </c>
      <c r="AW593" s="122">
        <v>45748</v>
      </c>
      <c r="AX593" s="122" t="e">
        <v>#N/A</v>
      </c>
      <c r="AY593" s="122" t="e">
        <v>#N/A</v>
      </c>
      <c r="AZ593" s="122" t="e">
        <v>#N/A</v>
      </c>
      <c r="BA593" s="122" t="e">
        <v>#N/A</v>
      </c>
      <c r="BB593" s="122" t="e">
        <v>#N/A</v>
      </c>
      <c r="BC593" s="122" t="e">
        <v>#N/A</v>
      </c>
      <c r="BD593" s="122" t="e">
        <v>#N/A</v>
      </c>
      <c r="BE593" s="122" t="e">
        <v>#N/A</v>
      </c>
      <c r="BF593" s="122" t="e">
        <v>#N/A</v>
      </c>
      <c r="BG593" s="122" t="s">
        <v>6019</v>
      </c>
      <c r="BH593" s="122" t="e">
        <v>#N/A</v>
      </c>
      <c r="BI593" s="122" t="e">
        <v>#N/A</v>
      </c>
      <c r="BJ593" s="122" t="e">
        <v>#N/A</v>
      </c>
      <c r="BK593" s="122" t="e">
        <v>#N/A</v>
      </c>
      <c r="BL593" s="123"/>
      <c r="BM593" s="124">
        <v>45848</v>
      </c>
      <c r="BN593" s="124" t="e">
        <v>#N/A</v>
      </c>
      <c r="BO593" s="124" t="e">
        <v>#N/A</v>
      </c>
      <c r="BP593" s="124" t="e">
        <v>#N/A</v>
      </c>
      <c r="BQ593" s="124" t="e">
        <v>#N/A</v>
      </c>
      <c r="BR593" s="124" t="e">
        <v>#N/A</v>
      </c>
      <c r="BS593" s="124" t="e">
        <v>#N/A</v>
      </c>
      <c r="BT593" s="124" t="e">
        <v>#N/A</v>
      </c>
      <c r="BU593" s="124" t="e">
        <v>#N/A</v>
      </c>
      <c r="BV593" s="124" t="e">
        <v>#N/A</v>
      </c>
      <c r="BW593" s="124" t="e">
        <v>#N/A</v>
      </c>
      <c r="BX593" s="124" t="e">
        <v>#N/A</v>
      </c>
      <c r="BY593" s="124" t="e">
        <v>#N/A</v>
      </c>
      <c r="BZ593" s="124" t="e">
        <v>#N/A</v>
      </c>
      <c r="CA593" s="125"/>
      <c r="CB593" s="124">
        <v>45729</v>
      </c>
      <c r="CC593" s="126">
        <v>1</v>
      </c>
      <c r="CD593" s="127" t="s">
        <v>4164</v>
      </c>
      <c r="CE593" s="128"/>
      <c r="CF593" s="77" t="s">
        <v>4538</v>
      </c>
    </row>
    <row r="594" spans="1:85" ht="14.5" x14ac:dyDescent="0.35">
      <c r="A594" s="77">
        <v>593</v>
      </c>
      <c r="B594" s="106" t="s">
        <v>2872</v>
      </c>
      <c r="C594" s="107" t="s">
        <v>6554</v>
      </c>
      <c r="D594" s="108" t="s">
        <v>2773</v>
      </c>
      <c r="E594" s="109" t="s">
        <v>2774</v>
      </c>
      <c r="F594" s="110" t="s">
        <v>2775</v>
      </c>
      <c r="G594" s="108" t="s">
        <v>1004</v>
      </c>
      <c r="H594" s="111" t="s">
        <v>337</v>
      </c>
      <c r="I594" s="111" t="s">
        <v>180</v>
      </c>
      <c r="J594" s="111" t="s">
        <v>4648</v>
      </c>
      <c r="K594" s="111" t="s">
        <v>305</v>
      </c>
      <c r="L594" s="112">
        <v>45125</v>
      </c>
      <c r="M594" s="111" t="s">
        <v>1656</v>
      </c>
      <c r="N594" s="113"/>
      <c r="O594" s="114" t="s">
        <v>4638</v>
      </c>
      <c r="P594" s="114" t="s">
        <v>4638</v>
      </c>
      <c r="Q594" s="114" t="s">
        <v>4638</v>
      </c>
      <c r="R594" s="114" t="s">
        <v>7297</v>
      </c>
      <c r="S594" s="114" t="s">
        <v>4451</v>
      </c>
      <c r="T594" s="114" t="s">
        <v>183</v>
      </c>
      <c r="U594" s="114" t="s">
        <v>183</v>
      </c>
      <c r="V594" s="115"/>
      <c r="W594" s="116" t="s">
        <v>2776</v>
      </c>
      <c r="X594" s="116" t="s">
        <v>4464</v>
      </c>
      <c r="Y594" s="117">
        <v>3485792</v>
      </c>
      <c r="Z594" s="117">
        <v>3486597</v>
      </c>
      <c r="AA594" s="118"/>
      <c r="AB594" s="119" t="s">
        <v>5681</v>
      </c>
      <c r="AC594" s="119" t="s">
        <v>2777</v>
      </c>
      <c r="AD594" s="119">
        <v>5434</v>
      </c>
      <c r="AE594" s="119" t="s">
        <v>3258</v>
      </c>
      <c r="AF594" s="119" t="s">
        <v>7665</v>
      </c>
      <c r="AG594" s="120"/>
      <c r="AH594" s="121">
        <v>45124</v>
      </c>
      <c r="AI594" s="121">
        <v>45166</v>
      </c>
      <c r="AJ594" s="121">
        <v>45124</v>
      </c>
      <c r="AK594" s="122">
        <v>45166</v>
      </c>
      <c r="AL594" s="122" t="e">
        <v>#N/A</v>
      </c>
      <c r="AM594" s="121" t="e">
        <v>#N/A</v>
      </c>
      <c r="AN594" s="121" t="e">
        <v>#N/A</v>
      </c>
      <c r="AO594" s="121" t="e">
        <v>#N/A</v>
      </c>
      <c r="AP594" s="122" t="e">
        <v>#N/A</v>
      </c>
      <c r="AQ594" s="122" t="e">
        <v>#N/A</v>
      </c>
      <c r="AR594" s="122" t="e">
        <v>#N/A</v>
      </c>
      <c r="AS594" s="122" t="e">
        <v>#N/A</v>
      </c>
      <c r="AT594" s="122" t="e">
        <v>#N/A</v>
      </c>
      <c r="AU594" s="121">
        <v>45923</v>
      </c>
      <c r="AV594" s="122">
        <v>45495</v>
      </c>
      <c r="AW594" s="122">
        <v>45582</v>
      </c>
      <c r="AX594" s="122" t="e">
        <v>#N/A</v>
      </c>
      <c r="AY594" s="122" t="e">
        <v>#N/A</v>
      </c>
      <c r="AZ594" s="122" t="e">
        <v>#N/A</v>
      </c>
      <c r="BA594" s="122">
        <v>45244</v>
      </c>
      <c r="BB594" s="122" t="e">
        <v>#N/A</v>
      </c>
      <c r="BC594" s="122" t="e">
        <v>#N/A</v>
      </c>
      <c r="BD594" s="122" t="e">
        <v>#N/A</v>
      </c>
      <c r="BE594" s="122" t="e">
        <v>#N/A</v>
      </c>
      <c r="BF594" s="122" t="e">
        <v>#N/A</v>
      </c>
      <c r="BG594" s="122" t="e">
        <v>#N/A</v>
      </c>
      <c r="BH594" s="122" t="e">
        <v>#N/A</v>
      </c>
      <c r="BI594" s="122" t="e">
        <v>#N/A</v>
      </c>
      <c r="BJ594" s="122" t="e">
        <v>#N/A</v>
      </c>
      <c r="BK594" s="122">
        <v>46001</v>
      </c>
      <c r="BL594" s="123"/>
      <c r="BM594" s="124">
        <v>45848</v>
      </c>
      <c r="BN594" s="124" t="e">
        <v>#N/A</v>
      </c>
      <c r="BO594" s="124">
        <v>45937</v>
      </c>
      <c r="BP594" s="124" t="e">
        <v>#N/A</v>
      </c>
      <c r="BQ594" s="124" t="e">
        <v>#N/A</v>
      </c>
      <c r="BR594" s="124" t="e">
        <v>#N/A</v>
      </c>
      <c r="BS594" s="124" t="e">
        <v>#N/A</v>
      </c>
      <c r="BT594" s="124" t="e">
        <v>#N/A</v>
      </c>
      <c r="BU594" s="124" t="e">
        <v>#N/A</v>
      </c>
      <c r="BV594" s="124" t="e">
        <v>#N/A</v>
      </c>
      <c r="BW594" s="124" t="e">
        <v>#N/A</v>
      </c>
      <c r="BX594" s="124" t="e">
        <v>#N/A</v>
      </c>
      <c r="BY594" s="124" t="e">
        <v>#N/A</v>
      </c>
      <c r="BZ594" s="124" t="e">
        <v>#N/A</v>
      </c>
      <c r="CA594" s="125"/>
      <c r="CB594" s="124">
        <v>45729</v>
      </c>
      <c r="CC594" s="126">
        <v>1</v>
      </c>
      <c r="CD594" s="127" t="s">
        <v>4168</v>
      </c>
      <c r="CE594" s="128" t="e">
        <v>#REF!</v>
      </c>
      <c r="CF594" s="77" t="s">
        <v>4617</v>
      </c>
      <c r="CG594" s="77" t="e">
        <v>#REF!</v>
      </c>
    </row>
    <row r="595" spans="1:85" ht="14.5" x14ac:dyDescent="0.35">
      <c r="A595" s="77">
        <v>594</v>
      </c>
      <c r="B595" s="106" t="s">
        <v>4644</v>
      </c>
      <c r="C595" s="107" t="s">
        <v>1700</v>
      </c>
      <c r="D595" s="108" t="s">
        <v>1701</v>
      </c>
      <c r="E595" s="109" t="s">
        <v>1702</v>
      </c>
      <c r="F595" s="110">
        <v>685470230</v>
      </c>
      <c r="G595" s="108" t="s">
        <v>1004</v>
      </c>
      <c r="H595" s="111" t="s">
        <v>337</v>
      </c>
      <c r="I595" s="111" t="s">
        <v>180</v>
      </c>
      <c r="J595" s="111" t="s">
        <v>4648</v>
      </c>
      <c r="K595" s="111" t="s">
        <v>305</v>
      </c>
      <c r="L595" s="112">
        <v>45639</v>
      </c>
      <c r="M595" s="111" t="s">
        <v>1656</v>
      </c>
      <c r="N595" s="113"/>
      <c r="O595" s="114" t="s">
        <v>557</v>
      </c>
      <c r="P595" s="114" t="s">
        <v>557</v>
      </c>
      <c r="Q595" s="114" t="s">
        <v>557</v>
      </c>
      <c r="R595" s="114" t="s">
        <v>557</v>
      </c>
      <c r="S595" s="114" t="s">
        <v>557</v>
      </c>
      <c r="T595" s="114" t="s">
        <v>183</v>
      </c>
      <c r="U595" s="114" t="s">
        <v>183</v>
      </c>
      <c r="V595" s="115"/>
      <c r="W595" s="116" t="s">
        <v>1703</v>
      </c>
      <c r="X595" s="116" t="s">
        <v>1704</v>
      </c>
      <c r="Y595" s="117">
        <v>3485149</v>
      </c>
      <c r="Z595" s="117">
        <v>3481132</v>
      </c>
      <c r="AA595" s="118"/>
      <c r="AB595" s="119" t="s">
        <v>5753</v>
      </c>
      <c r="AC595" s="119" t="s">
        <v>1711</v>
      </c>
      <c r="AD595" s="119" t="s">
        <v>4265</v>
      </c>
      <c r="AE595" s="119" t="s">
        <v>4266</v>
      </c>
      <c r="AF595" s="119">
        <v>0</v>
      </c>
      <c r="AG595" s="120"/>
      <c r="AH595" s="121">
        <v>44690</v>
      </c>
      <c r="AI595" s="121">
        <v>44715</v>
      </c>
      <c r="AJ595" s="121">
        <v>44715</v>
      </c>
      <c r="AK595" s="122">
        <v>45733</v>
      </c>
      <c r="AL595" s="122" t="e">
        <v>#N/A</v>
      </c>
      <c r="AM595" s="121" t="e">
        <v>#N/A</v>
      </c>
      <c r="AN595" s="121" t="e">
        <v>#N/A</v>
      </c>
      <c r="AO595" s="121" t="e">
        <v>#N/A</v>
      </c>
      <c r="AP595" s="122" t="e">
        <v>#N/A</v>
      </c>
      <c r="AQ595" s="122" t="e">
        <v>#N/A</v>
      </c>
      <c r="AR595" s="122" t="e">
        <v>#N/A</v>
      </c>
      <c r="AS595" s="122" t="e">
        <v>#N/A</v>
      </c>
      <c r="AT595" s="122" t="e">
        <v>#N/A</v>
      </c>
      <c r="AU595" s="121" t="e">
        <v>#N/A</v>
      </c>
      <c r="AV595" s="122" t="e">
        <v>#N/A</v>
      </c>
      <c r="AW595" s="122">
        <v>45748</v>
      </c>
      <c r="AX595" s="122" t="e">
        <v>#N/A</v>
      </c>
      <c r="AY595" s="122" t="e">
        <v>#N/A</v>
      </c>
      <c r="AZ595" s="122" t="e">
        <v>#N/A</v>
      </c>
      <c r="BA595" s="122" t="e">
        <v>#N/A</v>
      </c>
      <c r="BB595" s="122" t="e">
        <v>#N/A</v>
      </c>
      <c r="BC595" s="122" t="e">
        <v>#N/A</v>
      </c>
      <c r="BD595" s="122" t="e">
        <v>#N/A</v>
      </c>
      <c r="BE595" s="122" t="e">
        <v>#N/A</v>
      </c>
      <c r="BF595" s="122" t="e">
        <v>#N/A</v>
      </c>
      <c r="BG595" s="122" t="e">
        <v>#N/A</v>
      </c>
      <c r="BH595" s="122" t="e">
        <v>#N/A</v>
      </c>
      <c r="BI595" s="122" t="e">
        <v>#N/A</v>
      </c>
      <c r="BJ595" s="122" t="e">
        <v>#N/A</v>
      </c>
      <c r="BK595" s="122" t="e">
        <v>#N/A</v>
      </c>
      <c r="BL595" s="123"/>
      <c r="BM595" s="124">
        <v>45862</v>
      </c>
      <c r="BN595" s="124">
        <v>45862</v>
      </c>
      <c r="BO595" s="124" t="e">
        <v>#N/A</v>
      </c>
      <c r="BP595" s="124" t="e">
        <v>#N/A</v>
      </c>
      <c r="BQ595" s="124" t="e">
        <v>#N/A</v>
      </c>
      <c r="BR595" s="124" t="e">
        <v>#N/A</v>
      </c>
      <c r="BS595" s="124">
        <v>45862</v>
      </c>
      <c r="BT595" s="124" t="e">
        <v>#N/A</v>
      </c>
      <c r="BU595" s="124" t="e">
        <v>#N/A</v>
      </c>
      <c r="BV595" s="124" t="e">
        <v>#N/A</v>
      </c>
      <c r="BW595" s="124" t="e">
        <v>#N/A</v>
      </c>
      <c r="BX595" s="124" t="e">
        <v>#N/A</v>
      </c>
      <c r="BY595" s="124" t="e">
        <v>#N/A</v>
      </c>
      <c r="BZ595" s="124" t="e">
        <v>#N/A</v>
      </c>
      <c r="CA595" s="125"/>
      <c r="CB595" s="124" t="e">
        <v>#N/A</v>
      </c>
      <c r="CC595" s="126">
        <v>1</v>
      </c>
      <c r="CD595" s="127" t="s">
        <v>4154</v>
      </c>
      <c r="CE595" s="128"/>
      <c r="CF595" s="77" t="s">
        <v>4617</v>
      </c>
    </row>
    <row r="596" spans="1:85" ht="14.5" x14ac:dyDescent="0.35">
      <c r="A596" s="77">
        <v>595</v>
      </c>
      <c r="B596" s="106" t="s">
        <v>49</v>
      </c>
      <c r="C596" s="107" t="s">
        <v>504</v>
      </c>
      <c r="D596" s="108" t="s">
        <v>505</v>
      </c>
      <c r="E596" s="109" t="s">
        <v>506</v>
      </c>
      <c r="F596" s="110">
        <v>658185364</v>
      </c>
      <c r="G596" s="108" t="s">
        <v>1004</v>
      </c>
      <c r="H596" s="111" t="s">
        <v>216</v>
      </c>
      <c r="I596" s="111" t="s">
        <v>180</v>
      </c>
      <c r="J596" s="111" t="s">
        <v>4648</v>
      </c>
      <c r="K596" s="111" t="s">
        <v>199</v>
      </c>
      <c r="L596" s="112">
        <v>41801</v>
      </c>
      <c r="M596" s="111" t="s">
        <v>270</v>
      </c>
      <c r="N596" s="113"/>
      <c r="O596" s="114" t="s">
        <v>246</v>
      </c>
      <c r="P596" s="114" t="s">
        <v>246</v>
      </c>
      <c r="Q596" s="114" t="s">
        <v>257</v>
      </c>
      <c r="R596" s="114" t="s">
        <v>7364</v>
      </c>
      <c r="S596" s="114" t="s">
        <v>257</v>
      </c>
      <c r="T596" s="114" t="s">
        <v>183</v>
      </c>
      <c r="U596" s="114" t="s">
        <v>183</v>
      </c>
      <c r="V596" s="115"/>
      <c r="W596" s="116" t="s">
        <v>507</v>
      </c>
      <c r="X596" s="116" t="s">
        <v>508</v>
      </c>
      <c r="Y596" s="117">
        <v>3485458</v>
      </c>
      <c r="Z596" s="117">
        <v>3481019</v>
      </c>
      <c r="AA596" s="118"/>
      <c r="AB596" s="119" t="s">
        <v>5682</v>
      </c>
      <c r="AC596" s="119" t="s">
        <v>1338</v>
      </c>
      <c r="AD596" s="119">
        <v>5370</v>
      </c>
      <c r="AE596" s="119" t="s">
        <v>509</v>
      </c>
      <c r="AF596" s="119">
        <v>0</v>
      </c>
      <c r="AG596" s="120"/>
      <c r="AH596" s="121">
        <v>44197</v>
      </c>
      <c r="AI596" s="121">
        <v>44197</v>
      </c>
      <c r="AJ596" s="121">
        <v>44197</v>
      </c>
      <c r="AK596" s="122">
        <v>44197</v>
      </c>
      <c r="AL596" s="122" t="e">
        <v>#N/A</v>
      </c>
      <c r="AM596" s="122" t="e">
        <v>#N/A</v>
      </c>
      <c r="AN596" s="122" t="e">
        <v>#N/A</v>
      </c>
      <c r="AO596" s="121" t="e">
        <v>#N/A</v>
      </c>
      <c r="AP596" s="122" t="e">
        <v>#N/A</v>
      </c>
      <c r="AQ596" s="122" t="e">
        <v>#N/A</v>
      </c>
      <c r="AR596" s="122" t="e">
        <v>#N/A</v>
      </c>
      <c r="AS596" s="122" t="e">
        <v>#N/A</v>
      </c>
      <c r="AT596" s="122" t="e">
        <v>#N/A</v>
      </c>
      <c r="AU596" s="121" t="e">
        <v>#N/A</v>
      </c>
      <c r="AV596" s="122" t="e">
        <v>#N/A</v>
      </c>
      <c r="AW596" s="122" t="e">
        <v>#N/A</v>
      </c>
      <c r="AX596" s="122" t="e">
        <v>#N/A</v>
      </c>
      <c r="AY596" s="122" t="e">
        <v>#N/A</v>
      </c>
      <c r="AZ596" s="122" t="e">
        <v>#N/A</v>
      </c>
      <c r="BA596" s="122" t="e">
        <v>#N/A</v>
      </c>
      <c r="BB596" s="122" t="e">
        <v>#N/A</v>
      </c>
      <c r="BC596" s="122" t="e">
        <v>#N/A</v>
      </c>
      <c r="BD596" s="122" t="e">
        <v>#N/A</v>
      </c>
      <c r="BE596" s="122" t="e">
        <v>#N/A</v>
      </c>
      <c r="BF596" s="122" t="e">
        <v>#N/A</v>
      </c>
      <c r="BG596" s="122" t="e">
        <v>#N/A</v>
      </c>
      <c r="BH596" s="122" t="e">
        <v>#N/A</v>
      </c>
      <c r="BI596" s="122" t="e">
        <v>#N/A</v>
      </c>
      <c r="BJ596" s="122" t="e">
        <v>#N/A</v>
      </c>
      <c r="BK596" s="122" t="e">
        <v>#N/A</v>
      </c>
      <c r="BL596" s="123"/>
      <c r="BM596" s="124">
        <v>44197</v>
      </c>
      <c r="BN596" s="124">
        <v>44197</v>
      </c>
      <c r="BO596" s="124">
        <v>44197</v>
      </c>
      <c r="BP596" s="124">
        <v>44197</v>
      </c>
      <c r="BQ596" s="124">
        <v>44197</v>
      </c>
      <c r="BR596" s="124">
        <v>44197</v>
      </c>
      <c r="BS596" s="124" t="s">
        <v>199</v>
      </c>
      <c r="BT596" s="124" t="s">
        <v>199</v>
      </c>
      <c r="BU596" s="124">
        <v>44197</v>
      </c>
      <c r="BV596" s="124">
        <v>44197</v>
      </c>
      <c r="BW596" s="124" t="e">
        <v>#N/A</v>
      </c>
      <c r="BX596" s="124" t="s">
        <v>199</v>
      </c>
      <c r="BY596" s="124" t="e">
        <v>#N/A</v>
      </c>
      <c r="BZ596" s="124" t="e">
        <v>#N/A</v>
      </c>
      <c r="CA596" s="125"/>
      <c r="CB596" s="124">
        <v>45733</v>
      </c>
      <c r="CC596" s="126">
        <v>1</v>
      </c>
      <c r="CD596" s="127" t="s">
        <v>4169</v>
      </c>
      <c r="CE596" s="128"/>
      <c r="CF596" s="77" t="s">
        <v>4617</v>
      </c>
    </row>
    <row r="597" spans="1:85" ht="14.5" x14ac:dyDescent="0.35">
      <c r="A597" s="77">
        <v>596</v>
      </c>
      <c r="B597" s="106" t="s">
        <v>6322</v>
      </c>
      <c r="C597" s="107" t="s">
        <v>1218</v>
      </c>
      <c r="D597" s="108" t="s">
        <v>331</v>
      </c>
      <c r="E597" s="109" t="s">
        <v>332</v>
      </c>
      <c r="F597" s="110">
        <v>685959099</v>
      </c>
      <c r="G597" s="108" t="s">
        <v>1004</v>
      </c>
      <c r="H597" s="111" t="s">
        <v>216</v>
      </c>
      <c r="I597" s="111" t="s">
        <v>180</v>
      </c>
      <c r="J597" s="111" t="s">
        <v>4648</v>
      </c>
      <c r="K597" s="111" t="s">
        <v>199</v>
      </c>
      <c r="L597" s="112">
        <v>39171</v>
      </c>
      <c r="M597" s="111" t="s">
        <v>597</v>
      </c>
      <c r="N597" s="113"/>
      <c r="O597" s="114" t="s">
        <v>182</v>
      </c>
      <c r="P597" s="114" t="s">
        <v>184</v>
      </c>
      <c r="Q597" s="114" t="s">
        <v>182</v>
      </c>
      <c r="R597" s="114" t="s">
        <v>7316</v>
      </c>
      <c r="S597" s="114" t="s">
        <v>182</v>
      </c>
      <c r="T597" s="114" t="s">
        <v>183</v>
      </c>
      <c r="U597" s="114" t="s">
        <v>183</v>
      </c>
      <c r="V597" s="115"/>
      <c r="W597" s="116" t="s">
        <v>1877</v>
      </c>
      <c r="X597" s="116" t="s">
        <v>1878</v>
      </c>
      <c r="Y597" s="117">
        <v>3485291</v>
      </c>
      <c r="Z597" s="117">
        <v>3486158</v>
      </c>
      <c r="AA597" s="118"/>
      <c r="AB597" s="119" t="s">
        <v>5890</v>
      </c>
      <c r="AC597" s="119" t="s">
        <v>1879</v>
      </c>
      <c r="AD597" s="119">
        <v>4204</v>
      </c>
      <c r="AE597" s="119" t="s">
        <v>1880</v>
      </c>
      <c r="AF597" s="119" t="s">
        <v>6182</v>
      </c>
      <c r="AG597" s="120"/>
      <c r="AH597" s="121">
        <v>44197</v>
      </c>
      <c r="AI597" s="121">
        <v>44197</v>
      </c>
      <c r="AJ597" s="121">
        <v>44197</v>
      </c>
      <c r="AK597" s="122">
        <v>44197</v>
      </c>
      <c r="AL597" s="122" t="e">
        <v>#N/A</v>
      </c>
      <c r="AM597" s="121" t="e">
        <v>#N/A</v>
      </c>
      <c r="AN597" s="121" t="e">
        <v>#N/A</v>
      </c>
      <c r="AO597" s="121" t="e">
        <v>#N/A</v>
      </c>
      <c r="AP597" s="122" t="e">
        <v>#N/A</v>
      </c>
      <c r="AQ597" s="122" t="e">
        <v>#N/A</v>
      </c>
      <c r="AR597" s="122" t="e">
        <v>#N/A</v>
      </c>
      <c r="AS597" s="122" t="e">
        <v>#N/A</v>
      </c>
      <c r="AT597" s="122" t="e">
        <v>#N/A</v>
      </c>
      <c r="AU597" s="121">
        <v>45912</v>
      </c>
      <c r="AV597" s="122">
        <v>45078</v>
      </c>
      <c r="AW597" s="122">
        <v>45033</v>
      </c>
      <c r="AX597" s="122" t="e">
        <v>#N/A</v>
      </c>
      <c r="AY597" s="122" t="e">
        <v>#N/A</v>
      </c>
      <c r="AZ597" s="122" t="e">
        <v>#N/A</v>
      </c>
      <c r="BA597" s="122" t="e">
        <v>#N/A</v>
      </c>
      <c r="BB597" s="122" t="e">
        <v>#N/A</v>
      </c>
      <c r="BC597" s="122" t="e">
        <v>#N/A</v>
      </c>
      <c r="BD597" s="122" t="e">
        <v>#N/A</v>
      </c>
      <c r="BE597" s="122" t="e">
        <v>#N/A</v>
      </c>
      <c r="BF597" s="122" t="e">
        <v>#N/A</v>
      </c>
      <c r="BG597" s="122" t="e">
        <v>#N/A</v>
      </c>
      <c r="BH597" s="122" t="e">
        <v>#N/A</v>
      </c>
      <c r="BI597" s="122" t="e">
        <v>#N/A</v>
      </c>
      <c r="BJ597" s="122" t="e">
        <v>#N/A</v>
      </c>
      <c r="BK597" s="122">
        <v>45953</v>
      </c>
      <c r="BL597" s="123"/>
      <c r="BM597" s="124">
        <v>44197</v>
      </c>
      <c r="BN597" s="124">
        <v>44197</v>
      </c>
      <c r="BO597" s="124">
        <v>44197</v>
      </c>
      <c r="BP597" s="124">
        <v>44197</v>
      </c>
      <c r="BQ597" s="124">
        <v>44197</v>
      </c>
      <c r="BR597" s="124">
        <v>44197</v>
      </c>
      <c r="BS597" s="124" t="s">
        <v>199</v>
      </c>
      <c r="BT597" s="124" t="s">
        <v>199</v>
      </c>
      <c r="BU597" s="124">
        <v>44197</v>
      </c>
      <c r="BV597" s="124">
        <v>44197</v>
      </c>
      <c r="BW597" s="124" t="e">
        <v>#N/A</v>
      </c>
      <c r="BX597" s="124" t="s">
        <v>199</v>
      </c>
      <c r="BY597" s="124" t="e">
        <v>#N/A</v>
      </c>
      <c r="BZ597" s="124" t="e">
        <v>#N/A</v>
      </c>
      <c r="CA597" s="125"/>
      <c r="CB597" s="124">
        <v>45727</v>
      </c>
      <c r="CC597" s="126">
        <v>1</v>
      </c>
      <c r="CD597" s="127" t="e">
        <v>#N/A</v>
      </c>
      <c r="CE597" s="128"/>
      <c r="CF597" s="77" t="s">
        <v>4617</v>
      </c>
    </row>
    <row r="598" spans="1:85" ht="14.5" x14ac:dyDescent="0.35">
      <c r="A598" s="77">
        <v>597</v>
      </c>
      <c r="B598" s="106" t="s">
        <v>6383</v>
      </c>
      <c r="C598" s="107" t="s">
        <v>1422</v>
      </c>
      <c r="D598" s="108" t="s">
        <v>424</v>
      </c>
      <c r="E598" s="109" t="s">
        <v>425</v>
      </c>
      <c r="F598" s="110">
        <v>630180324</v>
      </c>
      <c r="G598" s="108" t="s">
        <v>1004</v>
      </c>
      <c r="H598" s="111" t="s">
        <v>216</v>
      </c>
      <c r="I598" s="111" t="s">
        <v>180</v>
      </c>
      <c r="J598" s="111" t="s">
        <v>4648</v>
      </c>
      <c r="K598" s="111" t="s">
        <v>199</v>
      </c>
      <c r="L598" s="112">
        <v>40009</v>
      </c>
      <c r="M598" s="111" t="s">
        <v>740</v>
      </c>
      <c r="N598" s="113"/>
      <c r="O598" s="114" t="s">
        <v>182</v>
      </c>
      <c r="P598" s="114" t="s">
        <v>182</v>
      </c>
      <c r="Q598" s="114" t="s">
        <v>184</v>
      </c>
      <c r="R598" s="114" t="s">
        <v>7331</v>
      </c>
      <c r="S598" s="114" t="s">
        <v>182</v>
      </c>
      <c r="T598" s="114" t="s">
        <v>183</v>
      </c>
      <c r="U598" s="114" t="s">
        <v>183</v>
      </c>
      <c r="V598" s="115"/>
      <c r="W598" s="116" t="s">
        <v>1979</v>
      </c>
      <c r="X598" s="116" t="s">
        <v>1980</v>
      </c>
      <c r="Y598" s="117">
        <v>3485114</v>
      </c>
      <c r="Z598" s="117">
        <v>3481060</v>
      </c>
      <c r="AA598" s="118"/>
      <c r="AB598" s="119" t="s">
        <v>5891</v>
      </c>
      <c r="AC598" s="119" t="s">
        <v>1981</v>
      </c>
      <c r="AD598" s="119">
        <v>4195</v>
      </c>
      <c r="AE598" s="119" t="s">
        <v>1982</v>
      </c>
      <c r="AF598" s="119" t="s">
        <v>7073</v>
      </c>
      <c r="AG598" s="120"/>
      <c r="AH598" s="121">
        <v>44197</v>
      </c>
      <c r="AI598" s="121">
        <v>44197</v>
      </c>
      <c r="AJ598" s="121">
        <v>44197</v>
      </c>
      <c r="AK598" s="122">
        <v>44197</v>
      </c>
      <c r="AL598" s="122" t="e">
        <v>#N/A</v>
      </c>
      <c r="AM598" s="122" t="e">
        <v>#N/A</v>
      </c>
      <c r="AN598" s="122" t="e">
        <v>#N/A</v>
      </c>
      <c r="AO598" s="121" t="e">
        <v>#N/A</v>
      </c>
      <c r="AP598" s="122" t="e">
        <v>#N/A</v>
      </c>
      <c r="AQ598" s="122" t="e">
        <v>#N/A</v>
      </c>
      <c r="AR598" s="122" t="e">
        <v>#N/A</v>
      </c>
      <c r="AS598" s="122" t="e">
        <v>#N/A</v>
      </c>
      <c r="AT598" s="122" t="e">
        <v>#N/A</v>
      </c>
      <c r="AU598" s="121" t="e">
        <v>#N/A</v>
      </c>
      <c r="AV598" s="122" t="e">
        <v>#N/A</v>
      </c>
      <c r="AW598" s="122" t="e">
        <v>#N/A</v>
      </c>
      <c r="AX598" s="122" t="e">
        <v>#N/A</v>
      </c>
      <c r="AY598" s="122">
        <v>44197</v>
      </c>
      <c r="AZ598" s="122" t="e">
        <v>#N/A</v>
      </c>
      <c r="BA598" s="122" t="e">
        <v>#N/A</v>
      </c>
      <c r="BB598" s="122" t="e">
        <v>#N/A</v>
      </c>
      <c r="BC598" s="122" t="e">
        <v>#N/A</v>
      </c>
      <c r="BD598" s="122" t="e">
        <v>#N/A</v>
      </c>
      <c r="BE598" s="122" t="e">
        <v>#N/A</v>
      </c>
      <c r="BF598" s="122" t="e">
        <v>#N/A</v>
      </c>
      <c r="BG598" s="122" t="e">
        <v>#N/A</v>
      </c>
      <c r="BH598" s="122" t="e">
        <v>#N/A</v>
      </c>
      <c r="BI598" s="122" t="e">
        <v>#N/A</v>
      </c>
      <c r="BJ598" s="122" t="e">
        <v>#N/A</v>
      </c>
      <c r="BK598" s="122">
        <v>45960</v>
      </c>
      <c r="BL598" s="123"/>
      <c r="BM598" s="124">
        <v>44530</v>
      </c>
      <c r="BN598" s="124">
        <v>44575</v>
      </c>
      <c r="BO598" s="124">
        <v>44594</v>
      </c>
      <c r="BP598" s="124">
        <v>44642</v>
      </c>
      <c r="BQ598" s="124">
        <v>44684</v>
      </c>
      <c r="BR598" s="124">
        <v>44799</v>
      </c>
      <c r="BS598" s="124" t="s">
        <v>199</v>
      </c>
      <c r="BT598" s="124" t="s">
        <v>199</v>
      </c>
      <c r="BU598" s="124">
        <v>44197</v>
      </c>
      <c r="BV598" s="124">
        <v>45020</v>
      </c>
      <c r="BW598" s="124" t="e">
        <v>#N/A</v>
      </c>
      <c r="BX598" s="124" t="s">
        <v>199</v>
      </c>
      <c r="BY598" s="124" t="e">
        <v>#N/A</v>
      </c>
      <c r="BZ598" s="124" t="e">
        <v>#N/A</v>
      </c>
      <c r="CA598" s="125"/>
      <c r="CB598" s="124">
        <v>45733</v>
      </c>
      <c r="CC598" s="126">
        <v>1</v>
      </c>
      <c r="CD598" s="127" t="e">
        <v>#N/A</v>
      </c>
      <c r="CE598" s="128"/>
      <c r="CF598" s="77" t="s">
        <v>4617</v>
      </c>
    </row>
    <row r="599" spans="1:85" ht="14.5" x14ac:dyDescent="0.35">
      <c r="A599" s="77">
        <v>598</v>
      </c>
      <c r="B599" s="106" t="s">
        <v>6282</v>
      </c>
      <c r="C599" s="107" t="s">
        <v>1336</v>
      </c>
      <c r="D599" s="108" t="s">
        <v>242</v>
      </c>
      <c r="E599" s="109" t="s">
        <v>243</v>
      </c>
      <c r="F599" s="110">
        <v>677378765</v>
      </c>
      <c r="G599" s="108" t="s">
        <v>1004</v>
      </c>
      <c r="H599" s="111" t="s">
        <v>216</v>
      </c>
      <c r="I599" s="111" t="s">
        <v>180</v>
      </c>
      <c r="J599" s="111" t="s">
        <v>4648</v>
      </c>
      <c r="K599" s="111" t="s">
        <v>199</v>
      </c>
      <c r="L599" s="112">
        <v>38384</v>
      </c>
      <c r="M599" s="111" t="s">
        <v>2502</v>
      </c>
      <c r="N599" s="113"/>
      <c r="O599" s="114" t="s">
        <v>226</v>
      </c>
      <c r="P599" s="114" t="s">
        <v>226</v>
      </c>
      <c r="Q599" s="114" t="s">
        <v>226</v>
      </c>
      <c r="R599" s="114" t="s">
        <v>7331</v>
      </c>
      <c r="S599" s="114" t="s">
        <v>225</v>
      </c>
      <c r="T599" s="114" t="s">
        <v>183</v>
      </c>
      <c r="U599" s="114" t="s">
        <v>183</v>
      </c>
      <c r="V599" s="115"/>
      <c r="W599" s="116" t="s">
        <v>1924</v>
      </c>
      <c r="X599" s="116" t="s">
        <v>1925</v>
      </c>
      <c r="Y599" s="117">
        <v>3485278</v>
      </c>
      <c r="Z599" s="117">
        <v>3481157</v>
      </c>
      <c r="AA599" s="118"/>
      <c r="AB599" s="119" t="s">
        <v>5892</v>
      </c>
      <c r="AC599" s="119" t="s">
        <v>1926</v>
      </c>
      <c r="AD599" s="119">
        <v>5584</v>
      </c>
      <c r="AE599" s="119" t="s">
        <v>4380</v>
      </c>
      <c r="AF599" s="119" t="s">
        <v>7666</v>
      </c>
      <c r="AG599" s="120"/>
      <c r="AH599" s="121">
        <v>44197</v>
      </c>
      <c r="AI599" s="121">
        <v>44197</v>
      </c>
      <c r="AJ599" s="121">
        <v>44197</v>
      </c>
      <c r="AK599" s="122">
        <v>44197</v>
      </c>
      <c r="AL599" s="122" t="e">
        <v>#N/A</v>
      </c>
      <c r="AM599" s="121" t="e">
        <v>#N/A</v>
      </c>
      <c r="AN599" s="121" t="e">
        <v>#N/A</v>
      </c>
      <c r="AO599" s="121" t="e">
        <v>#N/A</v>
      </c>
      <c r="AP599" s="122" t="e">
        <v>#N/A</v>
      </c>
      <c r="AQ599" s="122" t="e">
        <v>#N/A</v>
      </c>
      <c r="AR599" s="122" t="e">
        <v>#N/A</v>
      </c>
      <c r="AS599" s="122" t="e">
        <v>#N/A</v>
      </c>
      <c r="AT599" s="122" t="e">
        <v>#N/A</v>
      </c>
      <c r="AU599" s="121" t="e">
        <v>#N/A</v>
      </c>
      <c r="AV599" s="122" t="e">
        <v>#N/A</v>
      </c>
      <c r="AW599" s="122" t="e">
        <v>#N/A</v>
      </c>
      <c r="AX599" s="122" t="e">
        <v>#N/A</v>
      </c>
      <c r="AY599" s="122" t="e">
        <v>#N/A</v>
      </c>
      <c r="AZ599" s="122" t="e">
        <v>#N/A</v>
      </c>
      <c r="BA599" s="122" t="e">
        <v>#N/A</v>
      </c>
      <c r="BB599" s="122" t="e">
        <v>#N/A</v>
      </c>
      <c r="BC599" s="122" t="e">
        <v>#N/A</v>
      </c>
      <c r="BD599" s="122" t="e">
        <v>#N/A</v>
      </c>
      <c r="BE599" s="122" t="e">
        <v>#N/A</v>
      </c>
      <c r="BF599" s="122" t="e">
        <v>#N/A</v>
      </c>
      <c r="BG599" s="122" t="e">
        <v>#N/A</v>
      </c>
      <c r="BH599" s="122" t="e">
        <v>#N/A</v>
      </c>
      <c r="BI599" s="122" t="e">
        <v>#N/A</v>
      </c>
      <c r="BJ599" s="122" t="e">
        <v>#N/A</v>
      </c>
      <c r="BK599" s="122">
        <v>45980</v>
      </c>
      <c r="BL599" s="123"/>
      <c r="BM599" s="124">
        <v>44550</v>
      </c>
      <c r="BN599" s="124">
        <v>44575</v>
      </c>
      <c r="BO599" s="124">
        <v>44594</v>
      </c>
      <c r="BP599" s="124">
        <v>44638</v>
      </c>
      <c r="BQ599" s="124">
        <v>44684</v>
      </c>
      <c r="BR599" s="124">
        <v>44714</v>
      </c>
      <c r="BS599" s="124" t="s">
        <v>199</v>
      </c>
      <c r="BT599" s="124" t="s">
        <v>199</v>
      </c>
      <c r="BU599" s="124">
        <v>45015</v>
      </c>
      <c r="BV599" s="124">
        <v>45015</v>
      </c>
      <c r="BW599" s="124" t="e">
        <v>#N/A</v>
      </c>
      <c r="BX599" s="124" t="s">
        <v>199</v>
      </c>
      <c r="BY599" s="124" t="e">
        <v>#N/A</v>
      </c>
      <c r="BZ599" s="124" t="e">
        <v>#N/A</v>
      </c>
      <c r="CA599" s="125"/>
      <c r="CB599" s="124" t="e">
        <v>#N/A</v>
      </c>
      <c r="CC599" s="126">
        <v>1</v>
      </c>
      <c r="CD599" s="127" t="e">
        <v>#N/A</v>
      </c>
      <c r="CE599" s="128"/>
      <c r="CF599" s="77" t="s">
        <v>4617</v>
      </c>
    </row>
    <row r="600" spans="1:85" ht="14.5" x14ac:dyDescent="0.35">
      <c r="A600" s="77">
        <v>599</v>
      </c>
      <c r="B600" s="106" t="s">
        <v>6269</v>
      </c>
      <c r="C600" s="107" t="s">
        <v>1214</v>
      </c>
      <c r="D600" s="108" t="s">
        <v>214</v>
      </c>
      <c r="E600" s="109" t="s">
        <v>215</v>
      </c>
      <c r="F600" s="110">
        <v>633761186</v>
      </c>
      <c r="G600" s="108" t="s">
        <v>1004</v>
      </c>
      <c r="H600" s="111" t="s">
        <v>216</v>
      </c>
      <c r="I600" s="111" t="s">
        <v>180</v>
      </c>
      <c r="J600" s="111" t="s">
        <v>4648</v>
      </c>
      <c r="K600" s="111" t="s">
        <v>199</v>
      </c>
      <c r="L600" s="112">
        <v>37872</v>
      </c>
      <c r="M600" s="111" t="s">
        <v>2502</v>
      </c>
      <c r="N600" s="113"/>
      <c r="O600" s="114" t="s">
        <v>4353</v>
      </c>
      <c r="P600" s="114" t="s">
        <v>4353</v>
      </c>
      <c r="Q600" s="114" t="s">
        <v>4353</v>
      </c>
      <c r="R600" s="114" t="s">
        <v>4353</v>
      </c>
      <c r="S600" s="114" t="s">
        <v>6095</v>
      </c>
      <c r="T600" s="114" t="s">
        <v>4356</v>
      </c>
      <c r="U600" s="114" t="s">
        <v>4356</v>
      </c>
      <c r="V600" s="115"/>
      <c r="W600" s="116" t="s">
        <v>1869</v>
      </c>
      <c r="X600" s="116" t="s">
        <v>1870</v>
      </c>
      <c r="Y600" s="117">
        <v>3485486</v>
      </c>
      <c r="Z600" s="117">
        <v>3481085</v>
      </c>
      <c r="AA600" s="118"/>
      <c r="AB600" s="119" t="s">
        <v>5477</v>
      </c>
      <c r="AC600" s="119" t="s">
        <v>1871</v>
      </c>
      <c r="AD600" s="119">
        <v>4316</v>
      </c>
      <c r="AE600" s="119" t="s">
        <v>1872</v>
      </c>
      <c r="AF600" s="119" t="s">
        <v>6183</v>
      </c>
      <c r="AG600" s="120"/>
      <c r="AH600" s="121">
        <v>44197</v>
      </c>
      <c r="AI600" s="121">
        <v>44197</v>
      </c>
      <c r="AJ600" s="121">
        <v>44197</v>
      </c>
      <c r="AK600" s="122">
        <v>44197</v>
      </c>
      <c r="AL600" s="122" t="e">
        <v>#N/A</v>
      </c>
      <c r="AM600" s="121" t="e">
        <v>#N/A</v>
      </c>
      <c r="AN600" s="121" t="e">
        <v>#N/A</v>
      </c>
      <c r="AO600" s="121" t="e">
        <v>#N/A</v>
      </c>
      <c r="AP600" s="122" t="e">
        <v>#N/A</v>
      </c>
      <c r="AQ600" s="122" t="e">
        <v>#N/A</v>
      </c>
      <c r="AR600" s="122" t="e">
        <v>#N/A</v>
      </c>
      <c r="AS600" s="122" t="e">
        <v>#N/A</v>
      </c>
      <c r="AT600" s="122" t="e">
        <v>#N/A</v>
      </c>
      <c r="AU600" s="121" t="e">
        <v>#N/A</v>
      </c>
      <c r="AV600" s="122" t="e">
        <v>#N/A</v>
      </c>
      <c r="AW600" s="122" t="e">
        <v>#N/A</v>
      </c>
      <c r="AX600" s="122" t="e">
        <v>#N/A</v>
      </c>
      <c r="AY600" s="122" t="e">
        <v>#N/A</v>
      </c>
      <c r="AZ600" s="122" t="e">
        <v>#N/A</v>
      </c>
      <c r="BA600" s="122" t="e">
        <v>#N/A</v>
      </c>
      <c r="BB600" s="122" t="e">
        <v>#N/A</v>
      </c>
      <c r="BC600" s="122" t="e">
        <v>#N/A</v>
      </c>
      <c r="BD600" s="122" t="e">
        <v>#N/A</v>
      </c>
      <c r="BE600" s="122" t="e">
        <v>#N/A</v>
      </c>
      <c r="BF600" s="122" t="e">
        <v>#N/A</v>
      </c>
      <c r="BG600" s="122" t="e">
        <v>#N/A</v>
      </c>
      <c r="BH600" s="122" t="e">
        <v>#N/A</v>
      </c>
      <c r="BI600" s="122" t="e">
        <v>#N/A</v>
      </c>
      <c r="BJ600" s="122" t="e">
        <v>#N/A</v>
      </c>
      <c r="BK600" s="122">
        <v>45953</v>
      </c>
      <c r="BL600" s="123"/>
      <c r="BM600" s="124">
        <v>44197</v>
      </c>
      <c r="BN600" s="124">
        <v>44197</v>
      </c>
      <c r="BO600" s="124">
        <v>44197</v>
      </c>
      <c r="BP600" s="124">
        <v>44197</v>
      </c>
      <c r="BQ600" s="124">
        <v>44197</v>
      </c>
      <c r="BR600" s="124">
        <v>44197</v>
      </c>
      <c r="BS600" s="124" t="s">
        <v>199</v>
      </c>
      <c r="BT600" s="124" t="s">
        <v>199</v>
      </c>
      <c r="BU600" s="124">
        <v>44197</v>
      </c>
      <c r="BV600" s="124">
        <v>44197</v>
      </c>
      <c r="BW600" s="124" t="e">
        <v>#N/A</v>
      </c>
      <c r="BX600" s="124" t="s">
        <v>199</v>
      </c>
      <c r="BY600" s="124" t="e">
        <v>#N/A</v>
      </c>
      <c r="BZ600" s="124" t="e">
        <v>#N/A</v>
      </c>
      <c r="CA600" s="125"/>
      <c r="CB600" s="124">
        <v>45733</v>
      </c>
      <c r="CC600" s="126">
        <v>1</v>
      </c>
      <c r="CD600" s="127" t="e">
        <v>#N/A</v>
      </c>
      <c r="CE600" s="128"/>
      <c r="CF600" s="77" t="s">
        <v>4673</v>
      </c>
    </row>
    <row r="601" spans="1:85" ht="14.5" x14ac:dyDescent="0.35">
      <c r="A601" s="77">
        <v>600</v>
      </c>
      <c r="B601" s="106" t="s">
        <v>6307</v>
      </c>
      <c r="C601" s="107" t="s">
        <v>1205</v>
      </c>
      <c r="D601" s="108" t="s">
        <v>281</v>
      </c>
      <c r="E601" s="109" t="s">
        <v>282</v>
      </c>
      <c r="F601" s="110" t="s">
        <v>283</v>
      </c>
      <c r="G601" s="108" t="s">
        <v>1004</v>
      </c>
      <c r="H601" s="111" t="s">
        <v>216</v>
      </c>
      <c r="I601" s="111" t="s">
        <v>180</v>
      </c>
      <c r="J601" s="111" t="s">
        <v>4648</v>
      </c>
      <c r="K601" s="111" t="s">
        <v>199</v>
      </c>
      <c r="L601" s="112">
        <v>38600</v>
      </c>
      <c r="M601" s="111" t="s">
        <v>597</v>
      </c>
      <c r="N601" s="113"/>
      <c r="O601" s="114" t="s">
        <v>7384</v>
      </c>
      <c r="P601" s="114" t="s">
        <v>286</v>
      </c>
      <c r="Q601" s="114" t="s">
        <v>286</v>
      </c>
      <c r="R601" s="114" t="s">
        <v>286</v>
      </c>
      <c r="S601" s="114" t="s">
        <v>286</v>
      </c>
      <c r="T601" s="114" t="s">
        <v>183</v>
      </c>
      <c r="U601" s="114" t="s">
        <v>183</v>
      </c>
      <c r="V601" s="115"/>
      <c r="W601" s="116" t="s">
        <v>1846</v>
      </c>
      <c r="X601" s="116" t="s">
        <v>1847</v>
      </c>
      <c r="Y601" s="117">
        <v>3485450</v>
      </c>
      <c r="Z601" s="117">
        <v>3481001</v>
      </c>
      <c r="AA601" s="118"/>
      <c r="AB601" s="119" t="s">
        <v>5683</v>
      </c>
      <c r="AC601" s="119" t="s">
        <v>1848</v>
      </c>
      <c r="AD601" s="119">
        <v>5048</v>
      </c>
      <c r="AE601" s="119" t="s">
        <v>1849</v>
      </c>
      <c r="AF601" s="119" t="s">
        <v>6184</v>
      </c>
      <c r="AG601" s="120"/>
      <c r="AH601" s="121">
        <v>44197</v>
      </c>
      <c r="AI601" s="121">
        <v>44197</v>
      </c>
      <c r="AJ601" s="121">
        <v>44197</v>
      </c>
      <c r="AK601" s="122">
        <v>44197</v>
      </c>
      <c r="AL601" s="122" t="e">
        <v>#N/A</v>
      </c>
      <c r="AM601" s="121" t="e">
        <v>#N/A</v>
      </c>
      <c r="AN601" s="121" t="e">
        <v>#N/A</v>
      </c>
      <c r="AO601" s="121" t="e">
        <v>#N/A</v>
      </c>
      <c r="AP601" s="122" t="e">
        <v>#N/A</v>
      </c>
      <c r="AQ601" s="122" t="e">
        <v>#N/A</v>
      </c>
      <c r="AR601" s="122" t="e">
        <v>#N/A</v>
      </c>
      <c r="AS601" s="122" t="e">
        <v>#N/A</v>
      </c>
      <c r="AT601" s="122" t="e">
        <v>#N/A</v>
      </c>
      <c r="AU601" s="121" t="e">
        <v>#N/A</v>
      </c>
      <c r="AV601" s="122" t="e">
        <v>#N/A</v>
      </c>
      <c r="AW601" s="122" t="e">
        <v>#N/A</v>
      </c>
      <c r="AX601" s="122" t="e">
        <v>#N/A</v>
      </c>
      <c r="AY601" s="122" t="e">
        <v>#N/A</v>
      </c>
      <c r="AZ601" s="122" t="e">
        <v>#N/A</v>
      </c>
      <c r="BA601" s="122" t="e">
        <v>#N/A</v>
      </c>
      <c r="BB601" s="122" t="e">
        <v>#N/A</v>
      </c>
      <c r="BC601" s="122" t="e">
        <v>#N/A</v>
      </c>
      <c r="BD601" s="122" t="e">
        <v>#N/A</v>
      </c>
      <c r="BE601" s="122" t="e">
        <v>#N/A</v>
      </c>
      <c r="BF601" s="122" t="e">
        <v>#N/A</v>
      </c>
      <c r="BG601" s="122" t="e">
        <v>#N/A</v>
      </c>
      <c r="BH601" s="122" t="e">
        <v>#N/A</v>
      </c>
      <c r="BI601" s="122" t="e">
        <v>#N/A</v>
      </c>
      <c r="BJ601" s="122" t="e">
        <v>#N/A</v>
      </c>
      <c r="BK601" s="122">
        <v>45954</v>
      </c>
      <c r="BL601" s="123"/>
      <c r="BM601" s="124">
        <v>44197</v>
      </c>
      <c r="BN601" s="124">
        <v>44197</v>
      </c>
      <c r="BO601" s="124">
        <v>44197</v>
      </c>
      <c r="BP601" s="124">
        <v>44197</v>
      </c>
      <c r="BQ601" s="124">
        <v>44197</v>
      </c>
      <c r="BR601" s="124">
        <v>44197</v>
      </c>
      <c r="BS601" s="124" t="s">
        <v>199</v>
      </c>
      <c r="BT601" s="124" t="s">
        <v>199</v>
      </c>
      <c r="BU601" s="124">
        <v>44197</v>
      </c>
      <c r="BV601" s="124">
        <v>44197</v>
      </c>
      <c r="BW601" s="124" t="e">
        <v>#N/A</v>
      </c>
      <c r="BX601" s="124" t="s">
        <v>199</v>
      </c>
      <c r="BY601" s="124" t="e">
        <v>#N/A</v>
      </c>
      <c r="BZ601" s="124" t="e">
        <v>#N/A</v>
      </c>
      <c r="CA601" s="125"/>
      <c r="CB601" s="124" t="e">
        <v>#N/A</v>
      </c>
      <c r="CC601" s="126">
        <v>1</v>
      </c>
      <c r="CD601" s="127" t="e">
        <v>#N/A</v>
      </c>
      <c r="CE601" s="128"/>
      <c r="CF601" s="77" t="s">
        <v>4673</v>
      </c>
    </row>
    <row r="602" spans="1:85" ht="14.5" x14ac:dyDescent="0.35">
      <c r="A602" s="77">
        <v>601</v>
      </c>
      <c r="B602" s="106" t="s">
        <v>2913</v>
      </c>
      <c r="C602" s="107" t="s">
        <v>6559</v>
      </c>
      <c r="D602" s="108" t="s">
        <v>2887</v>
      </c>
      <c r="E602" s="109" t="s">
        <v>2914</v>
      </c>
      <c r="F602" s="110">
        <v>664874129</v>
      </c>
      <c r="G602" s="108" t="s">
        <v>1004</v>
      </c>
      <c r="H602" s="111" t="s">
        <v>3927</v>
      </c>
      <c r="I602" s="111" t="s">
        <v>180</v>
      </c>
      <c r="J602" s="111" t="s">
        <v>4648</v>
      </c>
      <c r="K602" s="111" t="s">
        <v>2861</v>
      </c>
      <c r="L602" s="112">
        <v>45155</v>
      </c>
      <c r="M602" s="111" t="s">
        <v>1064</v>
      </c>
      <c r="N602" s="113"/>
      <c r="O602" s="114" t="s">
        <v>585</v>
      </c>
      <c r="P602" s="114" t="s">
        <v>585</v>
      </c>
      <c r="Q602" s="114" t="s">
        <v>585</v>
      </c>
      <c r="R602" s="114" t="s">
        <v>7296</v>
      </c>
      <c r="S602" s="114" t="s">
        <v>6899</v>
      </c>
      <c r="T602" s="114" t="s">
        <v>183</v>
      </c>
      <c r="U602" s="114" t="s">
        <v>183</v>
      </c>
      <c r="V602" s="115"/>
      <c r="W602" s="116" t="s">
        <v>2888</v>
      </c>
      <c r="X602" s="116" t="s">
        <v>2889</v>
      </c>
      <c r="Y602" s="117">
        <v>3485811</v>
      </c>
      <c r="Z602" s="117">
        <v>3486342</v>
      </c>
      <c r="AA602" s="118"/>
      <c r="AB602" s="119" t="s">
        <v>3058</v>
      </c>
      <c r="AC602" s="119" t="s">
        <v>2890</v>
      </c>
      <c r="AD602" s="119">
        <v>4324</v>
      </c>
      <c r="AE602" s="119" t="s">
        <v>2891</v>
      </c>
      <c r="AF602" s="119" t="s">
        <v>7155</v>
      </c>
      <c r="AG602" s="120"/>
      <c r="AH602" s="121">
        <v>45155</v>
      </c>
      <c r="AI602" s="121">
        <v>45237</v>
      </c>
      <c r="AJ602" s="121">
        <v>45155</v>
      </c>
      <c r="AK602" s="122">
        <v>45237</v>
      </c>
      <c r="AL602" s="122" t="e">
        <v>#N/A</v>
      </c>
      <c r="AM602" s="122" t="e">
        <v>#N/A</v>
      </c>
      <c r="AN602" s="122" t="e">
        <v>#N/A</v>
      </c>
      <c r="AO602" s="121" t="e">
        <v>#N/A</v>
      </c>
      <c r="AP602" s="122" t="e">
        <v>#N/A</v>
      </c>
      <c r="AQ602" s="122" t="e">
        <v>#N/A</v>
      </c>
      <c r="AR602" s="122" t="e">
        <v>#N/A</v>
      </c>
      <c r="AS602" s="122" t="e">
        <v>#N/A</v>
      </c>
      <c r="AT602" s="122" t="e">
        <v>#N/A</v>
      </c>
      <c r="AU602" s="121" t="e">
        <v>#N/A</v>
      </c>
      <c r="AV602" s="122" t="e">
        <v>#N/A</v>
      </c>
      <c r="AW602" s="122" t="e">
        <v>#N/A</v>
      </c>
      <c r="AX602" s="122" t="e">
        <v>#N/A</v>
      </c>
      <c r="AY602" s="122" t="e">
        <v>#N/A</v>
      </c>
      <c r="AZ602" s="122" t="e">
        <v>#N/A</v>
      </c>
      <c r="BA602" s="122" t="e">
        <v>#N/A</v>
      </c>
      <c r="BB602" s="122" t="e">
        <v>#N/A</v>
      </c>
      <c r="BC602" s="122" t="e">
        <v>#N/A</v>
      </c>
      <c r="BD602" s="122" t="e">
        <v>#N/A</v>
      </c>
      <c r="BE602" s="122" t="e">
        <v>#N/A</v>
      </c>
      <c r="BF602" s="122" t="e">
        <v>#N/A</v>
      </c>
      <c r="BG602" s="122" t="e">
        <v>#N/A</v>
      </c>
      <c r="BH602" s="122" t="e">
        <v>#N/A</v>
      </c>
      <c r="BI602" s="122" t="e">
        <v>#N/A</v>
      </c>
      <c r="BJ602" s="122" t="e">
        <v>#N/A</v>
      </c>
      <c r="BK602" s="122">
        <v>45964</v>
      </c>
      <c r="BL602" s="123"/>
      <c r="BM602" s="124">
        <v>45573</v>
      </c>
      <c r="BN602" s="124">
        <v>45573</v>
      </c>
      <c r="BO602" s="124">
        <v>45702</v>
      </c>
      <c r="BP602" s="124" t="e">
        <v>#N/A</v>
      </c>
      <c r="BQ602" s="124" t="e">
        <v>#N/A</v>
      </c>
      <c r="BR602" s="124">
        <v>45971</v>
      </c>
      <c r="BS602" s="124">
        <v>45573</v>
      </c>
      <c r="BT602" s="124">
        <v>45944</v>
      </c>
      <c r="BU602" s="124" t="e">
        <v>#N/A</v>
      </c>
      <c r="BV602" s="124" t="e">
        <v>#N/A</v>
      </c>
      <c r="BW602" s="124" t="e">
        <v>#N/A</v>
      </c>
      <c r="BX602" s="124">
        <v>45944</v>
      </c>
      <c r="BY602" s="124" t="e">
        <v>#N/A</v>
      </c>
      <c r="BZ602" s="124" t="e">
        <v>#N/A</v>
      </c>
      <c r="CA602" s="125"/>
      <c r="CB602" s="124" t="e">
        <v>#N/A</v>
      </c>
      <c r="CC602" s="126">
        <v>1</v>
      </c>
      <c r="CD602" s="127" t="s">
        <v>4177</v>
      </c>
      <c r="CE602" s="128" t="e">
        <v>#REF!</v>
      </c>
      <c r="CF602" s="77" t="s">
        <v>4673</v>
      </c>
      <c r="CG602" s="77" t="e">
        <v>#REF!</v>
      </c>
    </row>
    <row r="603" spans="1:85" ht="14.5" x14ac:dyDescent="0.35">
      <c r="A603" s="77">
        <v>602</v>
      </c>
      <c r="B603" s="106" t="s">
        <v>4720</v>
      </c>
      <c r="C603" s="107" t="s">
        <v>6779</v>
      </c>
      <c r="D603" s="108" t="s">
        <v>4721</v>
      </c>
      <c r="E603" s="109" t="s">
        <v>4722</v>
      </c>
      <c r="F603" s="110">
        <v>607368797</v>
      </c>
      <c r="G603" s="108" t="s">
        <v>1004</v>
      </c>
      <c r="H603" s="111" t="s">
        <v>3927</v>
      </c>
      <c r="I603" s="111" t="s">
        <v>180</v>
      </c>
      <c r="J603" s="111" t="s">
        <v>4648</v>
      </c>
      <c r="K603" s="111" t="s">
        <v>2861</v>
      </c>
      <c r="L603" s="112">
        <v>45831</v>
      </c>
      <c r="M603" s="111" t="s">
        <v>3661</v>
      </c>
      <c r="N603" s="113"/>
      <c r="O603" s="114" t="s">
        <v>501</v>
      </c>
      <c r="P603" s="114" t="s">
        <v>501</v>
      </c>
      <c r="Q603" s="114" t="s">
        <v>501</v>
      </c>
      <c r="R603" s="114" t="s">
        <v>7321</v>
      </c>
      <c r="S603" s="114" t="s">
        <v>501</v>
      </c>
      <c r="T603" s="114" t="s">
        <v>183</v>
      </c>
      <c r="U603" s="114" t="s">
        <v>183</v>
      </c>
      <c r="V603" s="115"/>
      <c r="W603" s="116" t="s">
        <v>4723</v>
      </c>
      <c r="X603" s="116" t="s">
        <v>4724</v>
      </c>
      <c r="Y603" s="117">
        <v>3487127</v>
      </c>
      <c r="Z603" s="117">
        <v>3486794</v>
      </c>
      <c r="AA603" s="118"/>
      <c r="AB603" s="119" t="s">
        <v>4725</v>
      </c>
      <c r="AC603" s="119" t="s">
        <v>4726</v>
      </c>
      <c r="AD603" s="119">
        <v>26304</v>
      </c>
      <c r="AE603" s="119" t="s">
        <v>4727</v>
      </c>
      <c r="AF603" s="119" t="s">
        <v>7667</v>
      </c>
      <c r="AG603" s="120"/>
      <c r="AH603" s="121">
        <v>45831</v>
      </c>
      <c r="AI603" s="121">
        <v>45831</v>
      </c>
      <c r="AJ603" s="121">
        <v>45831</v>
      </c>
      <c r="AK603" s="122">
        <v>45831</v>
      </c>
      <c r="AL603" s="122" t="e">
        <v>#N/A</v>
      </c>
      <c r="AM603" s="121" t="e">
        <v>#N/A</v>
      </c>
      <c r="AN603" s="121" t="e">
        <v>#N/A</v>
      </c>
      <c r="AO603" s="121" t="e">
        <v>#N/A</v>
      </c>
      <c r="AP603" s="122" t="e">
        <v>#N/A</v>
      </c>
      <c r="AQ603" s="122" t="e">
        <v>#N/A</v>
      </c>
      <c r="AR603" s="122" t="e">
        <v>#N/A</v>
      </c>
      <c r="AS603" s="122" t="e">
        <v>#N/A</v>
      </c>
      <c r="AT603" s="122" t="e">
        <v>#N/A</v>
      </c>
      <c r="AU603" s="121" t="e">
        <v>#N/A</v>
      </c>
      <c r="AV603" s="122" t="e">
        <v>#N/A</v>
      </c>
      <c r="AW603" s="122">
        <v>45778</v>
      </c>
      <c r="AX603" s="122" t="e">
        <v>#N/A</v>
      </c>
      <c r="AY603" s="122" t="e">
        <v>#N/A</v>
      </c>
      <c r="AZ603" s="122" t="e">
        <v>#N/A</v>
      </c>
      <c r="BA603" s="122" t="e">
        <v>#N/A</v>
      </c>
      <c r="BB603" s="122" t="e">
        <v>#N/A</v>
      </c>
      <c r="BC603" s="122" t="e">
        <v>#N/A</v>
      </c>
      <c r="BD603" s="122" t="e">
        <v>#N/A</v>
      </c>
      <c r="BE603" s="122" t="e">
        <v>#N/A</v>
      </c>
      <c r="BF603" s="122" t="e">
        <v>#N/A</v>
      </c>
      <c r="BG603" s="122" t="e">
        <v>#N/A</v>
      </c>
      <c r="BH603" s="122" t="e">
        <v>#N/A</v>
      </c>
      <c r="BI603" s="122" t="e">
        <v>#N/A</v>
      </c>
      <c r="BJ603" s="122" t="e">
        <v>#N/A</v>
      </c>
      <c r="BK603" s="122">
        <v>45974</v>
      </c>
      <c r="BL603" s="123"/>
      <c r="BM603" s="124" t="e">
        <v>#N/A</v>
      </c>
      <c r="BN603" s="124" t="e">
        <v>#N/A</v>
      </c>
      <c r="BO603" s="124" t="e">
        <v>#N/A</v>
      </c>
      <c r="BP603" s="124" t="e">
        <v>#N/A</v>
      </c>
      <c r="BQ603" s="124" t="e">
        <v>#N/A</v>
      </c>
      <c r="BR603" s="124" t="e">
        <v>#N/A</v>
      </c>
      <c r="BS603" s="124" t="e">
        <v>#N/A</v>
      </c>
      <c r="BT603" s="124" t="e">
        <v>#N/A</v>
      </c>
      <c r="BU603" s="124" t="e">
        <v>#N/A</v>
      </c>
      <c r="BV603" s="124" t="e">
        <v>#N/A</v>
      </c>
      <c r="BW603" s="124" t="e">
        <v>#N/A</v>
      </c>
      <c r="BX603" s="124" t="e">
        <v>#N/A</v>
      </c>
      <c r="BY603" s="124" t="e">
        <v>#N/A</v>
      </c>
      <c r="BZ603" s="124" t="e">
        <v>#N/A</v>
      </c>
      <c r="CA603" s="125"/>
      <c r="CB603" s="124">
        <v>45828</v>
      </c>
      <c r="CC603" s="126">
        <v>1</v>
      </c>
      <c r="CD603" s="127" t="s">
        <v>4979</v>
      </c>
      <c r="CE603" s="128"/>
      <c r="CF603" s="77" t="s">
        <v>4673</v>
      </c>
    </row>
    <row r="604" spans="1:85" ht="14.5" x14ac:dyDescent="0.35">
      <c r="A604" s="77">
        <v>603</v>
      </c>
      <c r="B604" s="106" t="s">
        <v>3518</v>
      </c>
      <c r="C604" s="107" t="s">
        <v>6645</v>
      </c>
      <c r="D604" s="108" t="s">
        <v>3519</v>
      </c>
      <c r="E604" s="109" t="s">
        <v>3520</v>
      </c>
      <c r="F604" s="110">
        <v>622843263</v>
      </c>
      <c r="G604" s="108" t="s">
        <v>1004</v>
      </c>
      <c r="H604" s="111" t="s">
        <v>3927</v>
      </c>
      <c r="I604" s="111" t="s">
        <v>180</v>
      </c>
      <c r="J604" s="111" t="s">
        <v>4648</v>
      </c>
      <c r="K604" s="111" t="s">
        <v>3367</v>
      </c>
      <c r="L604" s="112">
        <v>45481</v>
      </c>
      <c r="M604" s="111" t="s">
        <v>3661</v>
      </c>
      <c r="N604" s="113"/>
      <c r="O604" s="114" t="s">
        <v>310</v>
      </c>
      <c r="P604" s="114" t="s">
        <v>694</v>
      </c>
      <c r="Q604" s="114" t="s">
        <v>183</v>
      </c>
      <c r="R604" s="114" t="s">
        <v>7337</v>
      </c>
      <c r="S604" s="114" t="s">
        <v>694</v>
      </c>
      <c r="T604" s="114" t="s">
        <v>310</v>
      </c>
      <c r="U604" s="114" t="s">
        <v>183</v>
      </c>
      <c r="V604" s="115"/>
      <c r="W604" s="116" t="s">
        <v>3521</v>
      </c>
      <c r="X604" s="116" t="s">
        <v>3522</v>
      </c>
      <c r="Y604" s="117">
        <v>3485267</v>
      </c>
      <c r="Z604" s="117">
        <v>3481220</v>
      </c>
      <c r="AA604" s="118"/>
      <c r="AB604" s="119" t="s">
        <v>3523</v>
      </c>
      <c r="AC604" s="119" t="s">
        <v>3608</v>
      </c>
      <c r="AD604" s="119">
        <v>5873</v>
      </c>
      <c r="AE604" s="119" t="s">
        <v>3524</v>
      </c>
      <c r="AF604" s="119" t="s">
        <v>7668</v>
      </c>
      <c r="AG604" s="120"/>
      <c r="AH604" s="121">
        <v>45492</v>
      </c>
      <c r="AI604" s="121">
        <v>45492</v>
      </c>
      <c r="AJ604" s="121">
        <v>45492</v>
      </c>
      <c r="AK604" s="122">
        <v>45492</v>
      </c>
      <c r="AL604" s="122">
        <v>45769</v>
      </c>
      <c r="AM604" s="121" t="e">
        <v>#N/A</v>
      </c>
      <c r="AN604" s="121" t="s">
        <v>7134</v>
      </c>
      <c r="AO604" s="121" t="e">
        <v>#N/A</v>
      </c>
      <c r="AP604" s="122" t="e">
        <v>#N/A</v>
      </c>
      <c r="AQ604" s="122" t="e">
        <v>#N/A</v>
      </c>
      <c r="AR604" s="122" t="e">
        <v>#N/A</v>
      </c>
      <c r="AS604" s="122" t="e">
        <v>#N/A</v>
      </c>
      <c r="AT604" s="122" t="e">
        <v>#N/A</v>
      </c>
      <c r="AU604" s="121" t="e">
        <v>#N/A</v>
      </c>
      <c r="AV604" s="122" t="e">
        <v>#N/A</v>
      </c>
      <c r="AW604" s="122">
        <v>45754</v>
      </c>
      <c r="AX604" s="122" t="e">
        <v>#N/A</v>
      </c>
      <c r="AY604" s="122" t="e">
        <v>#N/A</v>
      </c>
      <c r="AZ604" s="122" t="e">
        <v>#N/A</v>
      </c>
      <c r="BA604" s="122" t="e">
        <v>#N/A</v>
      </c>
      <c r="BB604" s="122" t="e">
        <v>#N/A</v>
      </c>
      <c r="BC604" s="122" t="e">
        <v>#N/A</v>
      </c>
      <c r="BD604" s="122" t="e">
        <v>#N/A</v>
      </c>
      <c r="BE604" s="122" t="e">
        <v>#N/A</v>
      </c>
      <c r="BF604" s="122" t="e">
        <v>#N/A</v>
      </c>
      <c r="BG604" s="122" t="e">
        <v>#N/A</v>
      </c>
      <c r="BH604" s="122" t="e">
        <v>#N/A</v>
      </c>
      <c r="BI604" s="122" t="e">
        <v>#N/A</v>
      </c>
      <c r="BJ604" s="122" t="e">
        <v>#N/A</v>
      </c>
      <c r="BK604" s="122">
        <v>45981</v>
      </c>
      <c r="BL604" s="123"/>
      <c r="BM604" s="124" t="e">
        <v>#N/A</v>
      </c>
      <c r="BN604" s="124" t="e">
        <v>#N/A</v>
      </c>
      <c r="BO604" s="124" t="e">
        <v>#N/A</v>
      </c>
      <c r="BP604" s="124" t="e">
        <v>#N/A</v>
      </c>
      <c r="BQ604" s="124" t="e">
        <v>#N/A</v>
      </c>
      <c r="BR604" s="124" t="e">
        <v>#N/A</v>
      </c>
      <c r="BS604" s="124" t="e">
        <v>#N/A</v>
      </c>
      <c r="BT604" s="124" t="e">
        <v>#N/A</v>
      </c>
      <c r="BU604" s="124" t="e">
        <v>#N/A</v>
      </c>
      <c r="BV604" s="124" t="e">
        <v>#N/A</v>
      </c>
      <c r="BW604" s="124" t="e">
        <v>#N/A</v>
      </c>
      <c r="BX604" s="124" t="e">
        <v>#N/A</v>
      </c>
      <c r="BY604" s="124" t="e">
        <v>#N/A</v>
      </c>
      <c r="BZ604" s="124" t="e">
        <v>#N/A</v>
      </c>
      <c r="CA604" s="125"/>
      <c r="CB604" s="124" t="e">
        <v>#N/A</v>
      </c>
      <c r="CC604" s="126">
        <v>1</v>
      </c>
      <c r="CD604" s="127" t="s">
        <v>4203</v>
      </c>
      <c r="CE604" s="128"/>
      <c r="CF604" s="77" t="s">
        <v>4673</v>
      </c>
    </row>
    <row r="605" spans="1:85" ht="14.5" x14ac:dyDescent="0.35">
      <c r="A605" s="77">
        <v>604</v>
      </c>
      <c r="B605" s="106" t="s">
        <v>6311</v>
      </c>
      <c r="C605" s="107" t="s">
        <v>1215</v>
      </c>
      <c r="D605" s="108" t="s">
        <v>292</v>
      </c>
      <c r="E605" s="109" t="s">
        <v>2609</v>
      </c>
      <c r="F605" s="110">
        <v>664483123</v>
      </c>
      <c r="G605" s="108" t="s">
        <v>1004</v>
      </c>
      <c r="H605" s="111" t="s">
        <v>294</v>
      </c>
      <c r="I605" s="111" t="s">
        <v>180</v>
      </c>
      <c r="J605" s="111" t="s">
        <v>4648</v>
      </c>
      <c r="K605" s="111" t="s">
        <v>2861</v>
      </c>
      <c r="L605" s="112">
        <v>39924</v>
      </c>
      <c r="M605" s="111" t="s">
        <v>1064</v>
      </c>
      <c r="N605" s="113"/>
      <c r="O605" s="114" t="s">
        <v>182</v>
      </c>
      <c r="P605" s="114" t="s">
        <v>184</v>
      </c>
      <c r="Q605" s="114" t="s">
        <v>182</v>
      </c>
      <c r="R605" s="114" t="s">
        <v>182</v>
      </c>
      <c r="S605" s="114" t="s">
        <v>182</v>
      </c>
      <c r="T605" s="114" t="s">
        <v>183</v>
      </c>
      <c r="U605" s="114" t="s">
        <v>183</v>
      </c>
      <c r="V605" s="115"/>
      <c r="W605" s="116" t="s">
        <v>295</v>
      </c>
      <c r="X605" s="116" t="s">
        <v>296</v>
      </c>
      <c r="Y605" s="117">
        <v>3485404</v>
      </c>
      <c r="Z605" s="117">
        <v>3481007</v>
      </c>
      <c r="AA605" s="118"/>
      <c r="AB605" s="119" t="s">
        <v>5295</v>
      </c>
      <c r="AC605" s="119" t="s">
        <v>1216</v>
      </c>
      <c r="AD605" s="119" t="s">
        <v>3417</v>
      </c>
      <c r="AE605" s="119" t="s">
        <v>297</v>
      </c>
      <c r="AF605" s="119" t="s">
        <v>7669</v>
      </c>
      <c r="AG605" s="120"/>
      <c r="AH605" s="121">
        <v>44197</v>
      </c>
      <c r="AI605" s="121">
        <v>44197</v>
      </c>
      <c r="AJ605" s="121">
        <v>44197</v>
      </c>
      <c r="AK605" s="122">
        <v>44197</v>
      </c>
      <c r="AL605" s="122" t="e">
        <v>#N/A</v>
      </c>
      <c r="AM605" s="121" t="e">
        <v>#N/A</v>
      </c>
      <c r="AN605" s="121" t="e">
        <v>#N/A</v>
      </c>
      <c r="AO605" s="121" t="e">
        <v>#N/A</v>
      </c>
      <c r="AP605" s="122" t="e">
        <v>#N/A</v>
      </c>
      <c r="AQ605" s="122" t="e">
        <v>#N/A</v>
      </c>
      <c r="AR605" s="122" t="e">
        <v>#N/A</v>
      </c>
      <c r="AS605" s="122" t="e">
        <v>#N/A</v>
      </c>
      <c r="AT605" s="122" t="e">
        <v>#N/A</v>
      </c>
      <c r="AU605" s="121" t="e">
        <v>#N/A</v>
      </c>
      <c r="AV605" s="122" t="e">
        <v>#N/A</v>
      </c>
      <c r="AW605" s="122" t="e">
        <v>#N/A</v>
      </c>
      <c r="AX605" s="122" t="e">
        <v>#N/A</v>
      </c>
      <c r="AY605" s="122" t="e">
        <v>#N/A</v>
      </c>
      <c r="AZ605" s="122" t="e">
        <v>#N/A</v>
      </c>
      <c r="BA605" s="122" t="e">
        <v>#N/A</v>
      </c>
      <c r="BB605" s="122" t="e">
        <v>#N/A</v>
      </c>
      <c r="BC605" s="122" t="e">
        <v>#N/A</v>
      </c>
      <c r="BD605" s="122" t="e">
        <v>#N/A</v>
      </c>
      <c r="BE605" s="122" t="e">
        <v>#N/A</v>
      </c>
      <c r="BF605" s="122" t="e">
        <v>#N/A</v>
      </c>
      <c r="BG605" s="122" t="e">
        <v>#N/A</v>
      </c>
      <c r="BH605" s="122" t="e">
        <v>#N/A</v>
      </c>
      <c r="BI605" s="122" t="e">
        <v>#N/A</v>
      </c>
      <c r="BJ605" s="122" t="e">
        <v>#N/A</v>
      </c>
      <c r="BK605" s="122">
        <v>45972</v>
      </c>
      <c r="BL605" s="123"/>
      <c r="BM605" s="124">
        <v>44197</v>
      </c>
      <c r="BN605" s="124">
        <v>44197</v>
      </c>
      <c r="BO605" s="124">
        <v>44197</v>
      </c>
      <c r="BP605" s="124">
        <v>44197</v>
      </c>
      <c r="BQ605" s="124">
        <v>44197</v>
      </c>
      <c r="BR605" s="124">
        <v>44197</v>
      </c>
      <c r="BS605" s="124">
        <v>44197</v>
      </c>
      <c r="BT605" s="124">
        <v>44197</v>
      </c>
      <c r="BU605" s="124" t="e">
        <v>#N/A</v>
      </c>
      <c r="BV605" s="124" t="e">
        <v>#N/A</v>
      </c>
      <c r="BW605" s="124" t="e">
        <v>#N/A</v>
      </c>
      <c r="BX605" s="124">
        <v>44197</v>
      </c>
      <c r="BY605" s="124" t="e">
        <v>#N/A</v>
      </c>
      <c r="BZ605" s="124" t="e">
        <v>#N/A</v>
      </c>
      <c r="CA605" s="125"/>
      <c r="CB605" s="124" t="e">
        <v>#N/A</v>
      </c>
      <c r="CC605" s="126">
        <v>1</v>
      </c>
      <c r="CD605" s="127" t="e">
        <v>#N/A</v>
      </c>
      <c r="CE605" s="128"/>
      <c r="CF605" s="77" t="s">
        <v>4673</v>
      </c>
    </row>
    <row r="606" spans="1:85" ht="14.5" x14ac:dyDescent="0.35">
      <c r="A606" s="77">
        <v>605</v>
      </c>
      <c r="B606" s="106" t="s">
        <v>148</v>
      </c>
      <c r="C606" s="107" t="s">
        <v>1452</v>
      </c>
      <c r="D606" s="108" t="s">
        <v>846</v>
      </c>
      <c r="E606" s="109" t="s">
        <v>847</v>
      </c>
      <c r="F606" s="110">
        <v>644756529</v>
      </c>
      <c r="G606" s="108" t="s">
        <v>1004</v>
      </c>
      <c r="H606" s="111" t="s">
        <v>294</v>
      </c>
      <c r="I606" s="111" t="s">
        <v>180</v>
      </c>
      <c r="J606" s="111" t="s">
        <v>4648</v>
      </c>
      <c r="K606" s="111" t="s">
        <v>2861</v>
      </c>
      <c r="L606" s="112">
        <v>43645</v>
      </c>
      <c r="M606" s="111" t="s">
        <v>1064</v>
      </c>
      <c r="N606" s="113"/>
      <c r="O606" s="114" t="s">
        <v>257</v>
      </c>
      <c r="P606" s="114" t="s">
        <v>257</v>
      </c>
      <c r="Q606" s="114" t="s">
        <v>257</v>
      </c>
      <c r="R606" s="114" t="s">
        <v>257</v>
      </c>
      <c r="S606" s="114" t="s">
        <v>257</v>
      </c>
      <c r="T606" s="114" t="s">
        <v>183</v>
      </c>
      <c r="U606" s="114" t="s">
        <v>183</v>
      </c>
      <c r="V606" s="115"/>
      <c r="W606" s="116" t="s">
        <v>1999</v>
      </c>
      <c r="X606" s="116" t="s">
        <v>2000</v>
      </c>
      <c r="Y606" s="117">
        <v>3485020</v>
      </c>
      <c r="Z606" s="117">
        <v>3481097</v>
      </c>
      <c r="AA606" s="118"/>
      <c r="AB606" s="119" t="s">
        <v>5684</v>
      </c>
      <c r="AC606" s="119" t="s">
        <v>2001</v>
      </c>
      <c r="AD606" s="119">
        <v>4070</v>
      </c>
      <c r="AE606" s="119" t="s">
        <v>2002</v>
      </c>
      <c r="AF606" s="119" t="s">
        <v>7670</v>
      </c>
      <c r="AG606" s="120"/>
      <c r="AH606" s="121">
        <v>44197</v>
      </c>
      <c r="AI606" s="121">
        <v>44197</v>
      </c>
      <c r="AJ606" s="121">
        <v>44197</v>
      </c>
      <c r="AK606" s="122">
        <v>44197</v>
      </c>
      <c r="AL606" s="122" t="e">
        <v>#N/A</v>
      </c>
      <c r="AM606" s="121" t="e">
        <v>#N/A</v>
      </c>
      <c r="AN606" s="121" t="e">
        <v>#N/A</v>
      </c>
      <c r="AO606" s="121" t="e">
        <v>#N/A</v>
      </c>
      <c r="AP606" s="122" t="e">
        <v>#N/A</v>
      </c>
      <c r="AQ606" s="122" t="e">
        <v>#N/A</v>
      </c>
      <c r="AR606" s="122" t="e">
        <v>#N/A</v>
      </c>
      <c r="AS606" s="122" t="e">
        <v>#N/A</v>
      </c>
      <c r="AT606" s="122" t="e">
        <v>#N/A</v>
      </c>
      <c r="AU606" s="121" t="e">
        <v>#N/A</v>
      </c>
      <c r="AV606" s="122" t="e">
        <v>#N/A</v>
      </c>
      <c r="AW606" s="122" t="e">
        <v>#N/A</v>
      </c>
      <c r="AX606" s="122" t="e">
        <v>#N/A</v>
      </c>
      <c r="AY606" s="122" t="e">
        <v>#N/A</v>
      </c>
      <c r="AZ606" s="122" t="e">
        <v>#N/A</v>
      </c>
      <c r="BA606" s="122" t="e">
        <v>#N/A</v>
      </c>
      <c r="BB606" s="122" t="e">
        <v>#N/A</v>
      </c>
      <c r="BC606" s="122" t="e">
        <v>#N/A</v>
      </c>
      <c r="BD606" s="122" t="e">
        <v>#N/A</v>
      </c>
      <c r="BE606" s="122" t="e">
        <v>#N/A</v>
      </c>
      <c r="BF606" s="122" t="e">
        <v>#N/A</v>
      </c>
      <c r="BG606" s="122" t="e">
        <v>#N/A</v>
      </c>
      <c r="BH606" s="122" t="e">
        <v>#N/A</v>
      </c>
      <c r="BI606" s="122" t="e">
        <v>#N/A</v>
      </c>
      <c r="BJ606" s="122" t="e">
        <v>#N/A</v>
      </c>
      <c r="BK606" s="122" t="e">
        <v>#N/A</v>
      </c>
      <c r="BL606" s="123"/>
      <c r="BM606" s="124">
        <v>44592</v>
      </c>
      <c r="BN606" s="124">
        <v>44734</v>
      </c>
      <c r="BO606" s="124">
        <v>44615</v>
      </c>
      <c r="BP606" s="124">
        <v>44740</v>
      </c>
      <c r="BQ606" s="124">
        <v>44697</v>
      </c>
      <c r="BR606" s="124" t="e">
        <v>#N/A</v>
      </c>
      <c r="BS606" s="124">
        <v>44575</v>
      </c>
      <c r="BT606" s="124">
        <v>44613</v>
      </c>
      <c r="BU606" s="124" t="e">
        <v>#N/A</v>
      </c>
      <c r="BV606" s="124" t="e">
        <v>#N/A</v>
      </c>
      <c r="BW606" s="124" t="e">
        <v>#N/A</v>
      </c>
      <c r="BX606" s="124">
        <v>44197</v>
      </c>
      <c r="BY606" s="124" t="e">
        <v>#N/A</v>
      </c>
      <c r="BZ606" s="124" t="e">
        <v>#N/A</v>
      </c>
      <c r="CA606" s="125"/>
      <c r="CB606" s="124">
        <v>45733</v>
      </c>
      <c r="CC606" s="126">
        <v>1</v>
      </c>
      <c r="CD606" s="127" t="s">
        <v>4169</v>
      </c>
      <c r="CE606" s="128" t="e">
        <v>#REF!</v>
      </c>
      <c r="CF606" s="77" t="s">
        <v>4673</v>
      </c>
      <c r="CG606" s="77" t="e">
        <v>#REF!</v>
      </c>
    </row>
    <row r="607" spans="1:85" ht="14.5" x14ac:dyDescent="0.35">
      <c r="A607" s="77">
        <v>606</v>
      </c>
      <c r="B607" s="106" t="s">
        <v>6317</v>
      </c>
      <c r="C607" s="107" t="s">
        <v>1192</v>
      </c>
      <c r="D607" s="108" t="s">
        <v>320</v>
      </c>
      <c r="E607" s="109" t="s">
        <v>321</v>
      </c>
      <c r="F607" s="110" t="s">
        <v>223</v>
      </c>
      <c r="G607" s="108" t="s">
        <v>1004</v>
      </c>
      <c r="H607" s="111" t="s">
        <v>294</v>
      </c>
      <c r="I607" s="111" t="s">
        <v>180</v>
      </c>
      <c r="J607" s="111" t="s">
        <v>4648</v>
      </c>
      <c r="K607" s="111" t="s">
        <v>2861</v>
      </c>
      <c r="L607" s="112">
        <v>39727</v>
      </c>
      <c r="M607" s="111" t="s">
        <v>1064</v>
      </c>
      <c r="N607" s="113"/>
      <c r="O607" s="114" t="s">
        <v>4373</v>
      </c>
      <c r="P607" s="114" t="s">
        <v>4467</v>
      </c>
      <c r="Q607" s="114" t="s">
        <v>4373</v>
      </c>
      <c r="R607" s="114" t="s">
        <v>4373</v>
      </c>
      <c r="S607" s="114" t="s">
        <v>4467</v>
      </c>
      <c r="T607" s="114" t="s">
        <v>4356</v>
      </c>
      <c r="U607" s="114" t="s">
        <v>4356</v>
      </c>
      <c r="V607" s="115"/>
      <c r="W607" s="116" t="s">
        <v>323</v>
      </c>
      <c r="X607" s="116" t="s">
        <v>324</v>
      </c>
      <c r="Y607" s="117">
        <v>3485135</v>
      </c>
      <c r="Z607" s="117">
        <v>3481093</v>
      </c>
      <c r="AA607" s="118"/>
      <c r="AB607" s="119" t="s">
        <v>5235</v>
      </c>
      <c r="AC607" s="119" t="s">
        <v>1193</v>
      </c>
      <c r="AD607" s="119">
        <v>5110</v>
      </c>
      <c r="AE607" s="119" t="s">
        <v>325</v>
      </c>
      <c r="AF607" s="119" t="s">
        <v>7671</v>
      </c>
      <c r="AG607" s="120"/>
      <c r="AH607" s="121">
        <v>44197</v>
      </c>
      <c r="AI607" s="121">
        <v>44197</v>
      </c>
      <c r="AJ607" s="121">
        <v>44197</v>
      </c>
      <c r="AK607" s="122">
        <v>44197</v>
      </c>
      <c r="AL607" s="122" t="e">
        <v>#N/A</v>
      </c>
      <c r="AM607" s="121" t="e">
        <v>#N/A</v>
      </c>
      <c r="AN607" s="121" t="e">
        <v>#N/A</v>
      </c>
      <c r="AO607" s="121" t="e">
        <v>#N/A</v>
      </c>
      <c r="AP607" s="122" t="e">
        <v>#N/A</v>
      </c>
      <c r="AQ607" s="122" t="e">
        <v>#N/A</v>
      </c>
      <c r="AR607" s="122" t="e">
        <v>#N/A</v>
      </c>
      <c r="AS607" s="122" t="e">
        <v>#N/A</v>
      </c>
      <c r="AT607" s="122" t="e">
        <v>#N/A</v>
      </c>
      <c r="AU607" s="121" t="e">
        <v>#N/A</v>
      </c>
      <c r="AV607" s="122" t="e">
        <v>#N/A</v>
      </c>
      <c r="AW607" s="122" t="e">
        <v>#N/A</v>
      </c>
      <c r="AX607" s="122" t="e">
        <v>#N/A</v>
      </c>
      <c r="AY607" s="122" t="e">
        <v>#N/A</v>
      </c>
      <c r="AZ607" s="122" t="e">
        <v>#N/A</v>
      </c>
      <c r="BA607" s="122" t="e">
        <v>#N/A</v>
      </c>
      <c r="BB607" s="122" t="e">
        <v>#N/A</v>
      </c>
      <c r="BC607" s="122" t="e">
        <v>#N/A</v>
      </c>
      <c r="BD607" s="122" t="e">
        <v>#N/A</v>
      </c>
      <c r="BE607" s="122" t="e">
        <v>#N/A</v>
      </c>
      <c r="BF607" s="122" t="e">
        <v>#N/A</v>
      </c>
      <c r="BG607" s="122" t="e">
        <v>#N/A</v>
      </c>
      <c r="BH607" s="122" t="e">
        <v>#N/A</v>
      </c>
      <c r="BI607" s="122" t="e">
        <v>#N/A</v>
      </c>
      <c r="BJ607" s="122" t="e">
        <v>#N/A</v>
      </c>
      <c r="BK607" s="122">
        <v>46000</v>
      </c>
      <c r="BL607" s="123"/>
      <c r="BM607" s="124">
        <v>44197</v>
      </c>
      <c r="BN607" s="124">
        <v>44197</v>
      </c>
      <c r="BO607" s="124">
        <v>44531</v>
      </c>
      <c r="BP607" s="124">
        <v>44530</v>
      </c>
      <c r="BQ607" s="124">
        <v>44701</v>
      </c>
      <c r="BR607" s="124">
        <v>44714</v>
      </c>
      <c r="BS607" s="124">
        <v>44847</v>
      </c>
      <c r="BT607" s="124">
        <v>44855</v>
      </c>
      <c r="BU607" s="124">
        <v>44197</v>
      </c>
      <c r="BV607" s="124">
        <v>45020</v>
      </c>
      <c r="BW607" s="124" t="e">
        <v>#N/A</v>
      </c>
      <c r="BX607" s="124">
        <v>44531</v>
      </c>
      <c r="BY607" s="124" t="e">
        <v>#N/A</v>
      </c>
      <c r="BZ607" s="124" t="e">
        <v>#N/A</v>
      </c>
      <c r="CA607" s="125"/>
      <c r="CB607" s="124" t="e">
        <v>#N/A</v>
      </c>
      <c r="CC607" s="126">
        <v>1</v>
      </c>
      <c r="CD607" s="127" t="e">
        <v>#N/A</v>
      </c>
      <c r="CE607" s="128"/>
      <c r="CF607" s="77" t="s">
        <v>4673</v>
      </c>
    </row>
    <row r="608" spans="1:85" ht="14.5" x14ac:dyDescent="0.35">
      <c r="A608" s="77">
        <v>607</v>
      </c>
      <c r="B608" s="106" t="s">
        <v>83</v>
      </c>
      <c r="C608" s="107" t="s">
        <v>1341</v>
      </c>
      <c r="D608" s="108" t="s">
        <v>634</v>
      </c>
      <c r="E608" s="109" t="s">
        <v>635</v>
      </c>
      <c r="F608" s="110">
        <v>636488199</v>
      </c>
      <c r="G608" s="108" t="s">
        <v>1004</v>
      </c>
      <c r="H608" s="111" t="s">
        <v>294</v>
      </c>
      <c r="I608" s="111" t="s">
        <v>180</v>
      </c>
      <c r="J608" s="111" t="s">
        <v>4648</v>
      </c>
      <c r="K608" s="111" t="s">
        <v>2861</v>
      </c>
      <c r="L608" s="112">
        <v>43645</v>
      </c>
      <c r="M608" s="111" t="s">
        <v>1064</v>
      </c>
      <c r="N608" s="113"/>
      <c r="O608" s="114" t="s">
        <v>257</v>
      </c>
      <c r="P608" s="114" t="s">
        <v>257</v>
      </c>
      <c r="Q608" s="114" t="s">
        <v>257</v>
      </c>
      <c r="R608" s="114" t="s">
        <v>7356</v>
      </c>
      <c r="S608" s="114" t="s">
        <v>257</v>
      </c>
      <c r="T608" s="114" t="s">
        <v>183</v>
      </c>
      <c r="U608" s="114" t="s">
        <v>183</v>
      </c>
      <c r="V608" s="115"/>
      <c r="W608" s="116" t="s">
        <v>636</v>
      </c>
      <c r="X608" s="116" t="s">
        <v>637</v>
      </c>
      <c r="Y608" s="117">
        <v>3485021</v>
      </c>
      <c r="Z608" s="117">
        <v>3481095</v>
      </c>
      <c r="AA608" s="118"/>
      <c r="AB608" s="119" t="s">
        <v>5893</v>
      </c>
      <c r="AC608" s="119" t="s">
        <v>1342</v>
      </c>
      <c r="AD608" s="119">
        <v>4308</v>
      </c>
      <c r="AE608" s="119" t="s">
        <v>1343</v>
      </c>
      <c r="AF608" s="119" t="s">
        <v>7103</v>
      </c>
      <c r="AG608" s="120"/>
      <c r="AH608" s="121">
        <v>44197</v>
      </c>
      <c r="AI608" s="121">
        <v>44197</v>
      </c>
      <c r="AJ608" s="121">
        <v>44197</v>
      </c>
      <c r="AK608" s="122">
        <v>44197</v>
      </c>
      <c r="AL608" s="122" t="e">
        <v>#N/A</v>
      </c>
      <c r="AM608" s="121" t="e">
        <v>#N/A</v>
      </c>
      <c r="AN608" s="121" t="e">
        <v>#N/A</v>
      </c>
      <c r="AO608" s="121" t="e">
        <v>#N/A</v>
      </c>
      <c r="AP608" s="122" t="e">
        <v>#N/A</v>
      </c>
      <c r="AQ608" s="122" t="e">
        <v>#N/A</v>
      </c>
      <c r="AR608" s="122" t="e">
        <v>#N/A</v>
      </c>
      <c r="AS608" s="122" t="e">
        <v>#N/A</v>
      </c>
      <c r="AT608" s="122" t="e">
        <v>#N/A</v>
      </c>
      <c r="AU608" s="121" t="e">
        <v>#N/A</v>
      </c>
      <c r="AV608" s="122" t="e">
        <v>#N/A</v>
      </c>
      <c r="AW608" s="122" t="e">
        <v>#N/A</v>
      </c>
      <c r="AX608" s="122" t="e">
        <v>#N/A</v>
      </c>
      <c r="AY608" s="122" t="e">
        <v>#N/A</v>
      </c>
      <c r="AZ608" s="122" t="e">
        <v>#N/A</v>
      </c>
      <c r="BA608" s="122" t="e">
        <v>#N/A</v>
      </c>
      <c r="BB608" s="122" t="e">
        <v>#N/A</v>
      </c>
      <c r="BC608" s="122" t="e">
        <v>#N/A</v>
      </c>
      <c r="BD608" s="122" t="e">
        <v>#N/A</v>
      </c>
      <c r="BE608" s="122" t="e">
        <v>#N/A</v>
      </c>
      <c r="BF608" s="122" t="e">
        <v>#N/A</v>
      </c>
      <c r="BG608" s="122" t="e">
        <v>#N/A</v>
      </c>
      <c r="BH608" s="122" t="e">
        <v>#N/A</v>
      </c>
      <c r="BI608" s="122" t="e">
        <v>#N/A</v>
      </c>
      <c r="BJ608" s="122" t="e">
        <v>#N/A</v>
      </c>
      <c r="BK608" s="122">
        <v>45971</v>
      </c>
      <c r="BL608" s="123"/>
      <c r="BM608" s="124">
        <v>44197</v>
      </c>
      <c r="BN608" s="124">
        <v>44575</v>
      </c>
      <c r="BO608" s="124">
        <v>44615</v>
      </c>
      <c r="BP608" s="124">
        <v>44642</v>
      </c>
      <c r="BQ608" s="124">
        <v>44697</v>
      </c>
      <c r="BR608" s="124">
        <v>44704</v>
      </c>
      <c r="BS608" s="124">
        <v>44197</v>
      </c>
      <c r="BT608" s="124">
        <v>44248</v>
      </c>
      <c r="BU608" s="124" t="e">
        <v>#N/A</v>
      </c>
      <c r="BV608" s="124" t="e">
        <v>#N/A</v>
      </c>
      <c r="BW608" s="124" t="e">
        <v>#N/A</v>
      </c>
      <c r="BX608" s="124">
        <v>44197</v>
      </c>
      <c r="BY608" s="124" t="e">
        <v>#N/A</v>
      </c>
      <c r="BZ608" s="124" t="e">
        <v>#N/A</v>
      </c>
      <c r="CA608" s="125"/>
      <c r="CB608" s="124" t="e">
        <v>#N/A</v>
      </c>
      <c r="CC608" s="126">
        <v>1</v>
      </c>
      <c r="CD608" s="127" t="s">
        <v>4169</v>
      </c>
      <c r="CE608" s="128"/>
      <c r="CF608" s="77" t="s">
        <v>4673</v>
      </c>
    </row>
    <row r="609" spans="1:85" ht="14.5" x14ac:dyDescent="0.35">
      <c r="A609" s="77">
        <v>608</v>
      </c>
      <c r="B609" s="106" t="s">
        <v>2423</v>
      </c>
      <c r="C609" s="107" t="s">
        <v>6516</v>
      </c>
      <c r="D609" s="108" t="s">
        <v>2408</v>
      </c>
      <c r="E609" s="109" t="s">
        <v>2409</v>
      </c>
      <c r="F609" s="110" t="s">
        <v>2410</v>
      </c>
      <c r="G609" s="108" t="s">
        <v>1004</v>
      </c>
      <c r="H609" s="111" t="s">
        <v>294</v>
      </c>
      <c r="I609" s="111" t="s">
        <v>180</v>
      </c>
      <c r="J609" s="111" t="s">
        <v>4648</v>
      </c>
      <c r="K609" s="111" t="s">
        <v>2861</v>
      </c>
      <c r="L609" s="112">
        <v>45003</v>
      </c>
      <c r="M609" s="111" t="s">
        <v>1064</v>
      </c>
      <c r="N609" s="113"/>
      <c r="O609" s="114" t="s">
        <v>7419</v>
      </c>
      <c r="P609" s="114" t="s">
        <v>257</v>
      </c>
      <c r="Q609" s="114" t="s">
        <v>246</v>
      </c>
      <c r="R609" s="114" t="s">
        <v>7364</v>
      </c>
      <c r="S609" s="114" t="s">
        <v>257</v>
      </c>
      <c r="T609" s="114" t="s">
        <v>183</v>
      </c>
      <c r="U609" s="114" t="s">
        <v>183</v>
      </c>
      <c r="V609" s="115"/>
      <c r="W609" s="116" t="s">
        <v>2411</v>
      </c>
      <c r="X609" s="116" t="s">
        <v>2412</v>
      </c>
      <c r="Y609" s="117">
        <v>3485745</v>
      </c>
      <c r="Z609" s="117">
        <v>3486581</v>
      </c>
      <c r="AA609" s="118"/>
      <c r="AB609" s="119" t="s">
        <v>5894</v>
      </c>
      <c r="AC609" s="119" t="s">
        <v>2413</v>
      </c>
      <c r="AD609" s="119">
        <v>4508</v>
      </c>
      <c r="AE609" s="119" t="s">
        <v>2424</v>
      </c>
      <c r="AF609" s="119" t="s">
        <v>7672</v>
      </c>
      <c r="AG609" s="120"/>
      <c r="AH609" s="121">
        <v>44882</v>
      </c>
      <c r="AI609" s="121">
        <v>44882</v>
      </c>
      <c r="AJ609" s="121">
        <v>44882</v>
      </c>
      <c r="AK609" s="122">
        <v>44994</v>
      </c>
      <c r="AL609" s="122" t="e">
        <v>#N/A</v>
      </c>
      <c r="AM609" s="122" t="e">
        <v>#N/A</v>
      </c>
      <c r="AN609" s="122" t="e">
        <v>#N/A</v>
      </c>
      <c r="AO609" s="121" t="e">
        <v>#N/A</v>
      </c>
      <c r="AP609" s="122" t="e">
        <v>#N/A</v>
      </c>
      <c r="AQ609" s="122" t="e">
        <v>#N/A</v>
      </c>
      <c r="AR609" s="122" t="e">
        <v>#N/A</v>
      </c>
      <c r="AS609" s="122" t="e">
        <v>#N/A</v>
      </c>
      <c r="AT609" s="122" t="e">
        <v>#N/A</v>
      </c>
      <c r="AU609" s="121" t="e">
        <v>#N/A</v>
      </c>
      <c r="AV609" s="122">
        <v>45495</v>
      </c>
      <c r="AW609" s="122">
        <v>45495</v>
      </c>
      <c r="AX609" s="122" t="e">
        <v>#N/A</v>
      </c>
      <c r="AY609" s="122" t="e">
        <v>#N/A</v>
      </c>
      <c r="AZ609" s="122" t="e">
        <v>#N/A</v>
      </c>
      <c r="BA609" s="122" t="e">
        <v>#N/A</v>
      </c>
      <c r="BB609" s="122" t="e">
        <v>#N/A</v>
      </c>
      <c r="BC609" s="122">
        <v>45406</v>
      </c>
      <c r="BD609" s="122" t="e">
        <v>#N/A</v>
      </c>
      <c r="BE609" s="122" t="e">
        <v>#N/A</v>
      </c>
      <c r="BF609" s="122" t="e">
        <v>#N/A</v>
      </c>
      <c r="BG609" s="122" t="e">
        <v>#N/A</v>
      </c>
      <c r="BH609" s="122" t="e">
        <v>#N/A</v>
      </c>
      <c r="BI609" s="122" t="e">
        <v>#N/A</v>
      </c>
      <c r="BJ609" s="122" t="e">
        <v>#N/A</v>
      </c>
      <c r="BK609" s="122" t="e">
        <v>#N/A</v>
      </c>
      <c r="BL609" s="123"/>
      <c r="BM609" s="124" t="e">
        <v>#N/A</v>
      </c>
      <c r="BN609" s="124" t="e">
        <v>#N/A</v>
      </c>
      <c r="BO609" s="124" t="e">
        <v>#N/A</v>
      </c>
      <c r="BP609" s="124" t="e">
        <v>#N/A</v>
      </c>
      <c r="BQ609" s="124" t="e">
        <v>#N/A</v>
      </c>
      <c r="BR609" s="124" t="e">
        <v>#N/A</v>
      </c>
      <c r="BS609" s="124">
        <v>45505</v>
      </c>
      <c r="BT609" s="124">
        <v>45505</v>
      </c>
      <c r="BU609" s="124" t="e">
        <v>#N/A</v>
      </c>
      <c r="BV609" s="124" t="e">
        <v>#N/A</v>
      </c>
      <c r="BW609" s="124" t="e">
        <v>#N/A</v>
      </c>
      <c r="BX609" s="124" t="e">
        <v>#N/A</v>
      </c>
      <c r="BY609" s="124" t="e">
        <v>#N/A</v>
      </c>
      <c r="BZ609" s="124" t="e">
        <v>#N/A</v>
      </c>
      <c r="CA609" s="125"/>
      <c r="CB609" s="124">
        <v>45733</v>
      </c>
      <c r="CC609" s="126">
        <v>1</v>
      </c>
      <c r="CD609" s="127" t="s">
        <v>4191</v>
      </c>
      <c r="CE609" s="128"/>
      <c r="CF609" s="77" t="s">
        <v>4617</v>
      </c>
    </row>
    <row r="610" spans="1:85" ht="14.5" x14ac:dyDescent="0.35">
      <c r="A610" s="77">
        <v>609</v>
      </c>
      <c r="B610" s="106" t="s">
        <v>2425</v>
      </c>
      <c r="C610" s="107" t="s">
        <v>6517</v>
      </c>
      <c r="D610" s="108" t="s">
        <v>2414</v>
      </c>
      <c r="E610" s="109" t="s">
        <v>2415</v>
      </c>
      <c r="F610" s="110" t="s">
        <v>2416</v>
      </c>
      <c r="G610" s="108" t="s">
        <v>1004</v>
      </c>
      <c r="H610" s="111" t="s">
        <v>294</v>
      </c>
      <c r="I610" s="111" t="s">
        <v>180</v>
      </c>
      <c r="J610" s="111" t="s">
        <v>4648</v>
      </c>
      <c r="K610" s="111" t="s">
        <v>2861</v>
      </c>
      <c r="L610" s="112">
        <v>45003</v>
      </c>
      <c r="M610" s="111" t="s">
        <v>1064</v>
      </c>
      <c r="N610" s="113"/>
      <c r="O610" s="114" t="s">
        <v>557</v>
      </c>
      <c r="P610" s="114" t="s">
        <v>557</v>
      </c>
      <c r="Q610" s="114" t="s">
        <v>557</v>
      </c>
      <c r="R610" s="114" t="s">
        <v>557</v>
      </c>
      <c r="S610" s="114" t="s">
        <v>557</v>
      </c>
      <c r="T610" s="114" t="s">
        <v>183</v>
      </c>
      <c r="U610" s="114" t="s">
        <v>183</v>
      </c>
      <c r="V610" s="115"/>
      <c r="W610" s="116" t="s">
        <v>2417</v>
      </c>
      <c r="X610" s="116" t="s">
        <v>2418</v>
      </c>
      <c r="Y610" s="117">
        <v>3485770</v>
      </c>
      <c r="Z610" s="117">
        <v>3486630</v>
      </c>
      <c r="AA610" s="118"/>
      <c r="AB610" s="119" t="s">
        <v>5895</v>
      </c>
      <c r="AC610" s="119" t="s">
        <v>2419</v>
      </c>
      <c r="AD610" s="119">
        <v>4510</v>
      </c>
      <c r="AE610" s="119" t="s">
        <v>2426</v>
      </c>
      <c r="AF610" s="119" t="s">
        <v>7673</v>
      </c>
      <c r="AG610" s="120"/>
      <c r="AH610" s="121">
        <v>44882</v>
      </c>
      <c r="AI610" s="121">
        <v>44882</v>
      </c>
      <c r="AJ610" s="121">
        <v>44882</v>
      </c>
      <c r="AK610" s="122">
        <v>44994</v>
      </c>
      <c r="AL610" s="122">
        <v>45075</v>
      </c>
      <c r="AM610" s="121">
        <v>45083</v>
      </c>
      <c r="AN610" s="121" t="s">
        <v>5691</v>
      </c>
      <c r="AO610" s="121" t="e">
        <v>#N/A</v>
      </c>
      <c r="AP610" s="122" t="e">
        <v>#N/A</v>
      </c>
      <c r="AQ610" s="122" t="e">
        <v>#N/A</v>
      </c>
      <c r="AR610" s="122">
        <v>45083</v>
      </c>
      <c r="AS610" s="122" t="e">
        <v>#N/A</v>
      </c>
      <c r="AT610" s="122" t="e">
        <v>#N/A</v>
      </c>
      <c r="AU610" s="121" t="e">
        <v>#N/A</v>
      </c>
      <c r="AV610" s="122" t="e">
        <v>#N/A</v>
      </c>
      <c r="AW610" s="122" t="e">
        <v>#N/A</v>
      </c>
      <c r="AX610" s="122" t="e">
        <v>#N/A</v>
      </c>
      <c r="AY610" s="122" t="e">
        <v>#N/A</v>
      </c>
      <c r="AZ610" s="122" t="e">
        <v>#N/A</v>
      </c>
      <c r="BA610" s="122">
        <v>45083</v>
      </c>
      <c r="BB610" s="122" t="e">
        <v>#N/A</v>
      </c>
      <c r="BC610" s="122">
        <v>45083</v>
      </c>
      <c r="BD610" s="122" t="e">
        <v>#N/A</v>
      </c>
      <c r="BE610" s="122" t="e">
        <v>#N/A</v>
      </c>
      <c r="BF610" s="122" t="e">
        <v>#N/A</v>
      </c>
      <c r="BG610" s="122" t="e">
        <v>#N/A</v>
      </c>
      <c r="BH610" s="122" t="e">
        <v>#N/A</v>
      </c>
      <c r="BI610" s="122" t="e">
        <v>#N/A</v>
      </c>
      <c r="BJ610" s="122" t="e">
        <v>#N/A</v>
      </c>
      <c r="BK610" s="122">
        <v>46001</v>
      </c>
      <c r="BL610" s="123"/>
      <c r="BM610" s="124">
        <v>45521</v>
      </c>
      <c r="BN610" s="124">
        <v>45521</v>
      </c>
      <c r="BO610" s="124">
        <v>45521</v>
      </c>
      <c r="BP610" s="124" t="e">
        <v>#N/A</v>
      </c>
      <c r="BQ610" s="124" t="e">
        <v>#N/A</v>
      </c>
      <c r="BR610" s="124">
        <v>45971</v>
      </c>
      <c r="BS610" s="124" t="e">
        <v>#N/A</v>
      </c>
      <c r="BT610" s="124" t="e">
        <v>#N/A</v>
      </c>
      <c r="BU610" s="124" t="e">
        <v>#N/A</v>
      </c>
      <c r="BV610" s="124" t="e">
        <v>#N/A</v>
      </c>
      <c r="BW610" s="124" t="e">
        <v>#N/A</v>
      </c>
      <c r="BX610" s="124">
        <v>45944</v>
      </c>
      <c r="BY610" s="124" t="e">
        <v>#N/A</v>
      </c>
      <c r="BZ610" s="124" t="e">
        <v>#N/A</v>
      </c>
      <c r="CA610" s="125"/>
      <c r="CB610" s="124" t="e">
        <v>#N/A</v>
      </c>
      <c r="CC610" s="126">
        <v>1</v>
      </c>
      <c r="CD610" s="127" t="s">
        <v>4191</v>
      </c>
      <c r="CE610" s="128" t="e">
        <v>#REF!</v>
      </c>
      <c r="CF610" s="77" t="s">
        <v>4979</v>
      </c>
      <c r="CG610" s="77" t="e">
        <v>#REF!</v>
      </c>
    </row>
    <row r="611" spans="1:85" ht="14.5" x14ac:dyDescent="0.35">
      <c r="A611" s="77">
        <v>610</v>
      </c>
      <c r="B611" s="106" t="s">
        <v>2455</v>
      </c>
      <c r="C611" s="107" t="s">
        <v>6518</v>
      </c>
      <c r="D611" s="108" t="s">
        <v>2435</v>
      </c>
      <c r="E611" s="109" t="s">
        <v>2456</v>
      </c>
      <c r="F611" s="110" t="s">
        <v>2436</v>
      </c>
      <c r="G611" s="108" t="s">
        <v>1004</v>
      </c>
      <c r="H611" s="111" t="s">
        <v>294</v>
      </c>
      <c r="I611" s="111" t="s">
        <v>180</v>
      </c>
      <c r="J611" s="111" t="s">
        <v>4648</v>
      </c>
      <c r="K611" s="111" t="s">
        <v>2861</v>
      </c>
      <c r="L611" s="112">
        <v>44909</v>
      </c>
      <c r="M611" s="111" t="s">
        <v>1064</v>
      </c>
      <c r="N611" s="113"/>
      <c r="O611" s="114" t="s">
        <v>246</v>
      </c>
      <c r="P611" s="114" t="s">
        <v>257</v>
      </c>
      <c r="Q611" s="114" t="s">
        <v>257</v>
      </c>
      <c r="R611" s="114" t="s">
        <v>7364</v>
      </c>
      <c r="S611" s="114" t="s">
        <v>246</v>
      </c>
      <c r="T611" s="114" t="s">
        <v>183</v>
      </c>
      <c r="U611" s="114" t="s">
        <v>183</v>
      </c>
      <c r="V611" s="115"/>
      <c r="W611" s="116" t="s">
        <v>2437</v>
      </c>
      <c r="X611" s="116" t="s">
        <v>2438</v>
      </c>
      <c r="Y611" s="117">
        <v>3485755</v>
      </c>
      <c r="Z611" s="117">
        <v>3486522</v>
      </c>
      <c r="AA611" s="118"/>
      <c r="AB611" s="119" t="s">
        <v>3487</v>
      </c>
      <c r="AC611" s="119" t="s">
        <v>2439</v>
      </c>
      <c r="AD611" s="119">
        <v>4525</v>
      </c>
      <c r="AE611" s="119" t="s">
        <v>2440</v>
      </c>
      <c r="AF611" s="119" t="s">
        <v>7674</v>
      </c>
      <c r="AG611" s="120"/>
      <c r="AH611" s="121">
        <v>44908</v>
      </c>
      <c r="AI611" s="121">
        <v>44908</v>
      </c>
      <c r="AJ611" s="121">
        <v>44908</v>
      </c>
      <c r="AK611" s="122">
        <v>45044</v>
      </c>
      <c r="AL611" s="122" t="e">
        <v>#N/A</v>
      </c>
      <c r="AM611" s="121" t="e">
        <v>#N/A</v>
      </c>
      <c r="AN611" s="121" t="e">
        <v>#N/A</v>
      </c>
      <c r="AO611" s="121" t="e">
        <v>#N/A</v>
      </c>
      <c r="AP611" s="122" t="e">
        <v>#N/A</v>
      </c>
      <c r="AQ611" s="122" t="e">
        <v>#N/A</v>
      </c>
      <c r="AR611" s="122" t="e">
        <v>#N/A</v>
      </c>
      <c r="AS611" s="122" t="e">
        <v>#N/A</v>
      </c>
      <c r="AT611" s="122" t="e">
        <v>#N/A</v>
      </c>
      <c r="AU611" s="121" t="e">
        <v>#N/A</v>
      </c>
      <c r="AV611" s="122" t="e">
        <v>#N/A</v>
      </c>
      <c r="AW611" s="122" t="e">
        <v>#N/A</v>
      </c>
      <c r="AX611" s="122" t="e">
        <v>#N/A</v>
      </c>
      <c r="AY611" s="122" t="e">
        <v>#N/A</v>
      </c>
      <c r="AZ611" s="122" t="e">
        <v>#N/A</v>
      </c>
      <c r="BA611" s="122" t="e">
        <v>#N/A</v>
      </c>
      <c r="BB611" s="122" t="e">
        <v>#N/A</v>
      </c>
      <c r="BC611" s="122">
        <v>45385</v>
      </c>
      <c r="BD611" s="122" t="e">
        <v>#N/A</v>
      </c>
      <c r="BE611" s="122" t="e">
        <v>#N/A</v>
      </c>
      <c r="BF611" s="122" t="e">
        <v>#N/A</v>
      </c>
      <c r="BG611" s="122" t="e">
        <v>#N/A</v>
      </c>
      <c r="BH611" s="122" t="e">
        <v>#N/A</v>
      </c>
      <c r="BI611" s="122" t="e">
        <v>#N/A</v>
      </c>
      <c r="BJ611" s="122" t="e">
        <v>#N/A</v>
      </c>
      <c r="BK611" s="122">
        <v>45975</v>
      </c>
      <c r="BL611" s="123"/>
      <c r="BM611" s="124" t="e">
        <v>#N/A</v>
      </c>
      <c r="BN611" s="124" t="e">
        <v>#N/A</v>
      </c>
      <c r="BO611" s="124" t="e">
        <v>#N/A</v>
      </c>
      <c r="BP611" s="124" t="e">
        <v>#N/A</v>
      </c>
      <c r="BQ611" s="124" t="e">
        <v>#N/A</v>
      </c>
      <c r="BR611" s="124" t="e">
        <v>#N/A</v>
      </c>
      <c r="BS611" s="124">
        <v>45505</v>
      </c>
      <c r="BT611" s="124">
        <v>45505</v>
      </c>
      <c r="BU611" s="124" t="e">
        <v>#N/A</v>
      </c>
      <c r="BV611" s="124" t="e">
        <v>#N/A</v>
      </c>
      <c r="BW611" s="124" t="e">
        <v>#N/A</v>
      </c>
      <c r="BX611" s="124" t="e">
        <v>#N/A</v>
      </c>
      <c r="BY611" s="124" t="e">
        <v>#N/A</v>
      </c>
      <c r="BZ611" s="124" t="e">
        <v>#N/A</v>
      </c>
      <c r="CA611" s="125"/>
      <c r="CB611" s="124">
        <v>45727</v>
      </c>
      <c r="CC611" s="126">
        <v>1</v>
      </c>
      <c r="CD611" s="127" t="s">
        <v>4192</v>
      </c>
      <c r="CE611" s="128"/>
      <c r="CF611" s="77" t="s">
        <v>4979</v>
      </c>
    </row>
    <row r="612" spans="1:85" ht="14.5" x14ac:dyDescent="0.35">
      <c r="A612" s="77">
        <v>611</v>
      </c>
      <c r="B612" s="106" t="s">
        <v>1072</v>
      </c>
      <c r="C612" s="107" t="s">
        <v>1459</v>
      </c>
      <c r="D612" s="108" t="s">
        <v>1073</v>
      </c>
      <c r="E612" s="109" t="s">
        <v>1074</v>
      </c>
      <c r="F612" s="110">
        <v>645366468</v>
      </c>
      <c r="G612" s="108" t="s">
        <v>190</v>
      </c>
      <c r="H612" s="111" t="s">
        <v>294</v>
      </c>
      <c r="I612" s="111" t="s">
        <v>180</v>
      </c>
      <c r="J612" s="111" t="s">
        <v>4648</v>
      </c>
      <c r="K612" s="111" t="s">
        <v>2861</v>
      </c>
      <c r="L612" s="112">
        <v>44756</v>
      </c>
      <c r="M612" s="111" t="s">
        <v>329</v>
      </c>
      <c r="N612" s="113"/>
      <c r="O612" s="114" t="s">
        <v>7267</v>
      </c>
      <c r="P612" s="114" t="s">
        <v>7267</v>
      </c>
      <c r="Q612" s="114" t="s">
        <v>7267</v>
      </c>
      <c r="R612" s="114" t="s">
        <v>7301</v>
      </c>
      <c r="S612" s="114" t="s">
        <v>7267</v>
      </c>
      <c r="T612" s="114" t="s">
        <v>183</v>
      </c>
      <c r="U612" s="114" t="s">
        <v>183</v>
      </c>
      <c r="V612" s="115"/>
      <c r="W612" s="116" t="s">
        <v>2014</v>
      </c>
      <c r="X612" s="116" t="s">
        <v>2015</v>
      </c>
      <c r="Y612" s="117">
        <v>3485465</v>
      </c>
      <c r="Z612" s="117">
        <v>3481120</v>
      </c>
      <c r="AA612" s="118"/>
      <c r="AB612" s="119" t="s">
        <v>2058</v>
      </c>
      <c r="AC612" s="119" t="s">
        <v>2016</v>
      </c>
      <c r="AD612" s="119">
        <v>4274</v>
      </c>
      <c r="AE612" s="119" t="s">
        <v>2017</v>
      </c>
      <c r="AF612" s="119">
        <v>0</v>
      </c>
      <c r="AG612" s="120"/>
      <c r="AH612" s="121">
        <v>44606</v>
      </c>
      <c r="AI612" s="121">
        <v>44606</v>
      </c>
      <c r="AJ612" s="121">
        <v>44606</v>
      </c>
      <c r="AK612" s="122">
        <v>44606</v>
      </c>
      <c r="AL612" s="122" t="e">
        <v>#N/A</v>
      </c>
      <c r="AM612" s="121" t="e">
        <v>#N/A</v>
      </c>
      <c r="AN612" s="121" t="e">
        <v>#N/A</v>
      </c>
      <c r="AO612" s="121" t="e">
        <v>#N/A</v>
      </c>
      <c r="AP612" s="122" t="e">
        <v>#N/A</v>
      </c>
      <c r="AQ612" s="122" t="e">
        <v>#N/A</v>
      </c>
      <c r="AR612" s="122" t="e">
        <v>#N/A</v>
      </c>
      <c r="AS612" s="122" t="e">
        <v>#N/A</v>
      </c>
      <c r="AT612" s="122" t="e">
        <v>#N/A</v>
      </c>
      <c r="AU612" s="121" t="e">
        <v>#N/A</v>
      </c>
      <c r="AV612" s="122" t="e">
        <v>#N/A</v>
      </c>
      <c r="AW612" s="122" t="e">
        <v>#N/A</v>
      </c>
      <c r="AX612" s="122" t="e">
        <v>#N/A</v>
      </c>
      <c r="AY612" s="122" t="e">
        <v>#N/A</v>
      </c>
      <c r="AZ612" s="122" t="e">
        <v>#N/A</v>
      </c>
      <c r="BA612" s="122" t="e">
        <v>#N/A</v>
      </c>
      <c r="BB612" s="122" t="e">
        <v>#N/A</v>
      </c>
      <c r="BC612" s="122">
        <v>44859</v>
      </c>
      <c r="BD612" s="122" t="e">
        <v>#N/A</v>
      </c>
      <c r="BE612" s="122" t="e">
        <v>#N/A</v>
      </c>
      <c r="BF612" s="122" t="e">
        <v>#N/A</v>
      </c>
      <c r="BG612" s="122" t="e">
        <v>#N/A</v>
      </c>
      <c r="BH612" s="122" t="e">
        <v>#N/A</v>
      </c>
      <c r="BI612" s="122" t="e">
        <v>#N/A</v>
      </c>
      <c r="BJ612" s="122" t="e">
        <v>#N/A</v>
      </c>
      <c r="BK612" s="122" t="e">
        <v>#N/A</v>
      </c>
      <c r="BL612" s="123"/>
      <c r="BM612" s="124">
        <v>45000</v>
      </c>
      <c r="BN612" s="124">
        <v>45000</v>
      </c>
      <c r="BO612" s="124">
        <v>45000</v>
      </c>
      <c r="BP612" s="124">
        <v>45000</v>
      </c>
      <c r="BQ612" s="124">
        <v>45000</v>
      </c>
      <c r="BR612" s="124">
        <v>45000</v>
      </c>
      <c r="BS612" s="124">
        <v>45000</v>
      </c>
      <c r="BT612" s="124">
        <v>45000</v>
      </c>
      <c r="BU612" s="124" t="e">
        <v>#N/A</v>
      </c>
      <c r="BV612" s="124" t="e">
        <v>#N/A</v>
      </c>
      <c r="BW612" s="124" t="e">
        <v>#N/A</v>
      </c>
      <c r="BX612" s="124">
        <v>44197</v>
      </c>
      <c r="BY612" s="124" t="e">
        <v>#N/A</v>
      </c>
      <c r="BZ612" s="124" t="e">
        <v>#N/A</v>
      </c>
      <c r="CA612" s="125"/>
      <c r="CB612" s="124" t="e">
        <v>#N/A</v>
      </c>
      <c r="CC612" s="126">
        <v>1</v>
      </c>
      <c r="CD612" s="127" t="s">
        <v>4149</v>
      </c>
      <c r="CE612" s="128"/>
      <c r="CF612" s="77" t="s">
        <v>4979</v>
      </c>
    </row>
    <row r="613" spans="1:85" ht="14.5" x14ac:dyDescent="0.35">
      <c r="A613" s="77">
        <v>612</v>
      </c>
      <c r="B613" s="106" t="s">
        <v>3736</v>
      </c>
      <c r="C613" s="107" t="s">
        <v>6671</v>
      </c>
      <c r="D613" s="108" t="s">
        <v>3737</v>
      </c>
      <c r="E613" s="109" t="s">
        <v>3738</v>
      </c>
      <c r="F613" s="110">
        <v>623189445</v>
      </c>
      <c r="G613" s="108" t="s">
        <v>1004</v>
      </c>
      <c r="H613" s="111" t="s">
        <v>3932</v>
      </c>
      <c r="I613" s="111" t="s">
        <v>180</v>
      </c>
      <c r="J613" s="111" t="s">
        <v>4649</v>
      </c>
      <c r="K613" s="111" t="s">
        <v>3159</v>
      </c>
      <c r="L613" s="112">
        <v>45502</v>
      </c>
      <c r="M613" s="111" t="s">
        <v>1546</v>
      </c>
      <c r="N613" s="113"/>
      <c r="O613" s="114" t="s">
        <v>285</v>
      </c>
      <c r="P613" s="114" t="s">
        <v>285</v>
      </c>
      <c r="Q613" s="114" t="s">
        <v>285</v>
      </c>
      <c r="R613" s="114" t="s">
        <v>285</v>
      </c>
      <c r="S613" s="114" t="s">
        <v>285</v>
      </c>
      <c r="T613" s="114" t="s">
        <v>183</v>
      </c>
      <c r="U613" s="114" t="s">
        <v>183</v>
      </c>
      <c r="V613" s="115"/>
      <c r="W613" s="116" t="s">
        <v>3739</v>
      </c>
      <c r="X613" s="116" t="s">
        <v>3740</v>
      </c>
      <c r="Y613" s="117">
        <v>3487034</v>
      </c>
      <c r="Z613" s="117">
        <v>3481537</v>
      </c>
      <c r="AA613" s="118"/>
      <c r="AB613" s="119" t="s">
        <v>5685</v>
      </c>
      <c r="AC613" s="119" t="s">
        <v>3766</v>
      </c>
      <c r="AD613" s="119">
        <v>5988</v>
      </c>
      <c r="AE613" s="119" t="s">
        <v>3741</v>
      </c>
      <c r="AF613" s="119" t="s">
        <v>6672</v>
      </c>
      <c r="AG613" s="120"/>
      <c r="AH613" s="121">
        <v>45514</v>
      </c>
      <c r="AI613" s="121">
        <v>45514</v>
      </c>
      <c r="AJ613" s="121">
        <v>45514</v>
      </c>
      <c r="AK613" s="122">
        <v>45514</v>
      </c>
      <c r="AL613" s="122" t="e">
        <v>#N/A</v>
      </c>
      <c r="AM613" s="121" t="e">
        <v>#N/A</v>
      </c>
      <c r="AN613" s="121" t="e">
        <v>#N/A</v>
      </c>
      <c r="AO613" s="121" t="e">
        <v>#N/A</v>
      </c>
      <c r="AP613" s="122" t="e">
        <v>#N/A</v>
      </c>
      <c r="AQ613" s="122" t="e">
        <v>#N/A</v>
      </c>
      <c r="AR613" s="122" t="e">
        <v>#N/A</v>
      </c>
      <c r="AS613" s="122" t="e">
        <v>#N/A</v>
      </c>
      <c r="AT613" s="122" t="e">
        <v>#N/A</v>
      </c>
      <c r="AU613" s="121" t="e">
        <v>#N/A</v>
      </c>
      <c r="AV613" s="122" t="e">
        <v>#N/A</v>
      </c>
      <c r="AW613" s="122">
        <v>45772</v>
      </c>
      <c r="AX613" s="122" t="e">
        <v>#N/A</v>
      </c>
      <c r="AY613" s="122" t="e">
        <v>#N/A</v>
      </c>
      <c r="AZ613" s="122" t="e">
        <v>#N/A</v>
      </c>
      <c r="BA613" s="122" t="e">
        <v>#N/A</v>
      </c>
      <c r="BB613" s="122" t="e">
        <v>#N/A</v>
      </c>
      <c r="BC613" s="122" t="e">
        <v>#N/A</v>
      </c>
      <c r="BD613" s="122" t="e">
        <v>#N/A</v>
      </c>
      <c r="BE613" s="122" t="e">
        <v>#N/A</v>
      </c>
      <c r="BF613" s="122" t="e">
        <v>#N/A</v>
      </c>
      <c r="BG613" s="122" t="e">
        <v>#N/A</v>
      </c>
      <c r="BH613" s="122">
        <v>45547</v>
      </c>
      <c r="BI613" s="122" t="e">
        <v>#N/A</v>
      </c>
      <c r="BJ613" s="122" t="e">
        <v>#N/A</v>
      </c>
      <c r="BK613" s="122">
        <v>45957</v>
      </c>
      <c r="BL613" s="123"/>
      <c r="BM613" s="124" t="e">
        <v>#N/A</v>
      </c>
      <c r="BN613" s="124" t="e">
        <v>#N/A</v>
      </c>
      <c r="BO613" s="124" t="e">
        <v>#N/A</v>
      </c>
      <c r="BP613" s="124" t="e">
        <v>#N/A</v>
      </c>
      <c r="BQ613" s="124" t="e">
        <v>#N/A</v>
      </c>
      <c r="BR613" s="124" t="e">
        <v>#N/A</v>
      </c>
      <c r="BS613" s="124" t="e">
        <v>#N/A</v>
      </c>
      <c r="BT613" s="124" t="e">
        <v>#N/A</v>
      </c>
      <c r="BU613" s="124" t="e">
        <v>#N/A</v>
      </c>
      <c r="BV613" s="124" t="e">
        <v>#N/A</v>
      </c>
      <c r="BW613" s="124" t="e">
        <v>#N/A</v>
      </c>
      <c r="BX613" s="124" t="e">
        <v>#N/A</v>
      </c>
      <c r="BY613" s="124" t="e">
        <v>#N/A</v>
      </c>
      <c r="BZ613" s="124" t="e">
        <v>#N/A</v>
      </c>
      <c r="CA613" s="125"/>
      <c r="CB613" s="124">
        <v>45729</v>
      </c>
      <c r="CC613" s="126">
        <v>1</v>
      </c>
      <c r="CD613" s="127" t="s">
        <v>4171</v>
      </c>
      <c r="CE613" s="128"/>
      <c r="CF613" s="77" t="s">
        <v>4979</v>
      </c>
    </row>
    <row r="614" spans="1:85" ht="14.5" x14ac:dyDescent="0.35">
      <c r="A614" s="77">
        <v>613</v>
      </c>
      <c r="B614" s="106" t="s">
        <v>4042</v>
      </c>
      <c r="C614" s="107" t="s">
        <v>6720</v>
      </c>
      <c r="D614" s="108" t="s">
        <v>4078</v>
      </c>
      <c r="E614" s="109" t="s">
        <v>4079</v>
      </c>
      <c r="F614" s="110">
        <v>644361197</v>
      </c>
      <c r="G614" s="108" t="s">
        <v>1004</v>
      </c>
      <c r="H614" s="111" t="s">
        <v>3932</v>
      </c>
      <c r="I614" s="111" t="s">
        <v>180</v>
      </c>
      <c r="J614" s="111" t="s">
        <v>4649</v>
      </c>
      <c r="K614" s="111" t="s">
        <v>199</v>
      </c>
      <c r="L614" s="112">
        <v>45600</v>
      </c>
      <c r="M614" s="111" t="s">
        <v>1546</v>
      </c>
      <c r="N614" s="113"/>
      <c r="O614" s="114" t="s">
        <v>286</v>
      </c>
      <c r="P614" s="114" t="s">
        <v>286</v>
      </c>
      <c r="Q614" s="114" t="s">
        <v>286</v>
      </c>
      <c r="R614" s="114" t="s">
        <v>7301</v>
      </c>
      <c r="S614" s="114" t="s">
        <v>286</v>
      </c>
      <c r="T614" s="114" t="s">
        <v>183</v>
      </c>
      <c r="U614" s="114" t="s">
        <v>183</v>
      </c>
      <c r="V614" s="115"/>
      <c r="W614" s="116" t="s">
        <v>4080</v>
      </c>
      <c r="X614" s="116" t="s">
        <v>4081</v>
      </c>
      <c r="Y614" s="117">
        <v>3485985</v>
      </c>
      <c r="Z614" s="117">
        <v>3481555</v>
      </c>
      <c r="AA614" s="118"/>
      <c r="AB614" s="119" t="s">
        <v>4082</v>
      </c>
      <c r="AC614" s="119" t="s">
        <v>4083</v>
      </c>
      <c r="AD614" s="119">
        <v>5898</v>
      </c>
      <c r="AE614" s="119" t="s">
        <v>4084</v>
      </c>
      <c r="AF614" s="119" t="s">
        <v>7195</v>
      </c>
      <c r="AG614" s="120"/>
      <c r="AH614" s="121">
        <v>45600</v>
      </c>
      <c r="AI614" s="121">
        <v>45600</v>
      </c>
      <c r="AJ614" s="121">
        <v>45600</v>
      </c>
      <c r="AK614" s="122">
        <v>45600</v>
      </c>
      <c r="AL614" s="122" t="e">
        <v>#N/A</v>
      </c>
      <c r="AM614" s="121" t="e">
        <v>#N/A</v>
      </c>
      <c r="AN614" s="121" t="e">
        <v>#N/A</v>
      </c>
      <c r="AO614" s="121" t="e">
        <v>#N/A</v>
      </c>
      <c r="AP614" s="122" t="e">
        <v>#N/A</v>
      </c>
      <c r="AQ614" s="122" t="e">
        <v>#N/A</v>
      </c>
      <c r="AR614" s="122" t="e">
        <v>#N/A</v>
      </c>
      <c r="AS614" s="122" t="e">
        <v>#N/A</v>
      </c>
      <c r="AT614" s="122" t="e">
        <v>#N/A</v>
      </c>
      <c r="AU614" s="121">
        <v>45922</v>
      </c>
      <c r="AV614" s="122">
        <v>45737</v>
      </c>
      <c r="AW614" s="122">
        <v>45694</v>
      </c>
      <c r="AX614" s="122" t="e">
        <v>#N/A</v>
      </c>
      <c r="AY614" s="122" t="e">
        <v>#N/A</v>
      </c>
      <c r="AZ614" s="122" t="e">
        <v>#N/A</v>
      </c>
      <c r="BA614" s="122" t="e">
        <v>#N/A</v>
      </c>
      <c r="BB614" s="122" t="e">
        <v>#N/A</v>
      </c>
      <c r="BC614" s="122" t="e">
        <v>#N/A</v>
      </c>
      <c r="BD614" s="122" t="e">
        <v>#N/A</v>
      </c>
      <c r="BE614" s="122" t="e">
        <v>#N/A</v>
      </c>
      <c r="BF614" s="122" t="e">
        <v>#N/A</v>
      </c>
      <c r="BG614" s="122" t="e">
        <v>#N/A</v>
      </c>
      <c r="BH614" s="122">
        <v>45786</v>
      </c>
      <c r="BI614" s="122" t="e">
        <v>#N/A</v>
      </c>
      <c r="BJ614" s="122" t="e">
        <v>#N/A</v>
      </c>
      <c r="BK614" s="122">
        <v>45954</v>
      </c>
      <c r="BL614" s="123"/>
      <c r="BM614" s="124" t="e">
        <v>#N/A</v>
      </c>
      <c r="BN614" s="124" t="e">
        <v>#N/A</v>
      </c>
      <c r="BO614" s="124" t="e">
        <v>#N/A</v>
      </c>
      <c r="BP614" s="124" t="e">
        <v>#N/A</v>
      </c>
      <c r="BQ614" s="124" t="e">
        <v>#N/A</v>
      </c>
      <c r="BR614" s="124" t="e">
        <v>#N/A</v>
      </c>
      <c r="BS614" s="124" t="e">
        <v>#N/A</v>
      </c>
      <c r="BT614" s="124" t="e">
        <v>#N/A</v>
      </c>
      <c r="BU614" s="124" t="e">
        <v>#N/A</v>
      </c>
      <c r="BV614" s="124" t="e">
        <v>#N/A</v>
      </c>
      <c r="BW614" s="124" t="e">
        <v>#N/A</v>
      </c>
      <c r="BX614" s="124" t="e">
        <v>#N/A</v>
      </c>
      <c r="BY614" s="124" t="e">
        <v>#N/A</v>
      </c>
      <c r="BZ614" s="124" t="e">
        <v>#N/A</v>
      </c>
      <c r="CA614" s="125"/>
      <c r="CB614" s="124" t="e">
        <v>#N/A</v>
      </c>
      <c r="CC614" s="126">
        <v>1</v>
      </c>
      <c r="CD614" s="127" t="s">
        <v>4211</v>
      </c>
      <c r="CE614" s="128"/>
      <c r="CF614" s="77" t="s">
        <v>4980</v>
      </c>
    </row>
    <row r="615" spans="1:85" ht="14.5" x14ac:dyDescent="0.35">
      <c r="A615" s="77">
        <v>614</v>
      </c>
      <c r="B615" s="106" t="s">
        <v>86</v>
      </c>
      <c r="C615" s="107" t="s">
        <v>1178</v>
      </c>
      <c r="D615" s="108" t="s">
        <v>645</v>
      </c>
      <c r="E615" s="109" t="s">
        <v>646</v>
      </c>
      <c r="F615" s="110">
        <v>633103214</v>
      </c>
      <c r="G615" s="108" t="s">
        <v>1004</v>
      </c>
      <c r="H615" s="111" t="s">
        <v>3932</v>
      </c>
      <c r="I615" s="111" t="s">
        <v>180</v>
      </c>
      <c r="J615" s="111" t="s">
        <v>4649</v>
      </c>
      <c r="K615" s="111" t="s">
        <v>2860</v>
      </c>
      <c r="L615" s="112">
        <v>42767</v>
      </c>
      <c r="M615" s="111" t="s">
        <v>181</v>
      </c>
      <c r="N615" s="113"/>
      <c r="O615" s="114" t="s">
        <v>184</v>
      </c>
      <c r="P615" s="114" t="s">
        <v>184</v>
      </c>
      <c r="Q615" s="114" t="s">
        <v>184</v>
      </c>
      <c r="R615" s="114" t="s">
        <v>257</v>
      </c>
      <c r="S615" s="114" t="s">
        <v>184</v>
      </c>
      <c r="T615" s="114" t="s">
        <v>183</v>
      </c>
      <c r="U615" s="114" t="s">
        <v>183</v>
      </c>
      <c r="V615" s="115"/>
      <c r="W615" s="116" t="s">
        <v>647</v>
      </c>
      <c r="X615" s="116" t="s">
        <v>648</v>
      </c>
      <c r="Y615" s="117">
        <v>3485587</v>
      </c>
      <c r="Z615" s="117">
        <v>3481038</v>
      </c>
      <c r="AA615" s="118"/>
      <c r="AB615" s="119" t="s">
        <v>649</v>
      </c>
      <c r="AC615" s="119" t="s">
        <v>1179</v>
      </c>
      <c r="AD615" s="119">
        <v>4020</v>
      </c>
      <c r="AE615" s="119" t="s">
        <v>650</v>
      </c>
      <c r="AF615" s="119" t="s">
        <v>6211</v>
      </c>
      <c r="AG615" s="120"/>
      <c r="AH615" s="121">
        <v>44197</v>
      </c>
      <c r="AI615" s="121">
        <v>44197</v>
      </c>
      <c r="AJ615" s="121">
        <v>45398</v>
      </c>
      <c r="AK615" s="122">
        <v>45398</v>
      </c>
      <c r="AL615" s="122" t="e">
        <v>#N/A</v>
      </c>
      <c r="AM615" s="121" t="e">
        <v>#N/A</v>
      </c>
      <c r="AN615" s="121" t="e">
        <v>#N/A</v>
      </c>
      <c r="AO615" s="121" t="e">
        <v>#N/A</v>
      </c>
      <c r="AP615" s="122" t="e">
        <v>#N/A</v>
      </c>
      <c r="AQ615" s="122" t="e">
        <v>#N/A</v>
      </c>
      <c r="AR615" s="122" t="e">
        <v>#N/A</v>
      </c>
      <c r="AS615" s="122" t="e">
        <v>#N/A</v>
      </c>
      <c r="AT615" s="122" t="e">
        <v>#N/A</v>
      </c>
      <c r="AU615" s="121">
        <v>45912</v>
      </c>
      <c r="AV615" s="122">
        <v>45495</v>
      </c>
      <c r="AW615" s="122">
        <v>45495</v>
      </c>
      <c r="AX615" s="122" t="e">
        <v>#N/A</v>
      </c>
      <c r="AY615" s="122" t="e">
        <v>#N/A</v>
      </c>
      <c r="AZ615" s="122" t="e">
        <v>#N/A</v>
      </c>
      <c r="BA615" s="122" t="e">
        <v>#N/A</v>
      </c>
      <c r="BB615" s="122" t="e">
        <v>#N/A</v>
      </c>
      <c r="BC615" s="122" t="e">
        <v>#N/A</v>
      </c>
      <c r="BD615" s="122" t="e">
        <v>#N/A</v>
      </c>
      <c r="BE615" s="122" t="e">
        <v>#N/A</v>
      </c>
      <c r="BF615" s="122" t="e">
        <v>#N/A</v>
      </c>
      <c r="BG615" s="122" t="e">
        <v>#N/A</v>
      </c>
      <c r="BH615" s="122">
        <v>45547</v>
      </c>
      <c r="BI615" s="122" t="e">
        <v>#N/A</v>
      </c>
      <c r="BJ615" s="122" t="e">
        <v>#N/A</v>
      </c>
      <c r="BK615" s="122">
        <v>45958</v>
      </c>
      <c r="BL615" s="123"/>
      <c r="BM615" s="124" t="e">
        <v>#N/A</v>
      </c>
      <c r="BN615" s="124" t="e">
        <v>#N/A</v>
      </c>
      <c r="BO615" s="124" t="e">
        <v>#N/A</v>
      </c>
      <c r="BP615" s="124" t="e">
        <v>#N/A</v>
      </c>
      <c r="BQ615" s="124" t="e">
        <v>#N/A</v>
      </c>
      <c r="BR615" s="124" t="e">
        <v>#N/A</v>
      </c>
      <c r="BS615" s="124" t="e">
        <v>#N/A</v>
      </c>
      <c r="BT615" s="124" t="e">
        <v>#N/A</v>
      </c>
      <c r="BU615" s="124" t="e">
        <v>#N/A</v>
      </c>
      <c r="BV615" s="124" t="e">
        <v>#N/A</v>
      </c>
      <c r="BW615" s="124" t="e">
        <v>#N/A</v>
      </c>
      <c r="BX615" s="124" t="e">
        <v>#N/A</v>
      </c>
      <c r="BY615" s="124" t="e">
        <v>#N/A</v>
      </c>
      <c r="BZ615" s="124" t="e">
        <v>#N/A</v>
      </c>
      <c r="CA615" s="125"/>
      <c r="CB615" s="124">
        <v>45726</v>
      </c>
      <c r="CC615" s="126">
        <v>1</v>
      </c>
      <c r="CD615" s="127" t="s">
        <v>4169</v>
      </c>
      <c r="CE615" s="128"/>
      <c r="CF615" s="77" t="s">
        <v>4979</v>
      </c>
    </row>
    <row r="616" spans="1:85" ht="14.5" x14ac:dyDescent="0.35">
      <c r="A616" s="77">
        <v>615</v>
      </c>
      <c r="B616" s="106" t="s">
        <v>5154</v>
      </c>
      <c r="C616" s="107" t="s">
        <v>6826</v>
      </c>
      <c r="D616" s="108" t="s">
        <v>5155</v>
      </c>
      <c r="E616" s="109" t="s">
        <v>5156</v>
      </c>
      <c r="F616" s="110">
        <v>653102723</v>
      </c>
      <c r="G616" s="108" t="s">
        <v>1004</v>
      </c>
      <c r="H616" s="111" t="s">
        <v>3932</v>
      </c>
      <c r="I616" s="111" t="s">
        <v>180</v>
      </c>
      <c r="J616" s="111" t="s">
        <v>4649</v>
      </c>
      <c r="K616" s="111" t="s">
        <v>199</v>
      </c>
      <c r="L616" s="112">
        <v>45873</v>
      </c>
      <c r="M616" s="111" t="s">
        <v>181</v>
      </c>
      <c r="N616" s="113"/>
      <c r="O616" s="114" t="s">
        <v>184</v>
      </c>
      <c r="P616" s="114" t="s">
        <v>184</v>
      </c>
      <c r="Q616" s="114" t="s">
        <v>184</v>
      </c>
      <c r="R616" s="114" t="s">
        <v>7370</v>
      </c>
      <c r="S616" s="114" t="s">
        <v>184</v>
      </c>
      <c r="T616" s="114" t="s">
        <v>183</v>
      </c>
      <c r="U616" s="114" t="s">
        <v>183</v>
      </c>
      <c r="V616" s="115"/>
      <c r="W616" s="116" t="s">
        <v>5157</v>
      </c>
      <c r="X616" s="116" t="s">
        <v>5158</v>
      </c>
      <c r="Y616" s="117">
        <v>3485720</v>
      </c>
      <c r="Z616" s="117">
        <v>3486377</v>
      </c>
      <c r="AA616" s="118"/>
      <c r="AB616" s="119" t="s">
        <v>5159</v>
      </c>
      <c r="AC616" s="119" t="s">
        <v>5160</v>
      </c>
      <c r="AD616" s="119" t="s">
        <v>5161</v>
      </c>
      <c r="AE616" s="119" t="s">
        <v>5162</v>
      </c>
      <c r="AF616" s="119" t="s">
        <v>6185</v>
      </c>
      <c r="AG616" s="120"/>
      <c r="AH616" s="121">
        <v>45873</v>
      </c>
      <c r="AI616" s="121">
        <v>45873</v>
      </c>
      <c r="AJ616" s="121">
        <v>45873</v>
      </c>
      <c r="AK616" s="122">
        <v>45873</v>
      </c>
      <c r="AL616" s="122" t="e">
        <v>#N/A</v>
      </c>
      <c r="AM616" s="121" t="e">
        <v>#N/A</v>
      </c>
      <c r="AN616" s="121" t="e">
        <v>#N/A</v>
      </c>
      <c r="AO616" s="121" t="e">
        <v>#N/A</v>
      </c>
      <c r="AP616" s="122" t="e">
        <v>#N/A</v>
      </c>
      <c r="AQ616" s="122" t="e">
        <v>#N/A</v>
      </c>
      <c r="AR616" s="122" t="e">
        <v>#N/A</v>
      </c>
      <c r="AS616" s="122" t="e">
        <v>#N/A</v>
      </c>
      <c r="AT616" s="122" t="e">
        <v>#N/A</v>
      </c>
      <c r="AU616" s="121" t="e">
        <v>#N/A</v>
      </c>
      <c r="AV616" s="122" t="e">
        <v>#N/A</v>
      </c>
      <c r="AW616" s="122">
        <v>45873</v>
      </c>
      <c r="AX616" s="122" t="e">
        <v>#N/A</v>
      </c>
      <c r="AY616" s="122" t="e">
        <v>#N/A</v>
      </c>
      <c r="AZ616" s="122" t="e">
        <v>#N/A</v>
      </c>
      <c r="BA616" s="122" t="e">
        <v>#N/A</v>
      </c>
      <c r="BB616" s="122" t="e">
        <v>#N/A</v>
      </c>
      <c r="BC616" s="122" t="e">
        <v>#N/A</v>
      </c>
      <c r="BD616" s="122" t="e">
        <v>#N/A</v>
      </c>
      <c r="BE616" s="122" t="e">
        <v>#N/A</v>
      </c>
      <c r="BF616" s="122" t="e">
        <v>#N/A</v>
      </c>
      <c r="BG616" s="122" t="e">
        <v>#N/A</v>
      </c>
      <c r="BH616" s="122">
        <v>45947</v>
      </c>
      <c r="BI616" s="122" t="e">
        <v>#N/A</v>
      </c>
      <c r="BJ616" s="122" t="e">
        <v>#N/A</v>
      </c>
      <c r="BK616" s="122">
        <v>45951</v>
      </c>
      <c r="BL616" s="123"/>
      <c r="BM616" s="124" t="e">
        <v>#N/A</v>
      </c>
      <c r="BN616" s="124" t="e">
        <v>#N/A</v>
      </c>
      <c r="BO616" s="124" t="e">
        <v>#N/A</v>
      </c>
      <c r="BP616" s="124" t="e">
        <v>#N/A</v>
      </c>
      <c r="BQ616" s="124" t="e">
        <v>#N/A</v>
      </c>
      <c r="BR616" s="124" t="e">
        <v>#N/A</v>
      </c>
      <c r="BS616" s="124" t="e">
        <v>#N/A</v>
      </c>
      <c r="BT616" s="124" t="e">
        <v>#N/A</v>
      </c>
      <c r="BU616" s="124" t="e">
        <v>#N/A</v>
      </c>
      <c r="BV616" s="124" t="e">
        <v>#N/A</v>
      </c>
      <c r="BW616" s="124" t="e">
        <v>#N/A</v>
      </c>
      <c r="BX616" s="124" t="e">
        <v>#N/A</v>
      </c>
      <c r="BY616" s="124" t="e">
        <v>#N/A</v>
      </c>
      <c r="BZ616" s="124" t="e">
        <v>#N/A</v>
      </c>
      <c r="CA616" s="125"/>
      <c r="CB616" s="124" t="e">
        <v>#N/A</v>
      </c>
      <c r="CC616" s="126">
        <v>1</v>
      </c>
      <c r="CD616" s="127" t="s">
        <v>4904</v>
      </c>
      <c r="CE616" s="128"/>
      <c r="CF616" s="77" t="s">
        <v>4979</v>
      </c>
    </row>
    <row r="617" spans="1:85" ht="14.5" x14ac:dyDescent="0.35">
      <c r="A617" s="77">
        <v>616</v>
      </c>
      <c r="B617" s="106" t="s">
        <v>4967</v>
      </c>
      <c r="C617" s="107" t="s">
        <v>6639</v>
      </c>
      <c r="D617" s="108" t="s">
        <v>4968</v>
      </c>
      <c r="E617" s="109" t="s">
        <v>4969</v>
      </c>
      <c r="F617" s="110">
        <v>685046567</v>
      </c>
      <c r="G617" s="108" t="s">
        <v>1004</v>
      </c>
      <c r="H617" s="111" t="s">
        <v>3932</v>
      </c>
      <c r="I617" s="111" t="s">
        <v>180</v>
      </c>
      <c r="J617" s="111" t="s">
        <v>4649</v>
      </c>
      <c r="K617" s="111" t="s">
        <v>3159</v>
      </c>
      <c r="L617" s="112">
        <v>45873</v>
      </c>
      <c r="M617" s="111" t="s">
        <v>3381</v>
      </c>
      <c r="N617" s="113"/>
      <c r="O617" s="114" t="s">
        <v>7156</v>
      </c>
      <c r="P617" s="114" t="s">
        <v>7156</v>
      </c>
      <c r="Q617" s="114" t="s">
        <v>5992</v>
      </c>
      <c r="R617" s="114" t="s">
        <v>7382</v>
      </c>
      <c r="S617" s="114" t="s">
        <v>6014</v>
      </c>
      <c r="T617" s="114" t="s">
        <v>4356</v>
      </c>
      <c r="U617" s="114" t="s">
        <v>4356</v>
      </c>
      <c r="V617" s="115"/>
      <c r="W617" s="116" t="s">
        <v>5653</v>
      </c>
      <c r="X617" s="116" t="s">
        <v>5654</v>
      </c>
      <c r="Y617" s="117">
        <v>3485141</v>
      </c>
      <c r="Z617" s="117">
        <v>3481491</v>
      </c>
      <c r="AA617" s="118"/>
      <c r="AB617" s="119" t="s">
        <v>6640</v>
      </c>
      <c r="AC617" s="119" t="s">
        <v>5655</v>
      </c>
      <c r="AD617" s="119" t="s">
        <v>5656</v>
      </c>
      <c r="AE617" s="119" t="s">
        <v>5657</v>
      </c>
      <c r="AF617" s="119" t="s">
        <v>7174</v>
      </c>
      <c r="AG617" s="120"/>
      <c r="AH617" s="121">
        <v>45497</v>
      </c>
      <c r="AI617" s="121">
        <v>45873</v>
      </c>
      <c r="AJ617" s="121">
        <v>45873</v>
      </c>
      <c r="AK617" s="122">
        <v>45873</v>
      </c>
      <c r="AL617" s="122" t="e">
        <v>#N/A</v>
      </c>
      <c r="AM617" s="122" t="e">
        <v>#N/A</v>
      </c>
      <c r="AN617" s="122" t="e">
        <v>#N/A</v>
      </c>
      <c r="AO617" s="121" t="e">
        <v>#N/A</v>
      </c>
      <c r="AP617" s="122" t="e">
        <v>#N/A</v>
      </c>
      <c r="AQ617" s="122" t="e">
        <v>#N/A</v>
      </c>
      <c r="AR617" s="122" t="e">
        <v>#N/A</v>
      </c>
      <c r="AS617" s="122" t="e">
        <v>#N/A</v>
      </c>
      <c r="AT617" s="122" t="e">
        <v>#N/A</v>
      </c>
      <c r="AU617" s="121" t="e">
        <v>#N/A</v>
      </c>
      <c r="AV617" s="122" t="e">
        <v>#N/A</v>
      </c>
      <c r="AW617" s="122">
        <v>45873</v>
      </c>
      <c r="AX617" s="122" t="e">
        <v>#N/A</v>
      </c>
      <c r="AY617" s="122" t="e">
        <v>#N/A</v>
      </c>
      <c r="AZ617" s="122" t="e">
        <v>#N/A</v>
      </c>
      <c r="BA617" s="122" t="e">
        <v>#N/A</v>
      </c>
      <c r="BB617" s="122" t="e">
        <v>#N/A</v>
      </c>
      <c r="BC617" s="122" t="e">
        <v>#N/A</v>
      </c>
      <c r="BD617" s="122" t="e">
        <v>#N/A</v>
      </c>
      <c r="BE617" s="122" t="e">
        <v>#N/A</v>
      </c>
      <c r="BF617" s="122" t="e">
        <v>#N/A</v>
      </c>
      <c r="BG617" s="122" t="e">
        <v>#N/A</v>
      </c>
      <c r="BH617" s="122">
        <v>45947</v>
      </c>
      <c r="BI617" s="122" t="e">
        <v>#N/A</v>
      </c>
      <c r="BJ617" s="122" t="e">
        <v>#N/A</v>
      </c>
      <c r="BK617" s="122">
        <v>45960</v>
      </c>
      <c r="BL617" s="123"/>
      <c r="BM617" s="124" t="e">
        <v>#N/A</v>
      </c>
      <c r="BN617" s="124" t="e">
        <v>#N/A</v>
      </c>
      <c r="BO617" s="124" t="e">
        <v>#N/A</v>
      </c>
      <c r="BP617" s="124" t="e">
        <v>#N/A</v>
      </c>
      <c r="BQ617" s="124" t="e">
        <v>#N/A</v>
      </c>
      <c r="BR617" s="124" t="e">
        <v>#N/A</v>
      </c>
      <c r="BS617" s="124" t="e">
        <v>#N/A</v>
      </c>
      <c r="BT617" s="124" t="e">
        <v>#N/A</v>
      </c>
      <c r="BU617" s="124" t="e">
        <v>#N/A</v>
      </c>
      <c r="BV617" s="124" t="e">
        <v>#N/A</v>
      </c>
      <c r="BW617" s="124" t="e">
        <v>#N/A</v>
      </c>
      <c r="BX617" s="124" t="e">
        <v>#N/A</v>
      </c>
      <c r="BY617" s="124" t="e">
        <v>#N/A</v>
      </c>
      <c r="BZ617" s="124" t="e">
        <v>#N/A</v>
      </c>
      <c r="CA617" s="125"/>
      <c r="CB617" s="124" t="e">
        <v>#N/A</v>
      </c>
      <c r="CC617" s="126">
        <v>1</v>
      </c>
      <c r="CD617" s="127" t="s">
        <v>4904</v>
      </c>
      <c r="CE617" s="128"/>
      <c r="CF617" s="77" t="s">
        <v>4979</v>
      </c>
    </row>
    <row r="618" spans="1:85" ht="14.5" x14ac:dyDescent="0.35">
      <c r="A618" s="77">
        <v>617</v>
      </c>
      <c r="B618" s="106" t="s">
        <v>4704</v>
      </c>
      <c r="C618" s="107" t="s">
        <v>6777</v>
      </c>
      <c r="D618" s="108" t="s">
        <v>4705</v>
      </c>
      <c r="E618" s="109" t="s">
        <v>4706</v>
      </c>
      <c r="F618" s="110">
        <v>633392925</v>
      </c>
      <c r="G618" s="108" t="s">
        <v>1004</v>
      </c>
      <c r="H618" s="111" t="s">
        <v>3932</v>
      </c>
      <c r="I618" s="111" t="s">
        <v>180</v>
      </c>
      <c r="J618" s="111" t="s">
        <v>4649</v>
      </c>
      <c r="K618" s="111" t="s">
        <v>199</v>
      </c>
      <c r="L618" s="112">
        <v>45824</v>
      </c>
      <c r="M618" s="111" t="s">
        <v>3381</v>
      </c>
      <c r="N618" s="113"/>
      <c r="O618" s="114" t="s">
        <v>585</v>
      </c>
      <c r="P618" s="114" t="s">
        <v>585</v>
      </c>
      <c r="Q618" s="114" t="s">
        <v>330</v>
      </c>
      <c r="R618" s="114" t="s">
        <v>7296</v>
      </c>
      <c r="S618" s="114" t="s">
        <v>585</v>
      </c>
      <c r="T618" s="114" t="s">
        <v>183</v>
      </c>
      <c r="U618" s="114" t="s">
        <v>183</v>
      </c>
      <c r="V618" s="115"/>
      <c r="W618" s="116" t="s">
        <v>4707</v>
      </c>
      <c r="X618" s="116" t="s">
        <v>4708</v>
      </c>
      <c r="Y618" s="117">
        <v>3485423</v>
      </c>
      <c r="Z618" s="117">
        <v>3486606</v>
      </c>
      <c r="AA618" s="118"/>
      <c r="AB618" s="119" t="s">
        <v>4709</v>
      </c>
      <c r="AC618" s="119" t="s">
        <v>4710</v>
      </c>
      <c r="AD618" s="119">
        <v>5438</v>
      </c>
      <c r="AE618" s="119" t="s">
        <v>4711</v>
      </c>
      <c r="AF618" s="119" t="s">
        <v>6187</v>
      </c>
      <c r="AG618" s="120"/>
      <c r="AH618" s="121">
        <v>45824</v>
      </c>
      <c r="AI618" s="121">
        <v>45824</v>
      </c>
      <c r="AJ618" s="121">
        <v>45824</v>
      </c>
      <c r="AK618" s="122">
        <v>45824</v>
      </c>
      <c r="AL618" s="122" t="e">
        <v>#N/A</v>
      </c>
      <c r="AM618" s="122" t="e">
        <v>#N/A</v>
      </c>
      <c r="AN618" s="122" t="e">
        <v>#N/A</v>
      </c>
      <c r="AO618" s="121" t="e">
        <v>#N/A</v>
      </c>
      <c r="AP618" s="122" t="e">
        <v>#N/A</v>
      </c>
      <c r="AQ618" s="122" t="e">
        <v>#N/A</v>
      </c>
      <c r="AR618" s="122" t="e">
        <v>#N/A</v>
      </c>
      <c r="AS618" s="122" t="e">
        <v>#N/A</v>
      </c>
      <c r="AT618" s="122" t="e">
        <v>#N/A</v>
      </c>
      <c r="AU618" s="121" t="e">
        <v>#N/A</v>
      </c>
      <c r="AV618" s="122" t="e">
        <v>#N/A</v>
      </c>
      <c r="AW618" s="122">
        <v>45819</v>
      </c>
      <c r="AX618" s="122" t="e">
        <v>#N/A</v>
      </c>
      <c r="AY618" s="122" t="e">
        <v>#N/A</v>
      </c>
      <c r="AZ618" s="122" t="e">
        <v>#N/A</v>
      </c>
      <c r="BA618" s="122" t="e">
        <v>#N/A</v>
      </c>
      <c r="BB618" s="122" t="e">
        <v>#N/A</v>
      </c>
      <c r="BC618" s="122" t="e">
        <v>#N/A</v>
      </c>
      <c r="BD618" s="122" t="e">
        <v>#N/A</v>
      </c>
      <c r="BE618" s="122" t="e">
        <v>#N/A</v>
      </c>
      <c r="BF618" s="122" t="e">
        <v>#N/A</v>
      </c>
      <c r="BG618" s="122" t="e">
        <v>#N/A</v>
      </c>
      <c r="BH618" s="122">
        <v>45947</v>
      </c>
      <c r="BI618" s="122" t="e">
        <v>#N/A</v>
      </c>
      <c r="BJ618" s="122" t="e">
        <v>#N/A</v>
      </c>
      <c r="BK618" s="122">
        <v>45953</v>
      </c>
      <c r="BL618" s="123"/>
      <c r="BM618" s="124" t="e">
        <v>#N/A</v>
      </c>
      <c r="BN618" s="124" t="e">
        <v>#N/A</v>
      </c>
      <c r="BO618" s="124" t="e">
        <v>#N/A</v>
      </c>
      <c r="BP618" s="124" t="e">
        <v>#N/A</v>
      </c>
      <c r="BQ618" s="124" t="e">
        <v>#N/A</v>
      </c>
      <c r="BR618" s="124" t="e">
        <v>#N/A</v>
      </c>
      <c r="BS618" s="124" t="e">
        <v>#N/A</v>
      </c>
      <c r="BT618" s="124" t="e">
        <v>#N/A</v>
      </c>
      <c r="BU618" s="124" t="e">
        <v>#N/A</v>
      </c>
      <c r="BV618" s="124" t="e">
        <v>#N/A</v>
      </c>
      <c r="BW618" s="124" t="e">
        <v>#N/A</v>
      </c>
      <c r="BX618" s="124" t="e">
        <v>#N/A</v>
      </c>
      <c r="BY618" s="124" t="e">
        <v>#N/A</v>
      </c>
      <c r="BZ618" s="124" t="e">
        <v>#N/A</v>
      </c>
      <c r="CA618" s="125"/>
      <c r="CB618" s="124">
        <v>45820</v>
      </c>
      <c r="CC618" s="126">
        <v>1</v>
      </c>
      <c r="CD618" s="127" t="s">
        <v>4673</v>
      </c>
      <c r="CE618" s="128"/>
      <c r="CF618" s="77" t="s">
        <v>4979</v>
      </c>
    </row>
    <row r="619" spans="1:85" ht="14.5" x14ac:dyDescent="0.35">
      <c r="A619" s="77">
        <v>618</v>
      </c>
      <c r="B619" s="106" t="s">
        <v>5409</v>
      </c>
      <c r="C619" s="107" t="s">
        <v>6839</v>
      </c>
      <c r="D619" s="108" t="s">
        <v>5410</v>
      </c>
      <c r="E619" s="109" t="s">
        <v>5411</v>
      </c>
      <c r="F619" s="110">
        <v>665148048</v>
      </c>
      <c r="G619" s="108" t="s">
        <v>1004</v>
      </c>
      <c r="H619" s="111" t="s">
        <v>3932</v>
      </c>
      <c r="I619" s="111" t="s">
        <v>180</v>
      </c>
      <c r="J619" s="111" t="s">
        <v>4649</v>
      </c>
      <c r="K619" s="111" t="s">
        <v>4654</v>
      </c>
      <c r="L619" s="112">
        <v>45887</v>
      </c>
      <c r="M619" s="111" t="s">
        <v>3381</v>
      </c>
      <c r="N619" s="113"/>
      <c r="O619" s="114" t="s">
        <v>4477</v>
      </c>
      <c r="P619" s="114" t="s">
        <v>4477</v>
      </c>
      <c r="Q619" s="114" t="s">
        <v>4477</v>
      </c>
      <c r="R619" s="114" t="s">
        <v>4477</v>
      </c>
      <c r="S619" s="114" t="s">
        <v>4477</v>
      </c>
      <c r="T619" s="114" t="s">
        <v>4356</v>
      </c>
      <c r="U619" s="114" t="s">
        <v>4356</v>
      </c>
      <c r="V619" s="115"/>
      <c r="W619" s="116" t="s">
        <v>5412</v>
      </c>
      <c r="X619" s="116" t="s">
        <v>5413</v>
      </c>
      <c r="Y619" s="117">
        <v>3485943</v>
      </c>
      <c r="Z619" s="117">
        <v>3486626</v>
      </c>
      <c r="AA619" s="118"/>
      <c r="AB619" s="119" t="s">
        <v>5414</v>
      </c>
      <c r="AC619" s="119" t="s">
        <v>5415</v>
      </c>
      <c r="AD619" s="119" t="s">
        <v>5416</v>
      </c>
      <c r="AE619" s="119" t="s">
        <v>5417</v>
      </c>
      <c r="AF619" s="119" t="s">
        <v>6186</v>
      </c>
      <c r="AG619" s="120"/>
      <c r="AH619" s="121">
        <v>45887</v>
      </c>
      <c r="AI619" s="121">
        <v>45887</v>
      </c>
      <c r="AJ619" s="121">
        <v>45887</v>
      </c>
      <c r="AK619" s="122">
        <v>45887</v>
      </c>
      <c r="AL619" s="122" t="e">
        <v>#N/A</v>
      </c>
      <c r="AM619" s="122" t="e">
        <v>#N/A</v>
      </c>
      <c r="AN619" s="122" t="e">
        <v>#N/A</v>
      </c>
      <c r="AO619" s="121" t="e">
        <v>#N/A</v>
      </c>
      <c r="AP619" s="122" t="e">
        <v>#N/A</v>
      </c>
      <c r="AQ619" s="122" t="e">
        <v>#N/A</v>
      </c>
      <c r="AR619" s="122" t="e">
        <v>#N/A</v>
      </c>
      <c r="AS619" s="122" t="e">
        <v>#N/A</v>
      </c>
      <c r="AT619" s="122" t="e">
        <v>#N/A</v>
      </c>
      <c r="AU619" s="121" t="e">
        <v>#N/A</v>
      </c>
      <c r="AV619" s="122" t="e">
        <v>#N/A</v>
      </c>
      <c r="AW619" s="122">
        <v>45887</v>
      </c>
      <c r="AX619" s="122" t="e">
        <v>#N/A</v>
      </c>
      <c r="AY619" s="122" t="e">
        <v>#N/A</v>
      </c>
      <c r="AZ619" s="122" t="e">
        <v>#N/A</v>
      </c>
      <c r="BA619" s="122" t="e">
        <v>#N/A</v>
      </c>
      <c r="BB619" s="122" t="e">
        <v>#N/A</v>
      </c>
      <c r="BC619" s="122" t="e">
        <v>#N/A</v>
      </c>
      <c r="BD619" s="122" t="e">
        <v>#N/A</v>
      </c>
      <c r="BE619" s="122" t="e">
        <v>#N/A</v>
      </c>
      <c r="BF619" s="122" t="e">
        <v>#N/A</v>
      </c>
      <c r="BG619" s="122" t="e">
        <v>#N/A</v>
      </c>
      <c r="BH619" s="122">
        <v>45947</v>
      </c>
      <c r="BI619" s="122" t="e">
        <v>#N/A</v>
      </c>
      <c r="BJ619" s="122" t="e">
        <v>#N/A</v>
      </c>
      <c r="BK619" s="122">
        <v>45957</v>
      </c>
      <c r="BL619" s="123"/>
      <c r="BM619" s="124" t="e">
        <v>#N/A</v>
      </c>
      <c r="BN619" s="124" t="e">
        <v>#N/A</v>
      </c>
      <c r="BO619" s="124" t="e">
        <v>#N/A</v>
      </c>
      <c r="BP619" s="124" t="e">
        <v>#N/A</v>
      </c>
      <c r="BQ619" s="124" t="e">
        <v>#N/A</v>
      </c>
      <c r="BR619" s="124" t="e">
        <v>#N/A</v>
      </c>
      <c r="BS619" s="124" t="e">
        <v>#N/A</v>
      </c>
      <c r="BT619" s="124" t="e">
        <v>#N/A</v>
      </c>
      <c r="BU619" s="124" t="e">
        <v>#N/A</v>
      </c>
      <c r="BV619" s="124" t="e">
        <v>#N/A</v>
      </c>
      <c r="BW619" s="124" t="e">
        <v>#N/A</v>
      </c>
      <c r="BX619" s="124" t="e">
        <v>#N/A</v>
      </c>
      <c r="BY619" s="124" t="e">
        <v>#N/A</v>
      </c>
      <c r="BZ619" s="124" t="e">
        <v>#N/A</v>
      </c>
      <c r="CA619" s="125"/>
      <c r="CB619" s="124" t="e">
        <v>#N/A</v>
      </c>
      <c r="CC619" s="126">
        <v>1</v>
      </c>
      <c r="CD619" s="127" t="s">
        <v>5355</v>
      </c>
      <c r="CE619" s="128"/>
      <c r="CF619" s="77" t="s">
        <v>4980</v>
      </c>
    </row>
    <row r="620" spans="1:85" ht="14.5" x14ac:dyDescent="0.35">
      <c r="A620" s="77">
        <v>619</v>
      </c>
      <c r="B620" s="106" t="s">
        <v>3363</v>
      </c>
      <c r="C620" s="107" t="s">
        <v>6618</v>
      </c>
      <c r="D620" s="108" t="s">
        <v>3338</v>
      </c>
      <c r="E620" s="109" t="s">
        <v>3339</v>
      </c>
      <c r="F620" s="110">
        <v>666197016</v>
      </c>
      <c r="G620" s="108" t="s">
        <v>1004</v>
      </c>
      <c r="H620" s="111" t="s">
        <v>3932</v>
      </c>
      <c r="I620" s="111" t="s">
        <v>180</v>
      </c>
      <c r="J620" s="111" t="s">
        <v>4649</v>
      </c>
      <c r="K620" s="111" t="s">
        <v>3159</v>
      </c>
      <c r="L620" s="112">
        <v>45432</v>
      </c>
      <c r="M620" s="111" t="s">
        <v>1546</v>
      </c>
      <c r="N620" s="113"/>
      <c r="O620" s="114" t="s">
        <v>285</v>
      </c>
      <c r="P620" s="114" t="s">
        <v>285</v>
      </c>
      <c r="Q620" s="114" t="s">
        <v>557</v>
      </c>
      <c r="R620" s="114" t="s">
        <v>7312</v>
      </c>
      <c r="S620" s="114" t="s">
        <v>285</v>
      </c>
      <c r="T620" s="114" t="s">
        <v>4263</v>
      </c>
      <c r="U620" s="114" t="s">
        <v>4263</v>
      </c>
      <c r="V620" s="115"/>
      <c r="W620" s="116" t="s">
        <v>3340</v>
      </c>
      <c r="X620" s="116" t="s">
        <v>3604</v>
      </c>
      <c r="Y620" s="117">
        <v>3485583</v>
      </c>
      <c r="Z620" s="117">
        <v>3486308</v>
      </c>
      <c r="AA620" s="118"/>
      <c r="AB620" s="119" t="s">
        <v>3341</v>
      </c>
      <c r="AC620" s="119" t="s">
        <v>3364</v>
      </c>
      <c r="AD620" s="119">
        <v>5808</v>
      </c>
      <c r="AE620" s="119" t="s">
        <v>3342</v>
      </c>
      <c r="AF620" s="119" t="s">
        <v>6619</v>
      </c>
      <c r="AG620" s="120"/>
      <c r="AH620" s="121">
        <v>45448</v>
      </c>
      <c r="AI620" s="121">
        <v>45448</v>
      </c>
      <c r="AJ620" s="121">
        <v>45448</v>
      </c>
      <c r="AK620" s="122">
        <v>45448</v>
      </c>
      <c r="AL620" s="122" t="e">
        <v>#N/A</v>
      </c>
      <c r="AM620" s="121" t="e">
        <v>#N/A</v>
      </c>
      <c r="AN620" s="121" t="e">
        <v>#N/A</v>
      </c>
      <c r="AO620" s="121" t="e">
        <v>#N/A</v>
      </c>
      <c r="AP620" s="122" t="e">
        <v>#N/A</v>
      </c>
      <c r="AQ620" s="122" t="e">
        <v>#N/A</v>
      </c>
      <c r="AR620" s="122" t="e">
        <v>#N/A</v>
      </c>
      <c r="AS620" s="122" t="e">
        <v>#N/A</v>
      </c>
      <c r="AT620" s="122" t="e">
        <v>#N/A</v>
      </c>
      <c r="AU620" s="121" t="e">
        <v>#N/A</v>
      </c>
      <c r="AV620" s="122" t="e">
        <v>#N/A</v>
      </c>
      <c r="AW620" s="122">
        <v>45757</v>
      </c>
      <c r="AX620" s="122" t="e">
        <v>#N/A</v>
      </c>
      <c r="AY620" s="122" t="e">
        <v>#N/A</v>
      </c>
      <c r="AZ620" s="122" t="e">
        <v>#N/A</v>
      </c>
      <c r="BA620" s="122" t="e">
        <v>#N/A</v>
      </c>
      <c r="BB620" s="122" t="e">
        <v>#N/A</v>
      </c>
      <c r="BC620" s="122" t="e">
        <v>#N/A</v>
      </c>
      <c r="BD620" s="122" t="e">
        <v>#N/A</v>
      </c>
      <c r="BE620" s="122" t="e">
        <v>#N/A</v>
      </c>
      <c r="BF620" s="122" t="e">
        <v>#N/A</v>
      </c>
      <c r="BG620" s="122" t="e">
        <v>#N/A</v>
      </c>
      <c r="BH620" s="122">
        <v>45547</v>
      </c>
      <c r="BI620" s="122" t="e">
        <v>#N/A</v>
      </c>
      <c r="BJ620" s="122" t="e">
        <v>#N/A</v>
      </c>
      <c r="BK620" s="122">
        <v>45954</v>
      </c>
      <c r="BL620" s="123"/>
      <c r="BM620" s="124" t="e">
        <v>#N/A</v>
      </c>
      <c r="BN620" s="124" t="e">
        <v>#N/A</v>
      </c>
      <c r="BO620" s="124" t="e">
        <v>#N/A</v>
      </c>
      <c r="BP620" s="124" t="e">
        <v>#N/A</v>
      </c>
      <c r="BQ620" s="124" t="e">
        <v>#N/A</v>
      </c>
      <c r="BR620" s="124" t="e">
        <v>#N/A</v>
      </c>
      <c r="BS620" s="124" t="e">
        <v>#N/A</v>
      </c>
      <c r="BT620" s="124" t="e">
        <v>#N/A</v>
      </c>
      <c r="BU620" s="124" t="e">
        <v>#N/A</v>
      </c>
      <c r="BV620" s="124" t="e">
        <v>#N/A</v>
      </c>
      <c r="BW620" s="124" t="e">
        <v>#N/A</v>
      </c>
      <c r="BX620" s="124" t="e">
        <v>#N/A</v>
      </c>
      <c r="BY620" s="124" t="e">
        <v>#N/A</v>
      </c>
      <c r="BZ620" s="124" t="e">
        <v>#N/A</v>
      </c>
      <c r="CA620" s="125"/>
      <c r="CB620" s="124" t="e">
        <v>#N/A</v>
      </c>
      <c r="CC620" s="126">
        <v>1</v>
      </c>
      <c r="CD620" s="127" t="s">
        <v>4170</v>
      </c>
      <c r="CE620" s="128"/>
      <c r="CF620" s="77" t="s">
        <v>4980</v>
      </c>
    </row>
    <row r="621" spans="1:85" ht="14.5" x14ac:dyDescent="0.35">
      <c r="A621" s="77">
        <v>620</v>
      </c>
      <c r="B621" s="106" t="s">
        <v>4038</v>
      </c>
      <c r="C621" s="107" t="s">
        <v>6725</v>
      </c>
      <c r="D621" s="108" t="s">
        <v>4053</v>
      </c>
      <c r="E621" s="109" t="s">
        <v>4054</v>
      </c>
      <c r="F621" s="110">
        <v>656541342</v>
      </c>
      <c r="G621" s="108" t="s">
        <v>1004</v>
      </c>
      <c r="H621" s="111" t="s">
        <v>3932</v>
      </c>
      <c r="I621" s="111" t="s">
        <v>180</v>
      </c>
      <c r="J621" s="111" t="s">
        <v>4649</v>
      </c>
      <c r="K621" s="111" t="s">
        <v>199</v>
      </c>
      <c r="L621" s="112">
        <v>45600</v>
      </c>
      <c r="M621" s="111" t="s">
        <v>1546</v>
      </c>
      <c r="N621" s="113"/>
      <c r="O621" s="114" t="s">
        <v>286</v>
      </c>
      <c r="P621" s="114" t="s">
        <v>286</v>
      </c>
      <c r="Q621" s="114" t="s">
        <v>286</v>
      </c>
      <c r="R621" s="114" t="s">
        <v>7301</v>
      </c>
      <c r="S621" s="114" t="s">
        <v>286</v>
      </c>
      <c r="T621" s="114" t="s">
        <v>4263</v>
      </c>
      <c r="U621" s="114" t="s">
        <v>4263</v>
      </c>
      <c r="V621" s="115"/>
      <c r="W621" s="116" t="s">
        <v>4055</v>
      </c>
      <c r="X621" s="116" t="s">
        <v>4056</v>
      </c>
      <c r="Y621" s="117">
        <v>3485704</v>
      </c>
      <c r="Z621" s="117">
        <v>3486604</v>
      </c>
      <c r="AA621" s="118"/>
      <c r="AB621" s="119" t="s">
        <v>4057</v>
      </c>
      <c r="AC621" s="119" t="s">
        <v>4058</v>
      </c>
      <c r="AD621" s="119">
        <v>5937</v>
      </c>
      <c r="AE621" s="119" t="s">
        <v>4059</v>
      </c>
      <c r="AF621" s="119" t="s">
        <v>7196</v>
      </c>
      <c r="AG621" s="120"/>
      <c r="AH621" s="121">
        <v>45600</v>
      </c>
      <c r="AI621" s="121">
        <v>45600</v>
      </c>
      <c r="AJ621" s="121">
        <v>45600</v>
      </c>
      <c r="AK621" s="122">
        <v>45600</v>
      </c>
      <c r="AL621" s="122" t="e">
        <v>#N/A</v>
      </c>
      <c r="AM621" s="121" t="e">
        <v>#N/A</v>
      </c>
      <c r="AN621" s="121" t="e">
        <v>#N/A</v>
      </c>
      <c r="AO621" s="121" t="e">
        <v>#N/A</v>
      </c>
      <c r="AP621" s="122" t="e">
        <v>#N/A</v>
      </c>
      <c r="AQ621" s="122" t="e">
        <v>#N/A</v>
      </c>
      <c r="AR621" s="122" t="e">
        <v>#N/A</v>
      </c>
      <c r="AS621" s="122" t="e">
        <v>#N/A</v>
      </c>
      <c r="AT621" s="122" t="e">
        <v>#N/A</v>
      </c>
      <c r="AU621" s="121" t="e">
        <v>#N/A</v>
      </c>
      <c r="AV621" s="122" t="e">
        <v>#N/A</v>
      </c>
      <c r="AW621" s="122">
        <v>45736</v>
      </c>
      <c r="AX621" s="122" t="e">
        <v>#N/A</v>
      </c>
      <c r="AY621" s="122" t="e">
        <v>#N/A</v>
      </c>
      <c r="AZ621" s="122" t="e">
        <v>#N/A</v>
      </c>
      <c r="BA621" s="122" t="e">
        <v>#N/A</v>
      </c>
      <c r="BB621" s="122" t="e">
        <v>#N/A</v>
      </c>
      <c r="BC621" s="122" t="e">
        <v>#N/A</v>
      </c>
      <c r="BD621" s="122" t="e">
        <v>#N/A</v>
      </c>
      <c r="BE621" s="122" t="e">
        <v>#N/A</v>
      </c>
      <c r="BF621" s="122" t="e">
        <v>#N/A</v>
      </c>
      <c r="BG621" s="122" t="e">
        <v>#N/A</v>
      </c>
      <c r="BH621" s="122">
        <v>45786</v>
      </c>
      <c r="BI621" s="122" t="e">
        <v>#N/A</v>
      </c>
      <c r="BJ621" s="122" t="e">
        <v>#N/A</v>
      </c>
      <c r="BK621" s="122">
        <v>45957</v>
      </c>
      <c r="BL621" s="123"/>
      <c r="BM621" s="124" t="e">
        <v>#N/A</v>
      </c>
      <c r="BN621" s="124" t="e">
        <v>#N/A</v>
      </c>
      <c r="BO621" s="124" t="e">
        <v>#N/A</v>
      </c>
      <c r="BP621" s="124" t="e">
        <v>#N/A</v>
      </c>
      <c r="BQ621" s="124" t="e">
        <v>#N/A</v>
      </c>
      <c r="BR621" s="124" t="e">
        <v>#N/A</v>
      </c>
      <c r="BS621" s="124" t="e">
        <v>#N/A</v>
      </c>
      <c r="BT621" s="124" t="e">
        <v>#N/A</v>
      </c>
      <c r="BU621" s="124" t="e">
        <v>#N/A</v>
      </c>
      <c r="BV621" s="124" t="e">
        <v>#N/A</v>
      </c>
      <c r="BW621" s="124" t="e">
        <v>#N/A</v>
      </c>
      <c r="BX621" s="124" t="e">
        <v>#N/A</v>
      </c>
      <c r="BY621" s="124" t="e">
        <v>#N/A</v>
      </c>
      <c r="BZ621" s="124" t="e">
        <v>#N/A</v>
      </c>
      <c r="CA621" s="125"/>
      <c r="CB621" s="124" t="e">
        <v>#N/A</v>
      </c>
      <c r="CC621" s="126">
        <v>1</v>
      </c>
      <c r="CD621" s="127" t="s">
        <v>4211</v>
      </c>
      <c r="CE621" s="128"/>
      <c r="CF621" s="77" t="s">
        <v>4980</v>
      </c>
    </row>
    <row r="622" spans="1:85" ht="14.5" x14ac:dyDescent="0.35">
      <c r="A622" s="77">
        <v>621</v>
      </c>
      <c r="B622" s="106" t="s">
        <v>42</v>
      </c>
      <c r="C622" s="107" t="s">
        <v>6435</v>
      </c>
      <c r="D622" s="108" t="s">
        <v>481</v>
      </c>
      <c r="E622" s="109" t="s">
        <v>200</v>
      </c>
      <c r="F622" s="110">
        <v>687637494</v>
      </c>
      <c r="G622" s="108" t="s">
        <v>1004</v>
      </c>
      <c r="H622" s="111" t="s">
        <v>3932</v>
      </c>
      <c r="I622" s="111" t="s">
        <v>180</v>
      </c>
      <c r="J622" s="111" t="s">
        <v>4649</v>
      </c>
      <c r="K622" s="111" t="s">
        <v>199</v>
      </c>
      <c r="L622" s="112">
        <v>41344</v>
      </c>
      <c r="M622" s="111" t="s">
        <v>181</v>
      </c>
      <c r="N622" s="113"/>
      <c r="O622" s="114" t="s">
        <v>246</v>
      </c>
      <c r="P622" s="114" t="s">
        <v>246</v>
      </c>
      <c r="Q622" s="114" t="s">
        <v>6198</v>
      </c>
      <c r="R622" s="114" t="s">
        <v>7364</v>
      </c>
      <c r="S622" s="114" t="s">
        <v>257</v>
      </c>
      <c r="T622" s="114" t="s">
        <v>183</v>
      </c>
      <c r="U622" s="114" t="s">
        <v>183</v>
      </c>
      <c r="V622" s="115"/>
      <c r="W622" s="116" t="s">
        <v>482</v>
      </c>
      <c r="X622" s="116" t="s">
        <v>4371</v>
      </c>
      <c r="Y622" s="117">
        <v>3485482</v>
      </c>
      <c r="Z622" s="117">
        <v>3486256</v>
      </c>
      <c r="AA622" s="118"/>
      <c r="AB622" s="119" t="s">
        <v>5316</v>
      </c>
      <c r="AC622" s="119" t="s">
        <v>1312</v>
      </c>
      <c r="AD622" s="119">
        <v>5681</v>
      </c>
      <c r="AE622" s="119" t="s">
        <v>3200</v>
      </c>
      <c r="AF622" s="119" t="s">
        <v>7088</v>
      </c>
      <c r="AG622" s="120"/>
      <c r="AH622" s="121">
        <v>44197</v>
      </c>
      <c r="AI622" s="121">
        <v>44197</v>
      </c>
      <c r="AJ622" s="121">
        <v>44197</v>
      </c>
      <c r="AK622" s="122">
        <v>44197</v>
      </c>
      <c r="AL622" s="122" t="e">
        <v>#N/A</v>
      </c>
      <c r="AM622" s="122" t="e">
        <v>#N/A</v>
      </c>
      <c r="AN622" s="122" t="e">
        <v>#N/A</v>
      </c>
      <c r="AO622" s="121" t="e">
        <v>#N/A</v>
      </c>
      <c r="AP622" s="122" t="e">
        <v>#N/A</v>
      </c>
      <c r="AQ622" s="122" t="e">
        <v>#N/A</v>
      </c>
      <c r="AR622" s="122" t="e">
        <v>#N/A</v>
      </c>
      <c r="AS622" s="122" t="e">
        <v>#N/A</v>
      </c>
      <c r="AT622" s="122" t="e">
        <v>#N/A</v>
      </c>
      <c r="AU622" s="121">
        <v>45912</v>
      </c>
      <c r="AV622" s="122">
        <v>45601</v>
      </c>
      <c r="AW622" s="122">
        <v>45583</v>
      </c>
      <c r="AX622" s="122" t="e">
        <v>#N/A</v>
      </c>
      <c r="AY622" s="122" t="e">
        <v>#N/A</v>
      </c>
      <c r="AZ622" s="122" t="e">
        <v>#N/A</v>
      </c>
      <c r="BA622" s="122" t="e">
        <v>#N/A</v>
      </c>
      <c r="BB622" s="122" t="e">
        <v>#N/A</v>
      </c>
      <c r="BC622" s="122" t="e">
        <v>#N/A</v>
      </c>
      <c r="BD622" s="122" t="e">
        <v>#N/A</v>
      </c>
      <c r="BE622" s="122" t="e">
        <v>#N/A</v>
      </c>
      <c r="BF622" s="122" t="e">
        <v>#N/A</v>
      </c>
      <c r="BG622" s="122" t="e">
        <v>#N/A</v>
      </c>
      <c r="BH622" s="122" t="e">
        <v>#N/A</v>
      </c>
      <c r="BI622" s="122" t="e">
        <v>#N/A</v>
      </c>
      <c r="BJ622" s="122" t="e">
        <v>#N/A</v>
      </c>
      <c r="BK622" s="122">
        <v>45961</v>
      </c>
      <c r="BL622" s="123"/>
      <c r="BM622" s="124" t="e">
        <v>#N/A</v>
      </c>
      <c r="BN622" s="124" t="e">
        <v>#N/A</v>
      </c>
      <c r="BO622" s="124" t="e">
        <v>#N/A</v>
      </c>
      <c r="BP622" s="124" t="e">
        <v>#N/A</v>
      </c>
      <c r="BQ622" s="124" t="e">
        <v>#N/A</v>
      </c>
      <c r="BR622" s="124" t="e">
        <v>#N/A</v>
      </c>
      <c r="BS622" s="124" t="e">
        <v>#N/A</v>
      </c>
      <c r="BT622" s="124" t="e">
        <v>#N/A</v>
      </c>
      <c r="BU622" s="124" t="e">
        <v>#N/A</v>
      </c>
      <c r="BV622" s="124" t="e">
        <v>#N/A</v>
      </c>
      <c r="BW622" s="124" t="e">
        <v>#N/A</v>
      </c>
      <c r="BX622" s="124" t="e">
        <v>#N/A</v>
      </c>
      <c r="BY622" s="124" t="e">
        <v>#N/A</v>
      </c>
      <c r="BZ622" s="124" t="e">
        <v>#N/A</v>
      </c>
      <c r="CA622" s="125"/>
      <c r="CB622" s="124">
        <v>45728</v>
      </c>
      <c r="CC622" s="126">
        <v>1</v>
      </c>
      <c r="CD622" s="127" t="s">
        <v>4169</v>
      </c>
      <c r="CE622" s="128"/>
      <c r="CF622" s="77" t="s">
        <v>4980</v>
      </c>
    </row>
    <row r="623" spans="1:85" ht="14.5" x14ac:dyDescent="0.35">
      <c r="A623" s="77">
        <v>622</v>
      </c>
      <c r="B623" s="106" t="s">
        <v>1742</v>
      </c>
      <c r="C623" s="107" t="s">
        <v>6405</v>
      </c>
      <c r="D623" s="108" t="s">
        <v>1785</v>
      </c>
      <c r="E623" s="109" t="s">
        <v>1786</v>
      </c>
      <c r="F623" s="110">
        <v>635476380</v>
      </c>
      <c r="G623" s="108" t="s">
        <v>1004</v>
      </c>
      <c r="H623" s="111" t="s">
        <v>3929</v>
      </c>
      <c r="I623" s="111" t="s">
        <v>180</v>
      </c>
      <c r="J623" s="111" t="s">
        <v>4649</v>
      </c>
      <c r="K623" s="111" t="s">
        <v>199</v>
      </c>
      <c r="L623" s="112">
        <v>43887</v>
      </c>
      <c r="M623" s="111" t="s">
        <v>181</v>
      </c>
      <c r="N623" s="113"/>
      <c r="O623" s="114" t="s">
        <v>226</v>
      </c>
      <c r="P623" s="114" t="s">
        <v>7675</v>
      </c>
      <c r="Q623" s="114" t="s">
        <v>226</v>
      </c>
      <c r="R623" s="114" t="s">
        <v>7331</v>
      </c>
      <c r="S623" s="114" t="s">
        <v>7676</v>
      </c>
      <c r="T623" s="114" t="s">
        <v>183</v>
      </c>
      <c r="U623" s="114" t="s">
        <v>183</v>
      </c>
      <c r="V623" s="115"/>
      <c r="W623" s="116" t="s">
        <v>1787</v>
      </c>
      <c r="X623" s="116" t="s">
        <v>1788</v>
      </c>
      <c r="Y623" s="117">
        <v>3485683</v>
      </c>
      <c r="Z623" s="117">
        <v>3486533</v>
      </c>
      <c r="AA623" s="118"/>
      <c r="AB623" s="119" t="s">
        <v>5164</v>
      </c>
      <c r="AC623" s="119" t="s">
        <v>1789</v>
      </c>
      <c r="AD623" s="119">
        <v>4419</v>
      </c>
      <c r="AE623" s="119" t="s">
        <v>1790</v>
      </c>
      <c r="AF623" s="119">
        <v>0</v>
      </c>
      <c r="AG623" s="120"/>
      <c r="AH623" s="121">
        <v>44753</v>
      </c>
      <c r="AI623" s="121">
        <v>44753</v>
      </c>
      <c r="AJ623" s="121">
        <v>44753</v>
      </c>
      <c r="AK623" s="122">
        <v>45006</v>
      </c>
      <c r="AL623" s="122" t="e">
        <v>#N/A</v>
      </c>
      <c r="AM623" s="121" t="e">
        <v>#N/A</v>
      </c>
      <c r="AN623" s="121" t="e">
        <v>#N/A</v>
      </c>
      <c r="AO623" s="121" t="e">
        <v>#N/A</v>
      </c>
      <c r="AP623" s="122" t="e">
        <v>#N/A</v>
      </c>
      <c r="AQ623" s="122" t="e">
        <v>#N/A</v>
      </c>
      <c r="AR623" s="122" t="e">
        <v>#N/A</v>
      </c>
      <c r="AS623" s="122" t="e">
        <v>#N/A</v>
      </c>
      <c r="AT623" s="122" t="e">
        <v>#N/A</v>
      </c>
      <c r="AU623" s="121" t="e">
        <v>#N/A</v>
      </c>
      <c r="AV623" s="122" t="e">
        <v>#N/A</v>
      </c>
      <c r="AW623" s="122">
        <v>45875</v>
      </c>
      <c r="AX623" s="122" t="e">
        <v>#N/A</v>
      </c>
      <c r="AY623" s="122" t="e">
        <v>#N/A</v>
      </c>
      <c r="AZ623" s="122" t="e">
        <v>#N/A</v>
      </c>
      <c r="BA623" s="122" t="e">
        <v>#N/A</v>
      </c>
      <c r="BB623" s="122" t="e">
        <v>#N/A</v>
      </c>
      <c r="BC623" s="122" t="e">
        <v>#N/A</v>
      </c>
      <c r="BD623" s="122" t="e">
        <v>#N/A</v>
      </c>
      <c r="BE623" s="122" t="e">
        <v>#N/A</v>
      </c>
      <c r="BF623" s="122" t="e">
        <v>#N/A</v>
      </c>
      <c r="BG623" s="122" t="e">
        <v>#N/A</v>
      </c>
      <c r="BH623" s="122">
        <v>45446</v>
      </c>
      <c r="BI623" s="122" t="e">
        <v>#N/A</v>
      </c>
      <c r="BJ623" s="122" t="e">
        <v>#N/A</v>
      </c>
      <c r="BK623" s="122" t="e">
        <v>#N/A</v>
      </c>
      <c r="BL623" s="123"/>
      <c r="BM623" s="124" t="e">
        <v>#N/A</v>
      </c>
      <c r="BN623" s="124" t="e">
        <v>#N/A</v>
      </c>
      <c r="BO623" s="124" t="e">
        <v>#N/A</v>
      </c>
      <c r="BP623" s="124" t="e">
        <v>#N/A</v>
      </c>
      <c r="BQ623" s="124" t="e">
        <v>#N/A</v>
      </c>
      <c r="BR623" s="124" t="e">
        <v>#N/A</v>
      </c>
      <c r="BS623" s="124" t="e">
        <v>#N/A</v>
      </c>
      <c r="BT623" s="124" t="e">
        <v>#N/A</v>
      </c>
      <c r="BU623" s="124" t="e">
        <v>#N/A</v>
      </c>
      <c r="BV623" s="124" t="e">
        <v>#N/A</v>
      </c>
      <c r="BW623" s="124" t="e">
        <v>#N/A</v>
      </c>
      <c r="BX623" s="124" t="e">
        <v>#N/A</v>
      </c>
      <c r="BY623" s="124" t="e">
        <v>#N/A</v>
      </c>
      <c r="BZ623" s="124" t="e">
        <v>#N/A</v>
      </c>
      <c r="CA623" s="125"/>
      <c r="CB623" s="124" t="e">
        <v>#N/A</v>
      </c>
      <c r="CC623" s="126">
        <v>1</v>
      </c>
      <c r="CD623" s="127" t="s">
        <v>4157</v>
      </c>
      <c r="CE623" s="128"/>
      <c r="CF623" s="77" t="s">
        <v>4979</v>
      </c>
    </row>
    <row r="624" spans="1:85" ht="14.5" x14ac:dyDescent="0.35">
      <c r="A624" s="77">
        <v>623</v>
      </c>
      <c r="B624" s="106" t="s">
        <v>6310</v>
      </c>
      <c r="C624" s="107" t="s">
        <v>1264</v>
      </c>
      <c r="D624" s="108" t="s">
        <v>287</v>
      </c>
      <c r="E624" s="109" t="s">
        <v>288</v>
      </c>
      <c r="F624" s="110">
        <v>651915482</v>
      </c>
      <c r="G624" s="108" t="s">
        <v>1004</v>
      </c>
      <c r="H624" s="111" t="s">
        <v>3929</v>
      </c>
      <c r="I624" s="111" t="s">
        <v>180</v>
      </c>
      <c r="J624" s="111" t="s">
        <v>4649</v>
      </c>
      <c r="K624" s="111" t="s">
        <v>199</v>
      </c>
      <c r="L624" s="112">
        <v>44537</v>
      </c>
      <c r="M624" s="111" t="s">
        <v>181</v>
      </c>
      <c r="N624" s="113"/>
      <c r="O624" s="114" t="s">
        <v>6188</v>
      </c>
      <c r="P624" s="114" t="s">
        <v>183</v>
      </c>
      <c r="Q624" s="114" t="s">
        <v>6188</v>
      </c>
      <c r="R624" s="114" t="s">
        <v>6188</v>
      </c>
      <c r="S624" s="114" t="s">
        <v>183</v>
      </c>
      <c r="T624" s="114" t="s">
        <v>7677</v>
      </c>
      <c r="U624" s="114" t="s">
        <v>7677</v>
      </c>
      <c r="V624" s="115"/>
      <c r="W624" s="116" t="s">
        <v>289</v>
      </c>
      <c r="X624" s="116" t="s">
        <v>290</v>
      </c>
      <c r="Y624" s="117">
        <v>3485034</v>
      </c>
      <c r="Z624" s="117">
        <v>3481098</v>
      </c>
      <c r="AA624" s="118"/>
      <c r="AB624" s="119" t="s">
        <v>5556</v>
      </c>
      <c r="AC624" s="119" t="s">
        <v>1265</v>
      </c>
      <c r="AD624" s="119">
        <v>4333</v>
      </c>
      <c r="AE624" s="119" t="s">
        <v>291</v>
      </c>
      <c r="AF624" s="119">
        <v>0</v>
      </c>
      <c r="AG624" s="120"/>
      <c r="AH624" s="121">
        <v>44197</v>
      </c>
      <c r="AI624" s="121">
        <v>44197</v>
      </c>
      <c r="AJ624" s="121">
        <v>44197</v>
      </c>
      <c r="AK624" s="122">
        <v>44197</v>
      </c>
      <c r="AL624" s="122">
        <v>44971</v>
      </c>
      <c r="AM624" s="121" t="e">
        <v>#N/A</v>
      </c>
      <c r="AN624" s="121" t="e">
        <v>#N/A</v>
      </c>
      <c r="AO624" s="121" t="e">
        <v>#N/A</v>
      </c>
      <c r="AP624" s="122" t="e">
        <v>#N/A</v>
      </c>
      <c r="AQ624" s="122" t="e">
        <v>#N/A</v>
      </c>
      <c r="AR624" s="122" t="e">
        <v>#N/A</v>
      </c>
      <c r="AS624" s="122" t="e">
        <v>#N/A</v>
      </c>
      <c r="AT624" s="122" t="e">
        <v>#N/A</v>
      </c>
      <c r="AU624" s="121" t="e">
        <v>#N/A</v>
      </c>
      <c r="AV624" s="122" t="e">
        <v>#N/A</v>
      </c>
      <c r="AW624" s="122" t="e">
        <v>#N/A</v>
      </c>
      <c r="AX624" s="122" t="e">
        <v>#N/A</v>
      </c>
      <c r="AY624" s="122" t="e">
        <v>#N/A</v>
      </c>
      <c r="AZ624" s="122" t="e">
        <v>#N/A</v>
      </c>
      <c r="BA624" s="122" t="e">
        <v>#N/A</v>
      </c>
      <c r="BB624" s="122" t="e">
        <v>#N/A</v>
      </c>
      <c r="BC624" s="122" t="e">
        <v>#N/A</v>
      </c>
      <c r="BD624" s="122" t="e">
        <v>#N/A</v>
      </c>
      <c r="BE624" s="122" t="e">
        <v>#N/A</v>
      </c>
      <c r="BF624" s="122" t="e">
        <v>#N/A</v>
      </c>
      <c r="BG624" s="122" t="e">
        <v>#N/A</v>
      </c>
      <c r="BH624" s="122">
        <v>45446</v>
      </c>
      <c r="BI624" s="122" t="e">
        <v>#N/A</v>
      </c>
      <c r="BJ624" s="122" t="e">
        <v>#N/A</v>
      </c>
      <c r="BK624" s="122" t="e">
        <v>#N/A</v>
      </c>
      <c r="BL624" s="123"/>
      <c r="BM624" s="124" t="e">
        <v>#N/A</v>
      </c>
      <c r="BN624" s="124" t="e">
        <v>#N/A</v>
      </c>
      <c r="BO624" s="124" t="e">
        <v>#N/A</v>
      </c>
      <c r="BP624" s="124" t="e">
        <v>#N/A</v>
      </c>
      <c r="BQ624" s="124" t="e">
        <v>#N/A</v>
      </c>
      <c r="BR624" s="124" t="e">
        <v>#N/A</v>
      </c>
      <c r="BS624" s="124" t="e">
        <v>#N/A</v>
      </c>
      <c r="BT624" s="124" t="e">
        <v>#N/A</v>
      </c>
      <c r="BU624" s="124" t="e">
        <v>#N/A</v>
      </c>
      <c r="BV624" s="124" t="e">
        <v>#N/A</v>
      </c>
      <c r="BW624" s="124" t="e">
        <v>#N/A</v>
      </c>
      <c r="BX624" s="124" t="e">
        <v>#N/A</v>
      </c>
      <c r="BY624" s="124" t="e">
        <v>#N/A</v>
      </c>
      <c r="BZ624" s="124" t="e">
        <v>#N/A</v>
      </c>
      <c r="CA624" s="125"/>
      <c r="CB624" s="124" t="e">
        <v>#N/A</v>
      </c>
      <c r="CC624" s="126">
        <v>1</v>
      </c>
      <c r="CD624" s="127" t="e">
        <v>#N/A</v>
      </c>
      <c r="CE624" s="128"/>
      <c r="CF624" s="77" t="s">
        <v>4980</v>
      </c>
    </row>
    <row r="625" spans="1:84" ht="14.5" x14ac:dyDescent="0.35">
      <c r="A625" s="77">
        <v>624</v>
      </c>
      <c r="B625" s="106" t="s">
        <v>3563</v>
      </c>
      <c r="C625" s="107" t="s">
        <v>6641</v>
      </c>
      <c r="D625" s="108" t="s">
        <v>3564</v>
      </c>
      <c r="E625" s="109" t="s">
        <v>3565</v>
      </c>
      <c r="F625" s="110">
        <v>624218628</v>
      </c>
      <c r="G625" s="108" t="s">
        <v>1004</v>
      </c>
      <c r="H625" s="111" t="s">
        <v>3929</v>
      </c>
      <c r="I625" s="111" t="s">
        <v>180</v>
      </c>
      <c r="J625" s="111" t="s">
        <v>4649</v>
      </c>
      <c r="K625" s="111" t="s">
        <v>3159</v>
      </c>
      <c r="L625" s="112">
        <v>45481</v>
      </c>
      <c r="M625" s="111" t="s">
        <v>1546</v>
      </c>
      <c r="N625" s="113"/>
      <c r="O625" s="114" t="s">
        <v>4138</v>
      </c>
      <c r="P625" s="114" t="s">
        <v>4138</v>
      </c>
      <c r="Q625" s="114" t="s">
        <v>4138</v>
      </c>
      <c r="R625" s="114" t="s">
        <v>4138</v>
      </c>
      <c r="S625" s="114" t="s">
        <v>4138</v>
      </c>
      <c r="T625" s="114" t="s">
        <v>183</v>
      </c>
      <c r="U625" s="114" t="s">
        <v>183</v>
      </c>
      <c r="V625" s="115"/>
      <c r="W625" s="116" t="s">
        <v>3566</v>
      </c>
      <c r="X625" s="116" t="s">
        <v>3567</v>
      </c>
      <c r="Y625" s="117">
        <v>3485971</v>
      </c>
      <c r="Z625" s="117">
        <v>3486466</v>
      </c>
      <c r="AA625" s="118"/>
      <c r="AB625" s="119" t="s">
        <v>5328</v>
      </c>
      <c r="AC625" s="119" t="s">
        <v>3568</v>
      </c>
      <c r="AD625" s="119">
        <v>5820</v>
      </c>
      <c r="AE625" s="119" t="s">
        <v>3569</v>
      </c>
      <c r="AF625" s="119">
        <v>0</v>
      </c>
      <c r="AG625" s="120"/>
      <c r="AH625" s="121">
        <v>45492</v>
      </c>
      <c r="AI625" s="121">
        <v>45497</v>
      </c>
      <c r="AJ625" s="121">
        <v>45497</v>
      </c>
      <c r="AK625" s="122">
        <v>45497</v>
      </c>
      <c r="AL625" s="122" t="e">
        <v>#N/A</v>
      </c>
      <c r="AM625" s="121" t="e">
        <v>#N/A</v>
      </c>
      <c r="AN625" s="121" t="e">
        <v>#N/A</v>
      </c>
      <c r="AO625" s="121" t="e">
        <v>#N/A</v>
      </c>
      <c r="AP625" s="122" t="e">
        <v>#N/A</v>
      </c>
      <c r="AQ625" s="122" t="e">
        <v>#N/A</v>
      </c>
      <c r="AR625" s="122" t="e">
        <v>#N/A</v>
      </c>
      <c r="AS625" s="122" t="e">
        <v>#N/A</v>
      </c>
      <c r="AT625" s="122" t="e">
        <v>#N/A</v>
      </c>
      <c r="AU625" s="121" t="e">
        <v>#N/A</v>
      </c>
      <c r="AV625" s="122" t="e">
        <v>#N/A</v>
      </c>
      <c r="AW625" s="122">
        <v>45873</v>
      </c>
      <c r="AX625" s="122" t="e">
        <v>#N/A</v>
      </c>
      <c r="AY625" s="122" t="e">
        <v>#N/A</v>
      </c>
      <c r="AZ625" s="122" t="e">
        <v>#N/A</v>
      </c>
      <c r="BA625" s="122" t="e">
        <v>#N/A</v>
      </c>
      <c r="BB625" s="122" t="e">
        <v>#N/A</v>
      </c>
      <c r="BC625" s="122" t="e">
        <v>#N/A</v>
      </c>
      <c r="BD625" s="122" t="e">
        <v>#N/A</v>
      </c>
      <c r="BE625" s="122" t="e">
        <v>#N/A</v>
      </c>
      <c r="BF625" s="122" t="e">
        <v>#N/A</v>
      </c>
      <c r="BG625" s="122" t="e">
        <v>#N/A</v>
      </c>
      <c r="BH625" s="122">
        <v>45547</v>
      </c>
      <c r="BI625" s="122" t="e">
        <v>#N/A</v>
      </c>
      <c r="BJ625" s="122" t="e">
        <v>#N/A</v>
      </c>
      <c r="BK625" s="122" t="e">
        <v>#N/A</v>
      </c>
      <c r="BL625" s="123"/>
      <c r="BM625" s="124" t="e">
        <v>#N/A</v>
      </c>
      <c r="BN625" s="124" t="e">
        <v>#N/A</v>
      </c>
      <c r="BO625" s="124" t="e">
        <v>#N/A</v>
      </c>
      <c r="BP625" s="124" t="e">
        <v>#N/A</v>
      </c>
      <c r="BQ625" s="124" t="e">
        <v>#N/A</v>
      </c>
      <c r="BR625" s="124" t="e">
        <v>#N/A</v>
      </c>
      <c r="BS625" s="124" t="e">
        <v>#N/A</v>
      </c>
      <c r="BT625" s="124" t="e">
        <v>#N/A</v>
      </c>
      <c r="BU625" s="124" t="e">
        <v>#N/A</v>
      </c>
      <c r="BV625" s="124" t="e">
        <v>#N/A</v>
      </c>
      <c r="BW625" s="124" t="e">
        <v>#N/A</v>
      </c>
      <c r="BX625" s="124" t="e">
        <v>#N/A</v>
      </c>
      <c r="BY625" s="124" t="e">
        <v>#N/A</v>
      </c>
      <c r="BZ625" s="124" t="e">
        <v>#N/A</v>
      </c>
      <c r="CA625" s="125"/>
      <c r="CB625" s="124" t="e">
        <v>#N/A</v>
      </c>
      <c r="CC625" s="126">
        <v>1</v>
      </c>
      <c r="CD625" s="127" t="s">
        <v>4201</v>
      </c>
      <c r="CE625" s="128"/>
      <c r="CF625" s="77" t="s">
        <v>4980</v>
      </c>
    </row>
    <row r="626" spans="1:84" ht="14.5" x14ac:dyDescent="0.35">
      <c r="A626" s="77">
        <v>625</v>
      </c>
      <c r="B626" s="106" t="s">
        <v>4039</v>
      </c>
      <c r="C626" s="107" t="s">
        <v>6723</v>
      </c>
      <c r="D626" s="108" t="s">
        <v>4060</v>
      </c>
      <c r="E626" s="109" t="s">
        <v>4061</v>
      </c>
      <c r="F626" s="110">
        <v>687996184</v>
      </c>
      <c r="G626" s="108" t="s">
        <v>1004</v>
      </c>
      <c r="H626" s="111" t="s">
        <v>3929</v>
      </c>
      <c r="I626" s="111" t="s">
        <v>180</v>
      </c>
      <c r="J626" s="111" t="s">
        <v>4649</v>
      </c>
      <c r="K626" s="111" t="s">
        <v>199</v>
      </c>
      <c r="L626" s="112">
        <v>45600</v>
      </c>
      <c r="M626" s="111" t="s">
        <v>1546</v>
      </c>
      <c r="N626" s="113"/>
      <c r="O626" s="114" t="s">
        <v>585</v>
      </c>
      <c r="P626" s="114" t="s">
        <v>585</v>
      </c>
      <c r="Q626" s="114" t="s">
        <v>330</v>
      </c>
      <c r="R626" s="114" t="s">
        <v>7296</v>
      </c>
      <c r="S626" s="114" t="s">
        <v>585</v>
      </c>
      <c r="T626" s="114" t="s">
        <v>183</v>
      </c>
      <c r="U626" s="114" t="s">
        <v>183</v>
      </c>
      <c r="V626" s="115"/>
      <c r="W626" s="116" t="s">
        <v>4062</v>
      </c>
      <c r="X626" s="116" t="s">
        <v>4063</v>
      </c>
      <c r="Y626" s="117">
        <v>3485920</v>
      </c>
      <c r="Z626" s="117">
        <v>3486611</v>
      </c>
      <c r="AA626" s="118"/>
      <c r="AB626" s="119" t="s">
        <v>5896</v>
      </c>
      <c r="AC626" s="119" t="s">
        <v>4064</v>
      </c>
      <c r="AD626" s="119">
        <v>5907</v>
      </c>
      <c r="AE626" s="119" t="s">
        <v>4065</v>
      </c>
      <c r="AF626" s="119" t="s">
        <v>7678</v>
      </c>
      <c r="AG626" s="120"/>
      <c r="AH626" s="121">
        <v>45600</v>
      </c>
      <c r="AI626" s="121">
        <v>45600</v>
      </c>
      <c r="AJ626" s="121">
        <v>45600</v>
      </c>
      <c r="AK626" s="122">
        <v>45600</v>
      </c>
      <c r="AL626" s="122" t="e">
        <v>#N/A</v>
      </c>
      <c r="AM626" s="121" t="e">
        <v>#N/A</v>
      </c>
      <c r="AN626" s="121" t="e">
        <v>#N/A</v>
      </c>
      <c r="AO626" s="121" t="e">
        <v>#N/A</v>
      </c>
      <c r="AP626" s="122" t="e">
        <v>#N/A</v>
      </c>
      <c r="AQ626" s="122" t="e">
        <v>#N/A</v>
      </c>
      <c r="AR626" s="122" t="e">
        <v>#N/A</v>
      </c>
      <c r="AS626" s="122" t="e">
        <v>#N/A</v>
      </c>
      <c r="AT626" s="122" t="e">
        <v>#N/A</v>
      </c>
      <c r="AU626" s="121" t="e">
        <v>#N/A</v>
      </c>
      <c r="AV626" s="122" t="e">
        <v>#N/A</v>
      </c>
      <c r="AW626" s="122">
        <v>45698</v>
      </c>
      <c r="AX626" s="122" t="e">
        <v>#N/A</v>
      </c>
      <c r="AY626" s="122" t="e">
        <v>#N/A</v>
      </c>
      <c r="AZ626" s="122" t="e">
        <v>#N/A</v>
      </c>
      <c r="BA626" s="122" t="e">
        <v>#N/A</v>
      </c>
      <c r="BB626" s="122" t="e">
        <v>#N/A</v>
      </c>
      <c r="BC626" s="122" t="e">
        <v>#N/A</v>
      </c>
      <c r="BD626" s="122" t="e">
        <v>#N/A</v>
      </c>
      <c r="BE626" s="122" t="e">
        <v>#N/A</v>
      </c>
      <c r="BF626" s="122" t="e">
        <v>#N/A</v>
      </c>
      <c r="BG626" s="122" t="e">
        <v>#N/A</v>
      </c>
      <c r="BH626" s="122">
        <v>45786</v>
      </c>
      <c r="BI626" s="122" t="e">
        <v>#N/A</v>
      </c>
      <c r="BJ626" s="122" t="e">
        <v>#N/A</v>
      </c>
      <c r="BK626" s="122">
        <v>45973</v>
      </c>
      <c r="BL626" s="123"/>
      <c r="BM626" s="124" t="e">
        <v>#N/A</v>
      </c>
      <c r="BN626" s="124" t="e">
        <v>#N/A</v>
      </c>
      <c r="BO626" s="124" t="e">
        <v>#N/A</v>
      </c>
      <c r="BP626" s="124" t="e">
        <v>#N/A</v>
      </c>
      <c r="BQ626" s="124" t="e">
        <v>#N/A</v>
      </c>
      <c r="BR626" s="124" t="e">
        <v>#N/A</v>
      </c>
      <c r="BS626" s="124" t="e">
        <v>#N/A</v>
      </c>
      <c r="BT626" s="124" t="e">
        <v>#N/A</v>
      </c>
      <c r="BU626" s="124" t="e">
        <v>#N/A</v>
      </c>
      <c r="BV626" s="124" t="e">
        <v>#N/A</v>
      </c>
      <c r="BW626" s="124" t="e">
        <v>#N/A</v>
      </c>
      <c r="BX626" s="124" t="e">
        <v>#N/A</v>
      </c>
      <c r="BY626" s="124" t="e">
        <v>#N/A</v>
      </c>
      <c r="BZ626" s="124" t="e">
        <v>#N/A</v>
      </c>
      <c r="CA626" s="125"/>
      <c r="CB626" s="124" t="e">
        <v>#N/A</v>
      </c>
      <c r="CC626" s="126">
        <v>1</v>
      </c>
      <c r="CD626" s="127" t="s">
        <v>4211</v>
      </c>
      <c r="CE626" s="128"/>
      <c r="CF626" s="77" t="s">
        <v>4980</v>
      </c>
    </row>
    <row r="627" spans="1:84" ht="14.5" x14ac:dyDescent="0.35">
      <c r="A627" s="77">
        <v>626</v>
      </c>
      <c r="B627" s="106" t="s">
        <v>166</v>
      </c>
      <c r="C627" s="107" t="s">
        <v>6476</v>
      </c>
      <c r="D627" s="108" t="s">
        <v>912</v>
      </c>
      <c r="E627" s="109" t="s">
        <v>913</v>
      </c>
      <c r="F627" s="110">
        <v>679134481</v>
      </c>
      <c r="G627" s="108" t="s">
        <v>1004</v>
      </c>
      <c r="H627" s="111" t="s">
        <v>3403</v>
      </c>
      <c r="I627" s="111" t="s">
        <v>180</v>
      </c>
      <c r="J627" s="111" t="s">
        <v>4649</v>
      </c>
      <c r="K627" s="111" t="s">
        <v>3159</v>
      </c>
      <c r="L627" s="112">
        <v>44179</v>
      </c>
      <c r="M627" s="111" t="s">
        <v>329</v>
      </c>
      <c r="N627" s="113"/>
      <c r="O627" s="114" t="s">
        <v>4638</v>
      </c>
      <c r="P627" s="114" t="s">
        <v>7679</v>
      </c>
      <c r="Q627" s="114" t="s">
        <v>4638</v>
      </c>
      <c r="R627" s="114" t="s">
        <v>4638</v>
      </c>
      <c r="S627" s="114" t="s">
        <v>7679</v>
      </c>
      <c r="T627" s="114" t="s">
        <v>4356</v>
      </c>
      <c r="U627" s="114" t="s">
        <v>4356</v>
      </c>
      <c r="V627" s="115"/>
      <c r="W627" s="116" t="s">
        <v>914</v>
      </c>
      <c r="X627" s="116" t="s">
        <v>4376</v>
      </c>
      <c r="Y627" s="117">
        <v>3485060</v>
      </c>
      <c r="Z627" s="117">
        <v>3481193</v>
      </c>
      <c r="AA627" s="118"/>
      <c r="AB627" s="119" t="s">
        <v>915</v>
      </c>
      <c r="AC627" s="119" t="s">
        <v>1263</v>
      </c>
      <c r="AD627" s="119">
        <v>4293</v>
      </c>
      <c r="AE627" s="119" t="s">
        <v>916</v>
      </c>
      <c r="AF627" s="119" t="s">
        <v>7680</v>
      </c>
      <c r="AG627" s="120"/>
      <c r="AH627" s="121">
        <v>44197</v>
      </c>
      <c r="AI627" s="121">
        <v>44197</v>
      </c>
      <c r="AJ627" s="121">
        <v>44197</v>
      </c>
      <c r="AK627" s="122">
        <v>44197</v>
      </c>
      <c r="AL627" s="122" t="e">
        <v>#N/A</v>
      </c>
      <c r="AM627" s="121" t="e">
        <v>#N/A</v>
      </c>
      <c r="AN627" s="121" t="e">
        <v>#N/A</v>
      </c>
      <c r="AO627" s="121" t="e">
        <v>#N/A</v>
      </c>
      <c r="AP627" s="122" t="e">
        <v>#N/A</v>
      </c>
      <c r="AQ627" s="122" t="e">
        <v>#N/A</v>
      </c>
      <c r="AR627" s="122" t="e">
        <v>#N/A</v>
      </c>
      <c r="AS627" s="122" t="e">
        <v>#N/A</v>
      </c>
      <c r="AT627" s="122" t="e">
        <v>#N/A</v>
      </c>
      <c r="AU627" s="121" t="e">
        <v>#N/A</v>
      </c>
      <c r="AV627" s="122" t="e">
        <v>#N/A</v>
      </c>
      <c r="AW627" s="122">
        <v>45755</v>
      </c>
      <c r="AX627" s="122" t="e">
        <v>#N/A</v>
      </c>
      <c r="AY627" s="122" t="e">
        <v>#N/A</v>
      </c>
      <c r="AZ627" s="122" t="e">
        <v>#N/A</v>
      </c>
      <c r="BA627" s="122" t="e">
        <v>#N/A</v>
      </c>
      <c r="BB627" s="122" t="e">
        <v>#N/A</v>
      </c>
      <c r="BC627" s="122" t="e">
        <v>#N/A</v>
      </c>
      <c r="BD627" s="122" t="e">
        <v>#N/A</v>
      </c>
      <c r="BE627" s="122" t="e">
        <v>#N/A</v>
      </c>
      <c r="BF627" s="122" t="e">
        <v>#N/A</v>
      </c>
      <c r="BG627" s="122" t="e">
        <v>#N/A</v>
      </c>
      <c r="BH627" s="122" t="e">
        <v>#N/A</v>
      </c>
      <c r="BI627" s="122" t="e">
        <v>#N/A</v>
      </c>
      <c r="BJ627" s="122">
        <v>45811</v>
      </c>
      <c r="BK627" s="122">
        <v>45973</v>
      </c>
      <c r="BL627" s="123"/>
      <c r="BM627" s="124">
        <v>45000</v>
      </c>
      <c r="BN627" s="124">
        <v>45000</v>
      </c>
      <c r="BO627" s="124">
        <v>45000</v>
      </c>
      <c r="BP627" s="124">
        <v>45000</v>
      </c>
      <c r="BQ627" s="124">
        <v>45000</v>
      </c>
      <c r="BR627" s="124">
        <v>45000</v>
      </c>
      <c r="BS627" s="124">
        <v>45029</v>
      </c>
      <c r="BT627" s="124" t="e">
        <v>#N/A</v>
      </c>
      <c r="BU627" s="124" t="e">
        <v>#N/A</v>
      </c>
      <c r="BV627" s="124" t="e">
        <v>#N/A</v>
      </c>
      <c r="BW627" s="124" t="e">
        <v>#N/A</v>
      </c>
      <c r="BX627" s="124" t="e">
        <v>#N/A</v>
      </c>
      <c r="BY627" s="124" t="e">
        <v>#N/A</v>
      </c>
      <c r="BZ627" s="124" t="e">
        <v>#N/A</v>
      </c>
      <c r="CA627" s="125"/>
      <c r="CB627" s="124" t="e">
        <v>#N/A</v>
      </c>
      <c r="CC627" s="126">
        <v>1</v>
      </c>
      <c r="CD627" s="127" t="s">
        <v>4169</v>
      </c>
      <c r="CE627" s="128"/>
      <c r="CF627" s="77" t="s">
        <v>4980</v>
      </c>
    </row>
    <row r="628" spans="1:84" ht="14.5" x14ac:dyDescent="0.35">
      <c r="A628" s="77">
        <v>627</v>
      </c>
      <c r="B628" s="106" t="s">
        <v>6330</v>
      </c>
      <c r="C628" s="107" t="s">
        <v>6331</v>
      </c>
      <c r="D628" s="108" t="s">
        <v>1817</v>
      </c>
      <c r="E628" s="109" t="s">
        <v>208</v>
      </c>
      <c r="F628" s="110">
        <v>954413540</v>
      </c>
      <c r="G628" s="108" t="s">
        <v>1004</v>
      </c>
      <c r="H628" s="111" t="s">
        <v>3403</v>
      </c>
      <c r="I628" s="111" t="s">
        <v>180</v>
      </c>
      <c r="J628" s="111" t="s">
        <v>4649</v>
      </c>
      <c r="K628" s="111" t="s">
        <v>199</v>
      </c>
      <c r="L628" s="112">
        <v>38961</v>
      </c>
      <c r="M628" s="111" t="s">
        <v>2628</v>
      </c>
      <c r="N628" s="113"/>
      <c r="O628" s="114" t="s">
        <v>4373</v>
      </c>
      <c r="P628" s="114" t="s">
        <v>4373</v>
      </c>
      <c r="Q628" s="114" t="s">
        <v>4373</v>
      </c>
      <c r="R628" s="114" t="s">
        <v>4467</v>
      </c>
      <c r="S628" s="114" t="s">
        <v>4373</v>
      </c>
      <c r="T628" s="114" t="s">
        <v>4356</v>
      </c>
      <c r="U628" s="114" t="s">
        <v>4356</v>
      </c>
      <c r="V628" s="115"/>
      <c r="W628" s="116" t="s">
        <v>1818</v>
      </c>
      <c r="X628" s="116" t="s">
        <v>3356</v>
      </c>
      <c r="Y628" s="117">
        <v>3485182</v>
      </c>
      <c r="Z628" s="117">
        <v>3481000</v>
      </c>
      <c r="AA628" s="118"/>
      <c r="AB628" s="119" t="s">
        <v>5754</v>
      </c>
      <c r="AC628" s="119" t="s">
        <v>1819</v>
      </c>
      <c r="AD628" s="119">
        <v>4112</v>
      </c>
      <c r="AE628" s="119" t="s">
        <v>1820</v>
      </c>
      <c r="AF628" s="119">
        <v>0</v>
      </c>
      <c r="AG628" s="120"/>
      <c r="AH628" s="121">
        <v>44197</v>
      </c>
      <c r="AI628" s="121">
        <v>44197</v>
      </c>
      <c r="AJ628" s="121">
        <v>44197</v>
      </c>
      <c r="AK628" s="122">
        <v>44197</v>
      </c>
      <c r="AL628" s="122">
        <v>45292</v>
      </c>
      <c r="AM628" s="121" t="e">
        <v>#N/A</v>
      </c>
      <c r="AN628" s="121" t="s">
        <v>7059</v>
      </c>
      <c r="AO628" s="121" t="e">
        <v>#N/A</v>
      </c>
      <c r="AP628" s="122" t="e">
        <v>#N/A</v>
      </c>
      <c r="AQ628" s="122" t="e">
        <v>#N/A</v>
      </c>
      <c r="AR628" s="122" t="e">
        <v>#N/A</v>
      </c>
      <c r="AS628" s="122" t="e">
        <v>#N/A</v>
      </c>
      <c r="AT628" s="122" t="e">
        <v>#N/A</v>
      </c>
      <c r="AU628" s="121" t="e">
        <v>#N/A</v>
      </c>
      <c r="AV628" s="122" t="e">
        <v>#N/A</v>
      </c>
      <c r="AW628" s="122">
        <v>45643</v>
      </c>
      <c r="AX628" s="122" t="e">
        <v>#N/A</v>
      </c>
      <c r="AY628" s="122" t="e">
        <v>#N/A</v>
      </c>
      <c r="AZ628" s="122" t="e">
        <v>#N/A</v>
      </c>
      <c r="BA628" s="122" t="e">
        <v>#N/A</v>
      </c>
      <c r="BB628" s="122" t="e">
        <v>#N/A</v>
      </c>
      <c r="BC628" s="122" t="e">
        <v>#N/A</v>
      </c>
      <c r="BD628" s="122" t="e">
        <v>#N/A</v>
      </c>
      <c r="BE628" s="122" t="e">
        <v>#N/A</v>
      </c>
      <c r="BF628" s="122" t="e">
        <v>#N/A</v>
      </c>
      <c r="BG628" s="122" t="e">
        <v>#N/A</v>
      </c>
      <c r="BH628" s="122" t="e">
        <v>#N/A</v>
      </c>
      <c r="BI628" s="122" t="e">
        <v>#N/A</v>
      </c>
      <c r="BJ628" s="122" t="e">
        <v>#N/A</v>
      </c>
      <c r="BK628" s="122" t="e">
        <v>#N/A</v>
      </c>
      <c r="BL628" s="123"/>
      <c r="BM628" s="124" t="e">
        <v>#N/A</v>
      </c>
      <c r="BN628" s="124" t="e">
        <v>#N/A</v>
      </c>
      <c r="BO628" s="124" t="e">
        <v>#N/A</v>
      </c>
      <c r="BP628" s="124" t="e">
        <v>#N/A</v>
      </c>
      <c r="BQ628" s="124" t="e">
        <v>#N/A</v>
      </c>
      <c r="BR628" s="124" t="e">
        <v>#N/A</v>
      </c>
      <c r="BS628" s="124" t="e">
        <v>#N/A</v>
      </c>
      <c r="BT628" s="124" t="e">
        <v>#N/A</v>
      </c>
      <c r="BU628" s="124" t="e">
        <v>#N/A</v>
      </c>
      <c r="BV628" s="124" t="e">
        <v>#N/A</v>
      </c>
      <c r="BW628" s="124" t="e">
        <v>#N/A</v>
      </c>
      <c r="BX628" s="124" t="e">
        <v>#N/A</v>
      </c>
      <c r="BY628" s="124" t="e">
        <v>#N/A</v>
      </c>
      <c r="BZ628" s="124" t="e">
        <v>#N/A</v>
      </c>
      <c r="CA628" s="125"/>
      <c r="CB628" s="124" t="e">
        <v>#N/A</v>
      </c>
      <c r="CC628" s="126">
        <v>1</v>
      </c>
      <c r="CD628" s="127" t="e">
        <v>#N/A</v>
      </c>
      <c r="CE628" s="128"/>
      <c r="CF628" s="77" t="s">
        <v>4981</v>
      </c>
    </row>
    <row r="629" spans="1:84" ht="14.5" x14ac:dyDescent="0.35">
      <c r="A629" s="77">
        <v>628</v>
      </c>
      <c r="B629" s="106" t="s">
        <v>4817</v>
      </c>
      <c r="C629" s="107" t="s">
        <v>6792</v>
      </c>
      <c r="D629" s="108" t="s">
        <v>4818</v>
      </c>
      <c r="E629" s="109" t="s">
        <v>4819</v>
      </c>
      <c r="F629" s="110">
        <v>642538708</v>
      </c>
      <c r="G629" s="108" t="s">
        <v>1004</v>
      </c>
      <c r="H629" s="111" t="s">
        <v>2461</v>
      </c>
      <c r="I629" s="111" t="s">
        <v>180</v>
      </c>
      <c r="J629" s="111" t="s">
        <v>4649</v>
      </c>
      <c r="K629" s="111" t="s">
        <v>3367</v>
      </c>
      <c r="L629" s="112">
        <v>45831</v>
      </c>
      <c r="M629" s="111" t="s">
        <v>3001</v>
      </c>
      <c r="N629" s="113"/>
      <c r="O629" s="114" t="s">
        <v>310</v>
      </c>
      <c r="P629" s="114" t="s">
        <v>694</v>
      </c>
      <c r="Q629" s="114" t="s">
        <v>183</v>
      </c>
      <c r="R629" s="114" t="s">
        <v>7462</v>
      </c>
      <c r="S629" s="114" t="s">
        <v>694</v>
      </c>
      <c r="T629" s="114" t="s">
        <v>310</v>
      </c>
      <c r="U629" s="114" t="s">
        <v>310</v>
      </c>
      <c r="V629" s="115"/>
      <c r="W629" s="116" t="s">
        <v>4820</v>
      </c>
      <c r="X629" s="116" t="s">
        <v>4821</v>
      </c>
      <c r="Y629" s="117">
        <v>3487123</v>
      </c>
      <c r="Z629" s="117">
        <v>3486789</v>
      </c>
      <c r="AA629" s="118"/>
      <c r="AB629" s="119" t="s">
        <v>4822</v>
      </c>
      <c r="AC629" s="119" t="s">
        <v>4823</v>
      </c>
      <c r="AD629" s="119">
        <v>26293</v>
      </c>
      <c r="AE629" s="119" t="s">
        <v>4824</v>
      </c>
      <c r="AF629" s="119" t="s">
        <v>6190</v>
      </c>
      <c r="AG629" s="120"/>
      <c r="AH629" s="121">
        <v>45831</v>
      </c>
      <c r="AI629" s="121">
        <v>45831</v>
      </c>
      <c r="AJ629" s="121">
        <v>45831</v>
      </c>
      <c r="AK629" s="122">
        <v>45831</v>
      </c>
      <c r="AL629" s="122" t="e">
        <v>#N/A</v>
      </c>
      <c r="AM629" s="121" t="e">
        <v>#N/A</v>
      </c>
      <c r="AN629" s="121" t="e">
        <v>#N/A</v>
      </c>
      <c r="AO629" s="121" t="e">
        <v>#N/A</v>
      </c>
      <c r="AP629" s="122" t="e">
        <v>#N/A</v>
      </c>
      <c r="AQ629" s="122" t="e">
        <v>#N/A</v>
      </c>
      <c r="AR629" s="122" t="e">
        <v>#N/A</v>
      </c>
      <c r="AS629" s="122" t="e">
        <v>#N/A</v>
      </c>
      <c r="AT629" s="122" t="e">
        <v>#N/A</v>
      </c>
      <c r="AU629" s="121" t="e">
        <v>#N/A</v>
      </c>
      <c r="AV629" s="122" t="e">
        <v>#N/A</v>
      </c>
      <c r="AW629" s="122">
        <v>45828</v>
      </c>
      <c r="AX629" s="122" t="e">
        <v>#N/A</v>
      </c>
      <c r="AY629" s="122" t="e">
        <v>#N/A</v>
      </c>
      <c r="AZ629" s="122" t="e">
        <v>#N/A</v>
      </c>
      <c r="BA629" s="122" t="e">
        <v>#N/A</v>
      </c>
      <c r="BB629" s="122" t="e">
        <v>#N/A</v>
      </c>
      <c r="BC629" s="122" t="e">
        <v>#N/A</v>
      </c>
      <c r="BD629" s="122" t="e">
        <v>#N/A</v>
      </c>
      <c r="BE629" s="122" t="e">
        <v>#N/A</v>
      </c>
      <c r="BF629" s="122" t="e">
        <v>#N/A</v>
      </c>
      <c r="BG629" s="122" t="e">
        <v>#N/A</v>
      </c>
      <c r="BH629" s="122" t="e">
        <v>#N/A</v>
      </c>
      <c r="BI629" s="122" t="e">
        <v>#N/A</v>
      </c>
      <c r="BJ629" s="122" t="e">
        <v>#N/A</v>
      </c>
      <c r="BK629" s="122">
        <v>45954</v>
      </c>
      <c r="BL629" s="123"/>
      <c r="BM629" s="124" t="e">
        <v>#N/A</v>
      </c>
      <c r="BN629" s="124" t="e">
        <v>#N/A</v>
      </c>
      <c r="BO629" s="124" t="e">
        <v>#N/A</v>
      </c>
      <c r="BP629" s="124" t="e">
        <v>#N/A</v>
      </c>
      <c r="BQ629" s="124" t="e">
        <v>#N/A</v>
      </c>
      <c r="BR629" s="124" t="e">
        <v>#N/A</v>
      </c>
      <c r="BS629" s="124" t="e">
        <v>#N/A</v>
      </c>
      <c r="BT629" s="124" t="e">
        <v>#N/A</v>
      </c>
      <c r="BU629" s="124" t="e">
        <v>#N/A</v>
      </c>
      <c r="BV629" s="124" t="e">
        <v>#N/A</v>
      </c>
      <c r="BW629" s="124" t="e">
        <v>#N/A</v>
      </c>
      <c r="BX629" s="124" t="e">
        <v>#N/A</v>
      </c>
      <c r="BY629" s="124" t="e">
        <v>#N/A</v>
      </c>
      <c r="BZ629" s="124" t="e">
        <v>#N/A</v>
      </c>
      <c r="CA629" s="125"/>
      <c r="CB629" s="124">
        <v>45828</v>
      </c>
      <c r="CC629" s="126">
        <v>1</v>
      </c>
      <c r="CD629" s="127" t="s">
        <v>4980</v>
      </c>
      <c r="CE629" s="128"/>
      <c r="CF629" s="77" t="s">
        <v>4984</v>
      </c>
    </row>
    <row r="630" spans="1:84" ht="14.5" x14ac:dyDescent="0.35">
      <c r="A630" s="77">
        <v>629</v>
      </c>
      <c r="B630" s="106" t="s">
        <v>2421</v>
      </c>
      <c r="C630" s="107" t="s">
        <v>6515</v>
      </c>
      <c r="D630" s="108" t="s">
        <v>2401</v>
      </c>
      <c r="E630" s="109" t="s">
        <v>2402</v>
      </c>
      <c r="F630" s="110" t="s">
        <v>2403</v>
      </c>
      <c r="G630" s="108" t="s">
        <v>1004</v>
      </c>
      <c r="H630" s="111" t="s">
        <v>2461</v>
      </c>
      <c r="I630" s="111" t="s">
        <v>180</v>
      </c>
      <c r="J630" s="111" t="s">
        <v>4649</v>
      </c>
      <c r="K630" s="111" t="s">
        <v>2861</v>
      </c>
      <c r="L630" s="112">
        <v>45003</v>
      </c>
      <c r="M630" s="111" t="s">
        <v>3001</v>
      </c>
      <c r="N630" s="113"/>
      <c r="O630" s="114" t="s">
        <v>4373</v>
      </c>
      <c r="P630" s="114" t="s">
        <v>4467</v>
      </c>
      <c r="Q630" s="114" t="s">
        <v>4467</v>
      </c>
      <c r="R630" s="114" t="s">
        <v>4373</v>
      </c>
      <c r="S630" s="114" t="s">
        <v>4373</v>
      </c>
      <c r="T630" s="114" t="s">
        <v>4356</v>
      </c>
      <c r="U630" s="114" t="s">
        <v>4356</v>
      </c>
      <c r="V630" s="115"/>
      <c r="W630" s="116" t="s">
        <v>2404</v>
      </c>
      <c r="X630" s="116" t="s">
        <v>2405</v>
      </c>
      <c r="Y630" s="117">
        <v>3485737</v>
      </c>
      <c r="Z630" s="117">
        <v>3486627</v>
      </c>
      <c r="AA630" s="118"/>
      <c r="AB630" s="119" t="s">
        <v>2406</v>
      </c>
      <c r="AC630" s="119" t="s">
        <v>2407</v>
      </c>
      <c r="AD630" s="119">
        <v>4502</v>
      </c>
      <c r="AE630" s="119" t="s">
        <v>2422</v>
      </c>
      <c r="AF630" s="119" t="s">
        <v>6235</v>
      </c>
      <c r="AG630" s="120"/>
      <c r="AH630" s="121">
        <v>44882</v>
      </c>
      <c r="AI630" s="121">
        <v>44882</v>
      </c>
      <c r="AJ630" s="121">
        <v>44882</v>
      </c>
      <c r="AK630" s="122">
        <v>45056</v>
      </c>
      <c r="AL630" s="122" t="e">
        <v>#N/A</v>
      </c>
      <c r="AM630" s="121" t="e">
        <v>#N/A</v>
      </c>
      <c r="AN630" s="121" t="e">
        <v>#N/A</v>
      </c>
      <c r="AO630" s="121" t="e">
        <v>#N/A</v>
      </c>
      <c r="AP630" s="122" t="e">
        <v>#N/A</v>
      </c>
      <c r="AQ630" s="122" t="e">
        <v>#N/A</v>
      </c>
      <c r="AR630" s="122" t="e">
        <v>#N/A</v>
      </c>
      <c r="AS630" s="122" t="e">
        <v>#N/A</v>
      </c>
      <c r="AT630" s="122" t="e">
        <v>#N/A</v>
      </c>
      <c r="AU630" s="121" t="e">
        <v>#N/A</v>
      </c>
      <c r="AV630" s="122" t="e">
        <v>#N/A</v>
      </c>
      <c r="AW630" s="122">
        <v>45755</v>
      </c>
      <c r="AX630" s="122" t="e">
        <v>#N/A</v>
      </c>
      <c r="AY630" s="122" t="e">
        <v>#N/A</v>
      </c>
      <c r="AZ630" s="122" t="e">
        <v>#N/A</v>
      </c>
      <c r="BA630" s="122" t="e">
        <v>#N/A</v>
      </c>
      <c r="BB630" s="122" t="e">
        <v>#N/A</v>
      </c>
      <c r="BC630" s="122" t="e">
        <v>#N/A</v>
      </c>
      <c r="BD630" s="122" t="e">
        <v>#N/A</v>
      </c>
      <c r="BE630" s="122" t="e">
        <v>#N/A</v>
      </c>
      <c r="BF630" s="122" t="e">
        <v>#N/A</v>
      </c>
      <c r="BG630" s="122" t="e">
        <v>#N/A</v>
      </c>
      <c r="BH630" s="122" t="e">
        <v>#N/A</v>
      </c>
      <c r="BI630" s="122" t="e">
        <v>#N/A</v>
      </c>
      <c r="BJ630" s="122" t="e">
        <v>#N/A</v>
      </c>
      <c r="BK630" s="122">
        <v>45957</v>
      </c>
      <c r="BL630" s="123"/>
      <c r="BM630" s="124" t="e">
        <v>#N/A</v>
      </c>
      <c r="BN630" s="124" t="e">
        <v>#N/A</v>
      </c>
      <c r="BO630" s="124" t="e">
        <v>#N/A</v>
      </c>
      <c r="BP630" s="124" t="e">
        <v>#N/A</v>
      </c>
      <c r="BQ630" s="124" t="e">
        <v>#N/A</v>
      </c>
      <c r="BR630" s="124" t="e">
        <v>#N/A</v>
      </c>
      <c r="BS630" s="124" t="e">
        <v>#N/A</v>
      </c>
      <c r="BT630" s="124" t="e">
        <v>#N/A</v>
      </c>
      <c r="BU630" s="124" t="e">
        <v>#N/A</v>
      </c>
      <c r="BV630" s="124" t="e">
        <v>#N/A</v>
      </c>
      <c r="BW630" s="124" t="e">
        <v>#N/A</v>
      </c>
      <c r="BX630" s="124" t="e">
        <v>#N/A</v>
      </c>
      <c r="BY630" s="124" t="e">
        <v>#N/A</v>
      </c>
      <c r="BZ630" s="124" t="e">
        <v>#N/A</v>
      </c>
      <c r="CA630" s="125"/>
      <c r="CB630" s="124">
        <v>45842</v>
      </c>
      <c r="CC630" s="126">
        <v>1</v>
      </c>
      <c r="CD630" s="127" t="s">
        <v>4191</v>
      </c>
      <c r="CE630" s="128"/>
      <c r="CF630" s="77" t="s">
        <v>4981</v>
      </c>
    </row>
    <row r="631" spans="1:84" ht="14.5" x14ac:dyDescent="0.35">
      <c r="A631" s="77">
        <v>630</v>
      </c>
      <c r="B631" s="106" t="s">
        <v>4971</v>
      </c>
      <c r="C631" s="107" t="s">
        <v>6667</v>
      </c>
      <c r="D631" s="108" t="s">
        <v>4972</v>
      </c>
      <c r="E631" s="109" t="s">
        <v>4973</v>
      </c>
      <c r="F631" s="110">
        <v>692481562</v>
      </c>
      <c r="G631" s="108" t="s">
        <v>1004</v>
      </c>
      <c r="H631" s="111" t="s">
        <v>2461</v>
      </c>
      <c r="I631" s="111" t="s">
        <v>180</v>
      </c>
      <c r="J631" s="111" t="s">
        <v>4649</v>
      </c>
      <c r="K631" s="111" t="s">
        <v>3367</v>
      </c>
      <c r="L631" s="112">
        <v>45495</v>
      </c>
      <c r="M631" s="111" t="s">
        <v>3001</v>
      </c>
      <c r="N631" s="113"/>
      <c r="O631" s="114" t="s">
        <v>226</v>
      </c>
      <c r="P631" s="114" t="s">
        <v>225</v>
      </c>
      <c r="Q631" s="114" t="s">
        <v>226</v>
      </c>
      <c r="R631" s="114" t="s">
        <v>7331</v>
      </c>
      <c r="S631" s="114" t="s">
        <v>226</v>
      </c>
      <c r="T631" s="114" t="s">
        <v>183</v>
      </c>
      <c r="U631" s="114" t="s">
        <v>183</v>
      </c>
      <c r="V631" s="115"/>
      <c r="W631" s="116" t="s">
        <v>4974</v>
      </c>
      <c r="X631" s="116" t="s">
        <v>4975</v>
      </c>
      <c r="Y631" s="117">
        <v>3485783</v>
      </c>
      <c r="Z631" s="117">
        <v>3486755</v>
      </c>
      <c r="AA631" s="118"/>
      <c r="AB631" s="119" t="s">
        <v>5755</v>
      </c>
      <c r="AC631" s="119" t="s">
        <v>4976</v>
      </c>
      <c r="AD631" s="119" t="s">
        <v>4977</v>
      </c>
      <c r="AE631" s="119" t="s">
        <v>4978</v>
      </c>
      <c r="AF631" s="119" t="s">
        <v>6668</v>
      </c>
      <c r="AG631" s="120"/>
      <c r="AH631" s="121">
        <v>45873</v>
      </c>
      <c r="AI631" s="121">
        <v>45873</v>
      </c>
      <c r="AJ631" s="121">
        <v>45873</v>
      </c>
      <c r="AK631" s="122">
        <v>45873</v>
      </c>
      <c r="AL631" s="122" t="e">
        <v>#N/A</v>
      </c>
      <c r="AM631" s="121" t="e">
        <v>#N/A</v>
      </c>
      <c r="AN631" s="121" t="e">
        <v>#N/A</v>
      </c>
      <c r="AO631" s="121" t="e">
        <v>#N/A</v>
      </c>
      <c r="AP631" s="122" t="e">
        <v>#N/A</v>
      </c>
      <c r="AQ631" s="122" t="e">
        <v>#N/A</v>
      </c>
      <c r="AR631" s="122" t="e">
        <v>#N/A</v>
      </c>
      <c r="AS631" s="122" t="e">
        <v>#N/A</v>
      </c>
      <c r="AT631" s="122" t="e">
        <v>#N/A</v>
      </c>
      <c r="AU631" s="121" t="e">
        <v>#N/A</v>
      </c>
      <c r="AV631" s="122" t="e">
        <v>#N/A</v>
      </c>
      <c r="AW631" s="122">
        <v>45873</v>
      </c>
      <c r="AX631" s="122" t="e">
        <v>#N/A</v>
      </c>
      <c r="AY631" s="122" t="e">
        <v>#N/A</v>
      </c>
      <c r="AZ631" s="122" t="e">
        <v>#N/A</v>
      </c>
      <c r="BA631" s="122" t="e">
        <v>#N/A</v>
      </c>
      <c r="BB631" s="122" t="e">
        <v>#N/A</v>
      </c>
      <c r="BC631" s="122" t="e">
        <v>#N/A</v>
      </c>
      <c r="BD631" s="122" t="e">
        <v>#N/A</v>
      </c>
      <c r="BE631" s="122" t="e">
        <v>#N/A</v>
      </c>
      <c r="BF631" s="122" t="e">
        <v>#N/A</v>
      </c>
      <c r="BG631" s="122" t="e">
        <v>#N/A</v>
      </c>
      <c r="BH631" s="122" t="e">
        <v>#N/A</v>
      </c>
      <c r="BI631" s="122" t="e">
        <v>#N/A</v>
      </c>
      <c r="BJ631" s="122" t="e">
        <v>#N/A</v>
      </c>
      <c r="BK631" s="122">
        <v>45958</v>
      </c>
      <c r="BL631" s="123"/>
      <c r="BM631" s="124" t="e">
        <v>#N/A</v>
      </c>
      <c r="BN631" s="124" t="e">
        <v>#N/A</v>
      </c>
      <c r="BO631" s="124" t="e">
        <v>#N/A</v>
      </c>
      <c r="BP631" s="124" t="e">
        <v>#N/A</v>
      </c>
      <c r="BQ631" s="124" t="e">
        <v>#N/A</v>
      </c>
      <c r="BR631" s="124" t="e">
        <v>#N/A</v>
      </c>
      <c r="BS631" s="124" t="e">
        <v>#N/A</v>
      </c>
      <c r="BT631" s="124" t="e">
        <v>#N/A</v>
      </c>
      <c r="BU631" s="124" t="e">
        <v>#N/A</v>
      </c>
      <c r="BV631" s="124" t="e">
        <v>#N/A</v>
      </c>
      <c r="BW631" s="124" t="e">
        <v>#N/A</v>
      </c>
      <c r="BX631" s="124" t="e">
        <v>#N/A</v>
      </c>
      <c r="BY631" s="124" t="e">
        <v>#N/A</v>
      </c>
      <c r="BZ631" s="124" t="e">
        <v>#N/A</v>
      </c>
      <c r="CA631" s="125"/>
      <c r="CB631" s="124" t="e">
        <v>#N/A</v>
      </c>
      <c r="CC631" s="126">
        <v>1</v>
      </c>
      <c r="CD631" s="127" t="s">
        <v>4904</v>
      </c>
      <c r="CE631" s="128"/>
      <c r="CF631" s="77" t="s">
        <v>4981</v>
      </c>
    </row>
    <row r="632" spans="1:84" ht="14.5" x14ac:dyDescent="0.35">
      <c r="A632" s="77">
        <v>631</v>
      </c>
      <c r="B632" s="106" t="s">
        <v>5194</v>
      </c>
      <c r="C632" s="107" t="s">
        <v>6812</v>
      </c>
      <c r="D632" s="108" t="s">
        <v>5321</v>
      </c>
      <c r="E632" s="109" t="s">
        <v>5322</v>
      </c>
      <c r="F632" s="110">
        <v>603218783</v>
      </c>
      <c r="G632" s="108" t="s">
        <v>1004</v>
      </c>
      <c r="H632" s="111" t="s">
        <v>2461</v>
      </c>
      <c r="I632" s="111" t="s">
        <v>180</v>
      </c>
      <c r="J632" s="111" t="s">
        <v>4649</v>
      </c>
      <c r="K632" s="111" t="s">
        <v>2861</v>
      </c>
      <c r="L632" s="112">
        <v>45873</v>
      </c>
      <c r="M632" s="111" t="s">
        <v>3771</v>
      </c>
      <c r="N632" s="113"/>
      <c r="O632" s="114" t="s">
        <v>246</v>
      </c>
      <c r="P632" s="114" t="s">
        <v>183</v>
      </c>
      <c r="Q632" s="114" t="s">
        <v>257</v>
      </c>
      <c r="R632" s="114" t="s">
        <v>246</v>
      </c>
      <c r="S632" s="114" t="s">
        <v>183</v>
      </c>
      <c r="T632" s="114" t="s">
        <v>246</v>
      </c>
      <c r="U632" s="114" t="s">
        <v>246</v>
      </c>
      <c r="V632" s="115"/>
      <c r="W632" s="116" t="s">
        <v>5323</v>
      </c>
      <c r="X632" s="116" t="s">
        <v>5324</v>
      </c>
      <c r="Y632" s="117">
        <v>3487131</v>
      </c>
      <c r="Z632" s="117">
        <v>3486812</v>
      </c>
      <c r="AA632" s="118"/>
      <c r="AB632" s="119" t="s">
        <v>5899</v>
      </c>
      <c r="AC632" s="119" t="s">
        <v>5325</v>
      </c>
      <c r="AD632" s="119" t="s">
        <v>5326</v>
      </c>
      <c r="AE632" s="119" t="s">
        <v>5327</v>
      </c>
      <c r="AF632" s="119" t="s">
        <v>7229</v>
      </c>
      <c r="AG632" s="120"/>
      <c r="AH632" s="121">
        <v>45873</v>
      </c>
      <c r="AI632" s="121">
        <v>45873</v>
      </c>
      <c r="AJ632" s="121">
        <v>45873</v>
      </c>
      <c r="AK632" s="122">
        <v>45873</v>
      </c>
      <c r="AL632" s="122" t="e">
        <v>#N/A</v>
      </c>
      <c r="AM632" s="121" t="e">
        <v>#N/A</v>
      </c>
      <c r="AN632" s="121" t="e">
        <v>#N/A</v>
      </c>
      <c r="AO632" s="121" t="e">
        <v>#N/A</v>
      </c>
      <c r="AP632" s="122" t="e">
        <v>#N/A</v>
      </c>
      <c r="AQ632" s="122" t="e">
        <v>#N/A</v>
      </c>
      <c r="AR632" s="122" t="e">
        <v>#N/A</v>
      </c>
      <c r="AS632" s="122" t="e">
        <v>#N/A</v>
      </c>
      <c r="AT632" s="122" t="e">
        <v>#N/A</v>
      </c>
      <c r="AU632" s="121" t="e">
        <v>#N/A</v>
      </c>
      <c r="AV632" s="122" t="e">
        <v>#N/A</v>
      </c>
      <c r="AW632" s="122">
        <v>45873</v>
      </c>
      <c r="AX632" s="122" t="e">
        <v>#N/A</v>
      </c>
      <c r="AY632" s="122" t="e">
        <v>#N/A</v>
      </c>
      <c r="AZ632" s="122" t="e">
        <v>#N/A</v>
      </c>
      <c r="BA632" s="122" t="e">
        <v>#N/A</v>
      </c>
      <c r="BB632" s="122" t="e">
        <v>#N/A</v>
      </c>
      <c r="BC632" s="122" t="e">
        <v>#N/A</v>
      </c>
      <c r="BD632" s="122" t="e">
        <v>#N/A</v>
      </c>
      <c r="BE632" s="122" t="e">
        <v>#N/A</v>
      </c>
      <c r="BF632" s="122" t="e">
        <v>#N/A</v>
      </c>
      <c r="BG632" s="122" t="e">
        <v>#N/A</v>
      </c>
      <c r="BH632" s="122" t="e">
        <v>#N/A</v>
      </c>
      <c r="BI632" s="122" t="e">
        <v>#N/A</v>
      </c>
      <c r="BJ632" s="122" t="e">
        <v>#N/A</v>
      </c>
      <c r="BK632" s="122">
        <v>45961</v>
      </c>
      <c r="BL632" s="123"/>
      <c r="BM632" s="124" t="e">
        <v>#N/A</v>
      </c>
      <c r="BN632" s="124" t="e">
        <v>#N/A</v>
      </c>
      <c r="BO632" s="124" t="e">
        <v>#N/A</v>
      </c>
      <c r="BP632" s="124" t="e">
        <v>#N/A</v>
      </c>
      <c r="BQ632" s="124" t="e">
        <v>#N/A</v>
      </c>
      <c r="BR632" s="124" t="e">
        <v>#N/A</v>
      </c>
      <c r="BS632" s="124" t="e">
        <v>#N/A</v>
      </c>
      <c r="BT632" s="124" t="e">
        <v>#N/A</v>
      </c>
      <c r="BU632" s="124" t="e">
        <v>#N/A</v>
      </c>
      <c r="BV632" s="124" t="e">
        <v>#N/A</v>
      </c>
      <c r="BW632" s="124" t="e">
        <v>#N/A</v>
      </c>
      <c r="BX632" s="124" t="e">
        <v>#N/A</v>
      </c>
      <c r="BY632" s="124" t="e">
        <v>#N/A</v>
      </c>
      <c r="BZ632" s="124" t="e">
        <v>#N/A</v>
      </c>
      <c r="CA632" s="125"/>
      <c r="CB632" s="124" t="e">
        <v>#N/A</v>
      </c>
      <c r="CC632" s="126">
        <v>1</v>
      </c>
      <c r="CD632" s="127" t="e">
        <v>#N/A</v>
      </c>
      <c r="CE632" s="128"/>
      <c r="CF632" s="77" t="s">
        <v>4981</v>
      </c>
    </row>
    <row r="633" spans="1:84" ht="14.5" x14ac:dyDescent="0.35">
      <c r="A633" s="77">
        <v>632</v>
      </c>
      <c r="B633" s="106" t="s">
        <v>6026</v>
      </c>
      <c r="C633" s="107" t="s">
        <v>6575</v>
      </c>
      <c r="D633" s="108" t="s">
        <v>6027</v>
      </c>
      <c r="E633" s="109" t="s">
        <v>6028</v>
      </c>
      <c r="F633" s="110">
        <v>637221746</v>
      </c>
      <c r="G633" s="108" t="s">
        <v>1004</v>
      </c>
      <c r="H633" s="111" t="s">
        <v>2461</v>
      </c>
      <c r="I633" s="111" t="s">
        <v>180</v>
      </c>
      <c r="J633" s="111" t="s">
        <v>4649</v>
      </c>
      <c r="K633" s="111" t="s">
        <v>2861</v>
      </c>
      <c r="L633" s="112">
        <v>45195</v>
      </c>
      <c r="M633" s="111" t="s">
        <v>984</v>
      </c>
      <c r="N633" s="113"/>
      <c r="O633" s="114" t="s">
        <v>4469</v>
      </c>
      <c r="P633" s="114" t="s">
        <v>4469</v>
      </c>
      <c r="Q633" s="114" t="s">
        <v>4356</v>
      </c>
      <c r="R633" s="114" t="s">
        <v>4356</v>
      </c>
      <c r="S633" s="114" t="s">
        <v>4469</v>
      </c>
      <c r="T633" s="114" t="s">
        <v>4469</v>
      </c>
      <c r="U633" s="114" t="s">
        <v>4469</v>
      </c>
      <c r="V633" s="115"/>
      <c r="W633" s="116" t="s">
        <v>6029</v>
      </c>
      <c r="X633" s="116" t="s">
        <v>6030</v>
      </c>
      <c r="Y633" s="117">
        <v>3485813</v>
      </c>
      <c r="Z633" s="117">
        <v>3486582</v>
      </c>
      <c r="AA633" s="118"/>
      <c r="AB633" s="119" t="s">
        <v>6031</v>
      </c>
      <c r="AC633" s="119" t="s">
        <v>6032</v>
      </c>
      <c r="AD633" s="119">
        <v>4073</v>
      </c>
      <c r="AE633" s="119" t="s">
        <v>6033</v>
      </c>
      <c r="AF633" s="119" t="s">
        <v>7161</v>
      </c>
      <c r="AG633" s="120"/>
      <c r="AH633" s="121">
        <v>45195</v>
      </c>
      <c r="AI633" s="121">
        <v>45240</v>
      </c>
      <c r="AJ633" s="121">
        <v>45195</v>
      </c>
      <c r="AK633" s="122">
        <v>45240</v>
      </c>
      <c r="AL633" s="122">
        <v>45238</v>
      </c>
      <c r="AM633" s="121">
        <v>45240</v>
      </c>
      <c r="AN633" s="121" t="e">
        <v>#N/A</v>
      </c>
      <c r="AO633" s="121" t="e">
        <v>#N/A</v>
      </c>
      <c r="AP633" s="122" t="e">
        <v>#N/A</v>
      </c>
      <c r="AQ633" s="122" t="e">
        <v>#N/A</v>
      </c>
      <c r="AR633" s="122">
        <v>45239</v>
      </c>
      <c r="AS633" s="122" t="e">
        <v>#N/A</v>
      </c>
      <c r="AT633" s="122">
        <v>45731</v>
      </c>
      <c r="AU633" s="121">
        <v>45922</v>
      </c>
      <c r="AV633" s="122">
        <v>45786</v>
      </c>
      <c r="AW633" s="122">
        <v>45756</v>
      </c>
      <c r="AX633" s="122" t="e">
        <v>#N/A</v>
      </c>
      <c r="AY633" s="122" t="e">
        <v>#N/A</v>
      </c>
      <c r="AZ633" s="122" t="e">
        <v>#N/A</v>
      </c>
      <c r="BA633" s="122" t="e">
        <v>#N/A</v>
      </c>
      <c r="BB633" s="122" t="e">
        <v>#N/A</v>
      </c>
      <c r="BC633" s="122">
        <v>45355</v>
      </c>
      <c r="BD633" s="122" t="e">
        <v>#N/A</v>
      </c>
      <c r="BE633" s="122" t="e">
        <v>#N/A</v>
      </c>
      <c r="BF633" s="122" t="e">
        <v>#N/A</v>
      </c>
      <c r="BG633" s="122" t="e">
        <v>#N/A</v>
      </c>
      <c r="BH633" s="122" t="e">
        <v>#N/A</v>
      </c>
      <c r="BI633" s="122" t="e">
        <v>#N/A</v>
      </c>
      <c r="BJ633" s="122" t="e">
        <v>#N/A</v>
      </c>
      <c r="BK633" s="122">
        <v>45980</v>
      </c>
      <c r="BL633" s="123"/>
      <c r="BM633" s="124" t="e">
        <v>#N/A</v>
      </c>
      <c r="BN633" s="124" t="e">
        <v>#N/A</v>
      </c>
      <c r="BO633" s="124" t="e">
        <v>#N/A</v>
      </c>
      <c r="BP633" s="124" t="e">
        <v>#N/A</v>
      </c>
      <c r="BQ633" s="124" t="e">
        <v>#N/A</v>
      </c>
      <c r="BR633" s="124" t="e">
        <v>#N/A</v>
      </c>
      <c r="BS633" s="124" t="e">
        <v>#N/A</v>
      </c>
      <c r="BT633" s="124" t="e">
        <v>#N/A</v>
      </c>
      <c r="BU633" s="124" t="e">
        <v>#N/A</v>
      </c>
      <c r="BV633" s="124" t="e">
        <v>#N/A</v>
      </c>
      <c r="BW633" s="124" t="e">
        <v>#N/A</v>
      </c>
      <c r="BX633" s="124" t="e">
        <v>#N/A</v>
      </c>
      <c r="BY633" s="124" t="e">
        <v>#N/A</v>
      </c>
      <c r="BZ633" s="124" t="e">
        <v>#N/A</v>
      </c>
      <c r="CA633" s="125"/>
      <c r="CB633" s="124">
        <v>45734</v>
      </c>
      <c r="CC633" s="126">
        <v>1</v>
      </c>
      <c r="CD633" s="127" t="s">
        <v>4181</v>
      </c>
      <c r="CE633" s="128"/>
      <c r="CF633" s="77" t="s">
        <v>4981</v>
      </c>
    </row>
    <row r="634" spans="1:84" ht="14.5" x14ac:dyDescent="0.35">
      <c r="A634" s="77">
        <v>633</v>
      </c>
      <c r="B634" s="106" t="s">
        <v>4230</v>
      </c>
      <c r="C634" s="107" t="s">
        <v>6731</v>
      </c>
      <c r="D634" s="108" t="s">
        <v>4231</v>
      </c>
      <c r="E634" s="109" t="s">
        <v>4232</v>
      </c>
      <c r="F634" s="110">
        <v>600889735</v>
      </c>
      <c r="G634" s="108" t="s">
        <v>190</v>
      </c>
      <c r="H634" s="111" t="s">
        <v>2461</v>
      </c>
      <c r="I634" s="111" t="s">
        <v>180</v>
      </c>
      <c r="J634" s="111" t="s">
        <v>4649</v>
      </c>
      <c r="K634" s="111" t="s">
        <v>3367</v>
      </c>
      <c r="L634" s="112">
        <v>45644</v>
      </c>
      <c r="M634" s="111" t="s">
        <v>3771</v>
      </c>
      <c r="N634" s="113"/>
      <c r="O634" s="114" t="s">
        <v>2653</v>
      </c>
      <c r="P634" s="114" t="s">
        <v>183</v>
      </c>
      <c r="Q634" s="114" t="s">
        <v>183</v>
      </c>
      <c r="R634" s="114" t="s">
        <v>7417</v>
      </c>
      <c r="S634" s="114" t="s">
        <v>2653</v>
      </c>
      <c r="T634" s="114" t="s">
        <v>7271</v>
      </c>
      <c r="U634" s="114" t="s">
        <v>7271</v>
      </c>
      <c r="V634" s="115"/>
      <c r="W634" s="116" t="s">
        <v>4233</v>
      </c>
      <c r="X634" s="116" t="s">
        <v>4234</v>
      </c>
      <c r="Y634" s="117">
        <v>3485350</v>
      </c>
      <c r="Z634" s="117">
        <v>3481559</v>
      </c>
      <c r="AA634" s="118"/>
      <c r="AB634" s="119" t="s">
        <v>5839</v>
      </c>
      <c r="AC634" s="119" t="s">
        <v>4235</v>
      </c>
      <c r="AD634" s="119">
        <v>5039</v>
      </c>
      <c r="AE634" s="119" t="s">
        <v>4236</v>
      </c>
      <c r="AF634" s="119">
        <v>0</v>
      </c>
      <c r="AG634" s="120"/>
      <c r="AH634" s="121">
        <v>45644</v>
      </c>
      <c r="AI634" s="121">
        <v>45644</v>
      </c>
      <c r="AJ634" s="121">
        <v>45644</v>
      </c>
      <c r="AK634" s="122">
        <v>45733</v>
      </c>
      <c r="AL634" s="122" t="e">
        <v>#N/A</v>
      </c>
      <c r="AM634" s="121" t="e">
        <v>#N/A</v>
      </c>
      <c r="AN634" s="121" t="e">
        <v>#N/A</v>
      </c>
      <c r="AO634" s="121" t="e">
        <v>#N/A</v>
      </c>
      <c r="AP634" s="122" t="e">
        <v>#N/A</v>
      </c>
      <c r="AQ634" s="122" t="e">
        <v>#N/A</v>
      </c>
      <c r="AR634" s="122" t="e">
        <v>#N/A</v>
      </c>
      <c r="AS634" s="122" t="e">
        <v>#N/A</v>
      </c>
      <c r="AT634" s="122" t="e">
        <v>#N/A</v>
      </c>
      <c r="AU634" s="121" t="e">
        <v>#N/A</v>
      </c>
      <c r="AV634" s="122" t="e">
        <v>#N/A</v>
      </c>
      <c r="AW634" s="122" t="e">
        <v>#N/A</v>
      </c>
      <c r="AX634" s="122" t="e">
        <v>#N/A</v>
      </c>
      <c r="AY634" s="122" t="e">
        <v>#N/A</v>
      </c>
      <c r="AZ634" s="122" t="e">
        <v>#N/A</v>
      </c>
      <c r="BA634" s="122" t="e">
        <v>#N/A</v>
      </c>
      <c r="BB634" s="122" t="e">
        <v>#N/A</v>
      </c>
      <c r="BC634" s="122" t="e">
        <v>#N/A</v>
      </c>
      <c r="BD634" s="122" t="e">
        <v>#N/A</v>
      </c>
      <c r="BE634" s="122" t="e">
        <v>#N/A</v>
      </c>
      <c r="BF634" s="122" t="e">
        <v>#N/A</v>
      </c>
      <c r="BG634" s="122" t="e">
        <v>#N/A</v>
      </c>
      <c r="BH634" s="122" t="e">
        <v>#N/A</v>
      </c>
      <c r="BI634" s="122" t="e">
        <v>#N/A</v>
      </c>
      <c r="BJ634" s="122" t="e">
        <v>#N/A</v>
      </c>
      <c r="BK634" s="122" t="e">
        <v>#N/A</v>
      </c>
      <c r="BL634" s="123"/>
      <c r="BM634" s="124" t="e">
        <v>#N/A</v>
      </c>
      <c r="BN634" s="124" t="e">
        <v>#N/A</v>
      </c>
      <c r="BO634" s="124" t="e">
        <v>#N/A</v>
      </c>
      <c r="BP634" s="124" t="e">
        <v>#N/A</v>
      </c>
      <c r="BQ634" s="124" t="e">
        <v>#N/A</v>
      </c>
      <c r="BR634" s="124" t="e">
        <v>#N/A</v>
      </c>
      <c r="BS634" s="124" t="e">
        <v>#N/A</v>
      </c>
      <c r="BT634" s="124" t="e">
        <v>#N/A</v>
      </c>
      <c r="BU634" s="124" t="e">
        <v>#N/A</v>
      </c>
      <c r="BV634" s="124" t="e">
        <v>#N/A</v>
      </c>
      <c r="BW634" s="124" t="e">
        <v>#N/A</v>
      </c>
      <c r="BX634" s="124" t="e">
        <v>#N/A</v>
      </c>
      <c r="BY634" s="124" t="e">
        <v>#N/A</v>
      </c>
      <c r="BZ634" s="124" t="e">
        <v>#N/A</v>
      </c>
      <c r="CA634" s="125"/>
      <c r="CB634" s="124" t="e">
        <v>#N/A</v>
      </c>
      <c r="CC634" s="126">
        <v>1</v>
      </c>
      <c r="CD634" s="127" t="s">
        <v>4211</v>
      </c>
      <c r="CE634" s="128"/>
      <c r="CF634" s="77" t="s">
        <v>4981</v>
      </c>
    </row>
    <row r="635" spans="1:84" ht="14.5" x14ac:dyDescent="0.35">
      <c r="A635" s="77">
        <v>634</v>
      </c>
      <c r="B635" s="106" t="s">
        <v>3149</v>
      </c>
      <c r="C635" s="107" t="s">
        <v>6601</v>
      </c>
      <c r="D635" s="108" t="s">
        <v>3150</v>
      </c>
      <c r="E635" s="109" t="s">
        <v>3151</v>
      </c>
      <c r="F635" s="110">
        <v>658913976</v>
      </c>
      <c r="G635" s="108" t="s">
        <v>1004</v>
      </c>
      <c r="H635" s="111" t="s">
        <v>2461</v>
      </c>
      <c r="I635" s="111" t="s">
        <v>180</v>
      </c>
      <c r="J635" s="111" t="s">
        <v>4649</v>
      </c>
      <c r="K635" s="111" t="s">
        <v>2861</v>
      </c>
      <c r="L635" s="112">
        <v>45330</v>
      </c>
      <c r="M635" s="111" t="s">
        <v>3771</v>
      </c>
      <c r="N635" s="113"/>
      <c r="O635" s="114" t="s">
        <v>3268</v>
      </c>
      <c r="P635" s="114" t="s">
        <v>3268</v>
      </c>
      <c r="Q635" s="114" t="s">
        <v>183</v>
      </c>
      <c r="R635" s="114" t="s">
        <v>4351</v>
      </c>
      <c r="S635" s="114" t="s">
        <v>183</v>
      </c>
      <c r="T635" s="114" t="s">
        <v>4351</v>
      </c>
      <c r="U635" s="114" t="s">
        <v>4351</v>
      </c>
      <c r="V635" s="115"/>
      <c r="W635" s="116" t="s">
        <v>3152</v>
      </c>
      <c r="X635" s="116" t="s">
        <v>3153</v>
      </c>
      <c r="Y635" s="117">
        <v>3485805</v>
      </c>
      <c r="Z635" s="117">
        <v>3486140</v>
      </c>
      <c r="AA635" s="118"/>
      <c r="AB635" s="119" t="s">
        <v>5898</v>
      </c>
      <c r="AC635" s="119" t="s">
        <v>3154</v>
      </c>
      <c r="AD635" s="119">
        <v>4304</v>
      </c>
      <c r="AE635" s="119" t="s">
        <v>3155</v>
      </c>
      <c r="AF635" s="119" t="s">
        <v>7166</v>
      </c>
      <c r="AG635" s="120"/>
      <c r="AH635" s="121">
        <v>45330</v>
      </c>
      <c r="AI635" s="121">
        <v>45369</v>
      </c>
      <c r="AJ635" s="121">
        <v>45330</v>
      </c>
      <c r="AK635" s="122">
        <v>45369</v>
      </c>
      <c r="AL635" s="122">
        <v>45911</v>
      </c>
      <c r="AM635" s="122" t="e">
        <v>#N/A</v>
      </c>
      <c r="AN635" s="122">
        <v>45911</v>
      </c>
      <c r="AO635" s="121">
        <v>45989</v>
      </c>
      <c r="AP635" s="122" t="e">
        <v>#N/A</v>
      </c>
      <c r="AQ635" s="122" t="e">
        <v>#N/A</v>
      </c>
      <c r="AR635" s="122">
        <v>45989</v>
      </c>
      <c r="AS635" s="122" t="e">
        <v>#N/A</v>
      </c>
      <c r="AT635" s="122" t="e">
        <v>#N/A</v>
      </c>
      <c r="AU635" s="121" t="e">
        <v>#N/A</v>
      </c>
      <c r="AV635" s="122" t="e">
        <v>#N/A</v>
      </c>
      <c r="AW635" s="122" t="e">
        <v>#N/A</v>
      </c>
      <c r="AX635" s="122" t="e">
        <v>#N/A</v>
      </c>
      <c r="AY635" s="122" t="e">
        <v>#N/A</v>
      </c>
      <c r="AZ635" s="122" t="e">
        <v>#N/A</v>
      </c>
      <c r="BA635" s="122" t="e">
        <v>#N/A</v>
      </c>
      <c r="BB635" s="122" t="e">
        <v>#N/A</v>
      </c>
      <c r="BC635" s="122">
        <v>45406</v>
      </c>
      <c r="BD635" s="122" t="e">
        <v>#N/A</v>
      </c>
      <c r="BE635" s="122" t="e">
        <v>#N/A</v>
      </c>
      <c r="BF635" s="122" t="e">
        <v>#N/A</v>
      </c>
      <c r="BG635" s="122" t="e">
        <v>#N/A</v>
      </c>
      <c r="BH635" s="122" t="e">
        <v>#N/A</v>
      </c>
      <c r="BI635" s="122" t="e">
        <v>#N/A</v>
      </c>
      <c r="BJ635" s="122" t="e">
        <v>#N/A</v>
      </c>
      <c r="BK635" s="122">
        <v>45965</v>
      </c>
      <c r="BL635" s="123"/>
      <c r="BM635" s="124" t="e">
        <v>#N/A</v>
      </c>
      <c r="BN635" s="124" t="e">
        <v>#N/A</v>
      </c>
      <c r="BO635" s="124" t="e">
        <v>#N/A</v>
      </c>
      <c r="BP635" s="124" t="e">
        <v>#N/A</v>
      </c>
      <c r="BQ635" s="124" t="e">
        <v>#N/A</v>
      </c>
      <c r="BR635" s="124" t="e">
        <v>#N/A</v>
      </c>
      <c r="BS635" s="124" t="e">
        <v>#N/A</v>
      </c>
      <c r="BT635" s="124" t="e">
        <v>#N/A</v>
      </c>
      <c r="BU635" s="124" t="e">
        <v>#N/A</v>
      </c>
      <c r="BV635" s="124" t="e">
        <v>#N/A</v>
      </c>
      <c r="BW635" s="124" t="e">
        <v>#N/A</v>
      </c>
      <c r="BX635" s="124" t="e">
        <v>#N/A</v>
      </c>
      <c r="BY635" s="124" t="e">
        <v>#N/A</v>
      </c>
      <c r="BZ635" s="124" t="e">
        <v>#N/A</v>
      </c>
      <c r="CA635" s="125"/>
      <c r="CB635" s="124" t="e">
        <v>#N/A</v>
      </c>
      <c r="CC635" s="126">
        <v>1</v>
      </c>
      <c r="CD635" s="127" t="s">
        <v>4197</v>
      </c>
      <c r="CE635" s="128"/>
      <c r="CF635" s="77" t="s">
        <v>4981</v>
      </c>
    </row>
    <row r="636" spans="1:84" ht="14.5" x14ac:dyDescent="0.35">
      <c r="A636" s="77">
        <v>635</v>
      </c>
      <c r="B636" s="106" t="s">
        <v>5283</v>
      </c>
      <c r="C636" s="107" t="s">
        <v>6829</v>
      </c>
      <c r="D636" s="108" t="s">
        <v>5305</v>
      </c>
      <c r="E636" s="109" t="s">
        <v>5284</v>
      </c>
      <c r="F636" s="110">
        <v>662586339</v>
      </c>
      <c r="G636" s="108" t="s">
        <v>1004</v>
      </c>
      <c r="H636" s="111" t="s">
        <v>2461</v>
      </c>
      <c r="I636" s="111" t="s">
        <v>180</v>
      </c>
      <c r="J636" s="111" t="s">
        <v>4649</v>
      </c>
      <c r="K636" s="111" t="s">
        <v>3367</v>
      </c>
      <c r="L636" s="112">
        <v>45880</v>
      </c>
      <c r="M636" s="111" t="s">
        <v>3771</v>
      </c>
      <c r="N636" s="113"/>
      <c r="O636" s="114" t="s">
        <v>310</v>
      </c>
      <c r="P636" s="114" t="s">
        <v>694</v>
      </c>
      <c r="Q636" s="114" t="s">
        <v>310</v>
      </c>
      <c r="R636" s="114" t="s">
        <v>7337</v>
      </c>
      <c r="S636" s="114" t="s">
        <v>3268</v>
      </c>
      <c r="T636" s="114" t="s">
        <v>183</v>
      </c>
      <c r="U636" s="114" t="s">
        <v>183</v>
      </c>
      <c r="V636" s="115"/>
      <c r="W636" s="116" t="s">
        <v>5285</v>
      </c>
      <c r="X636" s="116" t="s">
        <v>5286</v>
      </c>
      <c r="Y636" s="117">
        <v>3487106</v>
      </c>
      <c r="Z636" s="117">
        <v>3486811</v>
      </c>
      <c r="AA636" s="118"/>
      <c r="AB636" s="119" t="s">
        <v>5900</v>
      </c>
      <c r="AC636" s="119" t="s">
        <v>5287</v>
      </c>
      <c r="AD636" s="119" t="s">
        <v>5288</v>
      </c>
      <c r="AE636" s="119" t="s">
        <v>5289</v>
      </c>
      <c r="AF636" s="119" t="s">
        <v>6197</v>
      </c>
      <c r="AG636" s="120"/>
      <c r="AH636" s="121">
        <v>45880</v>
      </c>
      <c r="AI636" s="121">
        <v>45880</v>
      </c>
      <c r="AJ636" s="121">
        <v>45880</v>
      </c>
      <c r="AK636" s="122">
        <v>45880</v>
      </c>
      <c r="AL636" s="122" t="e">
        <v>#N/A</v>
      </c>
      <c r="AM636" s="122" t="e">
        <v>#N/A</v>
      </c>
      <c r="AN636" s="122" t="e">
        <v>#N/A</v>
      </c>
      <c r="AO636" s="121" t="e">
        <v>#N/A</v>
      </c>
      <c r="AP636" s="122" t="e">
        <v>#N/A</v>
      </c>
      <c r="AQ636" s="122" t="e">
        <v>#N/A</v>
      </c>
      <c r="AR636" s="122" t="e">
        <v>#N/A</v>
      </c>
      <c r="AS636" s="122" t="e">
        <v>#N/A</v>
      </c>
      <c r="AT636" s="122" t="e">
        <v>#N/A</v>
      </c>
      <c r="AU636" s="121" t="e">
        <v>#N/A</v>
      </c>
      <c r="AV636" s="122" t="e">
        <v>#N/A</v>
      </c>
      <c r="AW636" s="122">
        <v>45880</v>
      </c>
      <c r="AX636" s="122" t="e">
        <v>#N/A</v>
      </c>
      <c r="AY636" s="122" t="e">
        <v>#N/A</v>
      </c>
      <c r="AZ636" s="122" t="e">
        <v>#N/A</v>
      </c>
      <c r="BA636" s="122" t="e">
        <v>#N/A</v>
      </c>
      <c r="BB636" s="122" t="e">
        <v>#N/A</v>
      </c>
      <c r="BC636" s="122" t="e">
        <v>#N/A</v>
      </c>
      <c r="BD636" s="122" t="e">
        <v>#N/A</v>
      </c>
      <c r="BE636" s="122" t="e">
        <v>#N/A</v>
      </c>
      <c r="BF636" s="122" t="e">
        <v>#N/A</v>
      </c>
      <c r="BG636" s="122" t="e">
        <v>#N/A</v>
      </c>
      <c r="BH636" s="122" t="e">
        <v>#N/A</v>
      </c>
      <c r="BI636" s="122" t="e">
        <v>#N/A</v>
      </c>
      <c r="BJ636" s="122" t="e">
        <v>#N/A</v>
      </c>
      <c r="BK636" s="122">
        <v>45950</v>
      </c>
      <c r="BL636" s="123"/>
      <c r="BM636" s="124" t="e">
        <v>#N/A</v>
      </c>
      <c r="BN636" s="124" t="e">
        <v>#N/A</v>
      </c>
      <c r="BO636" s="124" t="e">
        <v>#N/A</v>
      </c>
      <c r="BP636" s="124" t="e">
        <v>#N/A</v>
      </c>
      <c r="BQ636" s="124" t="e">
        <v>#N/A</v>
      </c>
      <c r="BR636" s="124" t="e">
        <v>#N/A</v>
      </c>
      <c r="BS636" s="124" t="e">
        <v>#N/A</v>
      </c>
      <c r="BT636" s="124" t="e">
        <v>#N/A</v>
      </c>
      <c r="BU636" s="124" t="e">
        <v>#N/A</v>
      </c>
      <c r="BV636" s="124" t="e">
        <v>#N/A</v>
      </c>
      <c r="BW636" s="124" t="e">
        <v>#N/A</v>
      </c>
      <c r="BX636" s="124" t="e">
        <v>#N/A</v>
      </c>
      <c r="BY636" s="124" t="e">
        <v>#N/A</v>
      </c>
      <c r="BZ636" s="124" t="e">
        <v>#N/A</v>
      </c>
      <c r="CA636" s="125"/>
      <c r="CB636" s="124" t="e">
        <v>#N/A</v>
      </c>
      <c r="CC636" s="126">
        <v>1</v>
      </c>
      <c r="CD636" s="127" t="s">
        <v>5329</v>
      </c>
      <c r="CE636" s="128"/>
      <c r="CF636" s="77" t="s">
        <v>4981</v>
      </c>
    </row>
    <row r="637" spans="1:84" ht="14.5" x14ac:dyDescent="0.35">
      <c r="A637" s="77">
        <v>636</v>
      </c>
      <c r="B637" s="106" t="s">
        <v>4251</v>
      </c>
      <c r="C637" s="107" t="s">
        <v>6727</v>
      </c>
      <c r="D637" s="108" t="s">
        <v>4252</v>
      </c>
      <c r="E637" s="109" t="s">
        <v>4253</v>
      </c>
      <c r="F637" s="110">
        <v>602602311</v>
      </c>
      <c r="G637" s="108" t="s">
        <v>1004</v>
      </c>
      <c r="H637" s="111" t="s">
        <v>2461</v>
      </c>
      <c r="I637" s="111" t="s">
        <v>180</v>
      </c>
      <c r="J637" s="111" t="s">
        <v>4649</v>
      </c>
      <c r="K637" s="111" t="s">
        <v>3367</v>
      </c>
      <c r="L637" s="112">
        <v>45644</v>
      </c>
      <c r="M637" s="111" t="s">
        <v>3771</v>
      </c>
      <c r="N637" s="113"/>
      <c r="O637" s="114" t="s">
        <v>4393</v>
      </c>
      <c r="P637" s="114" t="s">
        <v>4393</v>
      </c>
      <c r="Q637" s="114" t="s">
        <v>4393</v>
      </c>
      <c r="R637" s="114" t="s">
        <v>7444</v>
      </c>
      <c r="S637" s="114" t="s">
        <v>183</v>
      </c>
      <c r="T637" s="114" t="s">
        <v>285</v>
      </c>
      <c r="U637" s="114" t="s">
        <v>285</v>
      </c>
      <c r="V637" s="115"/>
      <c r="W637" s="116" t="s">
        <v>4254</v>
      </c>
      <c r="X637" s="116" t="s">
        <v>4255</v>
      </c>
      <c r="Y637" s="117">
        <v>3485427</v>
      </c>
      <c r="Z637" s="117">
        <v>3486697</v>
      </c>
      <c r="AA637" s="118"/>
      <c r="AB637" s="119" t="s">
        <v>5841</v>
      </c>
      <c r="AC637" s="119" t="s">
        <v>4256</v>
      </c>
      <c r="AD637" s="119">
        <v>5168</v>
      </c>
      <c r="AE637" s="119" t="s">
        <v>4257</v>
      </c>
      <c r="AF637" s="119" t="s">
        <v>7198</v>
      </c>
      <c r="AG637" s="120"/>
      <c r="AH637" s="121">
        <v>45644</v>
      </c>
      <c r="AI637" s="121">
        <v>45644</v>
      </c>
      <c r="AJ637" s="121">
        <v>45644</v>
      </c>
      <c r="AK637" s="122">
        <v>45733</v>
      </c>
      <c r="AL637" s="122" t="e">
        <v>#N/A</v>
      </c>
      <c r="AM637" s="121" t="e">
        <v>#N/A</v>
      </c>
      <c r="AN637" s="121" t="e">
        <v>#N/A</v>
      </c>
      <c r="AO637" s="121" t="e">
        <v>#N/A</v>
      </c>
      <c r="AP637" s="122" t="e">
        <v>#N/A</v>
      </c>
      <c r="AQ637" s="122" t="e">
        <v>#N/A</v>
      </c>
      <c r="AR637" s="122" t="e">
        <v>#N/A</v>
      </c>
      <c r="AS637" s="122" t="e">
        <v>#N/A</v>
      </c>
      <c r="AT637" s="122" t="e">
        <v>#N/A</v>
      </c>
      <c r="AU637" s="121" t="e">
        <v>#N/A</v>
      </c>
      <c r="AV637" s="122" t="e">
        <v>#N/A</v>
      </c>
      <c r="AW637" s="122">
        <v>45772</v>
      </c>
      <c r="AX637" s="122" t="e">
        <v>#N/A</v>
      </c>
      <c r="AY637" s="122" t="e">
        <v>#N/A</v>
      </c>
      <c r="AZ637" s="122" t="e">
        <v>#N/A</v>
      </c>
      <c r="BA637" s="122" t="e">
        <v>#N/A</v>
      </c>
      <c r="BB637" s="122" t="e">
        <v>#N/A</v>
      </c>
      <c r="BC637" s="122" t="e">
        <v>#N/A</v>
      </c>
      <c r="BD637" s="122" t="e">
        <v>#N/A</v>
      </c>
      <c r="BE637" s="122" t="e">
        <v>#N/A</v>
      </c>
      <c r="BF637" s="122" t="e">
        <v>#N/A</v>
      </c>
      <c r="BG637" s="122" t="e">
        <v>#N/A</v>
      </c>
      <c r="BH637" s="122" t="e">
        <v>#N/A</v>
      </c>
      <c r="BI637" s="122" t="e">
        <v>#N/A</v>
      </c>
      <c r="BJ637" s="122" t="e">
        <v>#N/A</v>
      </c>
      <c r="BK637" s="122">
        <v>45958</v>
      </c>
      <c r="BL637" s="123"/>
      <c r="BM637" s="124" t="e">
        <v>#N/A</v>
      </c>
      <c r="BN637" s="124" t="e">
        <v>#N/A</v>
      </c>
      <c r="BO637" s="124" t="e">
        <v>#N/A</v>
      </c>
      <c r="BP637" s="124" t="e">
        <v>#N/A</v>
      </c>
      <c r="BQ637" s="124" t="e">
        <v>#N/A</v>
      </c>
      <c r="BR637" s="124" t="e">
        <v>#N/A</v>
      </c>
      <c r="BS637" s="124" t="e">
        <v>#N/A</v>
      </c>
      <c r="BT637" s="124" t="e">
        <v>#N/A</v>
      </c>
      <c r="BU637" s="124" t="e">
        <v>#N/A</v>
      </c>
      <c r="BV637" s="124" t="e">
        <v>#N/A</v>
      </c>
      <c r="BW637" s="124" t="e">
        <v>#N/A</v>
      </c>
      <c r="BX637" s="124" t="e">
        <v>#N/A</v>
      </c>
      <c r="BY637" s="124" t="e">
        <v>#N/A</v>
      </c>
      <c r="BZ637" s="124" t="e">
        <v>#N/A</v>
      </c>
      <c r="CA637" s="125"/>
      <c r="CB637" s="124" t="e">
        <v>#N/A</v>
      </c>
      <c r="CC637" s="126">
        <v>1</v>
      </c>
      <c r="CD637" s="127" t="s">
        <v>4211</v>
      </c>
      <c r="CE637" s="128"/>
      <c r="CF637" s="77" t="s">
        <v>4981</v>
      </c>
    </row>
    <row r="638" spans="1:84" ht="14.5" x14ac:dyDescent="0.35">
      <c r="A638" s="77">
        <v>637</v>
      </c>
      <c r="B638" s="106" t="s">
        <v>78</v>
      </c>
      <c r="C638" s="107" t="s">
        <v>1135</v>
      </c>
      <c r="D638" s="108" t="s">
        <v>614</v>
      </c>
      <c r="E638" s="109" t="s">
        <v>615</v>
      </c>
      <c r="F638" s="110">
        <v>666362590</v>
      </c>
      <c r="G638" s="108" t="s">
        <v>1004</v>
      </c>
      <c r="H638" s="111" t="s">
        <v>2461</v>
      </c>
      <c r="I638" s="111" t="s">
        <v>180</v>
      </c>
      <c r="J638" s="111" t="s">
        <v>4649</v>
      </c>
      <c r="K638" s="111" t="s">
        <v>2861</v>
      </c>
      <c r="L638" s="112">
        <v>44294</v>
      </c>
      <c r="M638" s="111" t="s">
        <v>3001</v>
      </c>
      <c r="N638" s="113"/>
      <c r="O638" s="114" t="s">
        <v>6922</v>
      </c>
      <c r="P638" s="114" t="s">
        <v>6922</v>
      </c>
      <c r="Q638" s="114" t="s">
        <v>183</v>
      </c>
      <c r="R638" s="114" t="s">
        <v>7681</v>
      </c>
      <c r="S638" s="114" t="s">
        <v>6922</v>
      </c>
      <c r="T638" s="114" t="s">
        <v>6922</v>
      </c>
      <c r="U638" s="114" t="s">
        <v>6922</v>
      </c>
      <c r="V638" s="115"/>
      <c r="W638" s="116" t="s">
        <v>616</v>
      </c>
      <c r="X638" s="116" t="s">
        <v>617</v>
      </c>
      <c r="Y638" s="117">
        <v>3485338</v>
      </c>
      <c r="Z638" s="117">
        <v>3481090</v>
      </c>
      <c r="AA638" s="118"/>
      <c r="AB638" s="119" t="s">
        <v>5897</v>
      </c>
      <c r="AC638" s="119" t="s">
        <v>1136</v>
      </c>
      <c r="AD638" s="119">
        <v>5289</v>
      </c>
      <c r="AE638" s="119" t="s">
        <v>6189</v>
      </c>
      <c r="AF638" s="119">
        <v>0</v>
      </c>
      <c r="AG638" s="120"/>
      <c r="AH638" s="121">
        <v>44197</v>
      </c>
      <c r="AI638" s="121">
        <v>44197</v>
      </c>
      <c r="AJ638" s="121">
        <v>44197</v>
      </c>
      <c r="AK638" s="122">
        <v>44937</v>
      </c>
      <c r="AL638" s="122">
        <v>44971</v>
      </c>
      <c r="AM638" s="121" t="e">
        <v>#N/A</v>
      </c>
      <c r="AN638" s="121" t="e">
        <v>#N/A</v>
      </c>
      <c r="AO638" s="121" t="e">
        <v>#N/A</v>
      </c>
      <c r="AP638" s="122" t="e">
        <v>#N/A</v>
      </c>
      <c r="AQ638" s="122" t="e">
        <v>#N/A</v>
      </c>
      <c r="AR638" s="122" t="e">
        <v>#N/A</v>
      </c>
      <c r="AS638" s="122" t="e">
        <v>#N/A</v>
      </c>
      <c r="AT638" s="122" t="e">
        <v>#N/A</v>
      </c>
      <c r="AU638" s="121" t="e">
        <v>#N/A</v>
      </c>
      <c r="AV638" s="122" t="e">
        <v>#N/A</v>
      </c>
      <c r="AW638" s="122" t="e">
        <v>#N/A</v>
      </c>
      <c r="AX638" s="122" t="e">
        <v>#N/A</v>
      </c>
      <c r="AY638" s="122" t="e">
        <v>#N/A</v>
      </c>
      <c r="AZ638" s="122" t="e">
        <v>#N/A</v>
      </c>
      <c r="BA638" s="122" t="e">
        <v>#N/A</v>
      </c>
      <c r="BB638" s="122" t="e">
        <v>#N/A</v>
      </c>
      <c r="BC638" s="122">
        <v>44936</v>
      </c>
      <c r="BD638" s="122" t="e">
        <v>#N/A</v>
      </c>
      <c r="BE638" s="122" t="e">
        <v>#N/A</v>
      </c>
      <c r="BF638" s="122" t="e">
        <v>#N/A</v>
      </c>
      <c r="BG638" s="122" t="e">
        <v>#N/A</v>
      </c>
      <c r="BH638" s="122" t="e">
        <v>#N/A</v>
      </c>
      <c r="BI638" s="122" t="e">
        <v>#N/A</v>
      </c>
      <c r="BJ638" s="122" t="e">
        <v>#N/A</v>
      </c>
      <c r="BK638" s="122" t="e">
        <v>#N/A</v>
      </c>
      <c r="BL638" s="123"/>
      <c r="BM638" s="124" t="e">
        <v>#N/A</v>
      </c>
      <c r="BN638" s="124" t="e">
        <v>#N/A</v>
      </c>
      <c r="BO638" s="124" t="e">
        <v>#N/A</v>
      </c>
      <c r="BP638" s="124" t="e">
        <v>#N/A</v>
      </c>
      <c r="BQ638" s="124" t="e">
        <v>#N/A</v>
      </c>
      <c r="BR638" s="124" t="e">
        <v>#N/A</v>
      </c>
      <c r="BS638" s="124" t="e">
        <v>#N/A</v>
      </c>
      <c r="BT638" s="124" t="e">
        <v>#N/A</v>
      </c>
      <c r="BU638" s="124" t="e">
        <v>#N/A</v>
      </c>
      <c r="BV638" s="124" t="e">
        <v>#N/A</v>
      </c>
      <c r="BW638" s="124" t="e">
        <v>#N/A</v>
      </c>
      <c r="BX638" s="124" t="e">
        <v>#N/A</v>
      </c>
      <c r="BY638" s="124" t="e">
        <v>#N/A</v>
      </c>
      <c r="BZ638" s="124" t="e">
        <v>#N/A</v>
      </c>
      <c r="CA638" s="125"/>
      <c r="CB638" s="124" t="e">
        <v>#N/A</v>
      </c>
      <c r="CC638" s="126">
        <v>1</v>
      </c>
      <c r="CD638" s="127" t="s">
        <v>4169</v>
      </c>
      <c r="CE638" s="128"/>
      <c r="CF638" s="77" t="s">
        <v>4981</v>
      </c>
    </row>
    <row r="639" spans="1:84" ht="14.5" x14ac:dyDescent="0.35">
      <c r="A639" s="77">
        <v>638</v>
      </c>
      <c r="B639" s="106" t="s">
        <v>6010</v>
      </c>
      <c r="C639" s="107" t="s">
        <v>6877</v>
      </c>
      <c r="D639" s="108" t="s">
        <v>5954</v>
      </c>
      <c r="E639" s="109" t="s">
        <v>5955</v>
      </c>
      <c r="F639" s="110">
        <v>34692254202</v>
      </c>
      <c r="G639" s="108" t="s">
        <v>1004</v>
      </c>
      <c r="H639" s="111" t="s">
        <v>2461</v>
      </c>
      <c r="I639" s="111" t="s">
        <v>180</v>
      </c>
      <c r="J639" s="111" t="s">
        <v>4649</v>
      </c>
      <c r="K639" s="111" t="s">
        <v>2861</v>
      </c>
      <c r="L639" s="112">
        <v>45922</v>
      </c>
      <c r="M639" s="111" t="s">
        <v>3001</v>
      </c>
      <c r="N639" s="113"/>
      <c r="O639" s="114" t="s">
        <v>225</v>
      </c>
      <c r="P639" s="114" t="s">
        <v>183</v>
      </c>
      <c r="Q639" s="114" t="s">
        <v>225</v>
      </c>
      <c r="R639" s="114" t="s">
        <v>7331</v>
      </c>
      <c r="S639" s="114" t="s">
        <v>183</v>
      </c>
      <c r="T639" s="114" t="s">
        <v>226</v>
      </c>
      <c r="U639" s="114" t="s">
        <v>226</v>
      </c>
      <c r="V639" s="115"/>
      <c r="W639" s="116" t="s">
        <v>5956</v>
      </c>
      <c r="X639" s="116" t="s">
        <v>5957</v>
      </c>
      <c r="Y639" s="117">
        <v>3485254</v>
      </c>
      <c r="Z639" s="117">
        <v>3481103</v>
      </c>
      <c r="AA639" s="118"/>
      <c r="AB639" s="119" t="s">
        <v>5958</v>
      </c>
      <c r="AC639" s="119" t="s">
        <v>5959</v>
      </c>
      <c r="AD639" s="119" t="s">
        <v>6878</v>
      </c>
      <c r="AE639" s="119" t="s">
        <v>6879</v>
      </c>
      <c r="AF639" s="119" t="s">
        <v>6191</v>
      </c>
      <c r="AG639" s="120"/>
      <c r="AH639" s="121">
        <v>45922</v>
      </c>
      <c r="AI639" s="121">
        <v>45922</v>
      </c>
      <c r="AJ639" s="121">
        <v>45922</v>
      </c>
      <c r="AK639" s="122">
        <v>45922</v>
      </c>
      <c r="AL639" s="122" t="e">
        <v>#N/A</v>
      </c>
      <c r="AM639" s="122" t="e">
        <v>#N/A</v>
      </c>
      <c r="AN639" s="122" t="e">
        <v>#N/A</v>
      </c>
      <c r="AO639" s="121" t="e">
        <v>#N/A</v>
      </c>
      <c r="AP639" s="122" t="e">
        <v>#N/A</v>
      </c>
      <c r="AQ639" s="122" t="e">
        <v>#N/A</v>
      </c>
      <c r="AR639" s="122" t="e">
        <v>#N/A</v>
      </c>
      <c r="AS639" s="122" t="e">
        <v>#N/A</v>
      </c>
      <c r="AT639" s="122" t="e">
        <v>#N/A</v>
      </c>
      <c r="AU639" s="121" t="e">
        <v>#N/A</v>
      </c>
      <c r="AV639" s="122" t="e">
        <v>#N/A</v>
      </c>
      <c r="AW639" s="122">
        <v>45919</v>
      </c>
      <c r="AX639" s="122" t="e">
        <v>#N/A</v>
      </c>
      <c r="AY639" s="122" t="e">
        <v>#N/A</v>
      </c>
      <c r="AZ639" s="122" t="e">
        <v>#N/A</v>
      </c>
      <c r="BA639" s="122" t="e">
        <v>#N/A</v>
      </c>
      <c r="BB639" s="122" t="e">
        <v>#N/A</v>
      </c>
      <c r="BC639" s="122" t="e">
        <v>#N/A</v>
      </c>
      <c r="BD639" s="122" t="e">
        <v>#N/A</v>
      </c>
      <c r="BE639" s="122" t="e">
        <v>#N/A</v>
      </c>
      <c r="BF639" s="122" t="e">
        <v>#N/A</v>
      </c>
      <c r="BG639" s="122" t="e">
        <v>#N/A</v>
      </c>
      <c r="BH639" s="122" t="e">
        <v>#N/A</v>
      </c>
      <c r="BI639" s="122" t="e">
        <v>#N/A</v>
      </c>
      <c r="BJ639" s="122" t="e">
        <v>#N/A</v>
      </c>
      <c r="BK639" s="122">
        <v>45952</v>
      </c>
      <c r="BL639" s="123"/>
      <c r="BM639" s="124" t="e">
        <v>#N/A</v>
      </c>
      <c r="BN639" s="124" t="e">
        <v>#N/A</v>
      </c>
      <c r="BO639" s="124" t="e">
        <v>#N/A</v>
      </c>
      <c r="BP639" s="124" t="e">
        <v>#N/A</v>
      </c>
      <c r="BQ639" s="124" t="e">
        <v>#N/A</v>
      </c>
      <c r="BR639" s="124" t="e">
        <v>#N/A</v>
      </c>
      <c r="BS639" s="124" t="e">
        <v>#N/A</v>
      </c>
      <c r="BT639" s="124" t="e">
        <v>#N/A</v>
      </c>
      <c r="BU639" s="124" t="e">
        <v>#N/A</v>
      </c>
      <c r="BV639" s="124" t="e">
        <v>#N/A</v>
      </c>
      <c r="BW639" s="124" t="e">
        <v>#N/A</v>
      </c>
      <c r="BX639" s="124" t="e">
        <v>#N/A</v>
      </c>
      <c r="BY639" s="124" t="e">
        <v>#N/A</v>
      </c>
      <c r="BZ639" s="124" t="e">
        <v>#N/A</v>
      </c>
      <c r="CA639" s="125"/>
      <c r="CB639" s="124" t="e">
        <v>#N/A</v>
      </c>
      <c r="CC639" s="126">
        <v>1</v>
      </c>
      <c r="CD639" s="127" t="s">
        <v>5994</v>
      </c>
      <c r="CE639" s="128"/>
      <c r="CF639" s="77" t="s">
        <v>4984</v>
      </c>
    </row>
    <row r="640" spans="1:84" ht="14.5" x14ac:dyDescent="0.35">
      <c r="A640" s="77">
        <v>639</v>
      </c>
      <c r="B640" s="106" t="s">
        <v>6009</v>
      </c>
      <c r="C640" s="107" t="s">
        <v>6853</v>
      </c>
      <c r="D640" s="108" t="s">
        <v>5960</v>
      </c>
      <c r="E640" s="109" t="s">
        <v>5961</v>
      </c>
      <c r="F640" s="110">
        <v>640369435</v>
      </c>
      <c r="G640" s="108" t="s">
        <v>1004</v>
      </c>
      <c r="H640" s="111" t="s">
        <v>2461</v>
      </c>
      <c r="I640" s="111" t="s">
        <v>180</v>
      </c>
      <c r="J640" s="111" t="s">
        <v>4649</v>
      </c>
      <c r="K640" s="111" t="s">
        <v>2861</v>
      </c>
      <c r="L640" s="112">
        <v>45922</v>
      </c>
      <c r="M640" s="111" t="s">
        <v>3001</v>
      </c>
      <c r="N640" s="113"/>
      <c r="O640" s="114" t="s">
        <v>182</v>
      </c>
      <c r="P640" s="114" t="s">
        <v>184</v>
      </c>
      <c r="Q640" s="114" t="s">
        <v>184</v>
      </c>
      <c r="R640" s="114" t="s">
        <v>7316</v>
      </c>
      <c r="S640" s="114" t="s">
        <v>182</v>
      </c>
      <c r="T640" s="114" t="s">
        <v>183</v>
      </c>
      <c r="U640" s="114" t="s">
        <v>183</v>
      </c>
      <c r="V640" s="115"/>
      <c r="W640" s="116" t="s">
        <v>5962</v>
      </c>
      <c r="X640" s="116" t="s">
        <v>5963</v>
      </c>
      <c r="Y640" s="117">
        <v>3485349</v>
      </c>
      <c r="Z640" s="117">
        <v>3481451</v>
      </c>
      <c r="AA640" s="118"/>
      <c r="AB640" s="119" t="s">
        <v>5964</v>
      </c>
      <c r="AC640" s="119" t="s">
        <v>5965</v>
      </c>
      <c r="AD640" s="119" t="s">
        <v>6854</v>
      </c>
      <c r="AE640" s="119" t="s">
        <v>6855</v>
      </c>
      <c r="AF640" s="119" t="s">
        <v>6192</v>
      </c>
      <c r="AG640" s="120"/>
      <c r="AH640" s="121">
        <v>45922</v>
      </c>
      <c r="AI640" s="121">
        <v>45853</v>
      </c>
      <c r="AJ640" s="121">
        <v>45853</v>
      </c>
      <c r="AK640" s="122">
        <v>45853</v>
      </c>
      <c r="AL640" s="122" t="e">
        <v>#N/A</v>
      </c>
      <c r="AM640" s="121" t="e">
        <v>#N/A</v>
      </c>
      <c r="AN640" s="121" t="e">
        <v>#N/A</v>
      </c>
      <c r="AO640" s="121" t="e">
        <v>#N/A</v>
      </c>
      <c r="AP640" s="122" t="e">
        <v>#N/A</v>
      </c>
      <c r="AQ640" s="122" t="e">
        <v>#N/A</v>
      </c>
      <c r="AR640" s="122" t="e">
        <v>#N/A</v>
      </c>
      <c r="AS640" s="122" t="e">
        <v>#N/A</v>
      </c>
      <c r="AT640" s="122" t="e">
        <v>#N/A</v>
      </c>
      <c r="AU640" s="121" t="e">
        <v>#N/A</v>
      </c>
      <c r="AV640" s="122" t="e">
        <v>#N/A</v>
      </c>
      <c r="AW640" s="122">
        <v>45919</v>
      </c>
      <c r="AX640" s="122" t="e">
        <v>#N/A</v>
      </c>
      <c r="AY640" s="122" t="e">
        <v>#N/A</v>
      </c>
      <c r="AZ640" s="122" t="e">
        <v>#N/A</v>
      </c>
      <c r="BA640" s="122" t="e">
        <v>#N/A</v>
      </c>
      <c r="BB640" s="122" t="e">
        <v>#N/A</v>
      </c>
      <c r="BC640" s="122" t="e">
        <v>#N/A</v>
      </c>
      <c r="BD640" s="122" t="e">
        <v>#N/A</v>
      </c>
      <c r="BE640" s="122" t="e">
        <v>#N/A</v>
      </c>
      <c r="BF640" s="122" t="e">
        <v>#N/A</v>
      </c>
      <c r="BG640" s="122" t="e">
        <v>#N/A</v>
      </c>
      <c r="BH640" s="122" t="e">
        <v>#N/A</v>
      </c>
      <c r="BI640" s="122" t="e">
        <v>#N/A</v>
      </c>
      <c r="BJ640" s="122" t="e">
        <v>#N/A</v>
      </c>
      <c r="BK640" s="122">
        <v>45953</v>
      </c>
      <c r="BL640" s="123"/>
      <c r="BM640" s="124" t="e">
        <v>#N/A</v>
      </c>
      <c r="BN640" s="124" t="e">
        <v>#N/A</v>
      </c>
      <c r="BO640" s="124" t="e">
        <v>#N/A</v>
      </c>
      <c r="BP640" s="124" t="e">
        <v>#N/A</v>
      </c>
      <c r="BQ640" s="124" t="e">
        <v>#N/A</v>
      </c>
      <c r="BR640" s="124" t="e">
        <v>#N/A</v>
      </c>
      <c r="BS640" s="124" t="e">
        <v>#N/A</v>
      </c>
      <c r="BT640" s="124" t="e">
        <v>#N/A</v>
      </c>
      <c r="BU640" s="124" t="e">
        <v>#N/A</v>
      </c>
      <c r="BV640" s="124" t="e">
        <v>#N/A</v>
      </c>
      <c r="BW640" s="124" t="e">
        <v>#N/A</v>
      </c>
      <c r="BX640" s="124" t="e">
        <v>#N/A</v>
      </c>
      <c r="BY640" s="124" t="e">
        <v>#N/A</v>
      </c>
      <c r="BZ640" s="124" t="e">
        <v>#N/A</v>
      </c>
      <c r="CA640" s="125"/>
      <c r="CB640" s="124" t="e">
        <v>#N/A</v>
      </c>
      <c r="CC640" s="126">
        <v>1</v>
      </c>
      <c r="CD640" s="127" t="s">
        <v>5994</v>
      </c>
      <c r="CE640" s="128"/>
      <c r="CF640" s="77" t="s">
        <v>4984</v>
      </c>
    </row>
    <row r="641" spans="1:85" ht="14.5" x14ac:dyDescent="0.35">
      <c r="A641" s="77">
        <v>640</v>
      </c>
      <c r="B641" s="106" t="s">
        <v>6012</v>
      </c>
      <c r="C641" s="107" t="s">
        <v>6862</v>
      </c>
      <c r="D641" s="108" t="s">
        <v>5984</v>
      </c>
      <c r="E641" s="109" t="s">
        <v>5985</v>
      </c>
      <c r="F641" s="110">
        <v>681146142</v>
      </c>
      <c r="G641" s="108" t="s">
        <v>1004</v>
      </c>
      <c r="H641" s="111" t="s">
        <v>2461</v>
      </c>
      <c r="I641" s="111" t="s">
        <v>180</v>
      </c>
      <c r="J641" s="111" t="s">
        <v>4649</v>
      </c>
      <c r="K641" s="111" t="s">
        <v>2861</v>
      </c>
      <c r="L641" s="112">
        <v>45922</v>
      </c>
      <c r="M641" s="111" t="s">
        <v>2651</v>
      </c>
      <c r="N641" s="113"/>
      <c r="O641" s="114" t="s">
        <v>310</v>
      </c>
      <c r="P641" s="114" t="s">
        <v>183</v>
      </c>
      <c r="Q641" s="114" t="s">
        <v>585</v>
      </c>
      <c r="R641" s="114" t="s">
        <v>7337</v>
      </c>
      <c r="S641" s="114" t="s">
        <v>183</v>
      </c>
      <c r="T641" s="114" t="s">
        <v>310</v>
      </c>
      <c r="U641" s="114" t="s">
        <v>310</v>
      </c>
      <c r="V641" s="115"/>
      <c r="W641" s="116" t="s">
        <v>5986</v>
      </c>
      <c r="X641" s="116" t="s">
        <v>5987</v>
      </c>
      <c r="Y641" s="117">
        <v>3485646</v>
      </c>
      <c r="Z641" s="117">
        <v>3481567</v>
      </c>
      <c r="AA641" s="118"/>
      <c r="AB641" s="119" t="s">
        <v>5988</v>
      </c>
      <c r="AC641" s="119" t="s">
        <v>5989</v>
      </c>
      <c r="AD641" s="119" t="s">
        <v>6863</v>
      </c>
      <c r="AE641" s="119" t="s">
        <v>6864</v>
      </c>
      <c r="AF641" s="119" t="s">
        <v>6196</v>
      </c>
      <c r="AG641" s="120"/>
      <c r="AH641" s="121">
        <v>45922</v>
      </c>
      <c r="AI641" s="121" t="e">
        <v>#N/A</v>
      </c>
      <c r="AJ641" s="121">
        <v>45922</v>
      </c>
      <c r="AK641" s="122">
        <v>45922</v>
      </c>
      <c r="AL641" s="122" t="e">
        <v>#N/A</v>
      </c>
      <c r="AM641" s="121" t="e">
        <v>#N/A</v>
      </c>
      <c r="AN641" s="121" t="e">
        <v>#N/A</v>
      </c>
      <c r="AO641" s="121" t="e">
        <v>#N/A</v>
      </c>
      <c r="AP641" s="122" t="e">
        <v>#N/A</v>
      </c>
      <c r="AQ641" s="122" t="e">
        <v>#N/A</v>
      </c>
      <c r="AR641" s="122" t="e">
        <v>#N/A</v>
      </c>
      <c r="AS641" s="122" t="e">
        <v>#N/A</v>
      </c>
      <c r="AT641" s="122" t="e">
        <v>#N/A</v>
      </c>
      <c r="AU641" s="121" t="e">
        <v>#N/A</v>
      </c>
      <c r="AV641" s="122" t="e">
        <v>#N/A</v>
      </c>
      <c r="AW641" s="122">
        <v>45919</v>
      </c>
      <c r="AX641" s="122" t="e">
        <v>#N/A</v>
      </c>
      <c r="AY641" s="122" t="e">
        <v>#N/A</v>
      </c>
      <c r="AZ641" s="122" t="e">
        <v>#N/A</v>
      </c>
      <c r="BA641" s="122" t="e">
        <v>#N/A</v>
      </c>
      <c r="BB641" s="122" t="e">
        <v>#N/A</v>
      </c>
      <c r="BC641" s="122" t="e">
        <v>#N/A</v>
      </c>
      <c r="BD641" s="122" t="e">
        <v>#N/A</v>
      </c>
      <c r="BE641" s="122" t="e">
        <v>#N/A</v>
      </c>
      <c r="BF641" s="122" t="e">
        <v>#N/A</v>
      </c>
      <c r="BG641" s="122" t="e">
        <v>#N/A</v>
      </c>
      <c r="BH641" s="122" t="e">
        <v>#N/A</v>
      </c>
      <c r="BI641" s="122" t="e">
        <v>#N/A</v>
      </c>
      <c r="BJ641" s="122" t="e">
        <v>#N/A</v>
      </c>
      <c r="BK641" s="122">
        <v>45952</v>
      </c>
      <c r="BL641" s="123"/>
      <c r="BM641" s="124" t="e">
        <v>#N/A</v>
      </c>
      <c r="BN641" s="124" t="e">
        <v>#N/A</v>
      </c>
      <c r="BO641" s="124" t="e">
        <v>#N/A</v>
      </c>
      <c r="BP641" s="124" t="e">
        <v>#N/A</v>
      </c>
      <c r="BQ641" s="124" t="e">
        <v>#N/A</v>
      </c>
      <c r="BR641" s="124" t="e">
        <v>#N/A</v>
      </c>
      <c r="BS641" s="124" t="e">
        <v>#N/A</v>
      </c>
      <c r="BT641" s="124" t="e">
        <v>#N/A</v>
      </c>
      <c r="BU641" s="124" t="e">
        <v>#N/A</v>
      </c>
      <c r="BV641" s="124" t="e">
        <v>#N/A</v>
      </c>
      <c r="BW641" s="124" t="e">
        <v>#N/A</v>
      </c>
      <c r="BX641" s="124" t="e">
        <v>#N/A</v>
      </c>
      <c r="BY641" s="124" t="e">
        <v>#N/A</v>
      </c>
      <c r="BZ641" s="124" t="e">
        <v>#N/A</v>
      </c>
      <c r="CA641" s="125"/>
      <c r="CB641" s="124" t="e">
        <v>#N/A</v>
      </c>
      <c r="CC641" s="126">
        <v>1</v>
      </c>
      <c r="CD641" s="127" t="s">
        <v>5998</v>
      </c>
      <c r="CE641" s="128"/>
      <c r="CF641" s="77" t="s">
        <v>4984</v>
      </c>
    </row>
    <row r="642" spans="1:85" ht="14.5" x14ac:dyDescent="0.35">
      <c r="A642" s="77">
        <v>641</v>
      </c>
      <c r="B642" s="106" t="s">
        <v>6007</v>
      </c>
      <c r="C642" s="107" t="s">
        <v>6844</v>
      </c>
      <c r="D642" s="108" t="s">
        <v>5972</v>
      </c>
      <c r="E642" s="109" t="s">
        <v>5973</v>
      </c>
      <c r="F642" s="110">
        <v>680336982</v>
      </c>
      <c r="G642" s="108" t="s">
        <v>1004</v>
      </c>
      <c r="H642" s="111" t="s">
        <v>2461</v>
      </c>
      <c r="I642" s="111" t="s">
        <v>180</v>
      </c>
      <c r="J642" s="111" t="s">
        <v>4649</v>
      </c>
      <c r="K642" s="111" t="s">
        <v>2861</v>
      </c>
      <c r="L642" s="112">
        <v>45922</v>
      </c>
      <c r="M642" s="111" t="s">
        <v>2651</v>
      </c>
      <c r="N642" s="113"/>
      <c r="O642" s="114" t="s">
        <v>226</v>
      </c>
      <c r="P642" s="114" t="s">
        <v>225</v>
      </c>
      <c r="Q642" s="114" t="s">
        <v>183</v>
      </c>
      <c r="R642" s="114" t="s">
        <v>7365</v>
      </c>
      <c r="S642" s="114" t="s">
        <v>225</v>
      </c>
      <c r="T642" s="114" t="s">
        <v>226</v>
      </c>
      <c r="U642" s="114" t="s">
        <v>226</v>
      </c>
      <c r="V642" s="115"/>
      <c r="W642" s="116" t="s">
        <v>5974</v>
      </c>
      <c r="X642" s="116" t="s">
        <v>5975</v>
      </c>
      <c r="Y642" s="117">
        <v>3485442</v>
      </c>
      <c r="Z642" s="117">
        <v>3481521</v>
      </c>
      <c r="AA642" s="118"/>
      <c r="AB642" s="119" t="s">
        <v>5976</v>
      </c>
      <c r="AC642" s="119" t="s">
        <v>5977</v>
      </c>
      <c r="AD642" s="119" t="s">
        <v>6845</v>
      </c>
      <c r="AE642" s="119" t="s">
        <v>6846</v>
      </c>
      <c r="AF642" s="119" t="s">
        <v>6194</v>
      </c>
      <c r="AG642" s="120"/>
      <c r="AH642" s="121">
        <v>45922</v>
      </c>
      <c r="AI642" s="121">
        <v>45922</v>
      </c>
      <c r="AJ642" s="121">
        <v>45922</v>
      </c>
      <c r="AK642" s="122">
        <v>45922</v>
      </c>
      <c r="AL642" s="122" t="e">
        <v>#N/A</v>
      </c>
      <c r="AM642" s="122" t="e">
        <v>#N/A</v>
      </c>
      <c r="AN642" s="122" t="e">
        <v>#N/A</v>
      </c>
      <c r="AO642" s="121" t="e">
        <v>#N/A</v>
      </c>
      <c r="AP642" s="122" t="e">
        <v>#N/A</v>
      </c>
      <c r="AQ642" s="122" t="e">
        <v>#N/A</v>
      </c>
      <c r="AR642" s="122" t="e">
        <v>#N/A</v>
      </c>
      <c r="AS642" s="122" t="e">
        <v>#N/A</v>
      </c>
      <c r="AT642" s="122" t="e">
        <v>#N/A</v>
      </c>
      <c r="AU642" s="121" t="e">
        <v>#N/A</v>
      </c>
      <c r="AV642" s="122" t="e">
        <v>#N/A</v>
      </c>
      <c r="AW642" s="122">
        <v>45919</v>
      </c>
      <c r="AX642" s="122" t="e">
        <v>#N/A</v>
      </c>
      <c r="AY642" s="122" t="e">
        <v>#N/A</v>
      </c>
      <c r="AZ642" s="122" t="e">
        <v>#N/A</v>
      </c>
      <c r="BA642" s="122" t="e">
        <v>#N/A</v>
      </c>
      <c r="BB642" s="122" t="e">
        <v>#N/A</v>
      </c>
      <c r="BC642" s="122" t="e">
        <v>#N/A</v>
      </c>
      <c r="BD642" s="122" t="e">
        <v>#N/A</v>
      </c>
      <c r="BE642" s="122" t="e">
        <v>#N/A</v>
      </c>
      <c r="BF642" s="122" t="e">
        <v>#N/A</v>
      </c>
      <c r="BG642" s="122" t="e">
        <v>#N/A</v>
      </c>
      <c r="BH642" s="122" t="e">
        <v>#N/A</v>
      </c>
      <c r="BI642" s="122" t="e">
        <v>#N/A</v>
      </c>
      <c r="BJ642" s="122" t="e">
        <v>#N/A</v>
      </c>
      <c r="BK642" s="122">
        <v>45958</v>
      </c>
      <c r="BL642" s="123"/>
      <c r="BM642" s="124" t="e">
        <v>#N/A</v>
      </c>
      <c r="BN642" s="124" t="e">
        <v>#N/A</v>
      </c>
      <c r="BO642" s="124" t="e">
        <v>#N/A</v>
      </c>
      <c r="BP642" s="124" t="e">
        <v>#N/A</v>
      </c>
      <c r="BQ642" s="124" t="e">
        <v>#N/A</v>
      </c>
      <c r="BR642" s="124" t="e">
        <v>#N/A</v>
      </c>
      <c r="BS642" s="124" t="e">
        <v>#N/A</v>
      </c>
      <c r="BT642" s="124" t="e">
        <v>#N/A</v>
      </c>
      <c r="BU642" s="124" t="e">
        <v>#N/A</v>
      </c>
      <c r="BV642" s="124" t="e">
        <v>#N/A</v>
      </c>
      <c r="BW642" s="124" t="e">
        <v>#N/A</v>
      </c>
      <c r="BX642" s="124" t="e">
        <v>#N/A</v>
      </c>
      <c r="BY642" s="124" t="e">
        <v>#N/A</v>
      </c>
      <c r="BZ642" s="124" t="e">
        <v>#N/A</v>
      </c>
      <c r="CA642" s="125"/>
      <c r="CB642" s="124" t="e">
        <v>#N/A</v>
      </c>
      <c r="CC642" s="126">
        <v>1</v>
      </c>
      <c r="CD642" s="127" t="s">
        <v>5994</v>
      </c>
      <c r="CE642" s="128"/>
      <c r="CF642" s="77" t="s">
        <v>4984</v>
      </c>
    </row>
    <row r="643" spans="1:85" ht="14.5" x14ac:dyDescent="0.35">
      <c r="A643" s="77">
        <v>642</v>
      </c>
      <c r="B643" s="106" t="s">
        <v>6008</v>
      </c>
      <c r="C643" s="107" t="s">
        <v>6847</v>
      </c>
      <c r="D643" s="108" t="s">
        <v>5966</v>
      </c>
      <c r="E643" s="109" t="s">
        <v>5967</v>
      </c>
      <c r="F643" s="110">
        <v>603466014</v>
      </c>
      <c r="G643" s="108" t="s">
        <v>1004</v>
      </c>
      <c r="H643" s="111" t="s">
        <v>2461</v>
      </c>
      <c r="I643" s="111" t="s">
        <v>180</v>
      </c>
      <c r="J643" s="111" t="s">
        <v>4649</v>
      </c>
      <c r="K643" s="111" t="s">
        <v>2861</v>
      </c>
      <c r="L643" s="112">
        <v>45922</v>
      </c>
      <c r="M643" s="111" t="s">
        <v>2651</v>
      </c>
      <c r="N643" s="113"/>
      <c r="O643" s="114" t="s">
        <v>7260</v>
      </c>
      <c r="P643" s="114" t="s">
        <v>225</v>
      </c>
      <c r="Q643" s="114" t="s">
        <v>226</v>
      </c>
      <c r="R643" s="114" t="s">
        <v>7331</v>
      </c>
      <c r="S643" s="114" t="s">
        <v>225</v>
      </c>
      <c r="T643" s="114" t="s">
        <v>183</v>
      </c>
      <c r="U643" s="114" t="s">
        <v>183</v>
      </c>
      <c r="V643" s="115"/>
      <c r="W643" s="116" t="s">
        <v>5968</v>
      </c>
      <c r="X643" s="116" t="s">
        <v>5969</v>
      </c>
      <c r="Y643" s="117">
        <v>3485437</v>
      </c>
      <c r="Z643" s="117">
        <v>3481508</v>
      </c>
      <c r="AA643" s="118"/>
      <c r="AB643" s="119" t="s">
        <v>5970</v>
      </c>
      <c r="AC643" s="119" t="s">
        <v>5971</v>
      </c>
      <c r="AD643" s="119" t="s">
        <v>6848</v>
      </c>
      <c r="AE643" s="119" t="s">
        <v>6849</v>
      </c>
      <c r="AF643" s="119" t="s">
        <v>6193</v>
      </c>
      <c r="AG643" s="120"/>
      <c r="AH643" s="121">
        <v>45922</v>
      </c>
      <c r="AI643" s="121">
        <v>45922</v>
      </c>
      <c r="AJ643" s="121">
        <v>45922</v>
      </c>
      <c r="AK643" s="122">
        <v>45922</v>
      </c>
      <c r="AL643" s="122" t="e">
        <v>#N/A</v>
      </c>
      <c r="AM643" s="122" t="e">
        <v>#N/A</v>
      </c>
      <c r="AN643" s="122" t="e">
        <v>#N/A</v>
      </c>
      <c r="AO643" s="121" t="e">
        <v>#N/A</v>
      </c>
      <c r="AP643" s="122" t="e">
        <v>#N/A</v>
      </c>
      <c r="AQ643" s="122" t="e">
        <v>#N/A</v>
      </c>
      <c r="AR643" s="122" t="e">
        <v>#N/A</v>
      </c>
      <c r="AS643" s="122" t="e">
        <v>#N/A</v>
      </c>
      <c r="AT643" s="122" t="e">
        <v>#N/A</v>
      </c>
      <c r="AU643" s="121" t="e">
        <v>#N/A</v>
      </c>
      <c r="AV643" s="122" t="e">
        <v>#N/A</v>
      </c>
      <c r="AW643" s="122">
        <v>45919</v>
      </c>
      <c r="AX643" s="122" t="e">
        <v>#N/A</v>
      </c>
      <c r="AY643" s="122" t="e">
        <v>#N/A</v>
      </c>
      <c r="AZ643" s="122" t="e">
        <v>#N/A</v>
      </c>
      <c r="BA643" s="122" t="e">
        <v>#N/A</v>
      </c>
      <c r="BB643" s="122" t="e">
        <v>#N/A</v>
      </c>
      <c r="BC643" s="122" t="e">
        <v>#N/A</v>
      </c>
      <c r="BD643" s="122" t="e">
        <v>#N/A</v>
      </c>
      <c r="BE643" s="122" t="e">
        <v>#N/A</v>
      </c>
      <c r="BF643" s="122" t="e">
        <v>#N/A</v>
      </c>
      <c r="BG643" s="122" t="e">
        <v>#N/A</v>
      </c>
      <c r="BH643" s="122" t="e">
        <v>#N/A</v>
      </c>
      <c r="BI643" s="122" t="e">
        <v>#N/A</v>
      </c>
      <c r="BJ643" s="122" t="e">
        <v>#N/A</v>
      </c>
      <c r="BK643" s="122" t="s">
        <v>6040</v>
      </c>
      <c r="BL643" s="123"/>
      <c r="BM643" s="124" t="e">
        <v>#N/A</v>
      </c>
      <c r="BN643" s="124" t="e">
        <v>#N/A</v>
      </c>
      <c r="BO643" s="124" t="e">
        <v>#N/A</v>
      </c>
      <c r="BP643" s="124" t="e">
        <v>#N/A</v>
      </c>
      <c r="BQ643" s="124" t="e">
        <v>#N/A</v>
      </c>
      <c r="BR643" s="124" t="e">
        <v>#N/A</v>
      </c>
      <c r="BS643" s="124" t="e">
        <v>#N/A</v>
      </c>
      <c r="BT643" s="124" t="e">
        <v>#N/A</v>
      </c>
      <c r="BU643" s="124" t="e">
        <v>#N/A</v>
      </c>
      <c r="BV643" s="124" t="e">
        <v>#N/A</v>
      </c>
      <c r="BW643" s="124" t="e">
        <v>#N/A</v>
      </c>
      <c r="BX643" s="124" t="e">
        <v>#N/A</v>
      </c>
      <c r="BY643" s="124" t="e">
        <v>#N/A</v>
      </c>
      <c r="BZ643" s="124" t="e">
        <v>#N/A</v>
      </c>
      <c r="CA643" s="125"/>
      <c r="CB643" s="124" t="e">
        <v>#N/A</v>
      </c>
      <c r="CC643" s="126">
        <v>1</v>
      </c>
      <c r="CD643" s="127" t="s">
        <v>5994</v>
      </c>
      <c r="CE643" s="128"/>
      <c r="CF643" s="77" t="s">
        <v>4981</v>
      </c>
    </row>
    <row r="644" spans="1:85" ht="14.5" x14ac:dyDescent="0.35">
      <c r="A644" s="77">
        <v>643</v>
      </c>
      <c r="B644" s="106" t="s">
        <v>6011</v>
      </c>
      <c r="C644" s="107" t="s">
        <v>6883</v>
      </c>
      <c r="D644" s="108" t="s">
        <v>5978</v>
      </c>
      <c r="E644" s="109" t="s">
        <v>5979</v>
      </c>
      <c r="F644" s="110">
        <v>604466084</v>
      </c>
      <c r="G644" s="108" t="s">
        <v>1004</v>
      </c>
      <c r="H644" s="111" t="s">
        <v>2461</v>
      </c>
      <c r="I644" s="111" t="s">
        <v>180</v>
      </c>
      <c r="J644" s="111" t="s">
        <v>4649</v>
      </c>
      <c r="K644" s="111" t="s">
        <v>2861</v>
      </c>
      <c r="L644" s="112">
        <v>45922</v>
      </c>
      <c r="M644" s="111" t="s">
        <v>2651</v>
      </c>
      <c r="N644" s="113"/>
      <c r="O644" s="114" t="s">
        <v>310</v>
      </c>
      <c r="P644" s="114" t="s">
        <v>285</v>
      </c>
      <c r="Q644" s="114" t="s">
        <v>183</v>
      </c>
      <c r="R644" s="114" t="s">
        <v>7462</v>
      </c>
      <c r="S644" s="114" t="s">
        <v>285</v>
      </c>
      <c r="T644" s="114" t="s">
        <v>310</v>
      </c>
      <c r="U644" s="114" t="s">
        <v>310</v>
      </c>
      <c r="V644" s="115"/>
      <c r="W644" s="116" t="s">
        <v>5980</v>
      </c>
      <c r="X644" s="116" t="s">
        <v>5981</v>
      </c>
      <c r="Y644" s="117">
        <v>3485459</v>
      </c>
      <c r="Z644" s="117">
        <v>3481530</v>
      </c>
      <c r="AA644" s="118"/>
      <c r="AB644" s="119" t="s">
        <v>5982</v>
      </c>
      <c r="AC644" s="119" t="s">
        <v>5983</v>
      </c>
      <c r="AD644" s="119" t="s">
        <v>6884</v>
      </c>
      <c r="AE644" s="119" t="s">
        <v>6885</v>
      </c>
      <c r="AF644" s="119" t="s">
        <v>6195</v>
      </c>
      <c r="AG644" s="120"/>
      <c r="AH644" s="121">
        <v>45922</v>
      </c>
      <c r="AI644" s="121">
        <v>45922</v>
      </c>
      <c r="AJ644" s="121">
        <v>45922</v>
      </c>
      <c r="AK644" s="122">
        <v>45922</v>
      </c>
      <c r="AL644" s="122" t="e">
        <v>#N/A</v>
      </c>
      <c r="AM644" s="121" t="e">
        <v>#N/A</v>
      </c>
      <c r="AN644" s="121" t="e">
        <v>#N/A</v>
      </c>
      <c r="AO644" s="121" t="e">
        <v>#N/A</v>
      </c>
      <c r="AP644" s="122" t="e">
        <v>#N/A</v>
      </c>
      <c r="AQ644" s="122" t="e">
        <v>#N/A</v>
      </c>
      <c r="AR644" s="122" t="e">
        <v>#N/A</v>
      </c>
      <c r="AS644" s="122" t="e">
        <v>#N/A</v>
      </c>
      <c r="AT644" s="122" t="e">
        <v>#N/A</v>
      </c>
      <c r="AU644" s="121" t="e">
        <v>#N/A</v>
      </c>
      <c r="AV644" s="122" t="e">
        <v>#N/A</v>
      </c>
      <c r="AW644" s="122">
        <v>45919</v>
      </c>
      <c r="AX644" s="122" t="e">
        <v>#N/A</v>
      </c>
      <c r="AY644" s="122" t="e">
        <v>#N/A</v>
      </c>
      <c r="AZ644" s="122" t="e">
        <v>#N/A</v>
      </c>
      <c r="BA644" s="122" t="e">
        <v>#N/A</v>
      </c>
      <c r="BB644" s="122" t="e">
        <v>#N/A</v>
      </c>
      <c r="BC644" s="122" t="e">
        <v>#N/A</v>
      </c>
      <c r="BD644" s="122" t="e">
        <v>#N/A</v>
      </c>
      <c r="BE644" s="122" t="e">
        <v>#N/A</v>
      </c>
      <c r="BF644" s="122" t="e">
        <v>#N/A</v>
      </c>
      <c r="BG644" s="122" t="e">
        <v>#N/A</v>
      </c>
      <c r="BH644" s="122" t="e">
        <v>#N/A</v>
      </c>
      <c r="BI644" s="122" t="e">
        <v>#N/A</v>
      </c>
      <c r="BJ644" s="122" t="e">
        <v>#N/A</v>
      </c>
      <c r="BK644" s="122">
        <v>45951</v>
      </c>
      <c r="BL644" s="123"/>
      <c r="BM644" s="124" t="e">
        <v>#N/A</v>
      </c>
      <c r="BN644" s="124" t="e">
        <v>#N/A</v>
      </c>
      <c r="BO644" s="124" t="e">
        <v>#N/A</v>
      </c>
      <c r="BP644" s="124" t="e">
        <v>#N/A</v>
      </c>
      <c r="BQ644" s="124" t="e">
        <v>#N/A</v>
      </c>
      <c r="BR644" s="124" t="e">
        <v>#N/A</v>
      </c>
      <c r="BS644" s="124" t="e">
        <v>#N/A</v>
      </c>
      <c r="BT644" s="124" t="e">
        <v>#N/A</v>
      </c>
      <c r="BU644" s="124" t="e">
        <v>#N/A</v>
      </c>
      <c r="BV644" s="124" t="e">
        <v>#N/A</v>
      </c>
      <c r="BW644" s="124" t="e">
        <v>#N/A</v>
      </c>
      <c r="BX644" s="124" t="e">
        <v>#N/A</v>
      </c>
      <c r="BY644" s="124" t="e">
        <v>#N/A</v>
      </c>
      <c r="BZ644" s="124" t="e">
        <v>#N/A</v>
      </c>
      <c r="CA644" s="125"/>
      <c r="CB644" s="124" t="e">
        <v>#N/A</v>
      </c>
      <c r="CC644" s="126">
        <v>1</v>
      </c>
      <c r="CD644" s="127" t="s">
        <v>5994</v>
      </c>
      <c r="CE644" s="128"/>
      <c r="CF644" s="77" t="s">
        <v>4981</v>
      </c>
    </row>
    <row r="645" spans="1:85" ht="14.5" x14ac:dyDescent="0.35">
      <c r="A645" s="77">
        <v>644</v>
      </c>
      <c r="B645" s="106" t="s">
        <v>6984</v>
      </c>
      <c r="C645" s="107" t="s">
        <v>6985</v>
      </c>
      <c r="D645" s="108" t="s">
        <v>6986</v>
      </c>
      <c r="E645" s="109" t="s">
        <v>6987</v>
      </c>
      <c r="F645" s="110">
        <v>610366348</v>
      </c>
      <c r="G645" s="108" t="s">
        <v>1004</v>
      </c>
      <c r="H645" s="111" t="s">
        <v>2461</v>
      </c>
      <c r="I645" s="111" t="s">
        <v>180</v>
      </c>
      <c r="J645" s="111" t="s">
        <v>4649</v>
      </c>
      <c r="K645" s="111" t="s">
        <v>3367</v>
      </c>
      <c r="L645" s="112">
        <v>45992</v>
      </c>
      <c r="M645" s="111" t="s">
        <v>2792</v>
      </c>
      <c r="N645" s="113"/>
      <c r="O645" s="114" t="s">
        <v>225</v>
      </c>
      <c r="P645" s="114" t="s">
        <v>226</v>
      </c>
      <c r="Q645" s="114" t="s">
        <v>225</v>
      </c>
      <c r="R645" s="114" t="s">
        <v>7331</v>
      </c>
      <c r="S645" s="114" t="s">
        <v>226</v>
      </c>
      <c r="T645" s="114" t="s">
        <v>183</v>
      </c>
      <c r="U645" s="114" t="s">
        <v>183</v>
      </c>
      <c r="V645" s="115"/>
      <c r="W645" s="116" t="s">
        <v>6988</v>
      </c>
      <c r="X645" s="116" t="s">
        <v>6989</v>
      </c>
      <c r="Y645" s="117">
        <v>3485998</v>
      </c>
      <c r="Z645" s="117">
        <v>3486299</v>
      </c>
      <c r="AA645" s="118"/>
      <c r="AB645" s="119" t="s">
        <v>6990</v>
      </c>
      <c r="AC645" s="119" t="s">
        <v>6991</v>
      </c>
      <c r="AD645" s="119">
        <v>5421</v>
      </c>
      <c r="AE645" s="119" t="s">
        <v>6992</v>
      </c>
      <c r="AF645" s="119" t="s">
        <v>6993</v>
      </c>
      <c r="AG645" s="120"/>
      <c r="AH645" s="121">
        <v>45988</v>
      </c>
      <c r="AI645" s="121">
        <v>45988</v>
      </c>
      <c r="AJ645" s="121">
        <v>45988</v>
      </c>
      <c r="AK645" s="122">
        <v>45988</v>
      </c>
      <c r="AL645" s="122" t="e">
        <v>#N/A</v>
      </c>
      <c r="AM645" s="122" t="e">
        <v>#N/A</v>
      </c>
      <c r="AN645" s="122" t="e">
        <v>#N/A</v>
      </c>
      <c r="AO645" s="121" t="e">
        <v>#N/A</v>
      </c>
      <c r="AP645" s="122" t="e">
        <v>#N/A</v>
      </c>
      <c r="AQ645" s="122" t="e">
        <v>#N/A</v>
      </c>
      <c r="AR645" s="122" t="e">
        <v>#N/A</v>
      </c>
      <c r="AS645" s="122" t="e">
        <v>#N/A</v>
      </c>
      <c r="AT645" s="122" t="e">
        <v>#N/A</v>
      </c>
      <c r="AU645" s="121" t="e">
        <v>#N/A</v>
      </c>
      <c r="AV645" s="122" t="e">
        <v>#N/A</v>
      </c>
      <c r="AW645" s="122">
        <v>45988</v>
      </c>
      <c r="AX645" s="122" t="e">
        <v>#N/A</v>
      </c>
      <c r="AY645" s="122" t="e">
        <v>#N/A</v>
      </c>
      <c r="AZ645" s="122" t="e">
        <v>#N/A</v>
      </c>
      <c r="BA645" s="122" t="e">
        <v>#N/A</v>
      </c>
      <c r="BB645" s="122" t="e">
        <v>#N/A</v>
      </c>
      <c r="BC645" s="122" t="e">
        <v>#N/A</v>
      </c>
      <c r="BD645" s="122" t="e">
        <v>#N/A</v>
      </c>
      <c r="BE645" s="122" t="e">
        <v>#N/A</v>
      </c>
      <c r="BF645" s="122" t="e">
        <v>#N/A</v>
      </c>
      <c r="BG645" s="122" t="e">
        <v>#N/A</v>
      </c>
      <c r="BH645" s="122" t="e">
        <v>#N/A</v>
      </c>
      <c r="BI645" s="122" t="e">
        <v>#N/A</v>
      </c>
      <c r="BJ645" s="122" t="e">
        <v>#N/A</v>
      </c>
      <c r="BK645" s="122">
        <v>45988</v>
      </c>
      <c r="BL645" s="123"/>
      <c r="BM645" s="124" t="e">
        <v>#N/A</v>
      </c>
      <c r="BN645" s="124" t="e">
        <v>#N/A</v>
      </c>
      <c r="BO645" s="124" t="e">
        <v>#N/A</v>
      </c>
      <c r="BP645" s="124" t="e">
        <v>#N/A</v>
      </c>
      <c r="BQ645" s="124" t="e">
        <v>#N/A</v>
      </c>
      <c r="BR645" s="124" t="e">
        <v>#N/A</v>
      </c>
      <c r="BS645" s="124" t="e">
        <v>#N/A</v>
      </c>
      <c r="BT645" s="124" t="e">
        <v>#N/A</v>
      </c>
      <c r="BU645" s="124" t="e">
        <v>#N/A</v>
      </c>
      <c r="BV645" s="124" t="e">
        <v>#N/A</v>
      </c>
      <c r="BW645" s="124" t="e">
        <v>#N/A</v>
      </c>
      <c r="BX645" s="124" t="e">
        <v>#N/A</v>
      </c>
      <c r="BY645" s="124" t="e">
        <v>#N/A</v>
      </c>
      <c r="BZ645" s="124" t="e">
        <v>#N/A</v>
      </c>
      <c r="CA645" s="125"/>
      <c r="CB645" s="124">
        <v>45988</v>
      </c>
      <c r="CC645" s="126">
        <v>1</v>
      </c>
      <c r="CD645" s="127" t="s">
        <v>6933</v>
      </c>
      <c r="CE645" s="128"/>
      <c r="CF645" s="77" t="s">
        <v>4984</v>
      </c>
    </row>
    <row r="646" spans="1:85" ht="14.5" x14ac:dyDescent="0.35">
      <c r="A646" s="77">
        <v>645</v>
      </c>
      <c r="B646" s="106" t="s">
        <v>6944</v>
      </c>
      <c r="C646" s="107" t="s">
        <v>6945</v>
      </c>
      <c r="D646" s="108" t="s">
        <v>6946</v>
      </c>
      <c r="E646" s="109" t="s">
        <v>6947</v>
      </c>
      <c r="F646" s="110">
        <v>617418518</v>
      </c>
      <c r="G646" s="108" t="s">
        <v>1004</v>
      </c>
      <c r="H646" s="111" t="s">
        <v>2461</v>
      </c>
      <c r="I646" s="111" t="s">
        <v>180</v>
      </c>
      <c r="J646" s="111" t="s">
        <v>4649</v>
      </c>
      <c r="K646" s="111" t="s">
        <v>3367</v>
      </c>
      <c r="L646" s="112">
        <v>45992</v>
      </c>
      <c r="M646" s="111" t="s">
        <v>2792</v>
      </c>
      <c r="N646" s="113"/>
      <c r="O646" s="114" t="s">
        <v>226</v>
      </c>
      <c r="P646" s="114" t="s">
        <v>225</v>
      </c>
      <c r="Q646" s="114" t="s">
        <v>226</v>
      </c>
      <c r="R646" s="114" t="s">
        <v>7331</v>
      </c>
      <c r="S646" s="114" t="s">
        <v>225</v>
      </c>
      <c r="T646" s="114" t="s">
        <v>183</v>
      </c>
      <c r="U646" s="114" t="s">
        <v>183</v>
      </c>
      <c r="V646" s="115"/>
      <c r="W646" s="116" t="s">
        <v>6948</v>
      </c>
      <c r="X646" s="116" t="s">
        <v>6949</v>
      </c>
      <c r="Y646" s="117">
        <v>3486001</v>
      </c>
      <c r="Z646" s="117">
        <v>3486296</v>
      </c>
      <c r="AA646" s="118"/>
      <c r="AB646" s="119" t="s">
        <v>6950</v>
      </c>
      <c r="AC646" s="119" t="s">
        <v>6951</v>
      </c>
      <c r="AD646" s="119">
        <v>5450</v>
      </c>
      <c r="AE646" s="119" t="s">
        <v>6952</v>
      </c>
      <c r="AF646" s="119" t="s">
        <v>6953</v>
      </c>
      <c r="AG646" s="120"/>
      <c r="AH646" s="121">
        <v>45988</v>
      </c>
      <c r="AI646" s="121">
        <v>45988</v>
      </c>
      <c r="AJ646" s="121">
        <v>45988</v>
      </c>
      <c r="AK646" s="122">
        <v>45988</v>
      </c>
      <c r="AL646" s="122" t="e">
        <v>#N/A</v>
      </c>
      <c r="AM646" s="121" t="e">
        <v>#N/A</v>
      </c>
      <c r="AN646" s="121" t="e">
        <v>#N/A</v>
      </c>
      <c r="AO646" s="121" t="e">
        <v>#N/A</v>
      </c>
      <c r="AP646" s="122" t="e">
        <v>#N/A</v>
      </c>
      <c r="AQ646" s="122" t="e">
        <v>#N/A</v>
      </c>
      <c r="AR646" s="122" t="e">
        <v>#N/A</v>
      </c>
      <c r="AS646" s="122" t="e">
        <v>#N/A</v>
      </c>
      <c r="AT646" s="122" t="e">
        <v>#N/A</v>
      </c>
      <c r="AU646" s="121" t="e">
        <v>#N/A</v>
      </c>
      <c r="AV646" s="122" t="e">
        <v>#N/A</v>
      </c>
      <c r="AW646" s="122">
        <v>45988</v>
      </c>
      <c r="AX646" s="122" t="e">
        <v>#N/A</v>
      </c>
      <c r="AY646" s="122" t="e">
        <v>#N/A</v>
      </c>
      <c r="AZ646" s="122" t="e">
        <v>#N/A</v>
      </c>
      <c r="BA646" s="122" t="e">
        <v>#N/A</v>
      </c>
      <c r="BB646" s="122" t="e">
        <v>#N/A</v>
      </c>
      <c r="BC646" s="122" t="e">
        <v>#N/A</v>
      </c>
      <c r="BD646" s="122" t="e">
        <v>#N/A</v>
      </c>
      <c r="BE646" s="122" t="e">
        <v>#N/A</v>
      </c>
      <c r="BF646" s="122" t="e">
        <v>#N/A</v>
      </c>
      <c r="BG646" s="122" t="e">
        <v>#N/A</v>
      </c>
      <c r="BH646" s="122" t="e">
        <v>#N/A</v>
      </c>
      <c r="BI646" s="122" t="e">
        <v>#N/A</v>
      </c>
      <c r="BJ646" s="122" t="e">
        <v>#N/A</v>
      </c>
      <c r="BK646" s="122">
        <v>45988</v>
      </c>
      <c r="BL646" s="123"/>
      <c r="BM646" s="124" t="e">
        <v>#N/A</v>
      </c>
      <c r="BN646" s="124" t="e">
        <v>#N/A</v>
      </c>
      <c r="BO646" s="124" t="e">
        <v>#N/A</v>
      </c>
      <c r="BP646" s="124" t="e">
        <v>#N/A</v>
      </c>
      <c r="BQ646" s="124" t="e">
        <v>#N/A</v>
      </c>
      <c r="BR646" s="124" t="e">
        <v>#N/A</v>
      </c>
      <c r="BS646" s="124" t="e">
        <v>#N/A</v>
      </c>
      <c r="BT646" s="124" t="e">
        <v>#N/A</v>
      </c>
      <c r="BU646" s="124" t="e">
        <v>#N/A</v>
      </c>
      <c r="BV646" s="124" t="e">
        <v>#N/A</v>
      </c>
      <c r="BW646" s="124" t="e">
        <v>#N/A</v>
      </c>
      <c r="BX646" s="124" t="e">
        <v>#N/A</v>
      </c>
      <c r="BY646" s="124" t="e">
        <v>#N/A</v>
      </c>
      <c r="BZ646" s="124" t="e">
        <v>#N/A</v>
      </c>
      <c r="CA646" s="125"/>
      <c r="CB646" s="124">
        <v>45988</v>
      </c>
      <c r="CC646" s="126">
        <v>1</v>
      </c>
      <c r="CD646" s="127" t="s">
        <v>6933</v>
      </c>
      <c r="CE646" s="128"/>
      <c r="CF646" s="77" t="s">
        <v>4981</v>
      </c>
    </row>
    <row r="647" spans="1:85" ht="14.5" x14ac:dyDescent="0.35">
      <c r="A647" s="77">
        <v>646</v>
      </c>
      <c r="B647" s="106" t="s">
        <v>6954</v>
      </c>
      <c r="C647" s="107" t="s">
        <v>6955</v>
      </c>
      <c r="D647" s="108" t="s">
        <v>6956</v>
      </c>
      <c r="E647" s="109" t="s">
        <v>6957</v>
      </c>
      <c r="F647" s="110">
        <v>612518433</v>
      </c>
      <c r="G647" s="108" t="s">
        <v>1004</v>
      </c>
      <c r="H647" s="111" t="s">
        <v>2461</v>
      </c>
      <c r="I647" s="111" t="s">
        <v>180</v>
      </c>
      <c r="J647" s="111" t="s">
        <v>4649</v>
      </c>
      <c r="K647" s="111" t="s">
        <v>3367</v>
      </c>
      <c r="L647" s="112">
        <v>45992</v>
      </c>
      <c r="M647" s="111" t="s">
        <v>2792</v>
      </c>
      <c r="N647" s="113"/>
      <c r="O647" s="114" t="s">
        <v>7247</v>
      </c>
      <c r="P647" s="114" t="s">
        <v>7247</v>
      </c>
      <c r="Q647" s="114" t="s">
        <v>3825</v>
      </c>
      <c r="R647" s="114" t="s">
        <v>7331</v>
      </c>
      <c r="S647" s="114" t="s">
        <v>3825</v>
      </c>
      <c r="T647" s="114" t="s">
        <v>183</v>
      </c>
      <c r="U647" s="114" t="s">
        <v>183</v>
      </c>
      <c r="V647" s="115"/>
      <c r="W647" s="116" t="s">
        <v>6958</v>
      </c>
      <c r="X647" s="116" t="s">
        <v>6959</v>
      </c>
      <c r="Y647" s="117">
        <v>3485996</v>
      </c>
      <c r="Z647" s="117">
        <v>3486300</v>
      </c>
      <c r="AA647" s="118"/>
      <c r="AB647" s="119" t="s">
        <v>6960</v>
      </c>
      <c r="AC647" s="119" t="s">
        <v>6961</v>
      </c>
      <c r="AD647" s="119">
        <v>5193</v>
      </c>
      <c r="AE647" s="119" t="s">
        <v>6962</v>
      </c>
      <c r="AF647" s="119" t="s">
        <v>6963</v>
      </c>
      <c r="AG647" s="120"/>
      <c r="AH647" s="121">
        <v>45988</v>
      </c>
      <c r="AI647" s="121">
        <v>45988</v>
      </c>
      <c r="AJ647" s="121">
        <v>45988</v>
      </c>
      <c r="AK647" s="122">
        <v>45988</v>
      </c>
      <c r="AL647" s="122" t="e">
        <v>#N/A</v>
      </c>
      <c r="AM647" s="121" t="e">
        <v>#N/A</v>
      </c>
      <c r="AN647" s="121" t="e">
        <v>#N/A</v>
      </c>
      <c r="AO647" s="121" t="e">
        <v>#N/A</v>
      </c>
      <c r="AP647" s="122" t="e">
        <v>#N/A</v>
      </c>
      <c r="AQ647" s="122" t="e">
        <v>#N/A</v>
      </c>
      <c r="AR647" s="122" t="e">
        <v>#N/A</v>
      </c>
      <c r="AS647" s="122" t="e">
        <v>#N/A</v>
      </c>
      <c r="AT647" s="122" t="e">
        <v>#N/A</v>
      </c>
      <c r="AU647" s="121" t="e">
        <v>#N/A</v>
      </c>
      <c r="AV647" s="122" t="e">
        <v>#N/A</v>
      </c>
      <c r="AW647" s="122">
        <v>45988</v>
      </c>
      <c r="AX647" s="122" t="e">
        <v>#N/A</v>
      </c>
      <c r="AY647" s="122" t="e">
        <v>#N/A</v>
      </c>
      <c r="AZ647" s="122" t="e">
        <v>#N/A</v>
      </c>
      <c r="BA647" s="122" t="e">
        <v>#N/A</v>
      </c>
      <c r="BB647" s="122" t="e">
        <v>#N/A</v>
      </c>
      <c r="BC647" s="122" t="e">
        <v>#N/A</v>
      </c>
      <c r="BD647" s="122" t="e">
        <v>#N/A</v>
      </c>
      <c r="BE647" s="122" t="e">
        <v>#N/A</v>
      </c>
      <c r="BF647" s="122" t="e">
        <v>#N/A</v>
      </c>
      <c r="BG647" s="122" t="e">
        <v>#N/A</v>
      </c>
      <c r="BH647" s="122" t="e">
        <v>#N/A</v>
      </c>
      <c r="BI647" s="122" t="e">
        <v>#N/A</v>
      </c>
      <c r="BJ647" s="122" t="e">
        <v>#N/A</v>
      </c>
      <c r="BK647" s="122">
        <v>45988</v>
      </c>
      <c r="BL647" s="123"/>
      <c r="BM647" s="124" t="e">
        <v>#N/A</v>
      </c>
      <c r="BN647" s="124" t="e">
        <v>#N/A</v>
      </c>
      <c r="BO647" s="124" t="e">
        <v>#N/A</v>
      </c>
      <c r="BP647" s="124" t="e">
        <v>#N/A</v>
      </c>
      <c r="BQ647" s="124" t="e">
        <v>#N/A</v>
      </c>
      <c r="BR647" s="124" t="e">
        <v>#N/A</v>
      </c>
      <c r="BS647" s="124" t="e">
        <v>#N/A</v>
      </c>
      <c r="BT647" s="124" t="e">
        <v>#N/A</v>
      </c>
      <c r="BU647" s="124" t="e">
        <v>#N/A</v>
      </c>
      <c r="BV647" s="124" t="e">
        <v>#N/A</v>
      </c>
      <c r="BW647" s="124" t="e">
        <v>#N/A</v>
      </c>
      <c r="BX647" s="124" t="e">
        <v>#N/A</v>
      </c>
      <c r="BY647" s="124" t="e">
        <v>#N/A</v>
      </c>
      <c r="BZ647" s="124" t="e">
        <v>#N/A</v>
      </c>
      <c r="CA647" s="125"/>
      <c r="CB647" s="124">
        <v>45988</v>
      </c>
      <c r="CC647" s="126">
        <v>1</v>
      </c>
      <c r="CD647" s="127" t="s">
        <v>6933</v>
      </c>
      <c r="CE647" s="128"/>
      <c r="CF647" s="77" t="e">
        <v>#N/A</v>
      </c>
    </row>
    <row r="648" spans="1:85" ht="14.5" x14ac:dyDescent="0.35">
      <c r="A648" s="77">
        <v>647</v>
      </c>
      <c r="B648" s="106" t="s">
        <v>6974</v>
      </c>
      <c r="C648" s="107" t="s">
        <v>6975</v>
      </c>
      <c r="D648" s="108" t="s">
        <v>6976</v>
      </c>
      <c r="E648" s="109" t="s">
        <v>6977</v>
      </c>
      <c r="F648" s="110">
        <v>675997524</v>
      </c>
      <c r="G648" s="108" t="s">
        <v>1004</v>
      </c>
      <c r="H648" s="111" t="s">
        <v>2461</v>
      </c>
      <c r="I648" s="111" t="s">
        <v>180</v>
      </c>
      <c r="J648" s="111" t="s">
        <v>4649</v>
      </c>
      <c r="K648" s="111" t="s">
        <v>3367</v>
      </c>
      <c r="L648" s="112">
        <v>45992</v>
      </c>
      <c r="M648" s="111" t="s">
        <v>2792</v>
      </c>
      <c r="N648" s="113"/>
      <c r="O648" s="114" t="s">
        <v>226</v>
      </c>
      <c r="P648" s="114" t="s">
        <v>225</v>
      </c>
      <c r="Q648" s="114" t="s">
        <v>226</v>
      </c>
      <c r="R648" s="114" t="s">
        <v>7331</v>
      </c>
      <c r="S648" s="114" t="s">
        <v>225</v>
      </c>
      <c r="T648" s="114" t="s">
        <v>183</v>
      </c>
      <c r="U648" s="114" t="s">
        <v>183</v>
      </c>
      <c r="V648" s="115"/>
      <c r="W648" s="116" t="s">
        <v>6978</v>
      </c>
      <c r="X648" s="116" t="s">
        <v>6979</v>
      </c>
      <c r="Y648" s="117">
        <v>3486000</v>
      </c>
      <c r="Z648" s="117">
        <v>3486297</v>
      </c>
      <c r="AA648" s="118"/>
      <c r="AB648" s="119" t="s">
        <v>6980</v>
      </c>
      <c r="AC648" s="119" t="s">
        <v>6981</v>
      </c>
      <c r="AD648" s="119">
        <v>5437</v>
      </c>
      <c r="AE648" s="119" t="s">
        <v>6982</v>
      </c>
      <c r="AF648" s="119" t="s">
        <v>6983</v>
      </c>
      <c r="AG648" s="120"/>
      <c r="AH648" s="121">
        <v>44197</v>
      </c>
      <c r="AI648" s="121">
        <v>44197</v>
      </c>
      <c r="AJ648" s="121">
        <v>44197</v>
      </c>
      <c r="AK648" s="122">
        <v>44197</v>
      </c>
      <c r="AL648" s="122" t="e">
        <v>#N/A</v>
      </c>
      <c r="AM648" s="121" t="e">
        <v>#N/A</v>
      </c>
      <c r="AN648" s="121" t="e">
        <v>#N/A</v>
      </c>
      <c r="AO648" s="121" t="e">
        <v>#N/A</v>
      </c>
      <c r="AP648" s="122" t="e">
        <v>#N/A</v>
      </c>
      <c r="AQ648" s="122" t="e">
        <v>#N/A</v>
      </c>
      <c r="AR648" s="122" t="e">
        <v>#N/A</v>
      </c>
      <c r="AS648" s="122" t="e">
        <v>#N/A</v>
      </c>
      <c r="AT648" s="122" t="e">
        <v>#N/A</v>
      </c>
      <c r="AU648" s="121" t="e">
        <v>#N/A</v>
      </c>
      <c r="AV648" s="122" t="e">
        <v>#N/A</v>
      </c>
      <c r="AW648" s="122">
        <v>45988</v>
      </c>
      <c r="AX648" s="122" t="e">
        <v>#N/A</v>
      </c>
      <c r="AY648" s="122" t="e">
        <v>#N/A</v>
      </c>
      <c r="AZ648" s="122" t="e">
        <v>#N/A</v>
      </c>
      <c r="BA648" s="122" t="e">
        <v>#N/A</v>
      </c>
      <c r="BB648" s="122" t="e">
        <v>#N/A</v>
      </c>
      <c r="BC648" s="122" t="e">
        <v>#N/A</v>
      </c>
      <c r="BD648" s="122" t="e">
        <v>#N/A</v>
      </c>
      <c r="BE648" s="122" t="e">
        <v>#N/A</v>
      </c>
      <c r="BF648" s="122" t="e">
        <v>#N/A</v>
      </c>
      <c r="BG648" s="122" t="e">
        <v>#N/A</v>
      </c>
      <c r="BH648" s="122" t="e">
        <v>#N/A</v>
      </c>
      <c r="BI648" s="122" t="e">
        <v>#N/A</v>
      </c>
      <c r="BJ648" s="122" t="e">
        <v>#N/A</v>
      </c>
      <c r="BK648" s="122">
        <v>45988</v>
      </c>
      <c r="BL648" s="123"/>
      <c r="BM648" s="124" t="e">
        <v>#N/A</v>
      </c>
      <c r="BN648" s="124" t="e">
        <v>#N/A</v>
      </c>
      <c r="BO648" s="124" t="e">
        <v>#N/A</v>
      </c>
      <c r="BP648" s="124" t="e">
        <v>#N/A</v>
      </c>
      <c r="BQ648" s="124" t="e">
        <v>#N/A</v>
      </c>
      <c r="BR648" s="124" t="e">
        <v>#N/A</v>
      </c>
      <c r="BS648" s="124" t="e">
        <v>#N/A</v>
      </c>
      <c r="BT648" s="124" t="e">
        <v>#N/A</v>
      </c>
      <c r="BU648" s="124" t="e">
        <v>#N/A</v>
      </c>
      <c r="BV648" s="124" t="e">
        <v>#N/A</v>
      </c>
      <c r="BW648" s="124" t="e">
        <v>#N/A</v>
      </c>
      <c r="BX648" s="124" t="e">
        <v>#N/A</v>
      </c>
      <c r="BY648" s="124" t="e">
        <v>#N/A</v>
      </c>
      <c r="BZ648" s="124" t="e">
        <v>#N/A</v>
      </c>
      <c r="CA648" s="125"/>
      <c r="CB648" s="124">
        <v>45988</v>
      </c>
      <c r="CC648" s="126">
        <v>1</v>
      </c>
      <c r="CD648" s="127" t="s">
        <v>6933</v>
      </c>
      <c r="CE648" s="128"/>
      <c r="CF648" s="77" t="s">
        <v>5058</v>
      </c>
    </row>
    <row r="649" spans="1:85" ht="14.5" x14ac:dyDescent="0.35">
      <c r="A649" s="77">
        <v>648</v>
      </c>
      <c r="B649" s="106" t="s">
        <v>999</v>
      </c>
      <c r="C649" s="107" t="s">
        <v>1563</v>
      </c>
      <c r="D649" s="108" t="s">
        <v>953</v>
      </c>
      <c r="E649" s="109" t="s">
        <v>954</v>
      </c>
      <c r="F649" s="110">
        <v>658549310</v>
      </c>
      <c r="G649" s="108" t="s">
        <v>1004</v>
      </c>
      <c r="H649" s="111" t="s">
        <v>2461</v>
      </c>
      <c r="I649" s="111" t="s">
        <v>180</v>
      </c>
      <c r="J649" s="111" t="s">
        <v>4649</v>
      </c>
      <c r="K649" s="111" t="s">
        <v>2861</v>
      </c>
      <c r="L649" s="112">
        <v>44743</v>
      </c>
      <c r="M649" s="111" t="s">
        <v>3001</v>
      </c>
      <c r="N649" s="113"/>
      <c r="O649" s="114" t="s">
        <v>4263</v>
      </c>
      <c r="P649" s="114" t="s">
        <v>7092</v>
      </c>
      <c r="Q649" s="114" t="s">
        <v>4356</v>
      </c>
      <c r="R649" s="114" t="s">
        <v>4356</v>
      </c>
      <c r="S649" s="114" t="s">
        <v>7092</v>
      </c>
      <c r="T649" s="114" t="s">
        <v>7092</v>
      </c>
      <c r="U649" s="114" t="s">
        <v>7092</v>
      </c>
      <c r="V649" s="115"/>
      <c r="W649" s="116" t="s">
        <v>955</v>
      </c>
      <c r="X649" s="116" t="s">
        <v>956</v>
      </c>
      <c r="Y649" s="117">
        <v>3485113</v>
      </c>
      <c r="Z649" s="117">
        <v>3486297</v>
      </c>
      <c r="AA649" s="118"/>
      <c r="AB649" s="119" t="s">
        <v>5686</v>
      </c>
      <c r="AC649" s="119" t="s">
        <v>1564</v>
      </c>
      <c r="AD649" s="119">
        <v>5024</v>
      </c>
      <c r="AE649" s="119" t="s">
        <v>7268</v>
      </c>
      <c r="AF649" s="119" t="s">
        <v>7682</v>
      </c>
      <c r="AG649" s="120"/>
      <c r="AH649" s="121">
        <v>44552</v>
      </c>
      <c r="AI649" s="121">
        <v>44552</v>
      </c>
      <c r="AJ649" s="121">
        <v>44552</v>
      </c>
      <c r="AK649" s="122">
        <v>44552</v>
      </c>
      <c r="AL649" s="122" t="e">
        <v>#N/A</v>
      </c>
      <c r="AM649" s="121" t="e">
        <v>#N/A</v>
      </c>
      <c r="AN649" s="121" t="e">
        <v>#N/A</v>
      </c>
      <c r="AO649" s="121" t="e">
        <v>#N/A</v>
      </c>
      <c r="AP649" s="122" t="e">
        <v>#N/A</v>
      </c>
      <c r="AQ649" s="122" t="e">
        <v>#N/A</v>
      </c>
      <c r="AR649" s="122" t="e">
        <v>#N/A</v>
      </c>
      <c r="AS649" s="122" t="e">
        <v>#N/A</v>
      </c>
      <c r="AT649" s="122" t="e">
        <v>#N/A</v>
      </c>
      <c r="AU649" s="121" t="e">
        <v>#N/A</v>
      </c>
      <c r="AV649" s="122" t="e">
        <v>#N/A</v>
      </c>
      <c r="AW649" s="122">
        <v>0</v>
      </c>
      <c r="AX649" s="122" t="e">
        <v>#N/A</v>
      </c>
      <c r="AY649" s="122" t="e">
        <v>#N/A</v>
      </c>
      <c r="AZ649" s="122" t="e">
        <v>#N/A</v>
      </c>
      <c r="BA649" s="122" t="e">
        <v>#N/A</v>
      </c>
      <c r="BB649" s="122" t="e">
        <v>#N/A</v>
      </c>
      <c r="BC649" s="122" t="e">
        <v>#N/A</v>
      </c>
      <c r="BD649" s="122" t="e">
        <v>#N/A</v>
      </c>
      <c r="BE649" s="122" t="e">
        <v>#N/A</v>
      </c>
      <c r="BF649" s="122" t="e">
        <v>#N/A</v>
      </c>
      <c r="BG649" s="122" t="e">
        <v>#N/A</v>
      </c>
      <c r="BH649" s="122" t="e">
        <v>#N/A</v>
      </c>
      <c r="BI649" s="122" t="e">
        <v>#N/A</v>
      </c>
      <c r="BJ649" s="122" t="e">
        <v>#N/A</v>
      </c>
      <c r="BK649" s="122">
        <v>45978</v>
      </c>
      <c r="BL649" s="123"/>
      <c r="BM649" s="124" t="e">
        <v>#N/A</v>
      </c>
      <c r="BN649" s="124" t="e">
        <v>#N/A</v>
      </c>
      <c r="BO649" s="124" t="e">
        <v>#N/A</v>
      </c>
      <c r="BP649" s="124" t="e">
        <v>#N/A</v>
      </c>
      <c r="BQ649" s="124" t="e">
        <v>#N/A</v>
      </c>
      <c r="BR649" s="124" t="e">
        <v>#N/A</v>
      </c>
      <c r="BS649" s="124" t="e">
        <v>#N/A</v>
      </c>
      <c r="BT649" s="124" t="e">
        <v>#N/A</v>
      </c>
      <c r="BU649" s="124" t="e">
        <v>#N/A</v>
      </c>
      <c r="BV649" s="124" t="e">
        <v>#N/A</v>
      </c>
      <c r="BW649" s="124" t="e">
        <v>#N/A</v>
      </c>
      <c r="BX649" s="124" t="e">
        <v>#N/A</v>
      </c>
      <c r="BY649" s="124" t="e">
        <v>#N/A</v>
      </c>
      <c r="BZ649" s="124" t="e">
        <v>#N/A</v>
      </c>
      <c r="CA649" s="125"/>
      <c r="CB649" s="124" t="e">
        <v>#N/A</v>
      </c>
      <c r="CC649" s="126">
        <v>1</v>
      </c>
      <c r="CD649" s="127" t="s">
        <v>4169</v>
      </c>
      <c r="CE649" s="128"/>
      <c r="CF649" s="77" t="s">
        <v>5058</v>
      </c>
    </row>
    <row r="650" spans="1:85" ht="14.5" x14ac:dyDescent="0.35">
      <c r="A650" s="77">
        <v>649</v>
      </c>
      <c r="B650" s="106" t="s">
        <v>7047</v>
      </c>
      <c r="C650" s="107" t="s">
        <v>7288</v>
      </c>
      <c r="D650" s="108" t="s">
        <v>7048</v>
      </c>
      <c r="E650" s="109" t="s">
        <v>7049</v>
      </c>
      <c r="F650" s="110">
        <v>697333292</v>
      </c>
      <c r="G650" s="108" t="s">
        <v>1004</v>
      </c>
      <c r="H650" s="111" t="s">
        <v>2461</v>
      </c>
      <c r="I650" s="111" t="s">
        <v>180</v>
      </c>
      <c r="J650" s="111" t="s">
        <v>4649</v>
      </c>
      <c r="K650" s="111" t="s">
        <v>3367</v>
      </c>
      <c r="L650" s="112">
        <v>46000</v>
      </c>
      <c r="M650" s="111" t="s">
        <v>3771</v>
      </c>
      <c r="N650" s="113"/>
      <c r="O650" s="114" t="s">
        <v>226</v>
      </c>
      <c r="P650" s="114" t="s">
        <v>226</v>
      </c>
      <c r="Q650" s="114" t="s">
        <v>226</v>
      </c>
      <c r="R650" s="114" t="s">
        <v>7358</v>
      </c>
      <c r="S650" s="114" t="s">
        <v>225</v>
      </c>
      <c r="T650" s="114" t="s">
        <v>183</v>
      </c>
      <c r="U650" s="114" t="s">
        <v>183</v>
      </c>
      <c r="V650" s="115"/>
      <c r="W650" s="116" t="s">
        <v>7050</v>
      </c>
      <c r="X650" s="116" t="s">
        <v>7051</v>
      </c>
      <c r="Y650" s="117">
        <v>3487125</v>
      </c>
      <c r="Z650" s="117">
        <v>3486501</v>
      </c>
      <c r="AA650" s="118"/>
      <c r="AB650" s="119" t="s">
        <v>7052</v>
      </c>
      <c r="AC650" s="119" t="s">
        <v>7053</v>
      </c>
      <c r="AD650" s="119">
        <v>5451</v>
      </c>
      <c r="AE650" s="119" t="s">
        <v>7683</v>
      </c>
      <c r="AF650" s="119" t="s">
        <v>7684</v>
      </c>
      <c r="AG650" s="120"/>
      <c r="AH650" s="121">
        <v>45995</v>
      </c>
      <c r="AI650" s="121">
        <v>45995</v>
      </c>
      <c r="AJ650" s="121">
        <v>45995</v>
      </c>
      <c r="AK650" s="122">
        <v>45995</v>
      </c>
      <c r="AL650" s="122" t="e">
        <v>#N/A</v>
      </c>
      <c r="AM650" s="121" t="e">
        <v>#N/A</v>
      </c>
      <c r="AN650" s="121" t="e">
        <v>#N/A</v>
      </c>
      <c r="AO650" s="121" t="e">
        <v>#N/A</v>
      </c>
      <c r="AP650" s="122" t="e">
        <v>#N/A</v>
      </c>
      <c r="AQ650" s="122" t="e">
        <v>#N/A</v>
      </c>
      <c r="AR650" s="122" t="e">
        <v>#N/A</v>
      </c>
      <c r="AS650" s="122" t="e">
        <v>#N/A</v>
      </c>
      <c r="AT650" s="122" t="e">
        <v>#N/A</v>
      </c>
      <c r="AU650" s="121" t="e">
        <v>#N/A</v>
      </c>
      <c r="AV650" s="122" t="e">
        <v>#N/A</v>
      </c>
      <c r="AW650" s="122">
        <v>45995</v>
      </c>
      <c r="AX650" s="122" t="e">
        <v>#N/A</v>
      </c>
      <c r="AY650" s="122" t="e">
        <v>#N/A</v>
      </c>
      <c r="AZ650" s="122" t="e">
        <v>#N/A</v>
      </c>
      <c r="BA650" s="122" t="e">
        <v>#N/A</v>
      </c>
      <c r="BB650" s="122" t="e">
        <v>#N/A</v>
      </c>
      <c r="BC650" s="122" t="e">
        <v>#N/A</v>
      </c>
      <c r="BD650" s="122" t="e">
        <v>#N/A</v>
      </c>
      <c r="BE650" s="122" t="e">
        <v>#N/A</v>
      </c>
      <c r="BF650" s="122" t="e">
        <v>#N/A</v>
      </c>
      <c r="BG650" s="122" t="e">
        <v>#N/A</v>
      </c>
      <c r="BH650" s="122" t="e">
        <v>#N/A</v>
      </c>
      <c r="BI650" s="122" t="e">
        <v>#N/A</v>
      </c>
      <c r="BJ650" s="122" t="e">
        <v>#N/A</v>
      </c>
      <c r="BK650" s="122">
        <v>45995</v>
      </c>
      <c r="BL650" s="123"/>
      <c r="BM650" s="124" t="e">
        <v>#N/A</v>
      </c>
      <c r="BN650" s="124" t="e">
        <v>#N/A</v>
      </c>
      <c r="BO650" s="124" t="e">
        <v>#N/A</v>
      </c>
      <c r="BP650" s="124" t="e">
        <v>#N/A</v>
      </c>
      <c r="BQ650" s="124" t="e">
        <v>#N/A</v>
      </c>
      <c r="BR650" s="124" t="e">
        <v>#N/A</v>
      </c>
      <c r="BS650" s="124" t="e">
        <v>#N/A</v>
      </c>
      <c r="BT650" s="124" t="e">
        <v>#N/A</v>
      </c>
      <c r="BU650" s="124" t="e">
        <v>#N/A</v>
      </c>
      <c r="BV650" s="124" t="e">
        <v>#N/A</v>
      </c>
      <c r="BW650" s="124" t="e">
        <v>#N/A</v>
      </c>
      <c r="BX650" s="124" t="e">
        <v>#N/A</v>
      </c>
      <c r="BY650" s="124" t="e">
        <v>#N/A</v>
      </c>
      <c r="BZ650" s="124" t="e">
        <v>#N/A</v>
      </c>
      <c r="CA650" s="125"/>
      <c r="CB650" s="124">
        <v>45995</v>
      </c>
      <c r="CC650" s="126">
        <v>1</v>
      </c>
      <c r="CD650" s="127" t="s">
        <v>7003</v>
      </c>
      <c r="CE650" s="128"/>
      <c r="CF650" s="77" t="s">
        <v>5058</v>
      </c>
    </row>
    <row r="651" spans="1:85" ht="14.5" x14ac:dyDescent="0.35">
      <c r="A651" s="77">
        <v>650</v>
      </c>
      <c r="B651" s="106" t="s">
        <v>7208</v>
      </c>
      <c r="C651" s="107" t="s">
        <v>7209</v>
      </c>
      <c r="D651" s="108" t="s">
        <v>7210</v>
      </c>
      <c r="E651" s="109" t="s">
        <v>7211</v>
      </c>
      <c r="F651" s="110">
        <v>643125776</v>
      </c>
      <c r="G651" s="108" t="s">
        <v>1004</v>
      </c>
      <c r="H651" s="111" t="s">
        <v>2461</v>
      </c>
      <c r="I651" s="111" t="s">
        <v>180</v>
      </c>
      <c r="J651" s="111" t="s">
        <v>4649</v>
      </c>
      <c r="K651" s="111" t="s">
        <v>3367</v>
      </c>
      <c r="L651" s="112">
        <v>45691</v>
      </c>
      <c r="M651" s="111" t="s">
        <v>4022</v>
      </c>
      <c r="N651" s="113"/>
      <c r="O651" s="114" t="s">
        <v>226</v>
      </c>
      <c r="P651" s="114" t="s">
        <v>226</v>
      </c>
      <c r="Q651" s="114" t="s">
        <v>226</v>
      </c>
      <c r="R651" s="114" t="s">
        <v>7331</v>
      </c>
      <c r="S651" s="114" t="s">
        <v>225</v>
      </c>
      <c r="T651" s="114" t="s">
        <v>183</v>
      </c>
      <c r="U651" s="114" t="s">
        <v>183</v>
      </c>
      <c r="V651" s="115"/>
      <c r="W651" s="116" t="s">
        <v>7212</v>
      </c>
      <c r="X651" s="116" t="s">
        <v>7213</v>
      </c>
      <c r="Y651" s="117">
        <v>3487144</v>
      </c>
      <c r="Z651" s="117">
        <v>3486637</v>
      </c>
      <c r="AA651" s="118"/>
      <c r="AB651" s="119" t="s">
        <v>7214</v>
      </c>
      <c r="AC651" s="119" t="s">
        <v>7215</v>
      </c>
      <c r="AD651" s="119">
        <v>5440</v>
      </c>
      <c r="AE651" s="119" t="s">
        <v>7685</v>
      </c>
      <c r="AF651" s="119" t="s">
        <v>7686</v>
      </c>
      <c r="AG651" s="120"/>
      <c r="AH651" s="121">
        <v>45995</v>
      </c>
      <c r="AI651" s="121">
        <v>45995</v>
      </c>
      <c r="AJ651" s="121">
        <v>45995</v>
      </c>
      <c r="AK651" s="122">
        <v>45995</v>
      </c>
      <c r="AL651" s="122" t="e">
        <v>#N/A</v>
      </c>
      <c r="AM651" s="121" t="e">
        <v>#N/A</v>
      </c>
      <c r="AN651" s="121" t="e">
        <v>#N/A</v>
      </c>
      <c r="AO651" s="121" t="e">
        <v>#N/A</v>
      </c>
      <c r="AP651" s="122" t="e">
        <v>#N/A</v>
      </c>
      <c r="AQ651" s="122" t="e">
        <v>#N/A</v>
      </c>
      <c r="AR651" s="122" t="e">
        <v>#N/A</v>
      </c>
      <c r="AS651" s="122" t="e">
        <v>#N/A</v>
      </c>
      <c r="AT651" s="122" t="e">
        <v>#N/A</v>
      </c>
      <c r="AU651" s="121" t="e">
        <v>#N/A</v>
      </c>
      <c r="AV651" s="122" t="e">
        <v>#N/A</v>
      </c>
      <c r="AW651" s="122" t="e">
        <v>#N/A</v>
      </c>
      <c r="AX651" s="122" t="e">
        <v>#N/A</v>
      </c>
      <c r="AY651" s="122" t="e">
        <v>#N/A</v>
      </c>
      <c r="AZ651" s="122" t="e">
        <v>#N/A</v>
      </c>
      <c r="BA651" s="122" t="e">
        <v>#N/A</v>
      </c>
      <c r="BB651" s="122" t="e">
        <v>#N/A</v>
      </c>
      <c r="BC651" s="122" t="e">
        <v>#N/A</v>
      </c>
      <c r="BD651" s="122" t="e">
        <v>#N/A</v>
      </c>
      <c r="BE651" s="122" t="e">
        <v>#N/A</v>
      </c>
      <c r="BF651" s="122" t="e">
        <v>#N/A</v>
      </c>
      <c r="BG651" s="122" t="e">
        <v>#N/A</v>
      </c>
      <c r="BH651" s="122" t="e">
        <v>#N/A</v>
      </c>
      <c r="BI651" s="122" t="e">
        <v>#N/A</v>
      </c>
      <c r="BJ651" s="122" t="e">
        <v>#N/A</v>
      </c>
      <c r="BK651" s="122">
        <v>45995</v>
      </c>
      <c r="BL651" s="123"/>
      <c r="BM651" s="124" t="e">
        <v>#N/A</v>
      </c>
      <c r="BN651" s="124" t="e">
        <v>#N/A</v>
      </c>
      <c r="BO651" s="124" t="e">
        <v>#N/A</v>
      </c>
      <c r="BP651" s="124" t="e">
        <v>#N/A</v>
      </c>
      <c r="BQ651" s="124" t="e">
        <v>#N/A</v>
      </c>
      <c r="BR651" s="124" t="e">
        <v>#N/A</v>
      </c>
      <c r="BS651" s="124" t="e">
        <v>#N/A</v>
      </c>
      <c r="BT651" s="124" t="e">
        <v>#N/A</v>
      </c>
      <c r="BU651" s="124" t="e">
        <v>#N/A</v>
      </c>
      <c r="BV651" s="124" t="e">
        <v>#N/A</v>
      </c>
      <c r="BW651" s="124" t="e">
        <v>#N/A</v>
      </c>
      <c r="BX651" s="124" t="e">
        <v>#N/A</v>
      </c>
      <c r="BY651" s="124" t="e">
        <v>#N/A</v>
      </c>
      <c r="BZ651" s="124" t="e">
        <v>#N/A</v>
      </c>
      <c r="CA651" s="125"/>
      <c r="CB651" s="124">
        <v>45995</v>
      </c>
      <c r="CC651" s="126">
        <v>1</v>
      </c>
      <c r="CD651" s="127" t="s">
        <v>7003</v>
      </c>
      <c r="CE651" s="128"/>
      <c r="CF651" s="77" t="e">
        <v>#N/A</v>
      </c>
    </row>
    <row r="652" spans="1:85" ht="14.5" x14ac:dyDescent="0.35">
      <c r="A652" s="77">
        <v>651</v>
      </c>
      <c r="B652" s="106" t="s">
        <v>7033</v>
      </c>
      <c r="C652" s="107" t="s">
        <v>7286</v>
      </c>
      <c r="D652" s="108" t="s">
        <v>7034</v>
      </c>
      <c r="E652" s="109" t="s">
        <v>7035</v>
      </c>
      <c r="F652" s="110">
        <v>643128603</v>
      </c>
      <c r="G652" s="108" t="s">
        <v>1004</v>
      </c>
      <c r="H652" s="111" t="s">
        <v>2461</v>
      </c>
      <c r="I652" s="111" t="s">
        <v>180</v>
      </c>
      <c r="J652" s="111" t="s">
        <v>4649</v>
      </c>
      <c r="K652" s="111" t="s">
        <v>3367</v>
      </c>
      <c r="L652" s="112">
        <v>46000</v>
      </c>
      <c r="M652" s="111" t="s">
        <v>3771</v>
      </c>
      <c r="N652" s="113"/>
      <c r="O652" s="114" t="s">
        <v>226</v>
      </c>
      <c r="P652" s="114" t="s">
        <v>226</v>
      </c>
      <c r="Q652" s="114" t="s">
        <v>226</v>
      </c>
      <c r="R652" s="114" t="s">
        <v>7358</v>
      </c>
      <c r="S652" s="114" t="s">
        <v>225</v>
      </c>
      <c r="T652" s="114" t="s">
        <v>183</v>
      </c>
      <c r="U652" s="114" t="s">
        <v>183</v>
      </c>
      <c r="V652" s="115"/>
      <c r="W652" s="116" t="s">
        <v>7036</v>
      </c>
      <c r="X652" s="116" t="s">
        <v>7037</v>
      </c>
      <c r="Y652" s="117">
        <v>3487118</v>
      </c>
      <c r="Z652" s="117">
        <v>3486461</v>
      </c>
      <c r="AA652" s="118"/>
      <c r="AB652" s="119" t="s">
        <v>7038</v>
      </c>
      <c r="AC652" s="119" t="s">
        <v>7039</v>
      </c>
      <c r="AD652" s="119">
        <v>5467</v>
      </c>
      <c r="AE652" s="119" t="s">
        <v>7687</v>
      </c>
      <c r="AF652" s="119" t="s">
        <v>7688</v>
      </c>
      <c r="AG652" s="120"/>
      <c r="AH652" s="121">
        <v>45995</v>
      </c>
      <c r="AI652" s="121">
        <v>45995</v>
      </c>
      <c r="AJ652" s="121">
        <v>45995</v>
      </c>
      <c r="AK652" s="122">
        <v>45995</v>
      </c>
      <c r="AL652" s="122" t="e">
        <v>#N/A</v>
      </c>
      <c r="AM652" s="121" t="e">
        <v>#N/A</v>
      </c>
      <c r="AN652" s="121" t="e">
        <v>#N/A</v>
      </c>
      <c r="AO652" s="121" t="e">
        <v>#N/A</v>
      </c>
      <c r="AP652" s="122" t="e">
        <v>#N/A</v>
      </c>
      <c r="AQ652" s="122" t="e">
        <v>#N/A</v>
      </c>
      <c r="AR652" s="122" t="e">
        <v>#N/A</v>
      </c>
      <c r="AS652" s="122" t="e">
        <v>#N/A</v>
      </c>
      <c r="AT652" s="122" t="e">
        <v>#N/A</v>
      </c>
      <c r="AU652" s="121" t="e">
        <v>#N/A</v>
      </c>
      <c r="AV652" s="122" t="e">
        <v>#N/A</v>
      </c>
      <c r="AW652" s="122">
        <v>45995</v>
      </c>
      <c r="AX652" s="122" t="e">
        <v>#N/A</v>
      </c>
      <c r="AY652" s="122" t="e">
        <v>#N/A</v>
      </c>
      <c r="AZ652" s="122" t="e">
        <v>#N/A</v>
      </c>
      <c r="BA652" s="122" t="e">
        <v>#N/A</v>
      </c>
      <c r="BB652" s="122" t="e">
        <v>#N/A</v>
      </c>
      <c r="BC652" s="122" t="e">
        <v>#N/A</v>
      </c>
      <c r="BD652" s="122" t="e">
        <v>#N/A</v>
      </c>
      <c r="BE652" s="122" t="e">
        <v>#N/A</v>
      </c>
      <c r="BF652" s="122" t="e">
        <v>#N/A</v>
      </c>
      <c r="BG652" s="122" t="e">
        <v>#N/A</v>
      </c>
      <c r="BH652" s="122" t="e">
        <v>#N/A</v>
      </c>
      <c r="BI652" s="122" t="e">
        <v>#N/A</v>
      </c>
      <c r="BJ652" s="122" t="e">
        <v>#N/A</v>
      </c>
      <c r="BK652" s="122">
        <v>45995</v>
      </c>
      <c r="BL652" s="123"/>
      <c r="BM652" s="124" t="e">
        <v>#N/A</v>
      </c>
      <c r="BN652" s="124" t="e">
        <v>#N/A</v>
      </c>
      <c r="BO652" s="124" t="e">
        <v>#N/A</v>
      </c>
      <c r="BP652" s="124" t="e">
        <v>#N/A</v>
      </c>
      <c r="BQ652" s="124" t="e">
        <v>#N/A</v>
      </c>
      <c r="BR652" s="124" t="e">
        <v>#N/A</v>
      </c>
      <c r="BS652" s="124" t="e">
        <v>#N/A</v>
      </c>
      <c r="BT652" s="124" t="e">
        <v>#N/A</v>
      </c>
      <c r="BU652" s="124" t="e">
        <v>#N/A</v>
      </c>
      <c r="BV652" s="124" t="e">
        <v>#N/A</v>
      </c>
      <c r="BW652" s="124" t="e">
        <v>#N/A</v>
      </c>
      <c r="BX652" s="124" t="e">
        <v>#N/A</v>
      </c>
      <c r="BY652" s="124" t="e">
        <v>#N/A</v>
      </c>
      <c r="BZ652" s="124" t="e">
        <v>#N/A</v>
      </c>
      <c r="CA652" s="125"/>
      <c r="CB652" s="124">
        <v>45995</v>
      </c>
      <c r="CC652" s="126">
        <v>1</v>
      </c>
      <c r="CD652" s="127" t="s">
        <v>7003</v>
      </c>
      <c r="CE652" s="128"/>
      <c r="CF652" s="77" t="s">
        <v>5058</v>
      </c>
    </row>
    <row r="653" spans="1:85" ht="14.5" x14ac:dyDescent="0.35">
      <c r="A653" s="77">
        <v>652</v>
      </c>
      <c r="B653" s="106" t="s">
        <v>6934</v>
      </c>
      <c r="C653" s="107" t="s">
        <v>6935</v>
      </c>
      <c r="D653" s="108" t="s">
        <v>6936</v>
      </c>
      <c r="E653" s="109" t="s">
        <v>6937</v>
      </c>
      <c r="F653" s="110">
        <v>693027182</v>
      </c>
      <c r="G653" s="108" t="s">
        <v>1004</v>
      </c>
      <c r="H653" s="111" t="s">
        <v>2461</v>
      </c>
      <c r="I653" s="111" t="s">
        <v>180</v>
      </c>
      <c r="J653" s="111" t="s">
        <v>4649</v>
      </c>
      <c r="K653" s="111" t="s">
        <v>3367</v>
      </c>
      <c r="L653" s="112">
        <v>45992</v>
      </c>
      <c r="M653" s="111" t="s">
        <v>2646</v>
      </c>
      <c r="N653" s="113"/>
      <c r="O653" s="114" t="s">
        <v>225</v>
      </c>
      <c r="P653" s="114" t="s">
        <v>226</v>
      </c>
      <c r="Q653" s="114" t="s">
        <v>225</v>
      </c>
      <c r="R653" s="114" t="s">
        <v>7331</v>
      </c>
      <c r="S653" s="114" t="s">
        <v>226</v>
      </c>
      <c r="T653" s="114" t="s">
        <v>183</v>
      </c>
      <c r="U653" s="114" t="s">
        <v>183</v>
      </c>
      <c r="V653" s="115"/>
      <c r="W653" s="116" t="s">
        <v>6938</v>
      </c>
      <c r="X653" s="116" t="s">
        <v>6939</v>
      </c>
      <c r="Y653" s="117">
        <v>3486003</v>
      </c>
      <c r="Z653" s="117">
        <v>3486295</v>
      </c>
      <c r="AA653" s="118"/>
      <c r="AB653" s="119" t="s">
        <v>6940</v>
      </c>
      <c r="AC653" s="119" t="s">
        <v>6941</v>
      </c>
      <c r="AD653" s="119">
        <v>5490</v>
      </c>
      <c r="AE653" s="119" t="s">
        <v>6942</v>
      </c>
      <c r="AF653" s="119" t="s">
        <v>6943</v>
      </c>
      <c r="AG653" s="120"/>
      <c r="AH653" s="121">
        <v>45988</v>
      </c>
      <c r="AI653" s="121">
        <v>45988</v>
      </c>
      <c r="AJ653" s="121">
        <v>45988</v>
      </c>
      <c r="AK653" s="122">
        <v>45988</v>
      </c>
      <c r="AL653" s="122" t="e">
        <v>#N/A</v>
      </c>
      <c r="AM653" s="121" t="e">
        <v>#N/A</v>
      </c>
      <c r="AN653" s="121" t="e">
        <v>#N/A</v>
      </c>
      <c r="AO653" s="121" t="e">
        <v>#N/A</v>
      </c>
      <c r="AP653" s="122" t="e">
        <v>#N/A</v>
      </c>
      <c r="AQ653" s="122" t="e">
        <v>#N/A</v>
      </c>
      <c r="AR653" s="122" t="e">
        <v>#N/A</v>
      </c>
      <c r="AS653" s="122" t="e">
        <v>#N/A</v>
      </c>
      <c r="AT653" s="122" t="e">
        <v>#N/A</v>
      </c>
      <c r="AU653" s="121" t="e">
        <v>#N/A</v>
      </c>
      <c r="AV653" s="122" t="e">
        <v>#N/A</v>
      </c>
      <c r="AW653" s="122">
        <v>45988</v>
      </c>
      <c r="AX653" s="122" t="e">
        <v>#N/A</v>
      </c>
      <c r="AY653" s="122" t="e">
        <v>#N/A</v>
      </c>
      <c r="AZ653" s="122" t="e">
        <v>#N/A</v>
      </c>
      <c r="BA653" s="122" t="e">
        <v>#N/A</v>
      </c>
      <c r="BB653" s="122" t="e">
        <v>#N/A</v>
      </c>
      <c r="BC653" s="122" t="e">
        <v>#N/A</v>
      </c>
      <c r="BD653" s="122" t="e">
        <v>#N/A</v>
      </c>
      <c r="BE653" s="122" t="e">
        <v>#N/A</v>
      </c>
      <c r="BF653" s="122" t="e">
        <v>#N/A</v>
      </c>
      <c r="BG653" s="122" t="e">
        <v>#N/A</v>
      </c>
      <c r="BH653" s="122" t="e">
        <v>#N/A</v>
      </c>
      <c r="BI653" s="122" t="e">
        <v>#N/A</v>
      </c>
      <c r="BJ653" s="122" t="e">
        <v>#N/A</v>
      </c>
      <c r="BK653" s="122">
        <v>45988</v>
      </c>
      <c r="BL653" s="123"/>
      <c r="BM653" s="124" t="e">
        <v>#N/A</v>
      </c>
      <c r="BN653" s="124" t="e">
        <v>#N/A</v>
      </c>
      <c r="BO653" s="124" t="e">
        <v>#N/A</v>
      </c>
      <c r="BP653" s="124" t="e">
        <v>#N/A</v>
      </c>
      <c r="BQ653" s="124" t="e">
        <v>#N/A</v>
      </c>
      <c r="BR653" s="124" t="e">
        <v>#N/A</v>
      </c>
      <c r="BS653" s="124" t="e">
        <v>#N/A</v>
      </c>
      <c r="BT653" s="124" t="e">
        <v>#N/A</v>
      </c>
      <c r="BU653" s="124" t="e">
        <v>#N/A</v>
      </c>
      <c r="BV653" s="124" t="e">
        <v>#N/A</v>
      </c>
      <c r="BW653" s="124" t="e">
        <v>#N/A</v>
      </c>
      <c r="BX653" s="124" t="e">
        <v>#N/A</v>
      </c>
      <c r="BY653" s="124" t="e">
        <v>#N/A</v>
      </c>
      <c r="BZ653" s="124" t="e">
        <v>#N/A</v>
      </c>
      <c r="CA653" s="125"/>
      <c r="CB653" s="124">
        <v>45988</v>
      </c>
      <c r="CC653" s="126">
        <v>1</v>
      </c>
      <c r="CD653" s="127" t="e">
        <v>#N/A</v>
      </c>
      <c r="CE653" s="128" t="e">
        <v>#REF!</v>
      </c>
      <c r="CF653" s="77" t="s">
        <v>5058</v>
      </c>
      <c r="CG653" s="77" t="e">
        <v>#REF!</v>
      </c>
    </row>
    <row r="654" spans="1:85" ht="14.5" x14ac:dyDescent="0.35">
      <c r="A654" s="77">
        <v>653</v>
      </c>
      <c r="B654" s="106" t="s">
        <v>6964</v>
      </c>
      <c r="C654" s="107" t="s">
        <v>6965</v>
      </c>
      <c r="D654" s="108" t="s">
        <v>6966</v>
      </c>
      <c r="E654" s="109" t="s">
        <v>6967</v>
      </c>
      <c r="F654" s="110">
        <v>614013469</v>
      </c>
      <c r="G654" s="108" t="s">
        <v>1004</v>
      </c>
      <c r="H654" s="111" t="s">
        <v>2461</v>
      </c>
      <c r="I654" s="111" t="s">
        <v>180</v>
      </c>
      <c r="J654" s="111" t="s">
        <v>4649</v>
      </c>
      <c r="K654" s="111" t="s">
        <v>3367</v>
      </c>
      <c r="L654" s="112">
        <v>45992</v>
      </c>
      <c r="M654" s="111" t="s">
        <v>2646</v>
      </c>
      <c r="N654" s="113"/>
      <c r="O654" s="114" t="s">
        <v>226</v>
      </c>
      <c r="P654" s="114" t="s">
        <v>225</v>
      </c>
      <c r="Q654" s="114" t="s">
        <v>226</v>
      </c>
      <c r="R654" s="114" t="s">
        <v>7331</v>
      </c>
      <c r="S654" s="114" t="s">
        <v>225</v>
      </c>
      <c r="T654" s="114" t="s">
        <v>183</v>
      </c>
      <c r="U654" s="114" t="s">
        <v>183</v>
      </c>
      <c r="V654" s="115"/>
      <c r="W654" s="116" t="s">
        <v>6968</v>
      </c>
      <c r="X654" s="116" t="s">
        <v>6969</v>
      </c>
      <c r="Y654" s="117">
        <v>3486005</v>
      </c>
      <c r="Z654" s="117">
        <v>3486294</v>
      </c>
      <c r="AA654" s="118"/>
      <c r="AB654" s="119" t="s">
        <v>6970</v>
      </c>
      <c r="AC654" s="119" t="s">
        <v>6971</v>
      </c>
      <c r="AD654" s="119">
        <v>5552</v>
      </c>
      <c r="AE654" s="119" t="s">
        <v>6972</v>
      </c>
      <c r="AF654" s="119" t="s">
        <v>6973</v>
      </c>
      <c r="AG654" s="120"/>
      <c r="AH654" s="121">
        <v>45988</v>
      </c>
      <c r="AI654" s="121">
        <v>45988</v>
      </c>
      <c r="AJ654" s="121">
        <v>45988</v>
      </c>
      <c r="AK654" s="122">
        <v>45988</v>
      </c>
      <c r="AL654" s="122" t="e">
        <v>#N/A</v>
      </c>
      <c r="AM654" s="121" t="e">
        <v>#N/A</v>
      </c>
      <c r="AN654" s="121" t="e">
        <v>#N/A</v>
      </c>
      <c r="AO654" s="121" t="e">
        <v>#N/A</v>
      </c>
      <c r="AP654" s="122" t="e">
        <v>#N/A</v>
      </c>
      <c r="AQ654" s="122" t="e">
        <v>#N/A</v>
      </c>
      <c r="AR654" s="122" t="e">
        <v>#N/A</v>
      </c>
      <c r="AS654" s="122" t="e">
        <v>#N/A</v>
      </c>
      <c r="AT654" s="122" t="e">
        <v>#N/A</v>
      </c>
      <c r="AU654" s="121" t="e">
        <v>#N/A</v>
      </c>
      <c r="AV654" s="122" t="e">
        <v>#N/A</v>
      </c>
      <c r="AW654" s="122">
        <v>45988</v>
      </c>
      <c r="AX654" s="122" t="e">
        <v>#N/A</v>
      </c>
      <c r="AY654" s="122" t="e">
        <v>#N/A</v>
      </c>
      <c r="AZ654" s="122" t="e">
        <v>#N/A</v>
      </c>
      <c r="BA654" s="122" t="e">
        <v>#N/A</v>
      </c>
      <c r="BB654" s="122" t="e">
        <v>#N/A</v>
      </c>
      <c r="BC654" s="122" t="e">
        <v>#N/A</v>
      </c>
      <c r="BD654" s="122" t="e">
        <v>#N/A</v>
      </c>
      <c r="BE654" s="122" t="e">
        <v>#N/A</v>
      </c>
      <c r="BF654" s="122" t="e">
        <v>#N/A</v>
      </c>
      <c r="BG654" s="122" t="e">
        <v>#N/A</v>
      </c>
      <c r="BH654" s="122" t="e">
        <v>#N/A</v>
      </c>
      <c r="BI654" s="122" t="e">
        <v>#N/A</v>
      </c>
      <c r="BJ654" s="122" t="e">
        <v>#N/A</v>
      </c>
      <c r="BK654" s="122">
        <v>45988</v>
      </c>
      <c r="BL654" s="123"/>
      <c r="BM654" s="124" t="e">
        <v>#N/A</v>
      </c>
      <c r="BN654" s="124" t="e">
        <v>#N/A</v>
      </c>
      <c r="BO654" s="124" t="e">
        <v>#N/A</v>
      </c>
      <c r="BP654" s="124" t="e">
        <v>#N/A</v>
      </c>
      <c r="BQ654" s="124" t="e">
        <v>#N/A</v>
      </c>
      <c r="BR654" s="124" t="e">
        <v>#N/A</v>
      </c>
      <c r="BS654" s="124" t="e">
        <v>#N/A</v>
      </c>
      <c r="BT654" s="124" t="e">
        <v>#N/A</v>
      </c>
      <c r="BU654" s="124" t="e">
        <v>#N/A</v>
      </c>
      <c r="BV654" s="124" t="e">
        <v>#N/A</v>
      </c>
      <c r="BW654" s="124" t="e">
        <v>#N/A</v>
      </c>
      <c r="BX654" s="124" t="e">
        <v>#N/A</v>
      </c>
      <c r="BY654" s="124" t="e">
        <v>#N/A</v>
      </c>
      <c r="BZ654" s="124" t="e">
        <v>#N/A</v>
      </c>
      <c r="CA654" s="125"/>
      <c r="CB654" s="124">
        <v>45988</v>
      </c>
      <c r="CC654" s="126">
        <v>1</v>
      </c>
      <c r="CD654" s="127" t="s">
        <v>6933</v>
      </c>
      <c r="CE654" s="128"/>
      <c r="CF654" s="77" t="s">
        <v>5058</v>
      </c>
    </row>
    <row r="655" spans="1:85" ht="14.5" x14ac:dyDescent="0.35">
      <c r="A655" s="77">
        <v>654</v>
      </c>
      <c r="B655" s="106" t="s">
        <v>139</v>
      </c>
      <c r="C655" s="107" t="s">
        <v>1354</v>
      </c>
      <c r="D655" s="108" t="s">
        <v>814</v>
      </c>
      <c r="E655" s="109" t="s">
        <v>815</v>
      </c>
      <c r="F655" s="110">
        <v>681053963</v>
      </c>
      <c r="G655" s="108" t="s">
        <v>1004</v>
      </c>
      <c r="H655" s="111" t="s">
        <v>179</v>
      </c>
      <c r="I655" s="111" t="s">
        <v>180</v>
      </c>
      <c r="J655" s="111" t="s">
        <v>4649</v>
      </c>
      <c r="K655" s="111" t="s">
        <v>2861</v>
      </c>
      <c r="L655" s="112">
        <v>43642</v>
      </c>
      <c r="M655" s="111" t="s">
        <v>491</v>
      </c>
      <c r="N655" s="113"/>
      <c r="O655" s="114" t="s">
        <v>568</v>
      </c>
      <c r="P655" s="114" t="s">
        <v>567</v>
      </c>
      <c r="Q655" s="114" t="s">
        <v>568</v>
      </c>
      <c r="R655" s="114" t="s">
        <v>7689</v>
      </c>
      <c r="S655" s="114" t="s">
        <v>183</v>
      </c>
      <c r="T655" s="114" t="s">
        <v>567</v>
      </c>
      <c r="U655" s="114" t="s">
        <v>567</v>
      </c>
      <c r="V655" s="115"/>
      <c r="W655" s="116" t="s">
        <v>816</v>
      </c>
      <c r="X655" s="116" t="s">
        <v>817</v>
      </c>
      <c r="Y655" s="117">
        <v>3485601</v>
      </c>
      <c r="Z655" s="117">
        <v>3486120</v>
      </c>
      <c r="AA655" s="118"/>
      <c r="AB655" s="119" t="s">
        <v>5687</v>
      </c>
      <c r="AC655" s="119" t="s">
        <v>1355</v>
      </c>
      <c r="AD655" s="119">
        <v>4249</v>
      </c>
      <c r="AE655" s="119" t="s">
        <v>818</v>
      </c>
      <c r="AF655" s="119">
        <v>0</v>
      </c>
      <c r="AG655" s="120"/>
      <c r="AH655" s="121">
        <v>44197</v>
      </c>
      <c r="AI655" s="121">
        <v>44197</v>
      </c>
      <c r="AJ655" s="121">
        <v>44197</v>
      </c>
      <c r="AK655" s="122">
        <v>44197</v>
      </c>
      <c r="AL655" s="122" t="e">
        <v>#N/A</v>
      </c>
      <c r="AM655" s="121">
        <v>45614</v>
      </c>
      <c r="AN655" s="121" t="e">
        <v>#N/A</v>
      </c>
      <c r="AO655" s="121" t="e">
        <v>#N/A</v>
      </c>
      <c r="AP655" s="122" t="e">
        <v>#N/A</v>
      </c>
      <c r="AQ655" s="122" t="e">
        <v>#N/A</v>
      </c>
      <c r="AR655" s="122" t="e">
        <v>#N/A</v>
      </c>
      <c r="AS655" s="122" t="e">
        <v>#N/A</v>
      </c>
      <c r="AT655" s="122" t="e">
        <v>#N/A</v>
      </c>
      <c r="AU655" s="121" t="e">
        <v>#N/A</v>
      </c>
      <c r="AV655" s="122" t="e">
        <v>#N/A</v>
      </c>
      <c r="AW655" s="122" t="e">
        <v>#N/A</v>
      </c>
      <c r="AX655" s="122" t="e">
        <v>#N/A</v>
      </c>
      <c r="AY655" s="122" t="e">
        <v>#N/A</v>
      </c>
      <c r="AZ655" s="122" t="e">
        <v>#N/A</v>
      </c>
      <c r="BA655" s="122" t="e">
        <v>#N/A</v>
      </c>
      <c r="BB655" s="122" t="e">
        <v>#N/A</v>
      </c>
      <c r="BC655" s="122" t="e">
        <v>#N/A</v>
      </c>
      <c r="BD655" s="122" t="e">
        <v>#N/A</v>
      </c>
      <c r="BE655" s="122" t="e">
        <v>#N/A</v>
      </c>
      <c r="BF655" s="122" t="e">
        <v>#N/A</v>
      </c>
      <c r="BG655" s="122" t="e">
        <v>#N/A</v>
      </c>
      <c r="BH655" s="122" t="e">
        <v>#N/A</v>
      </c>
      <c r="BI655" s="122" t="e">
        <v>#N/A</v>
      </c>
      <c r="BJ655" s="122" t="e">
        <v>#N/A</v>
      </c>
      <c r="BK655" s="122" t="e">
        <v>#N/A</v>
      </c>
      <c r="BL655" s="123"/>
      <c r="BM655" s="124" t="e">
        <v>#N/A</v>
      </c>
      <c r="BN655" s="124" t="e">
        <v>#N/A</v>
      </c>
      <c r="BO655" s="124" t="e">
        <v>#N/A</v>
      </c>
      <c r="BP655" s="124" t="e">
        <v>#N/A</v>
      </c>
      <c r="BQ655" s="124" t="e">
        <v>#N/A</v>
      </c>
      <c r="BR655" s="124" t="e">
        <v>#N/A</v>
      </c>
      <c r="BS655" s="124" t="e">
        <v>#N/A</v>
      </c>
      <c r="BT655" s="124" t="e">
        <v>#N/A</v>
      </c>
      <c r="BU655" s="124" t="e">
        <v>#N/A</v>
      </c>
      <c r="BV655" s="124" t="e">
        <v>#N/A</v>
      </c>
      <c r="BW655" s="124" t="e">
        <v>#N/A</v>
      </c>
      <c r="BX655" s="124" t="e">
        <v>#N/A</v>
      </c>
      <c r="BY655" s="124" t="e">
        <v>#N/A</v>
      </c>
      <c r="BZ655" s="124" t="e">
        <v>#N/A</v>
      </c>
      <c r="CA655" s="125"/>
      <c r="CB655" s="124" t="e">
        <v>#N/A</v>
      </c>
      <c r="CC655" s="126">
        <v>1</v>
      </c>
      <c r="CD655" s="127" t="s">
        <v>4169</v>
      </c>
      <c r="CE655" s="128"/>
      <c r="CF655" s="77" t="s">
        <v>4904</v>
      </c>
    </row>
    <row r="656" spans="1:85" ht="14.5" x14ac:dyDescent="0.35">
      <c r="A656" s="77">
        <v>655</v>
      </c>
      <c r="B656" s="106" t="s">
        <v>149</v>
      </c>
      <c r="C656" s="107" t="s">
        <v>1356</v>
      </c>
      <c r="D656" s="108" t="s">
        <v>848</v>
      </c>
      <c r="E656" s="109" t="s">
        <v>849</v>
      </c>
      <c r="F656" s="110">
        <v>675406162</v>
      </c>
      <c r="G656" s="108" t="s">
        <v>1004</v>
      </c>
      <c r="H656" s="111" t="s">
        <v>179</v>
      </c>
      <c r="I656" s="111" t="s">
        <v>180</v>
      </c>
      <c r="J656" s="111" t="s">
        <v>4649</v>
      </c>
      <c r="K656" s="111" t="s">
        <v>2861</v>
      </c>
      <c r="L656" s="112">
        <v>43645</v>
      </c>
      <c r="M656" s="111" t="s">
        <v>491</v>
      </c>
      <c r="N656" s="113"/>
      <c r="O656" s="114" t="s">
        <v>4900</v>
      </c>
      <c r="P656" s="114" t="s">
        <v>7175</v>
      </c>
      <c r="Q656" s="114" t="s">
        <v>4900</v>
      </c>
      <c r="R656" s="114" t="s">
        <v>7548</v>
      </c>
      <c r="S656" s="114" t="s">
        <v>568</v>
      </c>
      <c r="T656" s="114" t="s">
        <v>183</v>
      </c>
      <c r="U656" s="114" t="s">
        <v>183</v>
      </c>
      <c r="V656" s="115"/>
      <c r="W656" s="116" t="s">
        <v>850</v>
      </c>
      <c r="X656" s="116" t="s">
        <v>851</v>
      </c>
      <c r="Y656" s="117">
        <v>3485032</v>
      </c>
      <c r="Z656" s="117">
        <v>3486121</v>
      </c>
      <c r="AA656" s="118"/>
      <c r="AB656" s="119" t="s">
        <v>852</v>
      </c>
      <c r="AC656" s="119" t="s">
        <v>1357</v>
      </c>
      <c r="AD656" s="119">
        <v>5816</v>
      </c>
      <c r="AE656" s="119" t="s">
        <v>4475</v>
      </c>
      <c r="AF656" s="119">
        <v>0</v>
      </c>
      <c r="AG656" s="120"/>
      <c r="AH656" s="121">
        <v>44197</v>
      </c>
      <c r="AI656" s="121">
        <v>44197</v>
      </c>
      <c r="AJ656" s="121">
        <v>44197</v>
      </c>
      <c r="AK656" s="122">
        <v>44197</v>
      </c>
      <c r="AL656" s="122" t="e">
        <v>#N/A</v>
      </c>
      <c r="AM656" s="121">
        <v>45614</v>
      </c>
      <c r="AN656" s="121" t="e">
        <v>#N/A</v>
      </c>
      <c r="AO656" s="121" t="e">
        <v>#N/A</v>
      </c>
      <c r="AP656" s="122" t="e">
        <v>#N/A</v>
      </c>
      <c r="AQ656" s="122" t="e">
        <v>#N/A</v>
      </c>
      <c r="AR656" s="122" t="e">
        <v>#N/A</v>
      </c>
      <c r="AS656" s="122" t="e">
        <v>#N/A</v>
      </c>
      <c r="AT656" s="122" t="e">
        <v>#N/A</v>
      </c>
      <c r="AU656" s="121" t="e">
        <v>#N/A</v>
      </c>
      <c r="AV656" s="122" t="e">
        <v>#N/A</v>
      </c>
      <c r="AW656" s="122" t="e">
        <v>#N/A</v>
      </c>
      <c r="AX656" s="122" t="e">
        <v>#N/A</v>
      </c>
      <c r="AY656" s="122" t="e">
        <v>#N/A</v>
      </c>
      <c r="AZ656" s="122" t="e">
        <v>#N/A</v>
      </c>
      <c r="BA656" s="122" t="e">
        <v>#N/A</v>
      </c>
      <c r="BB656" s="122" t="e">
        <v>#N/A</v>
      </c>
      <c r="BC656" s="122" t="e">
        <v>#N/A</v>
      </c>
      <c r="BD656" s="122" t="e">
        <v>#N/A</v>
      </c>
      <c r="BE656" s="122" t="e">
        <v>#N/A</v>
      </c>
      <c r="BF656" s="122" t="e">
        <v>#N/A</v>
      </c>
      <c r="BG656" s="122" t="e">
        <v>#N/A</v>
      </c>
      <c r="BH656" s="122" t="e">
        <v>#N/A</v>
      </c>
      <c r="BI656" s="122" t="e">
        <v>#N/A</v>
      </c>
      <c r="BJ656" s="122" t="e">
        <v>#N/A</v>
      </c>
      <c r="BK656" s="122" t="e">
        <v>#N/A</v>
      </c>
      <c r="BL656" s="123"/>
      <c r="BM656" s="124" t="e">
        <v>#N/A</v>
      </c>
      <c r="BN656" s="124" t="e">
        <v>#N/A</v>
      </c>
      <c r="BO656" s="124" t="e">
        <v>#N/A</v>
      </c>
      <c r="BP656" s="124" t="e">
        <v>#N/A</v>
      </c>
      <c r="BQ656" s="124" t="e">
        <v>#N/A</v>
      </c>
      <c r="BR656" s="124" t="e">
        <v>#N/A</v>
      </c>
      <c r="BS656" s="124" t="e">
        <v>#N/A</v>
      </c>
      <c r="BT656" s="124" t="e">
        <v>#N/A</v>
      </c>
      <c r="BU656" s="124" t="e">
        <v>#N/A</v>
      </c>
      <c r="BV656" s="124" t="e">
        <v>#N/A</v>
      </c>
      <c r="BW656" s="124" t="e">
        <v>#N/A</v>
      </c>
      <c r="BX656" s="124" t="e">
        <v>#N/A</v>
      </c>
      <c r="BY656" s="124" t="e">
        <v>#N/A</v>
      </c>
      <c r="BZ656" s="124" t="e">
        <v>#N/A</v>
      </c>
      <c r="CA656" s="125"/>
      <c r="CB656" s="124" t="e">
        <v>#N/A</v>
      </c>
      <c r="CC656" s="126">
        <v>1</v>
      </c>
      <c r="CD656" s="127" t="s">
        <v>4169</v>
      </c>
      <c r="CE656" s="128"/>
      <c r="CF656" s="77" t="s">
        <v>4904</v>
      </c>
    </row>
    <row r="657" spans="1:85" ht="14.5" x14ac:dyDescent="0.35">
      <c r="A657" s="77">
        <v>656</v>
      </c>
      <c r="B657" s="106" t="s">
        <v>65</v>
      </c>
      <c r="C657" s="107" t="s">
        <v>1349</v>
      </c>
      <c r="D657" s="108" t="s">
        <v>573</v>
      </c>
      <c r="E657" s="109" t="s">
        <v>574</v>
      </c>
      <c r="F657" s="110">
        <v>685276124</v>
      </c>
      <c r="G657" s="108" t="s">
        <v>190</v>
      </c>
      <c r="H657" s="111" t="s">
        <v>179</v>
      </c>
      <c r="I657" s="111" t="s">
        <v>180</v>
      </c>
      <c r="J657" s="111" t="s">
        <v>4649</v>
      </c>
      <c r="K657" s="111" t="s">
        <v>2861</v>
      </c>
      <c r="L657" s="112">
        <v>42705</v>
      </c>
      <c r="M657" s="111" t="s">
        <v>329</v>
      </c>
      <c r="N657" s="113"/>
      <c r="O657" s="114" t="s">
        <v>3797</v>
      </c>
      <c r="P657" s="114" t="s">
        <v>3797</v>
      </c>
      <c r="Q657" s="114" t="s">
        <v>3798</v>
      </c>
      <c r="R657" s="114" t="s">
        <v>7364</v>
      </c>
      <c r="S657" s="114" t="s">
        <v>3798</v>
      </c>
      <c r="T657" s="114" t="s">
        <v>183</v>
      </c>
      <c r="U657" s="114" t="s">
        <v>183</v>
      </c>
      <c r="V657" s="115"/>
      <c r="W657" s="116" t="s">
        <v>575</v>
      </c>
      <c r="X657" s="116" t="s">
        <v>576</v>
      </c>
      <c r="Y657" s="117">
        <v>3485509</v>
      </c>
      <c r="Z657" s="117">
        <v>3481101</v>
      </c>
      <c r="AA657" s="118"/>
      <c r="AB657" s="119" t="s">
        <v>577</v>
      </c>
      <c r="AC657" s="119" t="s">
        <v>1350</v>
      </c>
      <c r="AD657" s="119" t="s">
        <v>3923</v>
      </c>
      <c r="AE657" s="119" t="s">
        <v>3923</v>
      </c>
      <c r="AF657" s="119">
        <v>0</v>
      </c>
      <c r="AG657" s="120"/>
      <c r="AH657" s="121">
        <v>44197</v>
      </c>
      <c r="AI657" s="121">
        <v>44197</v>
      </c>
      <c r="AJ657" s="121">
        <v>44197</v>
      </c>
      <c r="AK657" s="122">
        <v>44197</v>
      </c>
      <c r="AL657" s="122" t="e">
        <v>#N/A</v>
      </c>
      <c r="AM657" s="122">
        <v>44852</v>
      </c>
      <c r="AN657" s="122" t="s">
        <v>7097</v>
      </c>
      <c r="AO657" s="121" t="e">
        <v>#N/A</v>
      </c>
      <c r="AP657" s="122" t="e">
        <v>#N/A</v>
      </c>
      <c r="AQ657" s="122" t="e">
        <v>#N/A</v>
      </c>
      <c r="AR657" s="122" t="e">
        <v>#N/A</v>
      </c>
      <c r="AS657" s="122" t="e">
        <v>#N/A</v>
      </c>
      <c r="AT657" s="122" t="e">
        <v>#N/A</v>
      </c>
      <c r="AU657" s="121" t="e">
        <v>#N/A</v>
      </c>
      <c r="AV657" s="122" t="e">
        <v>#N/A</v>
      </c>
      <c r="AW657" s="122" t="e">
        <v>#N/A</v>
      </c>
      <c r="AX657" s="122" t="e">
        <v>#N/A</v>
      </c>
      <c r="AY657" s="122" t="e">
        <v>#N/A</v>
      </c>
      <c r="AZ657" s="122" t="e">
        <v>#N/A</v>
      </c>
      <c r="BA657" s="122">
        <v>44197</v>
      </c>
      <c r="BB657" s="122" t="e">
        <v>#N/A</v>
      </c>
      <c r="BC657" s="122">
        <v>44197</v>
      </c>
      <c r="BD657" s="122" t="e">
        <v>#N/A</v>
      </c>
      <c r="BE657" s="122" t="e">
        <v>#N/A</v>
      </c>
      <c r="BF657" s="122" t="e">
        <v>#N/A</v>
      </c>
      <c r="BG657" s="122" t="e">
        <v>#N/A</v>
      </c>
      <c r="BH657" s="122" t="e">
        <v>#N/A</v>
      </c>
      <c r="BI657" s="122" t="e">
        <v>#N/A</v>
      </c>
      <c r="BJ657" s="122" t="e">
        <v>#N/A</v>
      </c>
      <c r="BK657" s="122" t="e">
        <v>#N/A</v>
      </c>
      <c r="BL657" s="123"/>
      <c r="BM657" s="124" t="e">
        <v>#N/A</v>
      </c>
      <c r="BN657" s="124" t="e">
        <v>#N/A</v>
      </c>
      <c r="BO657" s="124" t="e">
        <v>#N/A</v>
      </c>
      <c r="BP657" s="124" t="e">
        <v>#N/A</v>
      </c>
      <c r="BQ657" s="124" t="e">
        <v>#N/A</v>
      </c>
      <c r="BR657" s="124" t="e">
        <v>#N/A</v>
      </c>
      <c r="BS657" s="124" t="e">
        <v>#N/A</v>
      </c>
      <c r="BT657" s="124" t="e">
        <v>#N/A</v>
      </c>
      <c r="BU657" s="124" t="e">
        <v>#N/A</v>
      </c>
      <c r="BV657" s="124" t="e">
        <v>#N/A</v>
      </c>
      <c r="BW657" s="124" t="e">
        <v>#N/A</v>
      </c>
      <c r="BX657" s="124" t="e">
        <v>#N/A</v>
      </c>
      <c r="BY657" s="124" t="e">
        <v>#N/A</v>
      </c>
      <c r="BZ657" s="124" t="e">
        <v>#N/A</v>
      </c>
      <c r="CA657" s="125"/>
      <c r="CB657" s="124" t="e">
        <v>#N/A</v>
      </c>
      <c r="CC657" s="126">
        <v>1</v>
      </c>
      <c r="CD657" s="127" t="s">
        <v>4169</v>
      </c>
      <c r="CE657" s="128"/>
      <c r="CF657" s="77" t="s">
        <v>5058</v>
      </c>
    </row>
    <row r="658" spans="1:85" ht="14.5" x14ac:dyDescent="0.35">
      <c r="A658" s="77">
        <v>657</v>
      </c>
      <c r="B658" s="106" t="s">
        <v>64</v>
      </c>
      <c r="C658" s="107" t="s">
        <v>1241</v>
      </c>
      <c r="D658" s="108" t="s">
        <v>565</v>
      </c>
      <c r="E658" s="109" t="s">
        <v>566</v>
      </c>
      <c r="F658" s="110">
        <v>655311748</v>
      </c>
      <c r="G658" s="108" t="s">
        <v>1004</v>
      </c>
      <c r="H658" s="111" t="s">
        <v>179</v>
      </c>
      <c r="I658" s="111" t="s">
        <v>180</v>
      </c>
      <c r="J658" s="111" t="s">
        <v>4649</v>
      </c>
      <c r="K658" s="111" t="s">
        <v>2861</v>
      </c>
      <c r="L658" s="112">
        <v>42864</v>
      </c>
      <c r="M658" s="111" t="s">
        <v>491</v>
      </c>
      <c r="N658" s="113"/>
      <c r="O658" s="114" t="s">
        <v>567</v>
      </c>
      <c r="P658" s="114" t="s">
        <v>568</v>
      </c>
      <c r="Q658" s="114" t="s">
        <v>183</v>
      </c>
      <c r="R658" s="114" t="s">
        <v>568</v>
      </c>
      <c r="S658" s="114" t="s">
        <v>183</v>
      </c>
      <c r="T658" s="114" t="s">
        <v>567</v>
      </c>
      <c r="U658" s="114" t="s">
        <v>567</v>
      </c>
      <c r="V658" s="115"/>
      <c r="W658" s="116" t="s">
        <v>569</v>
      </c>
      <c r="X658" s="116" t="s">
        <v>570</v>
      </c>
      <c r="Y658" s="117">
        <v>3485505</v>
      </c>
      <c r="Z658" s="117">
        <v>3481137</v>
      </c>
      <c r="AA658" s="118"/>
      <c r="AB658" s="119" t="s">
        <v>571</v>
      </c>
      <c r="AC658" s="119" t="s">
        <v>1242</v>
      </c>
      <c r="AD658" s="119">
        <v>5860</v>
      </c>
      <c r="AE658" s="119" t="s">
        <v>572</v>
      </c>
      <c r="AF658" s="119">
        <v>0</v>
      </c>
      <c r="AG658" s="120"/>
      <c r="AH658" s="121">
        <v>44197</v>
      </c>
      <c r="AI658" s="121">
        <v>44197</v>
      </c>
      <c r="AJ658" s="121">
        <v>44197</v>
      </c>
      <c r="AK658" s="122">
        <v>44197</v>
      </c>
      <c r="AL658" s="122" t="e">
        <v>#N/A</v>
      </c>
      <c r="AM658" s="122">
        <v>45614</v>
      </c>
      <c r="AN658" s="122" t="e">
        <v>#N/A</v>
      </c>
      <c r="AO658" s="121" t="e">
        <v>#N/A</v>
      </c>
      <c r="AP658" s="122" t="e">
        <v>#N/A</v>
      </c>
      <c r="AQ658" s="122" t="e">
        <v>#N/A</v>
      </c>
      <c r="AR658" s="122" t="e">
        <v>#N/A</v>
      </c>
      <c r="AS658" s="122" t="e">
        <v>#N/A</v>
      </c>
      <c r="AT658" s="122" t="e">
        <v>#N/A</v>
      </c>
      <c r="AU658" s="121" t="e">
        <v>#N/A</v>
      </c>
      <c r="AV658" s="122" t="e">
        <v>#N/A</v>
      </c>
      <c r="AW658" s="122" t="e">
        <v>#N/A</v>
      </c>
      <c r="AX658" s="122" t="e">
        <v>#N/A</v>
      </c>
      <c r="AY658" s="122" t="e">
        <v>#N/A</v>
      </c>
      <c r="AZ658" s="122" t="e">
        <v>#N/A</v>
      </c>
      <c r="BA658" s="122" t="e">
        <v>#N/A</v>
      </c>
      <c r="BB658" s="122" t="e">
        <v>#N/A</v>
      </c>
      <c r="BC658" s="122" t="e">
        <v>#N/A</v>
      </c>
      <c r="BD658" s="122" t="e">
        <v>#N/A</v>
      </c>
      <c r="BE658" s="122" t="e">
        <v>#N/A</v>
      </c>
      <c r="BF658" s="122" t="e">
        <v>#N/A</v>
      </c>
      <c r="BG658" s="122" t="e">
        <v>#N/A</v>
      </c>
      <c r="BH658" s="122" t="e">
        <v>#N/A</v>
      </c>
      <c r="BI658" s="122" t="e">
        <v>#N/A</v>
      </c>
      <c r="BJ658" s="122" t="e">
        <v>#N/A</v>
      </c>
      <c r="BK658" s="122" t="e">
        <v>#N/A</v>
      </c>
      <c r="BL658" s="123"/>
      <c r="BM658" s="124" t="e">
        <v>#N/A</v>
      </c>
      <c r="BN658" s="124" t="e">
        <v>#N/A</v>
      </c>
      <c r="BO658" s="124" t="e">
        <v>#N/A</v>
      </c>
      <c r="BP658" s="124" t="e">
        <v>#N/A</v>
      </c>
      <c r="BQ658" s="124" t="e">
        <v>#N/A</v>
      </c>
      <c r="BR658" s="124" t="e">
        <v>#N/A</v>
      </c>
      <c r="BS658" s="124" t="e">
        <v>#N/A</v>
      </c>
      <c r="BT658" s="124" t="e">
        <v>#N/A</v>
      </c>
      <c r="BU658" s="124" t="e">
        <v>#N/A</v>
      </c>
      <c r="BV658" s="124" t="e">
        <v>#N/A</v>
      </c>
      <c r="BW658" s="124" t="e">
        <v>#N/A</v>
      </c>
      <c r="BX658" s="124" t="e">
        <v>#N/A</v>
      </c>
      <c r="BY658" s="124" t="e">
        <v>#N/A</v>
      </c>
      <c r="BZ658" s="124" t="e">
        <v>#N/A</v>
      </c>
      <c r="CA658" s="125"/>
      <c r="CB658" s="124" t="e">
        <v>#N/A</v>
      </c>
      <c r="CC658" s="126">
        <v>1</v>
      </c>
      <c r="CD658" s="127" t="s">
        <v>4169</v>
      </c>
      <c r="CE658" s="128"/>
      <c r="CF658" s="77" t="s">
        <v>4904</v>
      </c>
    </row>
    <row r="659" spans="1:85" ht="14.5" x14ac:dyDescent="0.35">
      <c r="A659" s="77">
        <v>658</v>
      </c>
      <c r="B659" s="106" t="s">
        <v>144</v>
      </c>
      <c r="C659" s="107" t="s">
        <v>1144</v>
      </c>
      <c r="D659" s="108" t="s">
        <v>831</v>
      </c>
      <c r="E659" s="109" t="s">
        <v>832</v>
      </c>
      <c r="F659" s="110">
        <v>662506848</v>
      </c>
      <c r="G659" s="108" t="s">
        <v>1004</v>
      </c>
      <c r="H659" s="111" t="s">
        <v>179</v>
      </c>
      <c r="I659" s="111" t="s">
        <v>180</v>
      </c>
      <c r="J659" s="111" t="s">
        <v>4649</v>
      </c>
      <c r="K659" s="111" t="s">
        <v>2861</v>
      </c>
      <c r="L659" s="112">
        <v>45601</v>
      </c>
      <c r="M659" s="111" t="s">
        <v>3001</v>
      </c>
      <c r="N659" s="113"/>
      <c r="O659" s="114" t="s">
        <v>3122</v>
      </c>
      <c r="P659" s="114" t="s">
        <v>3122</v>
      </c>
      <c r="Q659" s="114" t="s">
        <v>183</v>
      </c>
      <c r="R659" s="114" t="s">
        <v>7393</v>
      </c>
      <c r="S659" s="114" t="s">
        <v>3122</v>
      </c>
      <c r="T659" s="114" t="s">
        <v>3122</v>
      </c>
      <c r="U659" s="114" t="s">
        <v>3122</v>
      </c>
      <c r="V659" s="115"/>
      <c r="W659" s="116" t="s">
        <v>4106</v>
      </c>
      <c r="X659" s="116" t="s">
        <v>4107</v>
      </c>
      <c r="Y659" s="117">
        <v>3485157</v>
      </c>
      <c r="Z659" s="117">
        <v>3481191</v>
      </c>
      <c r="AA659" s="118"/>
      <c r="AB659" s="119" t="s">
        <v>4108</v>
      </c>
      <c r="AC659" s="119" t="s">
        <v>4109</v>
      </c>
      <c r="AD659" s="119">
        <v>26376</v>
      </c>
      <c r="AE659" s="119" t="s">
        <v>4137</v>
      </c>
      <c r="AF659" s="119">
        <v>0</v>
      </c>
      <c r="AG659" s="120"/>
      <c r="AH659" s="121">
        <v>44197</v>
      </c>
      <c r="AI659" s="121">
        <v>45600</v>
      </c>
      <c r="AJ659" s="121">
        <v>45600</v>
      </c>
      <c r="AK659" s="122">
        <v>45600</v>
      </c>
      <c r="AL659" s="122">
        <v>46007</v>
      </c>
      <c r="AM659" s="121" t="e">
        <v>#N/A</v>
      </c>
      <c r="AN659" s="121">
        <v>46007</v>
      </c>
      <c r="AO659" s="121">
        <v>46008</v>
      </c>
      <c r="AP659" s="122" t="e">
        <v>#N/A</v>
      </c>
      <c r="AQ659" s="122" t="e">
        <v>#N/A</v>
      </c>
      <c r="AR659" s="122">
        <v>46007</v>
      </c>
      <c r="AS659" s="122" t="e">
        <v>#N/A</v>
      </c>
      <c r="AT659" s="122" t="e">
        <v>#N/A</v>
      </c>
      <c r="AU659" s="121" t="e">
        <v>#N/A</v>
      </c>
      <c r="AV659" s="122" t="e">
        <v>#N/A</v>
      </c>
      <c r="AW659" s="122">
        <v>45883</v>
      </c>
      <c r="AX659" s="122" t="e">
        <v>#N/A</v>
      </c>
      <c r="AY659" s="122" t="e">
        <v>#N/A</v>
      </c>
      <c r="AZ659" s="122">
        <v>46007</v>
      </c>
      <c r="BA659" s="122" t="e">
        <v>#N/A</v>
      </c>
      <c r="BB659" s="122" t="e">
        <v>#N/A</v>
      </c>
      <c r="BC659" s="122" t="e">
        <v>#N/A</v>
      </c>
      <c r="BD659" s="122" t="e">
        <v>#N/A</v>
      </c>
      <c r="BE659" s="122" t="e">
        <v>#N/A</v>
      </c>
      <c r="BF659" s="122" t="e">
        <v>#N/A</v>
      </c>
      <c r="BG659" s="122" t="e">
        <v>#N/A</v>
      </c>
      <c r="BH659" s="122" t="e">
        <v>#N/A</v>
      </c>
      <c r="BI659" s="122" t="e">
        <v>#N/A</v>
      </c>
      <c r="BJ659" s="122" t="e">
        <v>#N/A</v>
      </c>
      <c r="BK659" s="122" t="e">
        <v>#N/A</v>
      </c>
      <c r="BL659" s="123"/>
      <c r="BM659" s="124" t="e">
        <v>#N/A</v>
      </c>
      <c r="BN659" s="124" t="e">
        <v>#N/A</v>
      </c>
      <c r="BO659" s="124" t="e">
        <v>#N/A</v>
      </c>
      <c r="BP659" s="124" t="e">
        <v>#N/A</v>
      </c>
      <c r="BQ659" s="124" t="e">
        <v>#N/A</v>
      </c>
      <c r="BR659" s="124" t="e">
        <v>#N/A</v>
      </c>
      <c r="BS659" s="124" t="e">
        <v>#N/A</v>
      </c>
      <c r="BT659" s="124" t="e">
        <v>#N/A</v>
      </c>
      <c r="BU659" s="124" t="e">
        <v>#N/A</v>
      </c>
      <c r="BV659" s="124" t="e">
        <v>#N/A</v>
      </c>
      <c r="BW659" s="124" t="e">
        <v>#N/A</v>
      </c>
      <c r="BX659" s="124" t="e">
        <v>#N/A</v>
      </c>
      <c r="BY659" s="124" t="e">
        <v>#N/A</v>
      </c>
      <c r="BZ659" s="124" t="e">
        <v>#N/A</v>
      </c>
      <c r="CA659" s="125"/>
      <c r="CB659" s="124" t="e">
        <v>#N/A</v>
      </c>
      <c r="CC659" s="126">
        <v>1</v>
      </c>
      <c r="CD659" s="127" t="s">
        <v>4169</v>
      </c>
      <c r="CE659" s="128"/>
      <c r="CF659" s="77" t="s">
        <v>5058</v>
      </c>
    </row>
    <row r="660" spans="1:85" ht="14.5" x14ac:dyDescent="0.35">
      <c r="A660" s="77">
        <v>659</v>
      </c>
      <c r="B660" s="106" t="s">
        <v>1723</v>
      </c>
      <c r="C660" s="107" t="s">
        <v>6490</v>
      </c>
      <c r="D660" s="108" t="s">
        <v>1724</v>
      </c>
      <c r="E660" s="109" t="s">
        <v>1725</v>
      </c>
      <c r="F660" s="110">
        <v>617206381</v>
      </c>
      <c r="G660" s="108" t="s">
        <v>1004</v>
      </c>
      <c r="H660" s="111" t="s">
        <v>179</v>
      </c>
      <c r="I660" s="111" t="s">
        <v>180</v>
      </c>
      <c r="J660" s="111" t="s">
        <v>4649</v>
      </c>
      <c r="K660" s="111" t="s">
        <v>2861</v>
      </c>
      <c r="L660" s="112">
        <v>44917</v>
      </c>
      <c r="M660" s="111" t="s">
        <v>3001</v>
      </c>
      <c r="N660" s="113"/>
      <c r="O660" s="114" t="s">
        <v>310</v>
      </c>
      <c r="P660" s="114" t="s">
        <v>694</v>
      </c>
      <c r="Q660" s="114" t="s">
        <v>310</v>
      </c>
      <c r="R660" s="114" t="s">
        <v>7337</v>
      </c>
      <c r="S660" s="114" t="s">
        <v>478</v>
      </c>
      <c r="T660" s="114" t="s">
        <v>183</v>
      </c>
      <c r="U660" s="114" t="s">
        <v>183</v>
      </c>
      <c r="V660" s="115"/>
      <c r="W660" s="116" t="s">
        <v>1726</v>
      </c>
      <c r="X660" s="116" t="s">
        <v>1727</v>
      </c>
      <c r="Y660" s="117">
        <v>3485690</v>
      </c>
      <c r="Z660" s="117">
        <v>3486513</v>
      </c>
      <c r="AA660" s="118"/>
      <c r="AB660" s="119" t="s">
        <v>5689</v>
      </c>
      <c r="AC660" s="119" t="s">
        <v>1728</v>
      </c>
      <c r="AD660" s="119">
        <v>4400</v>
      </c>
      <c r="AE660" s="119" t="s">
        <v>1729</v>
      </c>
      <c r="AF660" s="119" t="s">
        <v>7129</v>
      </c>
      <c r="AG660" s="120"/>
      <c r="AH660" s="121">
        <v>44733</v>
      </c>
      <c r="AI660" s="121">
        <v>45175</v>
      </c>
      <c r="AJ660" s="121">
        <v>44733</v>
      </c>
      <c r="AK660" s="122">
        <v>45175</v>
      </c>
      <c r="AL660" s="122" t="e">
        <v>#N/A</v>
      </c>
      <c r="AM660" s="121" t="e">
        <v>#N/A</v>
      </c>
      <c r="AN660" s="121" t="e">
        <v>#N/A</v>
      </c>
      <c r="AO660" s="121" t="e">
        <v>#N/A</v>
      </c>
      <c r="AP660" s="122" t="e">
        <v>#N/A</v>
      </c>
      <c r="AQ660" s="122" t="e">
        <v>#N/A</v>
      </c>
      <c r="AR660" s="122" t="e">
        <v>#N/A</v>
      </c>
      <c r="AS660" s="122" t="e">
        <v>#N/A</v>
      </c>
      <c r="AT660" s="122" t="e">
        <v>#N/A</v>
      </c>
      <c r="AU660" s="121" t="e">
        <v>#N/A</v>
      </c>
      <c r="AV660" s="122" t="e">
        <v>#N/A</v>
      </c>
      <c r="AW660" s="122">
        <v>45762</v>
      </c>
      <c r="AX660" s="122" t="e">
        <v>#N/A</v>
      </c>
      <c r="AY660" s="122" t="e">
        <v>#N/A</v>
      </c>
      <c r="AZ660" s="122" t="e">
        <v>#N/A</v>
      </c>
      <c r="BA660" s="122" t="e">
        <v>#N/A</v>
      </c>
      <c r="BB660" s="122" t="e">
        <v>#N/A</v>
      </c>
      <c r="BC660" s="122">
        <v>45385</v>
      </c>
      <c r="BD660" s="122" t="e">
        <v>#N/A</v>
      </c>
      <c r="BE660" s="122" t="e">
        <v>#N/A</v>
      </c>
      <c r="BF660" s="122" t="e">
        <v>#N/A</v>
      </c>
      <c r="BG660" s="122" t="e">
        <v>#N/A</v>
      </c>
      <c r="BH660" s="122" t="e">
        <v>#N/A</v>
      </c>
      <c r="BI660" s="122" t="e">
        <v>#N/A</v>
      </c>
      <c r="BJ660" s="122" t="e">
        <v>#N/A</v>
      </c>
      <c r="BK660" s="122">
        <v>45964</v>
      </c>
      <c r="BL660" s="123"/>
      <c r="BM660" s="124" t="e">
        <v>#N/A</v>
      </c>
      <c r="BN660" s="124" t="e">
        <v>#N/A</v>
      </c>
      <c r="BO660" s="124" t="e">
        <v>#N/A</v>
      </c>
      <c r="BP660" s="124" t="e">
        <v>#N/A</v>
      </c>
      <c r="BQ660" s="124" t="e">
        <v>#N/A</v>
      </c>
      <c r="BR660" s="124" t="e">
        <v>#N/A</v>
      </c>
      <c r="BS660" s="124" t="e">
        <v>#N/A</v>
      </c>
      <c r="BT660" s="124" t="e">
        <v>#N/A</v>
      </c>
      <c r="BU660" s="124" t="e">
        <v>#N/A</v>
      </c>
      <c r="BV660" s="124" t="e">
        <v>#N/A</v>
      </c>
      <c r="BW660" s="124" t="e">
        <v>#N/A</v>
      </c>
      <c r="BX660" s="124" t="e">
        <v>#N/A</v>
      </c>
      <c r="BY660" s="124" t="e">
        <v>#N/A</v>
      </c>
      <c r="BZ660" s="124" t="e">
        <v>#N/A</v>
      </c>
      <c r="CA660" s="125"/>
      <c r="CB660" s="124">
        <v>45734</v>
      </c>
      <c r="CC660" s="126">
        <v>1</v>
      </c>
      <c r="CD660" s="127" t="s">
        <v>4155</v>
      </c>
      <c r="CE660" s="128"/>
      <c r="CF660" s="77" t="s">
        <v>5058</v>
      </c>
    </row>
    <row r="661" spans="1:85" ht="14.5" x14ac:dyDescent="0.35">
      <c r="A661" s="77">
        <v>660</v>
      </c>
      <c r="B661" s="106" t="s">
        <v>2453</v>
      </c>
      <c r="C661" s="107" t="s">
        <v>6521</v>
      </c>
      <c r="D661" s="108" t="s">
        <v>2428</v>
      </c>
      <c r="E661" s="109" t="s">
        <v>2454</v>
      </c>
      <c r="F661" s="110" t="s">
        <v>2429</v>
      </c>
      <c r="G661" s="108" t="s">
        <v>1004</v>
      </c>
      <c r="H661" s="111" t="s">
        <v>179</v>
      </c>
      <c r="I661" s="111" t="s">
        <v>180</v>
      </c>
      <c r="J661" s="111" t="s">
        <v>4649</v>
      </c>
      <c r="K661" s="111" t="s">
        <v>2861</v>
      </c>
      <c r="L661" s="112">
        <v>44909</v>
      </c>
      <c r="M661" s="111" t="s">
        <v>3001</v>
      </c>
      <c r="N661" s="113"/>
      <c r="O661" s="114" t="s">
        <v>7690</v>
      </c>
      <c r="P661" s="114" t="s">
        <v>7691</v>
      </c>
      <c r="Q661" s="114" t="s">
        <v>7690</v>
      </c>
      <c r="R661" s="114" t="s">
        <v>7690</v>
      </c>
      <c r="S661" s="114" t="s">
        <v>7691</v>
      </c>
      <c r="T661" s="114" t="s">
        <v>4356</v>
      </c>
      <c r="U661" s="114" t="s">
        <v>4356</v>
      </c>
      <c r="V661" s="115"/>
      <c r="W661" s="116" t="s">
        <v>2430</v>
      </c>
      <c r="X661" s="116" t="s">
        <v>2431</v>
      </c>
      <c r="Y661" s="117">
        <v>3485747</v>
      </c>
      <c r="Z661" s="117">
        <v>3481426</v>
      </c>
      <c r="AA661" s="118"/>
      <c r="AB661" s="119" t="s">
        <v>2432</v>
      </c>
      <c r="AC661" s="119" t="s">
        <v>2433</v>
      </c>
      <c r="AD661" s="119">
        <v>4519</v>
      </c>
      <c r="AE661" s="119" t="s">
        <v>2434</v>
      </c>
      <c r="AF661" s="119" t="s">
        <v>7692</v>
      </c>
      <c r="AG661" s="120"/>
      <c r="AH661" s="121">
        <v>44908</v>
      </c>
      <c r="AI661" s="121">
        <v>44908</v>
      </c>
      <c r="AJ661" s="121">
        <v>44908</v>
      </c>
      <c r="AK661" s="122">
        <v>44988</v>
      </c>
      <c r="AL661" s="122">
        <v>45075</v>
      </c>
      <c r="AM661" s="122">
        <v>45083</v>
      </c>
      <c r="AN661" s="122" t="s">
        <v>5691</v>
      </c>
      <c r="AO661" s="121" t="e">
        <v>#N/A</v>
      </c>
      <c r="AP661" s="122" t="e">
        <v>#N/A</v>
      </c>
      <c r="AQ661" s="122" t="e">
        <v>#N/A</v>
      </c>
      <c r="AR661" s="122">
        <v>45083</v>
      </c>
      <c r="AS661" s="122" t="e">
        <v>#N/A</v>
      </c>
      <c r="AT661" s="122" t="e">
        <v>#N/A</v>
      </c>
      <c r="AU661" s="121" t="e">
        <v>#N/A</v>
      </c>
      <c r="AV661" s="122" t="e">
        <v>#N/A</v>
      </c>
      <c r="AW661" s="122" t="e">
        <v>#N/A</v>
      </c>
      <c r="AX661" s="122" t="e">
        <v>#N/A</v>
      </c>
      <c r="AY661" s="122" t="e">
        <v>#N/A</v>
      </c>
      <c r="AZ661" s="122" t="e">
        <v>#N/A</v>
      </c>
      <c r="BA661" s="122">
        <v>45083</v>
      </c>
      <c r="BB661" s="122" t="e">
        <v>#N/A</v>
      </c>
      <c r="BC661" s="122">
        <v>45083</v>
      </c>
      <c r="BD661" s="122" t="e">
        <v>#N/A</v>
      </c>
      <c r="BE661" s="122" t="e">
        <v>#N/A</v>
      </c>
      <c r="BF661" s="122" t="e">
        <v>#N/A</v>
      </c>
      <c r="BG661" s="122" t="e">
        <v>#N/A</v>
      </c>
      <c r="BH661" s="122" t="e">
        <v>#N/A</v>
      </c>
      <c r="BI661" s="122" t="e">
        <v>#N/A</v>
      </c>
      <c r="BJ661" s="122" t="e">
        <v>#N/A</v>
      </c>
      <c r="BK661" s="122">
        <v>45975</v>
      </c>
      <c r="BL661" s="123"/>
      <c r="BM661" s="124" t="e">
        <v>#N/A</v>
      </c>
      <c r="BN661" s="124" t="e">
        <v>#N/A</v>
      </c>
      <c r="BO661" s="124" t="e">
        <v>#N/A</v>
      </c>
      <c r="BP661" s="124" t="e">
        <v>#N/A</v>
      </c>
      <c r="BQ661" s="124" t="e">
        <v>#N/A</v>
      </c>
      <c r="BR661" s="124" t="e">
        <v>#N/A</v>
      </c>
      <c r="BS661" s="124" t="e">
        <v>#N/A</v>
      </c>
      <c r="BT661" s="124" t="e">
        <v>#N/A</v>
      </c>
      <c r="BU661" s="124" t="e">
        <v>#N/A</v>
      </c>
      <c r="BV661" s="124" t="e">
        <v>#N/A</v>
      </c>
      <c r="BW661" s="124" t="e">
        <v>#N/A</v>
      </c>
      <c r="BX661" s="124" t="e">
        <v>#N/A</v>
      </c>
      <c r="BY661" s="124" t="e">
        <v>#N/A</v>
      </c>
      <c r="BZ661" s="124" t="e">
        <v>#N/A</v>
      </c>
      <c r="CA661" s="125"/>
      <c r="CB661" s="124">
        <v>45728</v>
      </c>
      <c r="CC661" s="126">
        <v>1</v>
      </c>
      <c r="CD661" s="127" t="s">
        <v>4192</v>
      </c>
      <c r="CE661" s="128"/>
      <c r="CF661" s="77" t="s">
        <v>4904</v>
      </c>
    </row>
    <row r="662" spans="1:85" ht="14.5" x14ac:dyDescent="0.35">
      <c r="A662" s="77">
        <v>661</v>
      </c>
      <c r="B662" s="106" t="s">
        <v>2750</v>
      </c>
      <c r="C662" s="107" t="s">
        <v>6544</v>
      </c>
      <c r="D662" s="108" t="s">
        <v>2743</v>
      </c>
      <c r="E662" s="109" t="s">
        <v>2744</v>
      </c>
      <c r="F662" s="110">
        <v>653712139</v>
      </c>
      <c r="G662" s="108" t="s">
        <v>1004</v>
      </c>
      <c r="H662" s="111" t="s">
        <v>179</v>
      </c>
      <c r="I662" s="111" t="s">
        <v>180</v>
      </c>
      <c r="J662" s="111" t="s">
        <v>4649</v>
      </c>
      <c r="K662" s="111" t="s">
        <v>2861</v>
      </c>
      <c r="L662" s="112">
        <v>45096</v>
      </c>
      <c r="M662" s="111" t="s">
        <v>3001</v>
      </c>
      <c r="N662" s="113"/>
      <c r="O662" s="114" t="s">
        <v>246</v>
      </c>
      <c r="P662" s="114" t="s">
        <v>257</v>
      </c>
      <c r="Q662" s="114" t="s">
        <v>246</v>
      </c>
      <c r="R662" s="114" t="s">
        <v>246</v>
      </c>
      <c r="S662" s="114" t="s">
        <v>257</v>
      </c>
      <c r="T662" s="114" t="s">
        <v>183</v>
      </c>
      <c r="U662" s="114" t="s">
        <v>183</v>
      </c>
      <c r="V662" s="115"/>
      <c r="W662" s="116" t="s">
        <v>2745</v>
      </c>
      <c r="X662" s="116" t="s">
        <v>2746</v>
      </c>
      <c r="Y662" s="117">
        <v>3485419</v>
      </c>
      <c r="Z662" s="117">
        <v>3486607</v>
      </c>
      <c r="AA662" s="118"/>
      <c r="AB662" s="119" t="s">
        <v>2759</v>
      </c>
      <c r="AC662" s="119" t="s">
        <v>2764</v>
      </c>
      <c r="AD662" s="119">
        <v>4119</v>
      </c>
      <c r="AE662" s="119" t="s">
        <v>2765</v>
      </c>
      <c r="AF662" s="119">
        <v>0</v>
      </c>
      <c r="AG662" s="120"/>
      <c r="AH662" s="121">
        <v>45093</v>
      </c>
      <c r="AI662" s="121">
        <v>45093</v>
      </c>
      <c r="AJ662" s="121">
        <v>45093</v>
      </c>
      <c r="AK662" s="122">
        <v>45093</v>
      </c>
      <c r="AL662" s="122" t="e">
        <v>#N/A</v>
      </c>
      <c r="AM662" s="121" t="e">
        <v>#N/A</v>
      </c>
      <c r="AN662" s="121" t="e">
        <v>#N/A</v>
      </c>
      <c r="AO662" s="121" t="e">
        <v>#N/A</v>
      </c>
      <c r="AP662" s="122" t="e">
        <v>#N/A</v>
      </c>
      <c r="AQ662" s="122" t="e">
        <v>#N/A</v>
      </c>
      <c r="AR662" s="122" t="e">
        <v>#N/A</v>
      </c>
      <c r="AS662" s="122" t="e">
        <v>#N/A</v>
      </c>
      <c r="AT662" s="122" t="e">
        <v>#N/A</v>
      </c>
      <c r="AU662" s="121" t="e">
        <v>#N/A</v>
      </c>
      <c r="AV662" s="122" t="e">
        <v>#N/A</v>
      </c>
      <c r="AW662" s="122">
        <v>45756</v>
      </c>
      <c r="AX662" s="122" t="e">
        <v>#N/A</v>
      </c>
      <c r="AY662" s="122" t="e">
        <v>#N/A</v>
      </c>
      <c r="AZ662" s="122" t="e">
        <v>#N/A</v>
      </c>
      <c r="BA662" s="122" t="e">
        <v>#N/A</v>
      </c>
      <c r="BB662" s="122" t="e">
        <v>#N/A</v>
      </c>
      <c r="BC662" s="122">
        <v>45406</v>
      </c>
      <c r="BD662" s="122" t="e">
        <v>#N/A</v>
      </c>
      <c r="BE662" s="122" t="e">
        <v>#N/A</v>
      </c>
      <c r="BF662" s="122" t="e">
        <v>#N/A</v>
      </c>
      <c r="BG662" s="122" t="e">
        <v>#N/A</v>
      </c>
      <c r="BH662" s="122" t="e">
        <v>#N/A</v>
      </c>
      <c r="BI662" s="122" t="e">
        <v>#N/A</v>
      </c>
      <c r="BJ662" s="122" t="e">
        <v>#N/A</v>
      </c>
      <c r="BK662" s="122" t="e">
        <v>#N/A</v>
      </c>
      <c r="BL662" s="123"/>
      <c r="BM662" s="124" t="e">
        <v>#N/A</v>
      </c>
      <c r="BN662" s="124" t="e">
        <v>#N/A</v>
      </c>
      <c r="BO662" s="124" t="e">
        <v>#N/A</v>
      </c>
      <c r="BP662" s="124" t="e">
        <v>#N/A</v>
      </c>
      <c r="BQ662" s="124" t="e">
        <v>#N/A</v>
      </c>
      <c r="BR662" s="124" t="e">
        <v>#N/A</v>
      </c>
      <c r="BS662" s="124" t="e">
        <v>#N/A</v>
      </c>
      <c r="BT662" s="124" t="e">
        <v>#N/A</v>
      </c>
      <c r="BU662" s="124" t="e">
        <v>#N/A</v>
      </c>
      <c r="BV662" s="124" t="e">
        <v>#N/A</v>
      </c>
      <c r="BW662" s="124" t="e">
        <v>#N/A</v>
      </c>
      <c r="BX662" s="124" t="e">
        <v>#N/A</v>
      </c>
      <c r="BY662" s="124" t="e">
        <v>#N/A</v>
      </c>
      <c r="BZ662" s="124" t="e">
        <v>#N/A</v>
      </c>
      <c r="CA662" s="125"/>
      <c r="CB662" s="124">
        <v>45729</v>
      </c>
      <c r="CC662" s="126">
        <v>1</v>
      </c>
      <c r="CD662" s="127" t="s">
        <v>4166</v>
      </c>
      <c r="CE662" s="128"/>
      <c r="CF662" s="77" t="s">
        <v>4904</v>
      </c>
    </row>
    <row r="663" spans="1:85" ht="14.5" x14ac:dyDescent="0.35">
      <c r="A663" s="77">
        <v>662</v>
      </c>
      <c r="B663" s="106" t="s">
        <v>2751</v>
      </c>
      <c r="C663" s="107" t="s">
        <v>6548</v>
      </c>
      <c r="D663" s="108" t="s">
        <v>2747</v>
      </c>
      <c r="E663" s="109" t="s">
        <v>3061</v>
      </c>
      <c r="F663" s="110">
        <v>865940438</v>
      </c>
      <c r="G663" s="108" t="s">
        <v>1004</v>
      </c>
      <c r="H663" s="111" t="s">
        <v>179</v>
      </c>
      <c r="I663" s="111" t="s">
        <v>180</v>
      </c>
      <c r="J663" s="111" t="s">
        <v>4649</v>
      </c>
      <c r="K663" s="111" t="s">
        <v>2861</v>
      </c>
      <c r="L663" s="112">
        <v>45096</v>
      </c>
      <c r="M663" s="111" t="s">
        <v>3001</v>
      </c>
      <c r="N663" s="113"/>
      <c r="O663" s="114" t="s">
        <v>310</v>
      </c>
      <c r="P663" s="114" t="s">
        <v>694</v>
      </c>
      <c r="Q663" s="114" t="s">
        <v>285</v>
      </c>
      <c r="R663" s="114" t="s">
        <v>310</v>
      </c>
      <c r="S663" s="114" t="s">
        <v>310</v>
      </c>
      <c r="T663" s="114" t="s">
        <v>183</v>
      </c>
      <c r="U663" s="114" t="s">
        <v>183</v>
      </c>
      <c r="V663" s="115"/>
      <c r="W663" s="116" t="s">
        <v>2748</v>
      </c>
      <c r="X663" s="116" t="s">
        <v>2749</v>
      </c>
      <c r="Y663" s="117">
        <v>3485553</v>
      </c>
      <c r="Z663" s="117">
        <v>3486391</v>
      </c>
      <c r="AA663" s="118"/>
      <c r="AB663" s="119" t="s">
        <v>5901</v>
      </c>
      <c r="AC663" s="119" t="s">
        <v>2766</v>
      </c>
      <c r="AD663" s="119">
        <v>4120</v>
      </c>
      <c r="AE663" s="119" t="s">
        <v>2767</v>
      </c>
      <c r="AF663" s="119" t="s">
        <v>7693</v>
      </c>
      <c r="AG663" s="120"/>
      <c r="AH663" s="121">
        <v>45093</v>
      </c>
      <c r="AI663" s="121">
        <v>45093</v>
      </c>
      <c r="AJ663" s="121">
        <v>45093</v>
      </c>
      <c r="AK663" s="122">
        <v>45093</v>
      </c>
      <c r="AL663" s="122" t="e">
        <v>#N/A</v>
      </c>
      <c r="AM663" s="122" t="e">
        <v>#N/A</v>
      </c>
      <c r="AN663" s="122" t="e">
        <v>#N/A</v>
      </c>
      <c r="AO663" s="121" t="e">
        <v>#N/A</v>
      </c>
      <c r="AP663" s="122" t="e">
        <v>#N/A</v>
      </c>
      <c r="AQ663" s="122" t="e">
        <v>#N/A</v>
      </c>
      <c r="AR663" s="122" t="e">
        <v>#N/A</v>
      </c>
      <c r="AS663" s="122" t="e">
        <v>#N/A</v>
      </c>
      <c r="AT663" s="122" t="e">
        <v>#N/A</v>
      </c>
      <c r="AU663" s="121" t="e">
        <v>#N/A</v>
      </c>
      <c r="AV663" s="122" t="e">
        <v>#N/A</v>
      </c>
      <c r="AW663" s="122">
        <v>45757</v>
      </c>
      <c r="AX663" s="122" t="e">
        <v>#N/A</v>
      </c>
      <c r="AY663" s="122" t="e">
        <v>#N/A</v>
      </c>
      <c r="AZ663" s="122" t="e">
        <v>#N/A</v>
      </c>
      <c r="BA663" s="122" t="e">
        <v>#N/A</v>
      </c>
      <c r="BB663" s="122" t="e">
        <v>#N/A</v>
      </c>
      <c r="BC663" s="122" t="e">
        <v>#N/A</v>
      </c>
      <c r="BD663" s="122" t="e">
        <v>#N/A</v>
      </c>
      <c r="BE663" s="122" t="e">
        <v>#N/A</v>
      </c>
      <c r="BF663" s="122" t="e">
        <v>#N/A</v>
      </c>
      <c r="BG663" s="122" t="e">
        <v>#N/A</v>
      </c>
      <c r="BH663" s="122" t="e">
        <v>#N/A</v>
      </c>
      <c r="BI663" s="122" t="e">
        <v>#N/A</v>
      </c>
      <c r="BJ663" s="122" t="e">
        <v>#N/A</v>
      </c>
      <c r="BK663" s="122">
        <v>45975</v>
      </c>
      <c r="BL663" s="123"/>
      <c r="BM663" s="124" t="e">
        <v>#N/A</v>
      </c>
      <c r="BN663" s="124" t="e">
        <v>#N/A</v>
      </c>
      <c r="BO663" s="124" t="e">
        <v>#N/A</v>
      </c>
      <c r="BP663" s="124" t="e">
        <v>#N/A</v>
      </c>
      <c r="BQ663" s="124" t="e">
        <v>#N/A</v>
      </c>
      <c r="BR663" s="124" t="e">
        <v>#N/A</v>
      </c>
      <c r="BS663" s="124" t="e">
        <v>#N/A</v>
      </c>
      <c r="BT663" s="124" t="e">
        <v>#N/A</v>
      </c>
      <c r="BU663" s="124" t="e">
        <v>#N/A</v>
      </c>
      <c r="BV663" s="124" t="e">
        <v>#N/A</v>
      </c>
      <c r="BW663" s="124" t="e">
        <v>#N/A</v>
      </c>
      <c r="BX663" s="124" t="e">
        <v>#N/A</v>
      </c>
      <c r="BY663" s="124" t="e">
        <v>#N/A</v>
      </c>
      <c r="BZ663" s="124" t="e">
        <v>#N/A</v>
      </c>
      <c r="CA663" s="125"/>
      <c r="CB663" s="124" t="e">
        <v>#N/A</v>
      </c>
      <c r="CC663" s="126">
        <v>1</v>
      </c>
      <c r="CD663" s="127" t="s">
        <v>4166</v>
      </c>
      <c r="CE663" s="128" t="e">
        <v>#REF!</v>
      </c>
      <c r="CF663" s="77" t="s">
        <v>5329</v>
      </c>
      <c r="CG663" s="77" t="e">
        <v>#REF!</v>
      </c>
    </row>
    <row r="664" spans="1:85" ht="14.5" x14ac:dyDescent="0.35">
      <c r="A664" s="77">
        <v>663</v>
      </c>
      <c r="B664" s="106" t="s">
        <v>3012</v>
      </c>
      <c r="C664" s="107" t="s">
        <v>6578</v>
      </c>
      <c r="D664" s="108" t="s">
        <v>3013</v>
      </c>
      <c r="E664" s="109" t="s">
        <v>3014</v>
      </c>
      <c r="F664" s="110">
        <v>670598161</v>
      </c>
      <c r="G664" s="108" t="s">
        <v>190</v>
      </c>
      <c r="H664" s="111" t="s">
        <v>179</v>
      </c>
      <c r="I664" s="111" t="s">
        <v>180</v>
      </c>
      <c r="J664" s="111" t="s">
        <v>4649</v>
      </c>
      <c r="K664" s="111" t="s">
        <v>2861</v>
      </c>
      <c r="L664" s="112">
        <v>45210</v>
      </c>
      <c r="M664" s="111" t="s">
        <v>3001</v>
      </c>
      <c r="N664" s="113"/>
      <c r="O664" s="114" t="s">
        <v>7275</v>
      </c>
      <c r="P664" s="114" t="s">
        <v>4356</v>
      </c>
      <c r="Q664" s="114" t="s">
        <v>7275</v>
      </c>
      <c r="R664" s="114" t="s">
        <v>7275</v>
      </c>
      <c r="S664" s="114" t="s">
        <v>4356</v>
      </c>
      <c r="T664" s="114" t="s">
        <v>7275</v>
      </c>
      <c r="U664" s="114" t="s">
        <v>7275</v>
      </c>
      <c r="V664" s="115"/>
      <c r="W664" s="116" t="s">
        <v>3015</v>
      </c>
      <c r="X664" s="116" t="s">
        <v>3016</v>
      </c>
      <c r="Y664" s="117">
        <v>3485839</v>
      </c>
      <c r="Z664" s="117">
        <v>3486368</v>
      </c>
      <c r="AA664" s="118"/>
      <c r="AB664" s="119" t="s">
        <v>5902</v>
      </c>
      <c r="AC664" s="119" t="s">
        <v>3017</v>
      </c>
      <c r="AD664" s="119">
        <v>4422</v>
      </c>
      <c r="AE664" s="119" t="s">
        <v>3018</v>
      </c>
      <c r="AF664" s="119">
        <v>0</v>
      </c>
      <c r="AG664" s="120"/>
      <c r="AH664" s="121">
        <v>45210</v>
      </c>
      <c r="AI664" s="121">
        <v>45260</v>
      </c>
      <c r="AJ664" s="121">
        <v>45210</v>
      </c>
      <c r="AK664" s="122">
        <v>45260</v>
      </c>
      <c r="AL664" s="122">
        <v>45259</v>
      </c>
      <c r="AM664" s="122" t="e">
        <v>#N/A</v>
      </c>
      <c r="AN664" s="122" t="s">
        <v>7157</v>
      </c>
      <c r="AO664" s="121" t="e">
        <v>#N/A</v>
      </c>
      <c r="AP664" s="122" t="e">
        <v>#N/A</v>
      </c>
      <c r="AQ664" s="122" t="e">
        <v>#N/A</v>
      </c>
      <c r="AR664" s="122" t="e">
        <v>#N/A</v>
      </c>
      <c r="AS664" s="122" t="e">
        <v>#N/A</v>
      </c>
      <c r="AT664" s="122" t="e">
        <v>#N/A</v>
      </c>
      <c r="AU664" s="121" t="e">
        <v>#N/A</v>
      </c>
      <c r="AV664" s="122">
        <v>45786</v>
      </c>
      <c r="AW664" s="122">
        <v>45747</v>
      </c>
      <c r="AX664" s="122" t="e">
        <v>#N/A</v>
      </c>
      <c r="AY664" s="122" t="e">
        <v>#N/A</v>
      </c>
      <c r="AZ664" s="122" t="e">
        <v>#N/A</v>
      </c>
      <c r="BA664" s="122" t="e">
        <v>#N/A</v>
      </c>
      <c r="BB664" s="122" t="e">
        <v>#N/A</v>
      </c>
      <c r="BC664" s="122">
        <v>45355</v>
      </c>
      <c r="BD664" s="122" t="e">
        <v>#N/A</v>
      </c>
      <c r="BE664" s="122" t="e">
        <v>#N/A</v>
      </c>
      <c r="BF664" s="122" t="e">
        <v>#N/A</v>
      </c>
      <c r="BG664" s="122" t="e">
        <v>#N/A</v>
      </c>
      <c r="BH664" s="122" t="e">
        <v>#N/A</v>
      </c>
      <c r="BI664" s="122" t="e">
        <v>#N/A</v>
      </c>
      <c r="BJ664" s="122" t="e">
        <v>#N/A</v>
      </c>
      <c r="BK664" s="122" t="e">
        <v>#N/A</v>
      </c>
      <c r="BL664" s="123"/>
      <c r="BM664" s="124" t="e">
        <v>#N/A</v>
      </c>
      <c r="BN664" s="124" t="e">
        <v>#N/A</v>
      </c>
      <c r="BO664" s="124" t="e">
        <v>#N/A</v>
      </c>
      <c r="BP664" s="124" t="e">
        <v>#N/A</v>
      </c>
      <c r="BQ664" s="124" t="e">
        <v>#N/A</v>
      </c>
      <c r="BR664" s="124" t="e">
        <v>#N/A</v>
      </c>
      <c r="BS664" s="124" t="e">
        <v>#N/A</v>
      </c>
      <c r="BT664" s="124" t="e">
        <v>#N/A</v>
      </c>
      <c r="BU664" s="124" t="e">
        <v>#N/A</v>
      </c>
      <c r="BV664" s="124" t="e">
        <v>#N/A</v>
      </c>
      <c r="BW664" s="124" t="e">
        <v>#N/A</v>
      </c>
      <c r="BX664" s="124" t="e">
        <v>#N/A</v>
      </c>
      <c r="BY664" s="124" t="e">
        <v>#N/A</v>
      </c>
      <c r="BZ664" s="124" t="e">
        <v>#N/A</v>
      </c>
      <c r="CA664" s="125"/>
      <c r="CB664" s="124" t="e">
        <v>#N/A</v>
      </c>
      <c r="CC664" s="126">
        <v>1</v>
      </c>
      <c r="CD664" s="127" t="s">
        <v>4193</v>
      </c>
      <c r="CE664" s="128"/>
      <c r="CF664" s="77" t="s">
        <v>5329</v>
      </c>
    </row>
    <row r="665" spans="1:85" ht="14.5" x14ac:dyDescent="0.35">
      <c r="A665" s="77">
        <v>664</v>
      </c>
      <c r="B665" s="106" t="s">
        <v>2754</v>
      </c>
      <c r="C665" s="107" t="s">
        <v>6547</v>
      </c>
      <c r="D665" s="108" t="s">
        <v>2739</v>
      </c>
      <c r="E665" s="109" t="s">
        <v>2740</v>
      </c>
      <c r="F665" s="110">
        <v>633604787</v>
      </c>
      <c r="G665" s="108" t="s">
        <v>1004</v>
      </c>
      <c r="H665" s="111" t="s">
        <v>179</v>
      </c>
      <c r="I665" s="111" t="s">
        <v>180</v>
      </c>
      <c r="J665" s="111" t="s">
        <v>4649</v>
      </c>
      <c r="K665" s="111" t="s">
        <v>2861</v>
      </c>
      <c r="L665" s="112">
        <v>45096</v>
      </c>
      <c r="M665" s="111" t="s">
        <v>1712</v>
      </c>
      <c r="N665" s="113"/>
      <c r="O665" s="114" t="s">
        <v>568</v>
      </c>
      <c r="P665" s="114" t="s">
        <v>567</v>
      </c>
      <c r="Q665" s="114" t="s">
        <v>568</v>
      </c>
      <c r="R665" s="114" t="s">
        <v>7694</v>
      </c>
      <c r="S665" s="114" t="s">
        <v>4900</v>
      </c>
      <c r="T665" s="114" t="s">
        <v>4356</v>
      </c>
      <c r="U665" s="114" t="s">
        <v>4356</v>
      </c>
      <c r="V665" s="115"/>
      <c r="W665" s="116" t="s">
        <v>2741</v>
      </c>
      <c r="X665" s="116" t="s">
        <v>2742</v>
      </c>
      <c r="Y665" s="117">
        <v>3485791</v>
      </c>
      <c r="Z665" s="117">
        <v>3486138</v>
      </c>
      <c r="AA665" s="118"/>
      <c r="AB665" s="119" t="s">
        <v>5520</v>
      </c>
      <c r="AC665" s="119" t="s">
        <v>2771</v>
      </c>
      <c r="AD665" s="119">
        <v>4116</v>
      </c>
      <c r="AE665" s="119" t="s">
        <v>2772</v>
      </c>
      <c r="AF665" s="119">
        <v>0</v>
      </c>
      <c r="AG665" s="120"/>
      <c r="AH665" s="121">
        <v>45093</v>
      </c>
      <c r="AI665" s="121">
        <v>45093</v>
      </c>
      <c r="AJ665" s="121">
        <v>45093</v>
      </c>
      <c r="AK665" s="122">
        <v>45093</v>
      </c>
      <c r="AL665" s="122" t="e">
        <v>#N/A</v>
      </c>
      <c r="AM665" s="122" t="e">
        <v>#N/A</v>
      </c>
      <c r="AN665" s="122" t="e">
        <v>#N/A</v>
      </c>
      <c r="AO665" s="121" t="e">
        <v>#N/A</v>
      </c>
      <c r="AP665" s="122" t="e">
        <v>#N/A</v>
      </c>
      <c r="AQ665" s="122" t="e">
        <v>#N/A</v>
      </c>
      <c r="AR665" s="122" t="e">
        <v>#N/A</v>
      </c>
      <c r="AS665" s="122" t="e">
        <v>#N/A</v>
      </c>
      <c r="AT665" s="122" t="e">
        <v>#N/A</v>
      </c>
      <c r="AU665" s="121" t="e">
        <v>#N/A</v>
      </c>
      <c r="AV665" s="122" t="e">
        <v>#N/A</v>
      </c>
      <c r="AW665" s="122" t="e">
        <v>#N/A</v>
      </c>
      <c r="AX665" s="122" t="e">
        <v>#N/A</v>
      </c>
      <c r="AY665" s="122" t="e">
        <v>#N/A</v>
      </c>
      <c r="AZ665" s="122" t="e">
        <v>#N/A</v>
      </c>
      <c r="BA665" s="122" t="e">
        <v>#N/A</v>
      </c>
      <c r="BB665" s="122" t="e">
        <v>#N/A</v>
      </c>
      <c r="BC665" s="122" t="e">
        <v>#N/A</v>
      </c>
      <c r="BD665" s="122" t="e">
        <v>#N/A</v>
      </c>
      <c r="BE665" s="122" t="e">
        <v>#N/A</v>
      </c>
      <c r="BF665" s="122" t="e">
        <v>#N/A</v>
      </c>
      <c r="BG665" s="122" t="e">
        <v>#N/A</v>
      </c>
      <c r="BH665" s="122" t="e">
        <v>#N/A</v>
      </c>
      <c r="BI665" s="122" t="e">
        <v>#N/A</v>
      </c>
      <c r="BJ665" s="122" t="e">
        <v>#N/A</v>
      </c>
      <c r="BK665" s="122" t="e">
        <v>#N/A</v>
      </c>
      <c r="BL665" s="123"/>
      <c r="BM665" s="124" t="e">
        <v>#N/A</v>
      </c>
      <c r="BN665" s="124" t="e">
        <v>#N/A</v>
      </c>
      <c r="BO665" s="124" t="e">
        <v>#N/A</v>
      </c>
      <c r="BP665" s="124" t="e">
        <v>#N/A</v>
      </c>
      <c r="BQ665" s="124" t="e">
        <v>#N/A</v>
      </c>
      <c r="BR665" s="124" t="e">
        <v>#N/A</v>
      </c>
      <c r="BS665" s="124" t="e">
        <v>#N/A</v>
      </c>
      <c r="BT665" s="124" t="e">
        <v>#N/A</v>
      </c>
      <c r="BU665" s="124" t="e">
        <v>#N/A</v>
      </c>
      <c r="BV665" s="124" t="e">
        <v>#N/A</v>
      </c>
      <c r="BW665" s="124" t="e">
        <v>#N/A</v>
      </c>
      <c r="BX665" s="124" t="e">
        <v>#N/A</v>
      </c>
      <c r="BY665" s="124" t="e">
        <v>#N/A</v>
      </c>
      <c r="BZ665" s="124" t="e">
        <v>#N/A</v>
      </c>
      <c r="CA665" s="125"/>
      <c r="CB665" s="124" t="e">
        <v>#N/A</v>
      </c>
      <c r="CC665" s="126">
        <v>1</v>
      </c>
      <c r="CD665" s="127" t="s">
        <v>4166</v>
      </c>
      <c r="CE665" s="128"/>
      <c r="CF665" s="77" t="s">
        <v>5329</v>
      </c>
    </row>
    <row r="666" spans="1:85" ht="14.5" x14ac:dyDescent="0.35">
      <c r="A666" s="77">
        <v>665</v>
      </c>
      <c r="B666" s="106" t="s">
        <v>62</v>
      </c>
      <c r="C666" s="107" t="s">
        <v>1138</v>
      </c>
      <c r="D666" s="108" t="s">
        <v>558</v>
      </c>
      <c r="E666" s="109" t="s">
        <v>559</v>
      </c>
      <c r="F666" s="110">
        <v>676156680</v>
      </c>
      <c r="G666" s="108" t="s">
        <v>1004</v>
      </c>
      <c r="H666" s="111" t="s">
        <v>179</v>
      </c>
      <c r="I666" s="111" t="s">
        <v>180</v>
      </c>
      <c r="J666" s="111" t="s">
        <v>4649</v>
      </c>
      <c r="K666" s="111" t="s">
        <v>2861</v>
      </c>
      <c r="L666" s="112">
        <v>42688</v>
      </c>
      <c r="M666" s="111" t="s">
        <v>253</v>
      </c>
      <c r="N666" s="113"/>
      <c r="O666" s="114" t="s">
        <v>257</v>
      </c>
      <c r="P666" s="114" t="s">
        <v>183</v>
      </c>
      <c r="Q666" s="114" t="s">
        <v>257</v>
      </c>
      <c r="R666" s="114" t="s">
        <v>7364</v>
      </c>
      <c r="S666" s="114" t="s">
        <v>183</v>
      </c>
      <c r="T666" s="114" t="s">
        <v>246</v>
      </c>
      <c r="U666" s="114" t="s">
        <v>246</v>
      </c>
      <c r="V666" s="115"/>
      <c r="W666" s="116" t="s">
        <v>560</v>
      </c>
      <c r="X666" s="116" t="s">
        <v>561</v>
      </c>
      <c r="Y666" s="117">
        <v>3485507</v>
      </c>
      <c r="Z666" s="117">
        <v>3486218</v>
      </c>
      <c r="AA666" s="118"/>
      <c r="AB666" s="119" t="s">
        <v>5320</v>
      </c>
      <c r="AC666" s="119" t="s">
        <v>1139</v>
      </c>
      <c r="AD666" s="119">
        <v>5848</v>
      </c>
      <c r="AE666" s="119" t="s">
        <v>562</v>
      </c>
      <c r="AF666" s="119" t="s">
        <v>7096</v>
      </c>
      <c r="AG666" s="120"/>
      <c r="AH666" s="121">
        <v>44197</v>
      </c>
      <c r="AI666" s="121">
        <v>44197</v>
      </c>
      <c r="AJ666" s="121">
        <v>44197</v>
      </c>
      <c r="AK666" s="122">
        <v>44197</v>
      </c>
      <c r="AL666" s="122">
        <v>45245</v>
      </c>
      <c r="AM666" s="121">
        <v>45245</v>
      </c>
      <c r="AN666" s="121" t="e">
        <v>#N/A</v>
      </c>
      <c r="AO666" s="121" t="e">
        <v>#N/A</v>
      </c>
      <c r="AP666" s="122" t="e">
        <v>#N/A</v>
      </c>
      <c r="AQ666" s="122" t="e">
        <v>#N/A</v>
      </c>
      <c r="AR666" s="122" t="e">
        <v>#N/A</v>
      </c>
      <c r="AS666" s="122" t="e">
        <v>#N/A</v>
      </c>
      <c r="AT666" s="122" t="e">
        <v>#N/A</v>
      </c>
      <c r="AU666" s="121" t="e">
        <v>#N/A</v>
      </c>
      <c r="AV666" s="122" t="e">
        <v>#N/A</v>
      </c>
      <c r="AW666" s="122">
        <v>45778</v>
      </c>
      <c r="AX666" s="122" t="e">
        <v>#N/A</v>
      </c>
      <c r="AY666" s="122" t="e">
        <v>#N/A</v>
      </c>
      <c r="AZ666" s="122" t="e">
        <v>#N/A</v>
      </c>
      <c r="BA666" s="122">
        <v>44197</v>
      </c>
      <c r="BB666" s="122" t="e">
        <v>#N/A</v>
      </c>
      <c r="BC666" s="122">
        <v>45355</v>
      </c>
      <c r="BD666" s="122" t="e">
        <v>#N/A</v>
      </c>
      <c r="BE666" s="122" t="e">
        <v>#N/A</v>
      </c>
      <c r="BF666" s="122" t="e">
        <v>#N/A</v>
      </c>
      <c r="BG666" s="122" t="e">
        <v>#N/A</v>
      </c>
      <c r="BH666" s="122" t="e">
        <v>#N/A</v>
      </c>
      <c r="BI666" s="122" t="e">
        <v>#N/A</v>
      </c>
      <c r="BJ666" s="122" t="e">
        <v>#N/A</v>
      </c>
      <c r="BK666" s="122">
        <v>45964</v>
      </c>
      <c r="BL666" s="123"/>
      <c r="BM666" s="124" t="e">
        <v>#N/A</v>
      </c>
      <c r="BN666" s="124" t="e">
        <v>#N/A</v>
      </c>
      <c r="BO666" s="124" t="e">
        <v>#N/A</v>
      </c>
      <c r="BP666" s="124" t="e">
        <v>#N/A</v>
      </c>
      <c r="BQ666" s="124" t="e">
        <v>#N/A</v>
      </c>
      <c r="BR666" s="124" t="e">
        <v>#N/A</v>
      </c>
      <c r="BS666" s="124" t="e">
        <v>#N/A</v>
      </c>
      <c r="BT666" s="124" t="e">
        <v>#N/A</v>
      </c>
      <c r="BU666" s="124" t="e">
        <v>#N/A</v>
      </c>
      <c r="BV666" s="124" t="e">
        <v>#N/A</v>
      </c>
      <c r="BW666" s="124" t="e">
        <v>#N/A</v>
      </c>
      <c r="BX666" s="124" t="e">
        <v>#N/A</v>
      </c>
      <c r="BY666" s="124" t="e">
        <v>#N/A</v>
      </c>
      <c r="BZ666" s="124" t="e">
        <v>#N/A</v>
      </c>
      <c r="CA666" s="125"/>
      <c r="CB666" s="124">
        <v>45727</v>
      </c>
      <c r="CC666" s="126">
        <v>1</v>
      </c>
      <c r="CD666" s="127" t="s">
        <v>4169</v>
      </c>
      <c r="CE666" s="128"/>
      <c r="CF666" s="77" t="s">
        <v>5329</v>
      </c>
    </row>
    <row r="667" spans="1:85" ht="14.5" x14ac:dyDescent="0.35">
      <c r="A667" s="77">
        <v>666</v>
      </c>
      <c r="B667" s="106" t="s">
        <v>1713</v>
      </c>
      <c r="C667" s="107" t="s">
        <v>6473</v>
      </c>
      <c r="D667" s="108" t="s">
        <v>1714</v>
      </c>
      <c r="E667" s="109" t="s">
        <v>1715</v>
      </c>
      <c r="F667" s="110">
        <v>681216947</v>
      </c>
      <c r="G667" s="108" t="s">
        <v>1004</v>
      </c>
      <c r="H667" s="111" t="s">
        <v>179</v>
      </c>
      <c r="I667" s="111" t="s">
        <v>180</v>
      </c>
      <c r="J667" s="111" t="s">
        <v>4649</v>
      </c>
      <c r="K667" s="111" t="s">
        <v>2861</v>
      </c>
      <c r="L667" s="112">
        <v>44810</v>
      </c>
      <c r="M667" s="111" t="s">
        <v>984</v>
      </c>
      <c r="N667" s="113"/>
      <c r="O667" s="114" t="s">
        <v>182</v>
      </c>
      <c r="P667" s="114" t="s">
        <v>182</v>
      </c>
      <c r="Q667" s="114" t="s">
        <v>182</v>
      </c>
      <c r="R667" s="114" t="s">
        <v>7316</v>
      </c>
      <c r="S667" s="114" t="s">
        <v>184</v>
      </c>
      <c r="T667" s="114" t="s">
        <v>183</v>
      </c>
      <c r="U667" s="114" t="s">
        <v>183</v>
      </c>
      <c r="V667" s="115"/>
      <c r="W667" s="116" t="s">
        <v>1716</v>
      </c>
      <c r="X667" s="116" t="s">
        <v>4377</v>
      </c>
      <c r="Y667" s="117">
        <v>3485503</v>
      </c>
      <c r="Z667" s="117">
        <v>3486523</v>
      </c>
      <c r="AA667" s="118"/>
      <c r="AB667" s="119" t="s">
        <v>2052</v>
      </c>
      <c r="AC667" s="119" t="s">
        <v>3880</v>
      </c>
      <c r="AD667" s="119">
        <v>26105</v>
      </c>
      <c r="AE667" s="119" t="s">
        <v>4355</v>
      </c>
      <c r="AF667" s="119" t="s">
        <v>7123</v>
      </c>
      <c r="AG667" s="120"/>
      <c r="AH667" s="121">
        <v>44197</v>
      </c>
      <c r="AI667" s="121">
        <v>44593</v>
      </c>
      <c r="AJ667" s="121">
        <v>44733</v>
      </c>
      <c r="AK667" s="122">
        <v>44593</v>
      </c>
      <c r="AL667" s="122" t="e">
        <v>#N/A</v>
      </c>
      <c r="AM667" s="121" t="e">
        <v>#N/A</v>
      </c>
      <c r="AN667" s="121" t="e">
        <v>#N/A</v>
      </c>
      <c r="AO667" s="121" t="e">
        <v>#N/A</v>
      </c>
      <c r="AP667" s="122" t="e">
        <v>#N/A</v>
      </c>
      <c r="AQ667" s="122" t="e">
        <v>#N/A</v>
      </c>
      <c r="AR667" s="122" t="e">
        <v>#N/A</v>
      </c>
      <c r="AS667" s="122" t="e">
        <v>#N/A</v>
      </c>
      <c r="AT667" s="122" t="e">
        <v>#N/A</v>
      </c>
      <c r="AU667" s="121" t="e">
        <v>#N/A</v>
      </c>
      <c r="AV667" s="122" t="e">
        <v>#N/A</v>
      </c>
      <c r="AW667" s="122">
        <v>45734</v>
      </c>
      <c r="AX667" s="122" t="e">
        <v>#N/A</v>
      </c>
      <c r="AY667" s="122" t="e">
        <v>#N/A</v>
      </c>
      <c r="AZ667" s="122" t="e">
        <v>#N/A</v>
      </c>
      <c r="BA667" s="122" t="e">
        <v>#N/A</v>
      </c>
      <c r="BB667" s="122" t="e">
        <v>#N/A</v>
      </c>
      <c r="BC667" s="122" t="e">
        <v>#N/A</v>
      </c>
      <c r="BD667" s="122" t="e">
        <v>#N/A</v>
      </c>
      <c r="BE667" s="122" t="e">
        <v>#N/A</v>
      </c>
      <c r="BF667" s="122" t="e">
        <v>#N/A</v>
      </c>
      <c r="BG667" s="122" t="e">
        <v>#N/A</v>
      </c>
      <c r="BH667" s="122" t="e">
        <v>#N/A</v>
      </c>
      <c r="BI667" s="122" t="e">
        <v>#N/A</v>
      </c>
      <c r="BJ667" s="122" t="e">
        <v>#N/A</v>
      </c>
      <c r="BK667" s="122">
        <v>45964</v>
      </c>
      <c r="BL667" s="123"/>
      <c r="BM667" s="124" t="e">
        <v>#N/A</v>
      </c>
      <c r="BN667" s="124" t="e">
        <v>#N/A</v>
      </c>
      <c r="BO667" s="124" t="e">
        <v>#N/A</v>
      </c>
      <c r="BP667" s="124" t="e">
        <v>#N/A</v>
      </c>
      <c r="BQ667" s="124" t="e">
        <v>#N/A</v>
      </c>
      <c r="BR667" s="124" t="e">
        <v>#N/A</v>
      </c>
      <c r="BS667" s="124" t="e">
        <v>#N/A</v>
      </c>
      <c r="BT667" s="124" t="e">
        <v>#N/A</v>
      </c>
      <c r="BU667" s="124" t="e">
        <v>#N/A</v>
      </c>
      <c r="BV667" s="124" t="e">
        <v>#N/A</v>
      </c>
      <c r="BW667" s="124" t="e">
        <v>#N/A</v>
      </c>
      <c r="BX667" s="124" t="e">
        <v>#N/A</v>
      </c>
      <c r="BY667" s="124" t="e">
        <v>#N/A</v>
      </c>
      <c r="BZ667" s="124" t="e">
        <v>#N/A</v>
      </c>
      <c r="CA667" s="125"/>
      <c r="CB667" s="124">
        <v>45727</v>
      </c>
      <c r="CC667" s="126">
        <v>1</v>
      </c>
      <c r="CD667" s="127" t="s">
        <v>4156</v>
      </c>
      <c r="CE667" s="128"/>
      <c r="CF667" s="77" t="s">
        <v>5329</v>
      </c>
    </row>
    <row r="668" spans="1:85" ht="14.5" x14ac:dyDescent="0.35">
      <c r="A668" s="77">
        <v>667</v>
      </c>
      <c r="B668" s="106" t="s">
        <v>3135</v>
      </c>
      <c r="C668" s="107" t="s">
        <v>6600</v>
      </c>
      <c r="D668" s="108" t="s">
        <v>3136</v>
      </c>
      <c r="E668" s="109" t="s">
        <v>3137</v>
      </c>
      <c r="F668" s="110">
        <v>653243604</v>
      </c>
      <c r="G668" s="108" t="s">
        <v>1004</v>
      </c>
      <c r="H668" s="111" t="s">
        <v>179</v>
      </c>
      <c r="I668" s="111" t="s">
        <v>180</v>
      </c>
      <c r="J668" s="111" t="s">
        <v>4649</v>
      </c>
      <c r="K668" s="111" t="s">
        <v>2861</v>
      </c>
      <c r="L668" s="112">
        <v>45330</v>
      </c>
      <c r="M668" s="111" t="s">
        <v>3771</v>
      </c>
      <c r="N668" s="113"/>
      <c r="O668" s="114" t="s">
        <v>226</v>
      </c>
      <c r="P668" s="114" t="s">
        <v>226</v>
      </c>
      <c r="Q668" s="114" t="s">
        <v>225</v>
      </c>
      <c r="R668" s="114" t="s">
        <v>4467</v>
      </c>
      <c r="S668" s="114" t="s">
        <v>4373</v>
      </c>
      <c r="T668" s="114" t="s">
        <v>183</v>
      </c>
      <c r="U668" s="114" t="s">
        <v>183</v>
      </c>
      <c r="V668" s="115"/>
      <c r="W668" s="116" t="s">
        <v>3138</v>
      </c>
      <c r="X668" s="116" t="s">
        <v>3139</v>
      </c>
      <c r="Y668" s="117">
        <v>3485860</v>
      </c>
      <c r="Z668" s="117">
        <v>3486430</v>
      </c>
      <c r="AA668" s="118"/>
      <c r="AB668" s="119" t="s">
        <v>5688</v>
      </c>
      <c r="AC668" s="119" t="s">
        <v>3140</v>
      </c>
      <c r="AD668" s="119">
        <v>4320</v>
      </c>
      <c r="AE668" s="119" t="s">
        <v>3141</v>
      </c>
      <c r="AF668" s="119" t="s">
        <v>7695</v>
      </c>
      <c r="AG668" s="120"/>
      <c r="AH668" s="121">
        <v>45330</v>
      </c>
      <c r="AI668" s="121">
        <v>45376</v>
      </c>
      <c r="AJ668" s="121">
        <v>45330</v>
      </c>
      <c r="AK668" s="122">
        <v>45376</v>
      </c>
      <c r="AL668" s="122" t="e">
        <v>#N/A</v>
      </c>
      <c r="AM668" s="121" t="e">
        <v>#N/A</v>
      </c>
      <c r="AN668" s="121" t="e">
        <v>#N/A</v>
      </c>
      <c r="AO668" s="121" t="e">
        <v>#N/A</v>
      </c>
      <c r="AP668" s="122" t="e">
        <v>#N/A</v>
      </c>
      <c r="AQ668" s="122" t="e">
        <v>#N/A</v>
      </c>
      <c r="AR668" s="122" t="e">
        <v>#N/A</v>
      </c>
      <c r="AS668" s="122" t="e">
        <v>#N/A</v>
      </c>
      <c r="AT668" s="122" t="e">
        <v>#N/A</v>
      </c>
      <c r="AU668" s="121" t="e">
        <v>#N/A</v>
      </c>
      <c r="AV668" s="122" t="e">
        <v>#N/A</v>
      </c>
      <c r="AW668" s="122">
        <v>45756</v>
      </c>
      <c r="AX668" s="122" t="e">
        <v>#N/A</v>
      </c>
      <c r="AY668" s="122" t="e">
        <v>#N/A</v>
      </c>
      <c r="AZ668" s="122" t="e">
        <v>#N/A</v>
      </c>
      <c r="BA668" s="122" t="e">
        <v>#N/A</v>
      </c>
      <c r="BB668" s="122" t="e">
        <v>#N/A</v>
      </c>
      <c r="BC668" s="122">
        <v>45406</v>
      </c>
      <c r="BD668" s="122" t="e">
        <v>#N/A</v>
      </c>
      <c r="BE668" s="122" t="e">
        <v>#N/A</v>
      </c>
      <c r="BF668" s="122" t="e">
        <v>#N/A</v>
      </c>
      <c r="BG668" s="122" t="e">
        <v>#N/A</v>
      </c>
      <c r="BH668" s="122" t="e">
        <v>#N/A</v>
      </c>
      <c r="BI668" s="122" t="e">
        <v>#N/A</v>
      </c>
      <c r="BJ668" s="122" t="e">
        <v>#N/A</v>
      </c>
      <c r="BK668" s="122">
        <v>45975</v>
      </c>
      <c r="BL668" s="123"/>
      <c r="BM668" s="124" t="e">
        <v>#N/A</v>
      </c>
      <c r="BN668" s="124" t="e">
        <v>#N/A</v>
      </c>
      <c r="BO668" s="124" t="e">
        <v>#N/A</v>
      </c>
      <c r="BP668" s="124" t="e">
        <v>#N/A</v>
      </c>
      <c r="BQ668" s="124" t="e">
        <v>#N/A</v>
      </c>
      <c r="BR668" s="124" t="e">
        <v>#N/A</v>
      </c>
      <c r="BS668" s="124" t="e">
        <v>#N/A</v>
      </c>
      <c r="BT668" s="124" t="e">
        <v>#N/A</v>
      </c>
      <c r="BU668" s="124" t="e">
        <v>#N/A</v>
      </c>
      <c r="BV668" s="124" t="e">
        <v>#N/A</v>
      </c>
      <c r="BW668" s="124" t="e">
        <v>#N/A</v>
      </c>
      <c r="BX668" s="124" t="e">
        <v>#N/A</v>
      </c>
      <c r="BY668" s="124" t="e">
        <v>#N/A</v>
      </c>
      <c r="BZ668" s="124" t="e">
        <v>#N/A</v>
      </c>
      <c r="CA668" s="125"/>
      <c r="CB668" s="124">
        <v>45729</v>
      </c>
      <c r="CC668" s="126">
        <v>1</v>
      </c>
      <c r="CD668" s="127" t="s">
        <v>4197</v>
      </c>
      <c r="CE668" s="128"/>
      <c r="CF668" s="77" t="s">
        <v>5329</v>
      </c>
    </row>
    <row r="669" spans="1:85" ht="14.5" x14ac:dyDescent="0.35">
      <c r="A669" s="77">
        <v>668</v>
      </c>
      <c r="B669" s="106" t="s">
        <v>3142</v>
      </c>
      <c r="C669" s="107" t="s">
        <v>6602</v>
      </c>
      <c r="D669" s="108" t="s">
        <v>3143</v>
      </c>
      <c r="E669" s="109" t="s">
        <v>3144</v>
      </c>
      <c r="F669" s="110">
        <v>652258747</v>
      </c>
      <c r="G669" s="108" t="s">
        <v>1004</v>
      </c>
      <c r="H669" s="111" t="s">
        <v>179</v>
      </c>
      <c r="I669" s="111" t="s">
        <v>180</v>
      </c>
      <c r="J669" s="111" t="s">
        <v>4649</v>
      </c>
      <c r="K669" s="111" t="s">
        <v>2861</v>
      </c>
      <c r="L669" s="112">
        <v>45330</v>
      </c>
      <c r="M669" s="111" t="s">
        <v>3771</v>
      </c>
      <c r="N669" s="113"/>
      <c r="O669" s="114" t="s">
        <v>4373</v>
      </c>
      <c r="P669" s="114" t="s">
        <v>4373</v>
      </c>
      <c r="Q669" s="114" t="s">
        <v>4467</v>
      </c>
      <c r="R669" s="114" t="s">
        <v>4467</v>
      </c>
      <c r="S669" s="114" t="s">
        <v>4373</v>
      </c>
      <c r="T669" s="114" t="s">
        <v>183</v>
      </c>
      <c r="U669" s="114" t="s">
        <v>183</v>
      </c>
      <c r="V669" s="115"/>
      <c r="W669" s="116" t="s">
        <v>3145</v>
      </c>
      <c r="X669" s="116" t="s">
        <v>3146</v>
      </c>
      <c r="Y669" s="117">
        <v>3485885</v>
      </c>
      <c r="Z669" s="117">
        <v>3486456</v>
      </c>
      <c r="AA669" s="118"/>
      <c r="AB669" s="119" t="s">
        <v>5339</v>
      </c>
      <c r="AC669" s="119" t="s">
        <v>3147</v>
      </c>
      <c r="AD669" s="119">
        <v>4332</v>
      </c>
      <c r="AE669" s="119" t="s">
        <v>3148</v>
      </c>
      <c r="AF669" s="119" t="s">
        <v>7696</v>
      </c>
      <c r="AG669" s="120"/>
      <c r="AH669" s="121">
        <v>45330</v>
      </c>
      <c r="AI669" s="121">
        <v>45376</v>
      </c>
      <c r="AJ669" s="121">
        <v>45330</v>
      </c>
      <c r="AK669" s="122">
        <v>45376</v>
      </c>
      <c r="AL669" s="122">
        <v>45974</v>
      </c>
      <c r="AM669" s="122" t="e">
        <v>#N/A</v>
      </c>
      <c r="AN669" s="122">
        <v>45974</v>
      </c>
      <c r="AO669" s="121">
        <v>45974</v>
      </c>
      <c r="AP669" s="122" t="e">
        <v>#N/A</v>
      </c>
      <c r="AQ669" s="122" t="e">
        <v>#N/A</v>
      </c>
      <c r="AR669" s="122">
        <v>45974</v>
      </c>
      <c r="AS669" s="122" t="e">
        <v>#N/A</v>
      </c>
      <c r="AT669" s="122" t="e">
        <v>#N/A</v>
      </c>
      <c r="AU669" s="121" t="e">
        <v>#N/A</v>
      </c>
      <c r="AV669" s="122" t="e">
        <v>#N/A</v>
      </c>
      <c r="AW669" s="122">
        <v>45749</v>
      </c>
      <c r="AX669" s="122" t="e">
        <v>#N/A</v>
      </c>
      <c r="AY669" s="122" t="e">
        <v>#N/A</v>
      </c>
      <c r="AZ669" s="122" t="e">
        <v>#N/A</v>
      </c>
      <c r="BA669" s="122" t="e">
        <v>#N/A</v>
      </c>
      <c r="BB669" s="122" t="e">
        <v>#N/A</v>
      </c>
      <c r="BC669" s="122">
        <v>45406</v>
      </c>
      <c r="BD669" s="122" t="e">
        <v>#N/A</v>
      </c>
      <c r="BE669" s="122" t="e">
        <v>#N/A</v>
      </c>
      <c r="BF669" s="122" t="e">
        <v>#N/A</v>
      </c>
      <c r="BG669" s="122" t="e">
        <v>#N/A</v>
      </c>
      <c r="BH669" s="122" t="e">
        <v>#N/A</v>
      </c>
      <c r="BI669" s="122" t="e">
        <v>#N/A</v>
      </c>
      <c r="BJ669" s="122" t="e">
        <v>#N/A</v>
      </c>
      <c r="BK669" s="122">
        <v>45975</v>
      </c>
      <c r="BL669" s="123"/>
      <c r="BM669" s="124" t="e">
        <v>#N/A</v>
      </c>
      <c r="BN669" s="124" t="e">
        <v>#N/A</v>
      </c>
      <c r="BO669" s="124" t="e">
        <v>#N/A</v>
      </c>
      <c r="BP669" s="124" t="e">
        <v>#N/A</v>
      </c>
      <c r="BQ669" s="124" t="e">
        <v>#N/A</v>
      </c>
      <c r="BR669" s="124" t="e">
        <v>#N/A</v>
      </c>
      <c r="BS669" s="124" t="e">
        <v>#N/A</v>
      </c>
      <c r="BT669" s="124" t="e">
        <v>#N/A</v>
      </c>
      <c r="BU669" s="124" t="e">
        <v>#N/A</v>
      </c>
      <c r="BV669" s="124" t="e">
        <v>#N/A</v>
      </c>
      <c r="BW669" s="124" t="e">
        <v>#N/A</v>
      </c>
      <c r="BX669" s="124" t="e">
        <v>#N/A</v>
      </c>
      <c r="BY669" s="124" t="e">
        <v>#N/A</v>
      </c>
      <c r="BZ669" s="124" t="e">
        <v>#N/A</v>
      </c>
      <c r="CA669" s="125"/>
      <c r="CB669" s="124" t="e">
        <v>#N/A</v>
      </c>
      <c r="CC669" s="126">
        <v>1</v>
      </c>
      <c r="CD669" s="127" t="s">
        <v>4197</v>
      </c>
      <c r="CE669" s="128"/>
      <c r="CF669" s="77" t="s">
        <v>5355</v>
      </c>
    </row>
    <row r="670" spans="1:85" ht="14.5" x14ac:dyDescent="0.35">
      <c r="A670" s="77">
        <v>669</v>
      </c>
      <c r="B670" s="106" t="s">
        <v>1023</v>
      </c>
      <c r="C670" s="107" t="s">
        <v>1408</v>
      </c>
      <c r="D670" s="108" t="s">
        <v>1024</v>
      </c>
      <c r="E670" s="109" t="s">
        <v>1025</v>
      </c>
      <c r="F670" s="110">
        <v>628854421</v>
      </c>
      <c r="G670" s="108" t="s">
        <v>1004</v>
      </c>
      <c r="H670" s="111" t="s">
        <v>179</v>
      </c>
      <c r="I670" s="111" t="s">
        <v>180</v>
      </c>
      <c r="J670" s="111" t="s">
        <v>4649</v>
      </c>
      <c r="K670" s="111" t="s">
        <v>2861</v>
      </c>
      <c r="L670" s="112">
        <v>44743</v>
      </c>
      <c r="M670" s="111" t="s">
        <v>253</v>
      </c>
      <c r="N670" s="113"/>
      <c r="O670" s="114" t="s">
        <v>7697</v>
      </c>
      <c r="P670" s="114" t="s">
        <v>3122</v>
      </c>
      <c r="Q670" s="114" t="s">
        <v>3122</v>
      </c>
      <c r="R670" s="114" t="s">
        <v>3122</v>
      </c>
      <c r="S670" s="114" t="s">
        <v>3122</v>
      </c>
      <c r="T670" s="114" t="s">
        <v>183</v>
      </c>
      <c r="U670" s="114" t="s">
        <v>183</v>
      </c>
      <c r="V670" s="115"/>
      <c r="W670" s="116" t="s">
        <v>1026</v>
      </c>
      <c r="X670" s="116" t="s">
        <v>1027</v>
      </c>
      <c r="Y670" s="117">
        <v>3485359</v>
      </c>
      <c r="Z670" s="117">
        <v>3486156</v>
      </c>
      <c r="AA670" s="118"/>
      <c r="AB670" s="119" t="s">
        <v>5648</v>
      </c>
      <c r="AC670" s="119" t="s">
        <v>1409</v>
      </c>
      <c r="AD670" s="119">
        <v>4260</v>
      </c>
      <c r="AE670" s="119" t="s">
        <v>1410</v>
      </c>
      <c r="AF670" s="119" t="s">
        <v>7124</v>
      </c>
      <c r="AG670" s="120"/>
      <c r="AH670" s="121">
        <v>44197</v>
      </c>
      <c r="AI670" s="121">
        <v>44593</v>
      </c>
      <c r="AJ670" s="121">
        <v>44593</v>
      </c>
      <c r="AK670" s="122">
        <v>44593</v>
      </c>
      <c r="AL670" s="122">
        <v>44971</v>
      </c>
      <c r="AM670" s="121" t="e">
        <v>#N/A</v>
      </c>
      <c r="AN670" s="121" t="s">
        <v>7059</v>
      </c>
      <c r="AO670" s="121" t="e">
        <v>#N/A</v>
      </c>
      <c r="AP670" s="122" t="e">
        <v>#N/A</v>
      </c>
      <c r="AQ670" s="122" t="e">
        <v>#N/A</v>
      </c>
      <c r="AR670" s="122" t="e">
        <v>#N/A</v>
      </c>
      <c r="AS670" s="122" t="e">
        <v>#N/A</v>
      </c>
      <c r="AT670" s="122" t="e">
        <v>#N/A</v>
      </c>
      <c r="AU670" s="121" t="e">
        <v>#N/A</v>
      </c>
      <c r="AV670" s="122" t="e">
        <v>#N/A</v>
      </c>
      <c r="AW670" s="122">
        <v>45883</v>
      </c>
      <c r="AX670" s="122" t="e">
        <v>#N/A</v>
      </c>
      <c r="AY670" s="122" t="e">
        <v>#N/A</v>
      </c>
      <c r="AZ670" s="122" t="e">
        <v>#N/A</v>
      </c>
      <c r="BA670" s="122" t="e">
        <v>#N/A</v>
      </c>
      <c r="BB670" s="122" t="e">
        <v>#N/A</v>
      </c>
      <c r="BC670" s="122">
        <v>44859</v>
      </c>
      <c r="BD670" s="122" t="e">
        <v>#N/A</v>
      </c>
      <c r="BE670" s="122" t="e">
        <v>#N/A</v>
      </c>
      <c r="BF670" s="122" t="e">
        <v>#N/A</v>
      </c>
      <c r="BG670" s="122" t="e">
        <v>#N/A</v>
      </c>
      <c r="BH670" s="122" t="e">
        <v>#N/A</v>
      </c>
      <c r="BI670" s="122" t="e">
        <v>#N/A</v>
      </c>
      <c r="BJ670" s="122" t="e">
        <v>#N/A</v>
      </c>
      <c r="BK670" s="122">
        <v>45961</v>
      </c>
      <c r="BL670" s="123"/>
      <c r="BM670" s="124" t="e">
        <v>#N/A</v>
      </c>
      <c r="BN670" s="124" t="e">
        <v>#N/A</v>
      </c>
      <c r="BO670" s="124" t="e">
        <v>#N/A</v>
      </c>
      <c r="BP670" s="124" t="e">
        <v>#N/A</v>
      </c>
      <c r="BQ670" s="124" t="e">
        <v>#N/A</v>
      </c>
      <c r="BR670" s="124" t="e">
        <v>#N/A</v>
      </c>
      <c r="BS670" s="124" t="e">
        <v>#N/A</v>
      </c>
      <c r="BT670" s="124" t="e">
        <v>#N/A</v>
      </c>
      <c r="BU670" s="124" t="e">
        <v>#N/A</v>
      </c>
      <c r="BV670" s="124" t="e">
        <v>#N/A</v>
      </c>
      <c r="BW670" s="124" t="e">
        <v>#N/A</v>
      </c>
      <c r="BX670" s="124" t="e">
        <v>#N/A</v>
      </c>
      <c r="BY670" s="124" t="e">
        <v>#N/A</v>
      </c>
      <c r="BZ670" s="124" t="e">
        <v>#N/A</v>
      </c>
      <c r="CA670" s="125"/>
      <c r="CB670" s="124">
        <v>45728</v>
      </c>
      <c r="CC670" s="126">
        <v>1</v>
      </c>
      <c r="CD670" s="127" t="s">
        <v>4148</v>
      </c>
      <c r="CE670" s="128"/>
      <c r="CF670" s="77" t="s">
        <v>5355</v>
      </c>
    </row>
    <row r="671" spans="1:85" ht="14.5" x14ac:dyDescent="0.35">
      <c r="A671" s="77">
        <v>670</v>
      </c>
      <c r="B671" s="106" t="s">
        <v>45</v>
      </c>
      <c r="C671" s="107" t="s">
        <v>1348</v>
      </c>
      <c r="D671" s="108" t="s">
        <v>3601</v>
      </c>
      <c r="E671" s="109" t="s">
        <v>490</v>
      </c>
      <c r="F671" s="110">
        <v>648939378</v>
      </c>
      <c r="G671" s="108" t="s">
        <v>1004</v>
      </c>
      <c r="H671" s="111" t="s">
        <v>179</v>
      </c>
      <c r="I671" s="111" t="s">
        <v>180</v>
      </c>
      <c r="J671" s="111" t="s">
        <v>4649</v>
      </c>
      <c r="K671" s="111" t="s">
        <v>3367</v>
      </c>
      <c r="L671" s="112">
        <v>45440</v>
      </c>
      <c r="M671" s="111" t="s">
        <v>1712</v>
      </c>
      <c r="N671" s="113"/>
      <c r="O671" s="114" t="s">
        <v>4482</v>
      </c>
      <c r="P671" s="114" t="s">
        <v>4482</v>
      </c>
      <c r="Q671" s="114" t="s">
        <v>568</v>
      </c>
      <c r="R671" s="114" t="s">
        <v>7446</v>
      </c>
      <c r="S671" s="114" t="s">
        <v>568</v>
      </c>
      <c r="T671" s="114" t="s">
        <v>183</v>
      </c>
      <c r="U671" s="114" t="s">
        <v>183</v>
      </c>
      <c r="V671" s="115"/>
      <c r="W671" s="116" t="s">
        <v>3605</v>
      </c>
      <c r="X671" s="116" t="s">
        <v>3606</v>
      </c>
      <c r="Y671" s="117">
        <v>3485905</v>
      </c>
      <c r="Z671" s="117">
        <v>3486496</v>
      </c>
      <c r="AA671" s="118"/>
      <c r="AB671" s="119" t="s">
        <v>5317</v>
      </c>
      <c r="AC671" s="119" t="s">
        <v>4018</v>
      </c>
      <c r="AD671" s="119">
        <v>5623</v>
      </c>
      <c r="AE671" s="119" t="s">
        <v>3607</v>
      </c>
      <c r="AF671" s="119">
        <v>0</v>
      </c>
      <c r="AG671" s="120"/>
      <c r="AH671" s="121">
        <v>45506</v>
      </c>
      <c r="AI671" s="121">
        <v>45506</v>
      </c>
      <c r="AJ671" s="121">
        <v>45506</v>
      </c>
      <c r="AK671" s="122">
        <v>45506</v>
      </c>
      <c r="AL671" s="122" t="e">
        <v>#N/A</v>
      </c>
      <c r="AM671" s="121" t="e">
        <v>#N/A</v>
      </c>
      <c r="AN671" s="121" t="e">
        <v>#N/A</v>
      </c>
      <c r="AO671" s="121" t="e">
        <v>#N/A</v>
      </c>
      <c r="AP671" s="122" t="e">
        <v>#N/A</v>
      </c>
      <c r="AQ671" s="122" t="e">
        <v>#N/A</v>
      </c>
      <c r="AR671" s="122" t="e">
        <v>#N/A</v>
      </c>
      <c r="AS671" s="122" t="e">
        <v>#N/A</v>
      </c>
      <c r="AT671" s="122" t="e">
        <v>#N/A</v>
      </c>
      <c r="AU671" s="121" t="e">
        <v>#N/A</v>
      </c>
      <c r="AV671" s="122" t="e">
        <v>#N/A</v>
      </c>
      <c r="AW671" s="122" t="e">
        <v>#N/A</v>
      </c>
      <c r="AX671" s="122" t="e">
        <v>#N/A</v>
      </c>
      <c r="AY671" s="122" t="e">
        <v>#N/A</v>
      </c>
      <c r="AZ671" s="122" t="e">
        <v>#N/A</v>
      </c>
      <c r="BA671" s="122" t="e">
        <v>#N/A</v>
      </c>
      <c r="BB671" s="122" t="e">
        <v>#N/A</v>
      </c>
      <c r="BC671" s="122" t="e">
        <v>#N/A</v>
      </c>
      <c r="BD671" s="122" t="e">
        <v>#N/A</v>
      </c>
      <c r="BE671" s="122" t="e">
        <v>#N/A</v>
      </c>
      <c r="BF671" s="122" t="e">
        <v>#N/A</v>
      </c>
      <c r="BG671" s="122" t="e">
        <v>#N/A</v>
      </c>
      <c r="BH671" s="122" t="e">
        <v>#N/A</v>
      </c>
      <c r="BI671" s="122" t="e">
        <v>#N/A</v>
      </c>
      <c r="BJ671" s="122" t="e">
        <v>#N/A</v>
      </c>
      <c r="BK671" s="122" t="e">
        <v>#N/A</v>
      </c>
      <c r="BL671" s="123"/>
      <c r="BM671" s="124" t="e">
        <v>#N/A</v>
      </c>
      <c r="BN671" s="124" t="e">
        <v>#N/A</v>
      </c>
      <c r="BO671" s="124" t="e">
        <v>#N/A</v>
      </c>
      <c r="BP671" s="124" t="e">
        <v>#N/A</v>
      </c>
      <c r="BQ671" s="124" t="e">
        <v>#N/A</v>
      </c>
      <c r="BR671" s="124" t="e">
        <v>#N/A</v>
      </c>
      <c r="BS671" s="124" t="e">
        <v>#N/A</v>
      </c>
      <c r="BT671" s="124" t="e">
        <v>#N/A</v>
      </c>
      <c r="BU671" s="124" t="e">
        <v>#N/A</v>
      </c>
      <c r="BV671" s="124" t="e">
        <v>#N/A</v>
      </c>
      <c r="BW671" s="124" t="e">
        <v>#N/A</v>
      </c>
      <c r="BX671" s="124" t="e">
        <v>#N/A</v>
      </c>
      <c r="BY671" s="124" t="e">
        <v>#N/A</v>
      </c>
      <c r="BZ671" s="124" t="e">
        <v>#N/A</v>
      </c>
      <c r="CA671" s="125"/>
      <c r="CB671" s="124" t="e">
        <v>#N/A</v>
      </c>
      <c r="CC671" s="126">
        <v>1</v>
      </c>
      <c r="CD671" s="127" t="s">
        <v>4201</v>
      </c>
      <c r="CE671" s="128"/>
      <c r="CF671" s="77" t="s">
        <v>5355</v>
      </c>
    </row>
    <row r="672" spans="1:85" ht="14.5" x14ac:dyDescent="0.35">
      <c r="A672" s="77">
        <v>671</v>
      </c>
      <c r="B672" s="106" t="s">
        <v>2184</v>
      </c>
      <c r="C672" s="107" t="s">
        <v>6500</v>
      </c>
      <c r="D672" s="108" t="s">
        <v>2111</v>
      </c>
      <c r="E672" s="109" t="s">
        <v>2112</v>
      </c>
      <c r="F672" s="110" t="s">
        <v>2113</v>
      </c>
      <c r="G672" s="108" t="s">
        <v>190</v>
      </c>
      <c r="H672" s="111" t="s">
        <v>179</v>
      </c>
      <c r="I672" s="111" t="s">
        <v>180</v>
      </c>
      <c r="J672" s="111" t="s">
        <v>4649</v>
      </c>
      <c r="K672" s="111" t="s">
        <v>2861</v>
      </c>
      <c r="L672" s="112">
        <v>44966</v>
      </c>
      <c r="M672" s="111" t="s">
        <v>3001</v>
      </c>
      <c r="N672" s="113"/>
      <c r="O672" s="114" t="s">
        <v>7131</v>
      </c>
      <c r="P672" s="114" t="s">
        <v>183</v>
      </c>
      <c r="Q672" s="114" t="s">
        <v>7131</v>
      </c>
      <c r="R672" s="114" t="s">
        <v>7331</v>
      </c>
      <c r="S672" s="114" t="s">
        <v>183</v>
      </c>
      <c r="T672" s="114" t="s">
        <v>7132</v>
      </c>
      <c r="U672" s="114" t="s">
        <v>7132</v>
      </c>
      <c r="V672" s="115"/>
      <c r="W672" s="116" t="s">
        <v>2114</v>
      </c>
      <c r="X672" s="116" t="s">
        <v>2115</v>
      </c>
      <c r="Y672" s="117">
        <v>3485738</v>
      </c>
      <c r="Z672" s="117">
        <v>3481410</v>
      </c>
      <c r="AA672" s="118"/>
      <c r="AB672" s="119" t="s">
        <v>5844</v>
      </c>
      <c r="AC672" s="119" t="s">
        <v>2172</v>
      </c>
      <c r="AD672" s="119">
        <v>4030</v>
      </c>
      <c r="AE672" s="119" t="s">
        <v>2173</v>
      </c>
      <c r="AF672" s="119">
        <v>0</v>
      </c>
      <c r="AG672" s="120"/>
      <c r="AH672" s="121">
        <v>44782</v>
      </c>
      <c r="AI672" s="121">
        <v>44782</v>
      </c>
      <c r="AJ672" s="121">
        <v>44782</v>
      </c>
      <c r="AK672" s="122">
        <v>44984</v>
      </c>
      <c r="AL672" s="122" t="e">
        <v>#N/A</v>
      </c>
      <c r="AM672" s="121" t="e">
        <v>#N/A</v>
      </c>
      <c r="AN672" s="121" t="e">
        <v>#N/A</v>
      </c>
      <c r="AO672" s="121" t="e">
        <v>#N/A</v>
      </c>
      <c r="AP672" s="122" t="e">
        <v>#N/A</v>
      </c>
      <c r="AQ672" s="122">
        <v>45267</v>
      </c>
      <c r="AR672" s="122" t="e">
        <v>#N/A</v>
      </c>
      <c r="AS672" s="122" t="e">
        <v>#N/A</v>
      </c>
      <c r="AT672" s="122" t="e">
        <v>#N/A</v>
      </c>
      <c r="AU672" s="121" t="e">
        <v>#N/A</v>
      </c>
      <c r="AV672" s="122" t="e">
        <v>#N/A</v>
      </c>
      <c r="AW672" s="122">
        <v>45670</v>
      </c>
      <c r="AX672" s="122" t="e">
        <v>#N/A</v>
      </c>
      <c r="AY672" s="122" t="e">
        <v>#N/A</v>
      </c>
      <c r="AZ672" s="122" t="e">
        <v>#N/A</v>
      </c>
      <c r="BA672" s="122" t="e">
        <v>#N/A</v>
      </c>
      <c r="BB672" s="122" t="e">
        <v>#N/A</v>
      </c>
      <c r="BC672" s="122" t="e">
        <v>#N/A</v>
      </c>
      <c r="BD672" s="122" t="e">
        <v>#N/A</v>
      </c>
      <c r="BE672" s="122" t="e">
        <v>#N/A</v>
      </c>
      <c r="BF672" s="122" t="e">
        <v>#N/A</v>
      </c>
      <c r="BG672" s="122" t="e">
        <v>#N/A</v>
      </c>
      <c r="BH672" s="122" t="e">
        <v>#N/A</v>
      </c>
      <c r="BI672" s="122" t="e">
        <v>#N/A</v>
      </c>
      <c r="BJ672" s="122" t="e">
        <v>#N/A</v>
      </c>
      <c r="BK672" s="122" t="e">
        <v>#N/A</v>
      </c>
      <c r="BL672" s="123"/>
      <c r="BM672" s="124" t="e">
        <v>#N/A</v>
      </c>
      <c r="BN672" s="124" t="e">
        <v>#N/A</v>
      </c>
      <c r="BO672" s="124" t="e">
        <v>#N/A</v>
      </c>
      <c r="BP672" s="124" t="e">
        <v>#N/A</v>
      </c>
      <c r="BQ672" s="124" t="e">
        <v>#N/A</v>
      </c>
      <c r="BR672" s="124" t="e">
        <v>#N/A</v>
      </c>
      <c r="BS672" s="124" t="e">
        <v>#N/A</v>
      </c>
      <c r="BT672" s="124" t="e">
        <v>#N/A</v>
      </c>
      <c r="BU672" s="124" t="e">
        <v>#N/A</v>
      </c>
      <c r="BV672" s="124" t="e">
        <v>#N/A</v>
      </c>
      <c r="BW672" s="124" t="e">
        <v>#N/A</v>
      </c>
      <c r="BX672" s="124" t="e">
        <v>#N/A</v>
      </c>
      <c r="BY672" s="124" t="e">
        <v>#N/A</v>
      </c>
      <c r="BZ672" s="124" t="e">
        <v>#N/A</v>
      </c>
      <c r="CA672" s="125"/>
      <c r="CB672" s="124">
        <v>45727</v>
      </c>
      <c r="CC672" s="126">
        <v>1</v>
      </c>
      <c r="CD672" s="127" t="s">
        <v>4178</v>
      </c>
      <c r="CE672" s="128"/>
      <c r="CF672" s="77" t="s">
        <v>5355</v>
      </c>
    </row>
    <row r="673" spans="1:84" ht="14.5" x14ac:dyDescent="0.35">
      <c r="A673" s="77">
        <v>672</v>
      </c>
      <c r="B673" s="106" t="s">
        <v>2693</v>
      </c>
      <c r="C673" s="107" t="s">
        <v>6536</v>
      </c>
      <c r="D673" s="108" t="s">
        <v>2694</v>
      </c>
      <c r="E673" s="109" t="s">
        <v>2695</v>
      </c>
      <c r="F673" s="110">
        <v>690823280</v>
      </c>
      <c r="G673" s="108" t="s">
        <v>1004</v>
      </c>
      <c r="H673" s="111" t="s">
        <v>179</v>
      </c>
      <c r="I673" s="111" t="s">
        <v>180</v>
      </c>
      <c r="J673" s="111" t="s">
        <v>4649</v>
      </c>
      <c r="K673" s="111" t="s">
        <v>2861</v>
      </c>
      <c r="L673" s="112">
        <v>45063</v>
      </c>
      <c r="M673" s="111" t="s">
        <v>3172</v>
      </c>
      <c r="N673" s="113"/>
      <c r="O673" s="114" t="s">
        <v>7698</v>
      </c>
      <c r="P673" s="114" t="s">
        <v>7698</v>
      </c>
      <c r="Q673" s="114" t="s">
        <v>585</v>
      </c>
      <c r="R673" s="114" t="s">
        <v>585</v>
      </c>
      <c r="S673" s="114" t="s">
        <v>7698</v>
      </c>
      <c r="T673" s="114" t="s">
        <v>183</v>
      </c>
      <c r="U673" s="114" t="s">
        <v>183</v>
      </c>
      <c r="V673" s="115"/>
      <c r="W673" s="116" t="s">
        <v>2696</v>
      </c>
      <c r="X673" s="116" t="s">
        <v>2697</v>
      </c>
      <c r="Y673" s="117">
        <v>3485036</v>
      </c>
      <c r="Z673" s="117">
        <v>3481455</v>
      </c>
      <c r="AA673" s="118"/>
      <c r="AB673" s="119" t="s">
        <v>5647</v>
      </c>
      <c r="AC673" s="119" t="s">
        <v>2723</v>
      </c>
      <c r="AD673" s="119">
        <v>4604</v>
      </c>
      <c r="AE673" s="119" t="s">
        <v>2698</v>
      </c>
      <c r="AF673" s="119" t="s">
        <v>7140</v>
      </c>
      <c r="AG673" s="120"/>
      <c r="AH673" s="121">
        <v>45062</v>
      </c>
      <c r="AI673" s="121">
        <v>45062</v>
      </c>
      <c r="AJ673" s="121">
        <v>45062</v>
      </c>
      <c r="AK673" s="122">
        <v>45062</v>
      </c>
      <c r="AL673" s="122">
        <v>45989</v>
      </c>
      <c r="AM673" s="122" t="e">
        <v>#N/A</v>
      </c>
      <c r="AN673" s="122">
        <v>45989</v>
      </c>
      <c r="AO673" s="121">
        <v>45930</v>
      </c>
      <c r="AP673" s="122" t="e">
        <v>#N/A</v>
      </c>
      <c r="AQ673" s="122">
        <v>45820</v>
      </c>
      <c r="AR673" s="122">
        <v>45989</v>
      </c>
      <c r="AS673" s="122" t="e">
        <v>#N/A</v>
      </c>
      <c r="AT673" s="122" t="e">
        <v>#N/A</v>
      </c>
      <c r="AU673" s="121" t="e">
        <v>#N/A</v>
      </c>
      <c r="AV673" s="122" t="e">
        <v>#N/A</v>
      </c>
      <c r="AW673" s="122">
        <v>45742</v>
      </c>
      <c r="AX673" s="122" t="e">
        <v>#N/A</v>
      </c>
      <c r="AY673" s="122" t="e">
        <v>#N/A</v>
      </c>
      <c r="AZ673" s="122" t="e">
        <v>#N/A</v>
      </c>
      <c r="BA673" s="122" t="e">
        <v>#N/A</v>
      </c>
      <c r="BB673" s="122" t="e">
        <v>#N/A</v>
      </c>
      <c r="BC673" s="122">
        <v>45385</v>
      </c>
      <c r="BD673" s="122" t="e">
        <v>#N/A</v>
      </c>
      <c r="BE673" s="122" t="e">
        <v>#N/A</v>
      </c>
      <c r="BF673" s="122" t="e">
        <v>#N/A</v>
      </c>
      <c r="BG673" s="122" t="e">
        <v>#N/A</v>
      </c>
      <c r="BH673" s="122" t="e">
        <v>#N/A</v>
      </c>
      <c r="BI673" s="122" t="e">
        <v>#N/A</v>
      </c>
      <c r="BJ673" s="122" t="e">
        <v>#N/A</v>
      </c>
      <c r="BK673" s="122">
        <v>45967</v>
      </c>
      <c r="BL673" s="123"/>
      <c r="BM673" s="124" t="e">
        <v>#N/A</v>
      </c>
      <c r="BN673" s="124">
        <v>45505</v>
      </c>
      <c r="BO673" s="124" t="e">
        <v>#N/A</v>
      </c>
      <c r="BP673" s="124" t="e">
        <v>#N/A</v>
      </c>
      <c r="BQ673" s="124" t="e">
        <v>#N/A</v>
      </c>
      <c r="BR673" s="124" t="e">
        <v>#N/A</v>
      </c>
      <c r="BS673" s="124" t="e">
        <v>#N/A</v>
      </c>
      <c r="BT673" s="124" t="e">
        <v>#N/A</v>
      </c>
      <c r="BU673" s="124" t="e">
        <v>#N/A</v>
      </c>
      <c r="BV673" s="124" t="e">
        <v>#N/A</v>
      </c>
      <c r="BW673" s="124" t="e">
        <v>#N/A</v>
      </c>
      <c r="BX673" s="124" t="e">
        <v>#N/A</v>
      </c>
      <c r="BY673" s="124" t="e">
        <v>#N/A</v>
      </c>
      <c r="BZ673" s="124" t="e">
        <v>#N/A</v>
      </c>
      <c r="CA673" s="125"/>
      <c r="CB673" s="124" t="e">
        <v>#N/A</v>
      </c>
      <c r="CC673" s="126">
        <v>1</v>
      </c>
      <c r="CD673" s="127" t="s">
        <v>4164</v>
      </c>
      <c r="CE673" s="128"/>
      <c r="CF673" s="77" t="s">
        <v>5355</v>
      </c>
    </row>
    <row r="674" spans="1:84" ht="14.5" x14ac:dyDescent="0.35">
      <c r="A674" s="77">
        <v>673</v>
      </c>
      <c r="B674" s="106" t="s">
        <v>3532</v>
      </c>
      <c r="C674" s="107" t="s">
        <v>6644</v>
      </c>
      <c r="D674" s="108" t="s">
        <v>3533</v>
      </c>
      <c r="E674" s="109" t="s">
        <v>3534</v>
      </c>
      <c r="F674" s="110">
        <v>653345040</v>
      </c>
      <c r="G674" s="108" t="s">
        <v>1004</v>
      </c>
      <c r="H674" s="111" t="s">
        <v>179</v>
      </c>
      <c r="I674" s="111" t="s">
        <v>180</v>
      </c>
      <c r="J674" s="111" t="s">
        <v>4649</v>
      </c>
      <c r="K674" s="111" t="s">
        <v>3367</v>
      </c>
      <c r="L674" s="112">
        <v>45481</v>
      </c>
      <c r="M674" s="111" t="s">
        <v>1712</v>
      </c>
      <c r="N674" s="113"/>
      <c r="O674" s="114" t="s">
        <v>567</v>
      </c>
      <c r="P674" s="114" t="s">
        <v>568</v>
      </c>
      <c r="Q674" s="114" t="s">
        <v>567</v>
      </c>
      <c r="R674" s="114" t="s">
        <v>567</v>
      </c>
      <c r="S674" s="114" t="s">
        <v>568</v>
      </c>
      <c r="T674" s="114" t="s">
        <v>183</v>
      </c>
      <c r="U674" s="114" t="s">
        <v>183</v>
      </c>
      <c r="V674" s="115"/>
      <c r="W674" s="116" t="s">
        <v>3535</v>
      </c>
      <c r="X674" s="116" t="s">
        <v>3536</v>
      </c>
      <c r="Y674" s="117">
        <v>3485342</v>
      </c>
      <c r="Z674" s="117">
        <v>3481298</v>
      </c>
      <c r="AA674" s="118"/>
      <c r="AB674" s="119" t="s">
        <v>5842</v>
      </c>
      <c r="AC674" s="119" t="s">
        <v>3609</v>
      </c>
      <c r="AD674" s="119">
        <v>5886</v>
      </c>
      <c r="AE674" s="119" t="s">
        <v>3537</v>
      </c>
      <c r="AF674" s="119">
        <v>0</v>
      </c>
      <c r="AG674" s="120"/>
      <c r="AH674" s="121">
        <v>45492</v>
      </c>
      <c r="AI674" s="121">
        <v>45492</v>
      </c>
      <c r="AJ674" s="121">
        <v>45492</v>
      </c>
      <c r="AK674" s="122">
        <v>45492</v>
      </c>
      <c r="AL674" s="122" t="e">
        <v>#N/A</v>
      </c>
      <c r="AM674" s="121" t="e">
        <v>#N/A</v>
      </c>
      <c r="AN674" s="121" t="e">
        <v>#N/A</v>
      </c>
      <c r="AO674" s="121" t="e">
        <v>#N/A</v>
      </c>
      <c r="AP674" s="122" t="e">
        <v>#N/A</v>
      </c>
      <c r="AQ674" s="122" t="e">
        <v>#N/A</v>
      </c>
      <c r="AR674" s="122" t="e">
        <v>#N/A</v>
      </c>
      <c r="AS674" s="122" t="e">
        <v>#N/A</v>
      </c>
      <c r="AT674" s="122" t="e">
        <v>#N/A</v>
      </c>
      <c r="AU674" s="121" t="e">
        <v>#N/A</v>
      </c>
      <c r="AV674" s="122" t="e">
        <v>#N/A</v>
      </c>
      <c r="AW674" s="122" t="e">
        <v>#N/A</v>
      </c>
      <c r="AX674" s="122" t="e">
        <v>#N/A</v>
      </c>
      <c r="AY674" s="122" t="e">
        <v>#N/A</v>
      </c>
      <c r="AZ674" s="122" t="e">
        <v>#N/A</v>
      </c>
      <c r="BA674" s="122" t="e">
        <v>#N/A</v>
      </c>
      <c r="BB674" s="122" t="e">
        <v>#N/A</v>
      </c>
      <c r="BC674" s="122" t="e">
        <v>#N/A</v>
      </c>
      <c r="BD674" s="122" t="e">
        <v>#N/A</v>
      </c>
      <c r="BE674" s="122" t="e">
        <v>#N/A</v>
      </c>
      <c r="BF674" s="122" t="e">
        <v>#N/A</v>
      </c>
      <c r="BG674" s="122" t="e">
        <v>#N/A</v>
      </c>
      <c r="BH674" s="122" t="e">
        <v>#N/A</v>
      </c>
      <c r="BI674" s="122" t="e">
        <v>#N/A</v>
      </c>
      <c r="BJ674" s="122" t="e">
        <v>#N/A</v>
      </c>
      <c r="BK674" s="122" t="e">
        <v>#N/A</v>
      </c>
      <c r="BL674" s="123"/>
      <c r="BM674" s="124" t="e">
        <v>#N/A</v>
      </c>
      <c r="BN674" s="124" t="e">
        <v>#N/A</v>
      </c>
      <c r="BO674" s="124" t="e">
        <v>#N/A</v>
      </c>
      <c r="BP674" s="124" t="e">
        <v>#N/A</v>
      </c>
      <c r="BQ674" s="124" t="e">
        <v>#N/A</v>
      </c>
      <c r="BR674" s="124" t="e">
        <v>#N/A</v>
      </c>
      <c r="BS674" s="124" t="e">
        <v>#N/A</v>
      </c>
      <c r="BT674" s="124" t="e">
        <v>#N/A</v>
      </c>
      <c r="BU674" s="124" t="e">
        <v>#N/A</v>
      </c>
      <c r="BV674" s="124" t="e">
        <v>#N/A</v>
      </c>
      <c r="BW674" s="124" t="e">
        <v>#N/A</v>
      </c>
      <c r="BX674" s="124" t="e">
        <v>#N/A</v>
      </c>
      <c r="BY674" s="124" t="e">
        <v>#N/A</v>
      </c>
      <c r="BZ674" s="124" t="e">
        <v>#N/A</v>
      </c>
      <c r="CA674" s="125"/>
      <c r="CB674" s="124" t="e">
        <v>#N/A</v>
      </c>
      <c r="CC674" s="126">
        <v>1</v>
      </c>
      <c r="CD674" s="127" t="s">
        <v>4203</v>
      </c>
      <c r="CE674" s="128"/>
      <c r="CF674" s="77" t="s">
        <v>5355</v>
      </c>
    </row>
    <row r="675" spans="1:84" ht="14.5" x14ac:dyDescent="0.35">
      <c r="A675" s="77">
        <v>674</v>
      </c>
      <c r="B675" s="106" t="s">
        <v>3545</v>
      </c>
      <c r="C675" s="107" t="s">
        <v>6647</v>
      </c>
      <c r="D675" s="108" t="s">
        <v>3546</v>
      </c>
      <c r="E675" s="109" t="s">
        <v>3547</v>
      </c>
      <c r="F675" s="110">
        <v>671300445</v>
      </c>
      <c r="G675" s="108" t="s">
        <v>1004</v>
      </c>
      <c r="H675" s="111" t="s">
        <v>179</v>
      </c>
      <c r="I675" s="111" t="s">
        <v>180</v>
      </c>
      <c r="J675" s="111" t="s">
        <v>4649</v>
      </c>
      <c r="K675" s="111" t="s">
        <v>3367</v>
      </c>
      <c r="L675" s="112">
        <v>45481</v>
      </c>
      <c r="M675" s="111" t="s">
        <v>3771</v>
      </c>
      <c r="N675" s="113"/>
      <c r="O675" s="114" t="s">
        <v>4373</v>
      </c>
      <c r="P675" s="114" t="s">
        <v>4373</v>
      </c>
      <c r="Q675" s="114" t="s">
        <v>4373</v>
      </c>
      <c r="R675" s="114" t="s">
        <v>4467</v>
      </c>
      <c r="S675" s="114" t="s">
        <v>4467</v>
      </c>
      <c r="T675" s="114" t="s">
        <v>4356</v>
      </c>
      <c r="U675" s="114" t="s">
        <v>4356</v>
      </c>
      <c r="V675" s="115"/>
      <c r="W675" s="116" t="s">
        <v>3548</v>
      </c>
      <c r="X675" s="116" t="s">
        <v>3549</v>
      </c>
      <c r="Y675" s="117">
        <v>3485167</v>
      </c>
      <c r="Z675" s="117">
        <v>3481185</v>
      </c>
      <c r="AA675" s="118"/>
      <c r="AB675" s="119" t="s">
        <v>5843</v>
      </c>
      <c r="AC675" s="119" t="s">
        <v>3610</v>
      </c>
      <c r="AD675" s="119">
        <v>5832</v>
      </c>
      <c r="AE675" s="119" t="s">
        <v>3550</v>
      </c>
      <c r="AF675" s="119" t="s">
        <v>6648</v>
      </c>
      <c r="AG675" s="120"/>
      <c r="AH675" s="121">
        <v>45492</v>
      </c>
      <c r="AI675" s="121">
        <v>45492</v>
      </c>
      <c r="AJ675" s="121">
        <v>45492</v>
      </c>
      <c r="AK675" s="122">
        <v>45492</v>
      </c>
      <c r="AL675" s="122">
        <v>45985</v>
      </c>
      <c r="AM675" s="122" t="e">
        <v>#N/A</v>
      </c>
      <c r="AN675" s="122">
        <v>45985</v>
      </c>
      <c r="AO675" s="121">
        <v>45985</v>
      </c>
      <c r="AP675" s="122" t="e">
        <v>#N/A</v>
      </c>
      <c r="AQ675" s="122" t="e">
        <v>#N/A</v>
      </c>
      <c r="AR675" s="122">
        <v>45985</v>
      </c>
      <c r="AS675" s="122" t="e">
        <v>#N/A</v>
      </c>
      <c r="AT675" s="122" t="e">
        <v>#N/A</v>
      </c>
      <c r="AU675" s="121" t="e">
        <v>#N/A</v>
      </c>
      <c r="AV675" s="122" t="e">
        <v>#N/A</v>
      </c>
      <c r="AW675" s="122">
        <v>45749</v>
      </c>
      <c r="AX675" s="122" t="e">
        <v>#N/A</v>
      </c>
      <c r="AY675" s="122" t="e">
        <v>#N/A</v>
      </c>
      <c r="AZ675" s="122" t="e">
        <v>#N/A</v>
      </c>
      <c r="BA675" s="122" t="e">
        <v>#N/A</v>
      </c>
      <c r="BB675" s="122" t="e">
        <v>#N/A</v>
      </c>
      <c r="BC675" s="122" t="e">
        <v>#N/A</v>
      </c>
      <c r="BD675" s="122" t="e">
        <v>#N/A</v>
      </c>
      <c r="BE675" s="122" t="e">
        <v>#N/A</v>
      </c>
      <c r="BF675" s="122" t="e">
        <v>#N/A</v>
      </c>
      <c r="BG675" s="122" t="e">
        <v>#N/A</v>
      </c>
      <c r="BH675" s="122" t="e">
        <v>#N/A</v>
      </c>
      <c r="BI675" s="122">
        <v>45569</v>
      </c>
      <c r="BJ675" s="122" t="e">
        <v>#N/A</v>
      </c>
      <c r="BK675" s="122">
        <v>45957</v>
      </c>
      <c r="BL675" s="123"/>
      <c r="BM675" s="124" t="e">
        <v>#N/A</v>
      </c>
      <c r="BN675" s="124" t="e">
        <v>#N/A</v>
      </c>
      <c r="BO675" s="124" t="e">
        <v>#N/A</v>
      </c>
      <c r="BP675" s="124" t="e">
        <v>#N/A</v>
      </c>
      <c r="BQ675" s="124" t="e">
        <v>#N/A</v>
      </c>
      <c r="BR675" s="124" t="e">
        <v>#N/A</v>
      </c>
      <c r="BS675" s="124" t="e">
        <v>#N/A</v>
      </c>
      <c r="BT675" s="124" t="e">
        <v>#N/A</v>
      </c>
      <c r="BU675" s="124" t="e">
        <v>#N/A</v>
      </c>
      <c r="BV675" s="124" t="e">
        <v>#N/A</v>
      </c>
      <c r="BW675" s="124" t="e">
        <v>#N/A</v>
      </c>
      <c r="BX675" s="124" t="e">
        <v>#N/A</v>
      </c>
      <c r="BY675" s="124" t="e">
        <v>#N/A</v>
      </c>
      <c r="BZ675" s="124" t="e">
        <v>#N/A</v>
      </c>
      <c r="CA675" s="125"/>
      <c r="CB675" s="124" t="e">
        <v>#N/A</v>
      </c>
      <c r="CC675" s="126">
        <v>1</v>
      </c>
      <c r="CD675" s="127" t="s">
        <v>4203</v>
      </c>
      <c r="CE675" s="128"/>
      <c r="CF675" s="77" t="s">
        <v>5355</v>
      </c>
    </row>
    <row r="676" spans="1:84" ht="14.5" x14ac:dyDescent="0.35">
      <c r="A676" s="77">
        <v>675</v>
      </c>
      <c r="B676" s="106" t="s">
        <v>4237</v>
      </c>
      <c r="C676" s="107" t="s">
        <v>6726</v>
      </c>
      <c r="D676" s="108" t="s">
        <v>4238</v>
      </c>
      <c r="E676" s="109" t="s">
        <v>4239</v>
      </c>
      <c r="F676" s="110">
        <v>698799061</v>
      </c>
      <c r="G676" s="108" t="s">
        <v>1004</v>
      </c>
      <c r="H676" s="111" t="s">
        <v>179</v>
      </c>
      <c r="I676" s="111" t="s">
        <v>180</v>
      </c>
      <c r="J676" s="111" t="s">
        <v>4649</v>
      </c>
      <c r="K676" s="111" t="s">
        <v>3367</v>
      </c>
      <c r="L676" s="112">
        <v>45644</v>
      </c>
      <c r="M676" s="111" t="s">
        <v>3001</v>
      </c>
      <c r="N676" s="113"/>
      <c r="O676" s="114" t="s">
        <v>4393</v>
      </c>
      <c r="P676" s="114" t="s">
        <v>4393</v>
      </c>
      <c r="Q676" s="114" t="s">
        <v>4356</v>
      </c>
      <c r="R676" s="114" t="s">
        <v>4356</v>
      </c>
      <c r="S676" s="114" t="s">
        <v>4393</v>
      </c>
      <c r="T676" s="114" t="s">
        <v>285</v>
      </c>
      <c r="U676" s="114" t="s">
        <v>285</v>
      </c>
      <c r="V676" s="115"/>
      <c r="W676" s="116" t="s">
        <v>4240</v>
      </c>
      <c r="X676" s="116" t="s">
        <v>4241</v>
      </c>
      <c r="Y676" s="117">
        <v>3485392</v>
      </c>
      <c r="Z676" s="117">
        <v>3486473</v>
      </c>
      <c r="AA676" s="118"/>
      <c r="AB676" s="119" t="s">
        <v>5840</v>
      </c>
      <c r="AC676" s="119" t="s">
        <v>4242</v>
      </c>
      <c r="AD676" s="119">
        <v>5186</v>
      </c>
      <c r="AE676" s="119" t="s">
        <v>4243</v>
      </c>
      <c r="AF676" s="119" t="s">
        <v>7197</v>
      </c>
      <c r="AG676" s="120"/>
      <c r="AH676" s="121">
        <v>45644</v>
      </c>
      <c r="AI676" s="121">
        <v>45644</v>
      </c>
      <c r="AJ676" s="121">
        <v>45644</v>
      </c>
      <c r="AK676" s="122">
        <v>45733</v>
      </c>
      <c r="AL676" s="122" t="e">
        <v>#N/A</v>
      </c>
      <c r="AM676" s="121" t="e">
        <v>#N/A</v>
      </c>
      <c r="AN676" s="121" t="e">
        <v>#N/A</v>
      </c>
      <c r="AO676" s="121" t="e">
        <v>#N/A</v>
      </c>
      <c r="AP676" s="122" t="e">
        <v>#N/A</v>
      </c>
      <c r="AQ676" s="122" t="e">
        <v>#N/A</v>
      </c>
      <c r="AR676" s="122" t="e">
        <v>#N/A</v>
      </c>
      <c r="AS676" s="122" t="e">
        <v>#N/A</v>
      </c>
      <c r="AT676" s="122" t="e">
        <v>#N/A</v>
      </c>
      <c r="AU676" s="121" t="e">
        <v>#N/A</v>
      </c>
      <c r="AV676" s="122" t="e">
        <v>#N/A</v>
      </c>
      <c r="AW676" s="122">
        <v>45748</v>
      </c>
      <c r="AX676" s="122" t="e">
        <v>#N/A</v>
      </c>
      <c r="AY676" s="122" t="e">
        <v>#N/A</v>
      </c>
      <c r="AZ676" s="122" t="e">
        <v>#N/A</v>
      </c>
      <c r="BA676" s="122" t="e">
        <v>#N/A</v>
      </c>
      <c r="BB676" s="122" t="e">
        <v>#N/A</v>
      </c>
      <c r="BC676" s="122" t="e">
        <v>#N/A</v>
      </c>
      <c r="BD676" s="122" t="e">
        <v>#N/A</v>
      </c>
      <c r="BE676" s="122" t="e">
        <v>#N/A</v>
      </c>
      <c r="BF676" s="122" t="e">
        <v>#N/A</v>
      </c>
      <c r="BG676" s="122" t="e">
        <v>#N/A</v>
      </c>
      <c r="BH676" s="122" t="e">
        <v>#N/A</v>
      </c>
      <c r="BI676" s="122" t="e">
        <v>#N/A</v>
      </c>
      <c r="BJ676" s="122" t="e">
        <v>#N/A</v>
      </c>
      <c r="BK676" s="122">
        <v>45959</v>
      </c>
      <c r="BL676" s="123"/>
      <c r="BM676" s="124" t="e">
        <v>#N/A</v>
      </c>
      <c r="BN676" s="124" t="e">
        <v>#N/A</v>
      </c>
      <c r="BO676" s="124" t="e">
        <v>#N/A</v>
      </c>
      <c r="BP676" s="124" t="e">
        <v>#N/A</v>
      </c>
      <c r="BQ676" s="124" t="e">
        <v>#N/A</v>
      </c>
      <c r="BR676" s="124" t="e">
        <v>#N/A</v>
      </c>
      <c r="BS676" s="124" t="e">
        <v>#N/A</v>
      </c>
      <c r="BT676" s="124" t="e">
        <v>#N/A</v>
      </c>
      <c r="BU676" s="124" t="e">
        <v>#N/A</v>
      </c>
      <c r="BV676" s="124" t="e">
        <v>#N/A</v>
      </c>
      <c r="BW676" s="124" t="e">
        <v>#N/A</v>
      </c>
      <c r="BX676" s="124" t="e">
        <v>#N/A</v>
      </c>
      <c r="BY676" s="124" t="e">
        <v>#N/A</v>
      </c>
      <c r="BZ676" s="124" t="e">
        <v>#N/A</v>
      </c>
      <c r="CA676" s="125"/>
      <c r="CB676" s="124" t="e">
        <v>#N/A</v>
      </c>
      <c r="CC676" s="126">
        <v>1</v>
      </c>
      <c r="CD676" s="127" t="s">
        <v>4211</v>
      </c>
      <c r="CE676" s="128"/>
      <c r="CF676" s="77" t="s">
        <v>5355</v>
      </c>
    </row>
    <row r="677" spans="1:84" ht="14.5" x14ac:dyDescent="0.35">
      <c r="A677" s="77">
        <v>676</v>
      </c>
      <c r="B677" s="106" t="s">
        <v>4216</v>
      </c>
      <c r="C677" s="107" t="s">
        <v>6730</v>
      </c>
      <c r="D677" s="108" t="s">
        <v>4217</v>
      </c>
      <c r="E677" s="109" t="s">
        <v>4218</v>
      </c>
      <c r="F677" s="110" t="s">
        <v>5646</v>
      </c>
      <c r="G677" s="108" t="s">
        <v>1004</v>
      </c>
      <c r="H677" s="111" t="s">
        <v>179</v>
      </c>
      <c r="I677" s="111" t="s">
        <v>180</v>
      </c>
      <c r="J677" s="111" t="s">
        <v>4649</v>
      </c>
      <c r="K677" s="111" t="s">
        <v>3367</v>
      </c>
      <c r="L677" s="112">
        <v>45644</v>
      </c>
      <c r="M677" s="111" t="s">
        <v>2122</v>
      </c>
      <c r="N677" s="113"/>
      <c r="O677" s="114" t="s">
        <v>285</v>
      </c>
      <c r="P677" s="114" t="s">
        <v>7699</v>
      </c>
      <c r="Q677" s="114" t="s">
        <v>7700</v>
      </c>
      <c r="R677" s="114" t="s">
        <v>4356</v>
      </c>
      <c r="S677" s="114" t="s">
        <v>4356</v>
      </c>
      <c r="T677" s="114" t="s">
        <v>7700</v>
      </c>
      <c r="U677" s="114" t="s">
        <v>7700</v>
      </c>
      <c r="V677" s="115"/>
      <c r="W677" s="116" t="s">
        <v>4219</v>
      </c>
      <c r="X677" s="116" t="s">
        <v>4220</v>
      </c>
      <c r="Y677" s="117">
        <v>3485236</v>
      </c>
      <c r="Z677" s="117">
        <v>3486427</v>
      </c>
      <c r="AA677" s="118"/>
      <c r="AB677" s="119" t="s">
        <v>5838</v>
      </c>
      <c r="AC677" s="119" t="s">
        <v>4221</v>
      </c>
      <c r="AD677" s="119">
        <v>5195</v>
      </c>
      <c r="AE677" s="119" t="s">
        <v>4222</v>
      </c>
      <c r="AF677" s="119" t="s">
        <v>7199</v>
      </c>
      <c r="AG677" s="120"/>
      <c r="AH677" s="121">
        <v>45644</v>
      </c>
      <c r="AI677" s="121">
        <v>45644</v>
      </c>
      <c r="AJ677" s="121">
        <v>45644</v>
      </c>
      <c r="AK677" s="122">
        <v>45733</v>
      </c>
      <c r="AL677" s="122">
        <v>45911</v>
      </c>
      <c r="AM677" s="122" t="e">
        <v>#N/A</v>
      </c>
      <c r="AN677" s="122" t="s">
        <v>7190</v>
      </c>
      <c r="AO677" s="121" t="e">
        <v>#N/A</v>
      </c>
      <c r="AP677" s="122" t="e">
        <v>#N/A</v>
      </c>
      <c r="AQ677" s="122" t="e">
        <v>#N/A</v>
      </c>
      <c r="AR677" s="122" t="e">
        <v>#N/A</v>
      </c>
      <c r="AS677" s="122" t="e">
        <v>#N/A</v>
      </c>
      <c r="AT677" s="122" t="e">
        <v>#N/A</v>
      </c>
      <c r="AU677" s="121" t="e">
        <v>#N/A</v>
      </c>
      <c r="AV677" s="122" t="e">
        <v>#N/A</v>
      </c>
      <c r="AW677" s="122">
        <v>45763</v>
      </c>
      <c r="AX677" s="122" t="e">
        <v>#N/A</v>
      </c>
      <c r="AY677" s="122" t="e">
        <v>#N/A</v>
      </c>
      <c r="AZ677" s="122" t="e">
        <v>#N/A</v>
      </c>
      <c r="BA677" s="122" t="e">
        <v>#N/A</v>
      </c>
      <c r="BB677" s="122" t="e">
        <v>#N/A</v>
      </c>
      <c r="BC677" s="122" t="e">
        <v>#N/A</v>
      </c>
      <c r="BD677" s="122" t="e">
        <v>#N/A</v>
      </c>
      <c r="BE677" s="122" t="e">
        <v>#N/A</v>
      </c>
      <c r="BF677" s="122" t="e">
        <v>#N/A</v>
      </c>
      <c r="BG677" s="122" t="e">
        <v>#N/A</v>
      </c>
      <c r="BH677" s="122" t="e">
        <v>#N/A</v>
      </c>
      <c r="BI677" s="122" t="e">
        <v>#N/A</v>
      </c>
      <c r="BJ677" s="122" t="e">
        <v>#N/A</v>
      </c>
      <c r="BK677" s="122">
        <v>45950</v>
      </c>
      <c r="BL677" s="123"/>
      <c r="BM677" s="124" t="e">
        <v>#N/A</v>
      </c>
      <c r="BN677" s="124" t="e">
        <v>#N/A</v>
      </c>
      <c r="BO677" s="124" t="e">
        <v>#N/A</v>
      </c>
      <c r="BP677" s="124" t="e">
        <v>#N/A</v>
      </c>
      <c r="BQ677" s="124" t="e">
        <v>#N/A</v>
      </c>
      <c r="BR677" s="124" t="e">
        <v>#N/A</v>
      </c>
      <c r="BS677" s="124" t="e">
        <v>#N/A</v>
      </c>
      <c r="BT677" s="124" t="e">
        <v>#N/A</v>
      </c>
      <c r="BU677" s="124" t="e">
        <v>#N/A</v>
      </c>
      <c r="BV677" s="124" t="e">
        <v>#N/A</v>
      </c>
      <c r="BW677" s="124" t="e">
        <v>#N/A</v>
      </c>
      <c r="BX677" s="124" t="e">
        <v>#N/A</v>
      </c>
      <c r="BY677" s="124" t="e">
        <v>#N/A</v>
      </c>
      <c r="BZ677" s="124" t="e">
        <v>#N/A</v>
      </c>
      <c r="CA677" s="125"/>
      <c r="CB677" s="124" t="e">
        <v>#N/A</v>
      </c>
      <c r="CC677" s="126">
        <v>1</v>
      </c>
      <c r="CD677" s="127" t="s">
        <v>4211</v>
      </c>
      <c r="CE677" s="128"/>
      <c r="CF677" s="77" t="s">
        <v>5355</v>
      </c>
    </row>
    <row r="678" spans="1:84" ht="14.5" x14ac:dyDescent="0.35">
      <c r="A678" s="77">
        <v>677</v>
      </c>
      <c r="B678" s="106" t="s">
        <v>6260</v>
      </c>
      <c r="C678" s="107" t="s">
        <v>1125</v>
      </c>
      <c r="D678" s="108" t="s">
        <v>1126</v>
      </c>
      <c r="E678" s="109" t="s">
        <v>178</v>
      </c>
      <c r="F678" s="110">
        <v>626811636</v>
      </c>
      <c r="G678" s="108" t="s">
        <v>1004</v>
      </c>
      <c r="H678" s="111" t="s">
        <v>179</v>
      </c>
      <c r="I678" s="111" t="s">
        <v>180</v>
      </c>
      <c r="J678" s="111" t="s">
        <v>4649</v>
      </c>
      <c r="K678" s="111" t="s">
        <v>2861</v>
      </c>
      <c r="L678" s="112">
        <v>38950</v>
      </c>
      <c r="M678" s="111" t="s">
        <v>2933</v>
      </c>
      <c r="N678" s="113"/>
      <c r="O678" s="114" t="s">
        <v>182</v>
      </c>
      <c r="P678" s="114" t="s">
        <v>183</v>
      </c>
      <c r="Q678" s="114" t="s">
        <v>184</v>
      </c>
      <c r="R678" s="114" t="s">
        <v>7316</v>
      </c>
      <c r="S678" s="114" t="s">
        <v>7509</v>
      </c>
      <c r="T678" s="114" t="s">
        <v>182</v>
      </c>
      <c r="U678" s="114" t="s">
        <v>182</v>
      </c>
      <c r="V678" s="115"/>
      <c r="W678" s="116" t="s">
        <v>185</v>
      </c>
      <c r="X678" s="116" t="s">
        <v>186</v>
      </c>
      <c r="Y678" s="117">
        <v>3485692</v>
      </c>
      <c r="Z678" s="117">
        <v>3486243</v>
      </c>
      <c r="AA678" s="118"/>
      <c r="AB678" s="119" t="s">
        <v>5280</v>
      </c>
      <c r="AC678" s="119" t="s">
        <v>1127</v>
      </c>
      <c r="AD678" s="119">
        <v>27888</v>
      </c>
      <c r="AE678" s="119" t="s">
        <v>187</v>
      </c>
      <c r="AF678" s="119">
        <v>0</v>
      </c>
      <c r="AG678" s="120"/>
      <c r="AH678" s="121">
        <v>44197</v>
      </c>
      <c r="AI678" s="121">
        <v>44197</v>
      </c>
      <c r="AJ678" s="121">
        <v>44197</v>
      </c>
      <c r="AK678" s="122">
        <v>44197</v>
      </c>
      <c r="AL678" s="122" t="e">
        <v>#N/A</v>
      </c>
      <c r="AM678" s="121" t="e">
        <v>#N/A</v>
      </c>
      <c r="AN678" s="121" t="e">
        <v>#N/A</v>
      </c>
      <c r="AO678" s="121" t="e">
        <v>#N/A</v>
      </c>
      <c r="AP678" s="122" t="e">
        <v>#N/A</v>
      </c>
      <c r="AQ678" s="122" t="e">
        <v>#N/A</v>
      </c>
      <c r="AR678" s="122" t="e">
        <v>#N/A</v>
      </c>
      <c r="AS678" s="122" t="e">
        <v>#N/A</v>
      </c>
      <c r="AT678" s="122" t="e">
        <v>#N/A</v>
      </c>
      <c r="AU678" s="121" t="e">
        <v>#N/A</v>
      </c>
      <c r="AV678" s="122" t="e">
        <v>#N/A</v>
      </c>
      <c r="AW678" s="122">
        <v>45671</v>
      </c>
      <c r="AX678" s="122" t="e">
        <v>#N/A</v>
      </c>
      <c r="AY678" s="122" t="e">
        <v>#N/A</v>
      </c>
      <c r="AZ678" s="122" t="e">
        <v>#N/A</v>
      </c>
      <c r="BA678" s="122" t="e">
        <v>#N/A</v>
      </c>
      <c r="BB678" s="122" t="e">
        <v>#N/A</v>
      </c>
      <c r="BC678" s="122">
        <v>45385</v>
      </c>
      <c r="BD678" s="122" t="e">
        <v>#N/A</v>
      </c>
      <c r="BE678" s="122" t="e">
        <v>#N/A</v>
      </c>
      <c r="BF678" s="122" t="e">
        <v>#N/A</v>
      </c>
      <c r="BG678" s="122" t="e">
        <v>#N/A</v>
      </c>
      <c r="BH678" s="122" t="e">
        <v>#N/A</v>
      </c>
      <c r="BI678" s="122" t="e">
        <v>#N/A</v>
      </c>
      <c r="BJ678" s="122" t="e">
        <v>#N/A</v>
      </c>
      <c r="BK678" s="122" t="e">
        <v>#N/A</v>
      </c>
      <c r="BL678" s="123"/>
      <c r="BM678" s="124" t="e">
        <v>#N/A</v>
      </c>
      <c r="BN678" s="124" t="e">
        <v>#N/A</v>
      </c>
      <c r="BO678" s="124" t="e">
        <v>#N/A</v>
      </c>
      <c r="BP678" s="124" t="e">
        <v>#N/A</v>
      </c>
      <c r="BQ678" s="124" t="e">
        <v>#N/A</v>
      </c>
      <c r="BR678" s="124" t="e">
        <v>#N/A</v>
      </c>
      <c r="BS678" s="124" t="e">
        <v>#N/A</v>
      </c>
      <c r="BT678" s="124" t="e">
        <v>#N/A</v>
      </c>
      <c r="BU678" s="124" t="e">
        <v>#N/A</v>
      </c>
      <c r="BV678" s="124" t="e">
        <v>#N/A</v>
      </c>
      <c r="BW678" s="124" t="e">
        <v>#N/A</v>
      </c>
      <c r="BX678" s="124" t="e">
        <v>#N/A</v>
      </c>
      <c r="BY678" s="124" t="e">
        <v>#N/A</v>
      </c>
      <c r="BZ678" s="124" t="e">
        <v>#N/A</v>
      </c>
      <c r="CA678" s="125"/>
      <c r="CB678" s="124" t="e">
        <v>#N/A</v>
      </c>
      <c r="CC678" s="126">
        <v>1</v>
      </c>
      <c r="CD678" s="127" t="e">
        <v>#N/A</v>
      </c>
      <c r="CE678" s="128"/>
      <c r="CF678" s="77" t="s">
        <v>5355</v>
      </c>
    </row>
    <row r="679" spans="1:84" ht="14.5" x14ac:dyDescent="0.35">
      <c r="A679" s="77">
        <v>678</v>
      </c>
      <c r="B679" s="106" t="s">
        <v>6270</v>
      </c>
      <c r="C679" s="107" t="s">
        <v>1303</v>
      </c>
      <c r="D679" s="108" t="s">
        <v>217</v>
      </c>
      <c r="E679" s="109" t="s">
        <v>218</v>
      </c>
      <c r="F679" s="110">
        <v>955815551</v>
      </c>
      <c r="G679" s="108" t="s">
        <v>1004</v>
      </c>
      <c r="H679" s="111" t="s">
        <v>219</v>
      </c>
      <c r="I679" s="111" t="s">
        <v>180</v>
      </c>
      <c r="J679" s="111" t="s">
        <v>4649</v>
      </c>
      <c r="K679" s="111" t="s">
        <v>199</v>
      </c>
      <c r="L679" s="112">
        <v>38068</v>
      </c>
      <c r="M679" s="111" t="s">
        <v>511</v>
      </c>
      <c r="N679" s="113"/>
      <c r="O679" s="114" t="s">
        <v>6271</v>
      </c>
      <c r="P679" s="114" t="s">
        <v>6271</v>
      </c>
      <c r="Q679" s="114" t="s">
        <v>7701</v>
      </c>
      <c r="R679" s="114" t="s">
        <v>7702</v>
      </c>
      <c r="S679" s="114" t="s">
        <v>7701</v>
      </c>
      <c r="T679" s="114" t="s">
        <v>4356</v>
      </c>
      <c r="U679" s="114" t="s">
        <v>4356</v>
      </c>
      <c r="V679" s="115"/>
      <c r="W679" s="116" t="s">
        <v>3063</v>
      </c>
      <c r="X679" s="116" t="s">
        <v>220</v>
      </c>
      <c r="Y679" s="117">
        <v>3485228</v>
      </c>
      <c r="Z679" s="117">
        <v>3481029</v>
      </c>
      <c r="AA679" s="118"/>
      <c r="AB679" s="119" t="s">
        <v>5279</v>
      </c>
      <c r="AC679" s="119" t="s">
        <v>1304</v>
      </c>
      <c r="AD679" s="119">
        <v>5087</v>
      </c>
      <c r="AE679" s="119" t="s">
        <v>221</v>
      </c>
      <c r="AF679" s="119" t="s">
        <v>7703</v>
      </c>
      <c r="AG679" s="120"/>
      <c r="AH679" s="121">
        <v>44197</v>
      </c>
      <c r="AI679" s="121">
        <v>44687</v>
      </c>
      <c r="AJ679" s="121">
        <v>44687</v>
      </c>
      <c r="AK679" s="122">
        <v>44197</v>
      </c>
      <c r="AL679" s="122" t="e">
        <v>#N/A</v>
      </c>
      <c r="AM679" s="121" t="e">
        <v>#N/A</v>
      </c>
      <c r="AN679" s="121" t="e">
        <v>#N/A</v>
      </c>
      <c r="AO679" s="121" t="e">
        <v>#N/A</v>
      </c>
      <c r="AP679" s="122" t="e">
        <v>#N/A</v>
      </c>
      <c r="AQ679" s="122" t="e">
        <v>#N/A</v>
      </c>
      <c r="AR679" s="122" t="e">
        <v>#N/A</v>
      </c>
      <c r="AS679" s="122" t="e">
        <v>#N/A</v>
      </c>
      <c r="AT679" s="122" t="e">
        <v>#N/A</v>
      </c>
      <c r="AU679" s="121" t="e">
        <v>#N/A</v>
      </c>
      <c r="AV679" s="122">
        <v>44197</v>
      </c>
      <c r="AW679" s="122">
        <v>44197</v>
      </c>
      <c r="AX679" s="122" t="s">
        <v>4899</v>
      </c>
      <c r="AY679" s="122">
        <v>44631</v>
      </c>
      <c r="AZ679" s="122" t="e">
        <v>#N/A</v>
      </c>
      <c r="BA679" s="122" t="e">
        <v>#N/A</v>
      </c>
      <c r="BB679" s="122" t="e">
        <v>#N/A</v>
      </c>
      <c r="BC679" s="122" t="e">
        <v>#N/A</v>
      </c>
      <c r="BD679" s="122">
        <v>44197</v>
      </c>
      <c r="BE679" s="122" t="e">
        <v>#N/A</v>
      </c>
      <c r="BF679" s="122" t="e">
        <v>#N/A</v>
      </c>
      <c r="BG679" s="122" t="e">
        <v>#N/A</v>
      </c>
      <c r="BH679" s="122" t="e">
        <v>#N/A</v>
      </c>
      <c r="BI679" s="122" t="e">
        <v>#N/A</v>
      </c>
      <c r="BJ679" s="122" t="e">
        <v>#N/A</v>
      </c>
      <c r="BK679" s="122">
        <v>46000</v>
      </c>
      <c r="BL679" s="123"/>
      <c r="BM679" s="124" t="e">
        <v>#N/A</v>
      </c>
      <c r="BN679" s="124" t="e">
        <v>#N/A</v>
      </c>
      <c r="BO679" s="124" t="e">
        <v>#N/A</v>
      </c>
      <c r="BP679" s="124" t="e">
        <v>#N/A</v>
      </c>
      <c r="BQ679" s="124" t="e">
        <v>#N/A</v>
      </c>
      <c r="BR679" s="124" t="e">
        <v>#N/A</v>
      </c>
      <c r="BS679" s="124" t="e">
        <v>#N/A</v>
      </c>
      <c r="BT679" s="124" t="e">
        <v>#N/A</v>
      </c>
      <c r="BU679" s="124" t="e">
        <v>#N/A</v>
      </c>
      <c r="BV679" s="124" t="e">
        <v>#N/A</v>
      </c>
      <c r="BW679" s="124" t="e">
        <v>#N/A</v>
      </c>
      <c r="BX679" s="124" t="e">
        <v>#N/A</v>
      </c>
      <c r="BY679" s="124" t="e">
        <v>#N/A</v>
      </c>
      <c r="BZ679" s="124" t="e">
        <v>#N/A</v>
      </c>
      <c r="CA679" s="125"/>
      <c r="CB679" s="124">
        <v>45728</v>
      </c>
      <c r="CC679" s="126">
        <v>1</v>
      </c>
      <c r="CD679" s="127" t="e">
        <v>#N/A</v>
      </c>
      <c r="CE679" s="128"/>
      <c r="CF679" s="77" t="s">
        <v>5355</v>
      </c>
    </row>
    <row r="680" spans="1:84" ht="14.5" x14ac:dyDescent="0.35">
      <c r="A680" s="77">
        <v>679</v>
      </c>
      <c r="B680" s="106" t="s">
        <v>6278</v>
      </c>
      <c r="C680" s="107" t="s">
        <v>1307</v>
      </c>
      <c r="D680" s="108" t="s">
        <v>233</v>
      </c>
      <c r="E680" s="109" t="s">
        <v>234</v>
      </c>
      <c r="F680" s="110">
        <v>645878302</v>
      </c>
      <c r="G680" s="108" t="s">
        <v>1004</v>
      </c>
      <c r="H680" s="111" t="s">
        <v>219</v>
      </c>
      <c r="I680" s="111" t="s">
        <v>180</v>
      </c>
      <c r="J680" s="111" t="s">
        <v>4649</v>
      </c>
      <c r="K680" s="111" t="s">
        <v>199</v>
      </c>
      <c r="L680" s="112">
        <v>38412</v>
      </c>
      <c r="M680" s="111" t="s">
        <v>511</v>
      </c>
      <c r="N680" s="113"/>
      <c r="O680" s="114" t="s">
        <v>7258</v>
      </c>
      <c r="P680" s="114" t="s">
        <v>225</v>
      </c>
      <c r="Q680" s="114" t="s">
        <v>225</v>
      </c>
      <c r="R680" s="114" t="s">
        <v>225</v>
      </c>
      <c r="S680" s="114" t="s">
        <v>183</v>
      </c>
      <c r="T680" s="114" t="s">
        <v>225</v>
      </c>
      <c r="U680" s="114" t="s">
        <v>183</v>
      </c>
      <c r="V680" s="115"/>
      <c r="W680" s="116" t="s">
        <v>235</v>
      </c>
      <c r="X680" s="116" t="s">
        <v>236</v>
      </c>
      <c r="Y680" s="117">
        <v>3485202</v>
      </c>
      <c r="Z680" s="117">
        <v>3481030</v>
      </c>
      <c r="AA680" s="118"/>
      <c r="AB680" s="119" t="s">
        <v>5308</v>
      </c>
      <c r="AC680" s="119" t="s">
        <v>1308</v>
      </c>
      <c r="AD680" s="119">
        <v>5170</v>
      </c>
      <c r="AE680" s="119" t="s">
        <v>237</v>
      </c>
      <c r="AF680" s="119" t="s">
        <v>7704</v>
      </c>
      <c r="AG680" s="120"/>
      <c r="AH680" s="121">
        <v>44197</v>
      </c>
      <c r="AI680" s="121">
        <v>44687</v>
      </c>
      <c r="AJ680" s="121">
        <v>44687</v>
      </c>
      <c r="AK680" s="122">
        <v>44197</v>
      </c>
      <c r="AL680" s="122" t="e">
        <v>#N/A</v>
      </c>
      <c r="AM680" s="122" t="e">
        <v>#N/A</v>
      </c>
      <c r="AN680" s="122" t="e">
        <v>#N/A</v>
      </c>
      <c r="AO680" s="121" t="e">
        <v>#N/A</v>
      </c>
      <c r="AP680" s="122" t="e">
        <v>#N/A</v>
      </c>
      <c r="AQ680" s="122" t="e">
        <v>#N/A</v>
      </c>
      <c r="AR680" s="122" t="e">
        <v>#N/A</v>
      </c>
      <c r="AS680" s="122" t="e">
        <v>#N/A</v>
      </c>
      <c r="AT680" s="122" t="e">
        <v>#N/A</v>
      </c>
      <c r="AU680" s="121" t="e">
        <v>#N/A</v>
      </c>
      <c r="AV680" s="122">
        <v>44197</v>
      </c>
      <c r="AW680" s="122">
        <v>44197</v>
      </c>
      <c r="AX680" s="122" t="s">
        <v>4899</v>
      </c>
      <c r="AY680" s="122" t="e">
        <v>#N/A</v>
      </c>
      <c r="AZ680" s="122" t="e">
        <v>#N/A</v>
      </c>
      <c r="BA680" s="122" t="e">
        <v>#N/A</v>
      </c>
      <c r="BB680" s="122" t="e">
        <v>#N/A</v>
      </c>
      <c r="BC680" s="122" t="e">
        <v>#N/A</v>
      </c>
      <c r="BD680" s="122">
        <v>44197</v>
      </c>
      <c r="BE680" s="122" t="e">
        <v>#N/A</v>
      </c>
      <c r="BF680" s="122" t="e">
        <v>#N/A</v>
      </c>
      <c r="BG680" s="122" t="e">
        <v>#N/A</v>
      </c>
      <c r="BH680" s="122" t="e">
        <v>#N/A</v>
      </c>
      <c r="BI680" s="122" t="e">
        <v>#N/A</v>
      </c>
      <c r="BJ680" s="122" t="e">
        <v>#N/A</v>
      </c>
      <c r="BK680" s="122">
        <v>45972</v>
      </c>
      <c r="BL680" s="123"/>
      <c r="BM680" s="124" t="e">
        <v>#N/A</v>
      </c>
      <c r="BN680" s="124" t="e">
        <v>#N/A</v>
      </c>
      <c r="BO680" s="124" t="e">
        <v>#N/A</v>
      </c>
      <c r="BP680" s="124" t="e">
        <v>#N/A</v>
      </c>
      <c r="BQ680" s="124" t="e">
        <v>#N/A</v>
      </c>
      <c r="BR680" s="124" t="e">
        <v>#N/A</v>
      </c>
      <c r="BS680" s="124" t="e">
        <v>#N/A</v>
      </c>
      <c r="BT680" s="124" t="e">
        <v>#N/A</v>
      </c>
      <c r="BU680" s="124" t="e">
        <v>#N/A</v>
      </c>
      <c r="BV680" s="124" t="e">
        <v>#N/A</v>
      </c>
      <c r="BW680" s="124" t="e">
        <v>#N/A</v>
      </c>
      <c r="BX680" s="124" t="e">
        <v>#N/A</v>
      </c>
      <c r="BY680" s="124" t="e">
        <v>#N/A</v>
      </c>
      <c r="BZ680" s="124" t="e">
        <v>#N/A</v>
      </c>
      <c r="CA680" s="125"/>
      <c r="CB680" s="124" t="e">
        <v>#N/A</v>
      </c>
      <c r="CC680" s="126">
        <v>1</v>
      </c>
      <c r="CD680" s="127" t="e">
        <v>#N/A</v>
      </c>
      <c r="CE680" s="128"/>
      <c r="CF680" s="77" t="s">
        <v>5994</v>
      </c>
    </row>
    <row r="681" spans="1:84" ht="14.5" x14ac:dyDescent="0.35">
      <c r="A681" s="77">
        <v>680</v>
      </c>
      <c r="B681" s="106" t="s">
        <v>6272</v>
      </c>
      <c r="C681" s="107" t="s">
        <v>1305</v>
      </c>
      <c r="D681" s="108" t="s">
        <v>979</v>
      </c>
      <c r="E681" s="109" t="s">
        <v>980</v>
      </c>
      <c r="F681" s="110">
        <v>616167663</v>
      </c>
      <c r="G681" s="108" t="s">
        <v>1004</v>
      </c>
      <c r="H681" s="111" t="s">
        <v>219</v>
      </c>
      <c r="I681" s="111" t="s">
        <v>180</v>
      </c>
      <c r="J681" s="111" t="s">
        <v>4649</v>
      </c>
      <c r="K681" s="111" t="s">
        <v>199</v>
      </c>
      <c r="L681" s="112">
        <v>40189</v>
      </c>
      <c r="M681" s="111" t="s">
        <v>511</v>
      </c>
      <c r="N681" s="113"/>
      <c r="O681" s="114" t="s">
        <v>459</v>
      </c>
      <c r="P681" s="114" t="s">
        <v>459</v>
      </c>
      <c r="Q681" s="114" t="s">
        <v>459</v>
      </c>
      <c r="R681" s="114" t="s">
        <v>459</v>
      </c>
      <c r="S681" s="114" t="s">
        <v>459</v>
      </c>
      <c r="T681" s="114" t="s">
        <v>183</v>
      </c>
      <c r="U681" s="114" t="s">
        <v>183</v>
      </c>
      <c r="V681" s="115"/>
      <c r="W681" s="116" t="s">
        <v>981</v>
      </c>
      <c r="X681" s="116" t="s">
        <v>982</v>
      </c>
      <c r="Y681" s="117">
        <v>3485274</v>
      </c>
      <c r="Z681" s="117">
        <v>3481387</v>
      </c>
      <c r="AA681" s="118"/>
      <c r="AB681" s="119" t="s">
        <v>5690</v>
      </c>
      <c r="AC681" s="119" t="s">
        <v>1306</v>
      </c>
      <c r="AD681" s="119">
        <v>27537</v>
      </c>
      <c r="AE681" s="119" t="s">
        <v>1061</v>
      </c>
      <c r="AF681" s="119" t="s">
        <v>6887</v>
      </c>
      <c r="AG681" s="120"/>
      <c r="AH681" s="121">
        <v>44197</v>
      </c>
      <c r="AI681" s="121">
        <v>44544</v>
      </c>
      <c r="AJ681" s="121">
        <v>44544</v>
      </c>
      <c r="AK681" s="122">
        <v>44544</v>
      </c>
      <c r="AL681" s="122" t="e">
        <v>#N/A</v>
      </c>
      <c r="AM681" s="122" t="e">
        <v>#N/A</v>
      </c>
      <c r="AN681" s="122" t="e">
        <v>#N/A</v>
      </c>
      <c r="AO681" s="121" t="e">
        <v>#N/A</v>
      </c>
      <c r="AP681" s="122" t="e">
        <v>#N/A</v>
      </c>
      <c r="AQ681" s="122" t="e">
        <v>#N/A</v>
      </c>
      <c r="AR681" s="122" t="e">
        <v>#N/A</v>
      </c>
      <c r="AS681" s="122" t="e">
        <v>#N/A</v>
      </c>
      <c r="AT681" s="122">
        <v>44652</v>
      </c>
      <c r="AU681" s="121" t="e">
        <v>#N/A</v>
      </c>
      <c r="AV681" s="122">
        <v>45616</v>
      </c>
      <c r="AW681" s="122">
        <v>45033</v>
      </c>
      <c r="AX681" s="122" t="e">
        <v>#N/A</v>
      </c>
      <c r="AY681" s="122" t="e">
        <v>#N/A</v>
      </c>
      <c r="AZ681" s="122" t="e">
        <v>#N/A</v>
      </c>
      <c r="BA681" s="122" t="e">
        <v>#N/A</v>
      </c>
      <c r="BB681" s="122" t="e">
        <v>#N/A</v>
      </c>
      <c r="BC681" s="122" t="e">
        <v>#N/A</v>
      </c>
      <c r="BD681" s="122" t="e">
        <v>#N/A</v>
      </c>
      <c r="BE681" s="122" t="e">
        <v>#N/A</v>
      </c>
      <c r="BF681" s="122" t="e">
        <v>#N/A</v>
      </c>
      <c r="BG681" s="122" t="e">
        <v>#N/A</v>
      </c>
      <c r="BH681" s="122" t="e">
        <v>#N/A</v>
      </c>
      <c r="BI681" s="122" t="e">
        <v>#N/A</v>
      </c>
      <c r="BJ681" s="122" t="e">
        <v>#N/A</v>
      </c>
      <c r="BK681" s="122">
        <v>45971</v>
      </c>
      <c r="BL681" s="123"/>
      <c r="BM681" s="124" t="e">
        <v>#N/A</v>
      </c>
      <c r="BN681" s="124" t="e">
        <v>#N/A</v>
      </c>
      <c r="BO681" s="124" t="e">
        <v>#N/A</v>
      </c>
      <c r="BP681" s="124" t="e">
        <v>#N/A</v>
      </c>
      <c r="BQ681" s="124" t="e">
        <v>#N/A</v>
      </c>
      <c r="BR681" s="124" t="e">
        <v>#N/A</v>
      </c>
      <c r="BS681" s="124" t="e">
        <v>#N/A</v>
      </c>
      <c r="BT681" s="124" t="e">
        <v>#N/A</v>
      </c>
      <c r="BU681" s="124" t="e">
        <v>#N/A</v>
      </c>
      <c r="BV681" s="124" t="e">
        <v>#N/A</v>
      </c>
      <c r="BW681" s="124" t="e">
        <v>#N/A</v>
      </c>
      <c r="BX681" s="124" t="e">
        <v>#N/A</v>
      </c>
      <c r="BY681" s="124" t="e">
        <v>#N/A</v>
      </c>
      <c r="BZ681" s="124" t="e">
        <v>#N/A</v>
      </c>
      <c r="CA681" s="125"/>
      <c r="CB681" s="124">
        <v>45728</v>
      </c>
      <c r="CC681" s="126">
        <v>1</v>
      </c>
      <c r="CD681" s="127" t="e">
        <v>#N/A</v>
      </c>
      <c r="CE681" s="128"/>
      <c r="CF681" s="77" t="s">
        <v>5994</v>
      </c>
    </row>
    <row r="682" spans="1:84" ht="14.5" x14ac:dyDescent="0.35">
      <c r="A682" s="77">
        <v>681</v>
      </c>
      <c r="B682" s="106" t="s">
        <v>175</v>
      </c>
      <c r="C682" s="107" t="s">
        <v>1239</v>
      </c>
      <c r="D682" s="108" t="s">
        <v>966</v>
      </c>
      <c r="E682" s="109" t="s">
        <v>1062</v>
      </c>
      <c r="F682" s="110">
        <v>616516304</v>
      </c>
      <c r="G682" s="108" t="s">
        <v>1004</v>
      </c>
      <c r="H682" s="111" t="s">
        <v>219</v>
      </c>
      <c r="I682" s="111" t="s">
        <v>180</v>
      </c>
      <c r="J682" s="111" t="s">
        <v>4649</v>
      </c>
      <c r="K682" s="111" t="s">
        <v>199</v>
      </c>
      <c r="L682" s="112">
        <v>41869</v>
      </c>
      <c r="M682" s="111" t="s">
        <v>747</v>
      </c>
      <c r="N682" s="113"/>
      <c r="O682" s="114" t="s">
        <v>310</v>
      </c>
      <c r="P682" s="114" t="s">
        <v>7705</v>
      </c>
      <c r="Q682" s="114" t="s">
        <v>285</v>
      </c>
      <c r="R682" s="114" t="s">
        <v>310</v>
      </c>
      <c r="S682" s="114" t="s">
        <v>7706</v>
      </c>
      <c r="T682" s="114" t="s">
        <v>183</v>
      </c>
      <c r="U682" s="114" t="s">
        <v>183</v>
      </c>
      <c r="V682" s="115"/>
      <c r="W682" s="116" t="s">
        <v>967</v>
      </c>
      <c r="X682" s="116" t="s">
        <v>968</v>
      </c>
      <c r="Y682" s="117">
        <v>3485335</v>
      </c>
      <c r="Z682" s="117">
        <v>3481100</v>
      </c>
      <c r="AA682" s="118"/>
      <c r="AB682" s="119" t="s">
        <v>5903</v>
      </c>
      <c r="AC682" s="119" t="s">
        <v>1240</v>
      </c>
      <c r="AD682" s="119">
        <v>4166</v>
      </c>
      <c r="AE682" s="119" t="s">
        <v>969</v>
      </c>
      <c r="AF682" s="119" t="s">
        <v>6199</v>
      </c>
      <c r="AG682" s="120"/>
      <c r="AH682" s="121">
        <v>44197</v>
      </c>
      <c r="AI682" s="121">
        <v>44550</v>
      </c>
      <c r="AJ682" s="121">
        <v>44550</v>
      </c>
      <c r="AK682" s="122">
        <v>44550</v>
      </c>
      <c r="AL682" s="122" t="e">
        <v>#N/A</v>
      </c>
      <c r="AM682" s="121" t="e">
        <v>#N/A</v>
      </c>
      <c r="AN682" s="121" t="e">
        <v>#N/A</v>
      </c>
      <c r="AO682" s="121" t="e">
        <v>#N/A</v>
      </c>
      <c r="AP682" s="122" t="e">
        <v>#N/A</v>
      </c>
      <c r="AQ682" s="122" t="e">
        <v>#N/A</v>
      </c>
      <c r="AR682" s="122" t="e">
        <v>#N/A</v>
      </c>
      <c r="AS682" s="122" t="e">
        <v>#N/A</v>
      </c>
      <c r="AT682" s="122" t="e">
        <v>#N/A</v>
      </c>
      <c r="AU682" s="121" t="e">
        <v>#N/A</v>
      </c>
      <c r="AV682" s="122">
        <v>44607</v>
      </c>
      <c r="AW682" s="122">
        <v>44607</v>
      </c>
      <c r="AX682" s="122" t="e">
        <v>#N/A</v>
      </c>
      <c r="AY682" s="122" t="e">
        <v>#N/A</v>
      </c>
      <c r="AZ682" s="122" t="e">
        <v>#N/A</v>
      </c>
      <c r="BA682" s="122" t="e">
        <v>#N/A</v>
      </c>
      <c r="BB682" s="122" t="e">
        <v>#N/A</v>
      </c>
      <c r="BC682" s="122" t="e">
        <v>#N/A</v>
      </c>
      <c r="BD682" s="122">
        <v>44862</v>
      </c>
      <c r="BE682" s="122" t="e">
        <v>#N/A</v>
      </c>
      <c r="BF682" s="122" t="e">
        <v>#N/A</v>
      </c>
      <c r="BG682" s="122" t="e">
        <v>#N/A</v>
      </c>
      <c r="BH682" s="122" t="e">
        <v>#N/A</v>
      </c>
      <c r="BI682" s="122" t="e">
        <v>#N/A</v>
      </c>
      <c r="BJ682" s="122" t="e">
        <v>#N/A</v>
      </c>
      <c r="BK682" s="122">
        <v>45957</v>
      </c>
      <c r="BL682" s="123"/>
      <c r="BM682" s="124" t="e">
        <v>#N/A</v>
      </c>
      <c r="BN682" s="124" t="e">
        <v>#N/A</v>
      </c>
      <c r="BO682" s="124" t="e">
        <v>#N/A</v>
      </c>
      <c r="BP682" s="124" t="e">
        <v>#N/A</v>
      </c>
      <c r="BQ682" s="124" t="e">
        <v>#N/A</v>
      </c>
      <c r="BR682" s="124" t="e">
        <v>#N/A</v>
      </c>
      <c r="BS682" s="124" t="e">
        <v>#N/A</v>
      </c>
      <c r="BT682" s="124" t="e">
        <v>#N/A</v>
      </c>
      <c r="BU682" s="124" t="e">
        <v>#N/A</v>
      </c>
      <c r="BV682" s="124" t="e">
        <v>#N/A</v>
      </c>
      <c r="BW682" s="124" t="e">
        <v>#N/A</v>
      </c>
      <c r="BX682" s="124" t="e">
        <v>#N/A</v>
      </c>
      <c r="BY682" s="124" t="e">
        <v>#N/A</v>
      </c>
      <c r="BZ682" s="124" t="e">
        <v>#N/A</v>
      </c>
      <c r="CA682" s="125"/>
      <c r="CB682" s="124">
        <v>45729</v>
      </c>
      <c r="CC682" s="126">
        <v>1</v>
      </c>
      <c r="CD682" s="127" t="s">
        <v>4169</v>
      </c>
      <c r="CE682" s="128"/>
      <c r="CF682" s="77" t="e">
        <v>#N/A</v>
      </c>
    </row>
    <row r="683" spans="1:84" ht="14.5" x14ac:dyDescent="0.35">
      <c r="A683" s="77">
        <v>682</v>
      </c>
      <c r="B683" s="106" t="s">
        <v>6343</v>
      </c>
      <c r="C683" s="107" t="s">
        <v>1154</v>
      </c>
      <c r="D683" s="108" t="s">
        <v>365</v>
      </c>
      <c r="E683" s="109" t="s">
        <v>366</v>
      </c>
      <c r="F683" s="110">
        <v>658124998</v>
      </c>
      <c r="G683" s="108" t="s">
        <v>1004</v>
      </c>
      <c r="H683" s="111" t="s">
        <v>219</v>
      </c>
      <c r="I683" s="111" t="s">
        <v>180</v>
      </c>
      <c r="J683" s="111" t="s">
        <v>4649</v>
      </c>
      <c r="K683" s="111" t="s">
        <v>199</v>
      </c>
      <c r="L683" s="112">
        <v>39630</v>
      </c>
      <c r="M683" s="111" t="s">
        <v>511</v>
      </c>
      <c r="N683" s="113"/>
      <c r="O683" s="114" t="s">
        <v>182</v>
      </c>
      <c r="P683" s="114" t="s">
        <v>184</v>
      </c>
      <c r="Q683" s="114" t="s">
        <v>182</v>
      </c>
      <c r="R683" s="114" t="s">
        <v>182</v>
      </c>
      <c r="S683" s="114" t="s">
        <v>182</v>
      </c>
      <c r="T683" s="114" t="s">
        <v>183</v>
      </c>
      <c r="U683" s="114" t="s">
        <v>183</v>
      </c>
      <c r="V683" s="115"/>
      <c r="W683" s="116" t="s">
        <v>368</v>
      </c>
      <c r="X683" s="116" t="s">
        <v>369</v>
      </c>
      <c r="Y683" s="117">
        <v>3485148</v>
      </c>
      <c r="Z683" s="117">
        <v>3481031</v>
      </c>
      <c r="AA683" s="118"/>
      <c r="AB683" s="119" t="s">
        <v>5217</v>
      </c>
      <c r="AC683" s="119" t="s">
        <v>1155</v>
      </c>
      <c r="AD683" s="119">
        <v>5251</v>
      </c>
      <c r="AE683" s="119" t="s">
        <v>370</v>
      </c>
      <c r="AF683" s="119" t="s">
        <v>7063</v>
      </c>
      <c r="AG683" s="120"/>
      <c r="AH683" s="121">
        <v>44197</v>
      </c>
      <c r="AI683" s="121">
        <v>44687</v>
      </c>
      <c r="AJ683" s="121">
        <v>44687</v>
      </c>
      <c r="AK683" s="122">
        <v>44197</v>
      </c>
      <c r="AL683" s="122" t="e">
        <v>#N/A</v>
      </c>
      <c r="AM683" s="121" t="e">
        <v>#N/A</v>
      </c>
      <c r="AN683" s="121" t="e">
        <v>#N/A</v>
      </c>
      <c r="AO683" s="121" t="e">
        <v>#N/A</v>
      </c>
      <c r="AP683" s="122" t="e">
        <v>#N/A</v>
      </c>
      <c r="AQ683" s="122" t="e">
        <v>#N/A</v>
      </c>
      <c r="AR683" s="122" t="e">
        <v>#N/A</v>
      </c>
      <c r="AS683" s="122" t="e">
        <v>#N/A</v>
      </c>
      <c r="AT683" s="122" t="e">
        <v>#N/A</v>
      </c>
      <c r="AU683" s="121" t="e">
        <v>#N/A</v>
      </c>
      <c r="AV683" s="122">
        <v>44197</v>
      </c>
      <c r="AW683" s="122">
        <v>44197</v>
      </c>
      <c r="AX683" s="122" t="s">
        <v>4899</v>
      </c>
      <c r="AY683" s="122" t="e">
        <v>#N/A</v>
      </c>
      <c r="AZ683" s="122" t="e">
        <v>#N/A</v>
      </c>
      <c r="BA683" s="122" t="e">
        <v>#N/A</v>
      </c>
      <c r="BB683" s="122" t="e">
        <v>#N/A</v>
      </c>
      <c r="BC683" s="122" t="e">
        <v>#N/A</v>
      </c>
      <c r="BD683" s="122">
        <v>44197</v>
      </c>
      <c r="BE683" s="122" t="e">
        <v>#N/A</v>
      </c>
      <c r="BF683" s="122" t="e">
        <v>#N/A</v>
      </c>
      <c r="BG683" s="122" t="e">
        <v>#N/A</v>
      </c>
      <c r="BH683" s="122" t="e">
        <v>#N/A</v>
      </c>
      <c r="BI683" s="122" t="e">
        <v>#N/A</v>
      </c>
      <c r="BJ683" s="122" t="e">
        <v>#N/A</v>
      </c>
      <c r="BK683" s="122">
        <v>45960</v>
      </c>
      <c r="BL683" s="123"/>
      <c r="BM683" s="124" t="e">
        <v>#N/A</v>
      </c>
      <c r="BN683" s="124" t="e">
        <v>#N/A</v>
      </c>
      <c r="BO683" s="124" t="e">
        <v>#N/A</v>
      </c>
      <c r="BP683" s="124" t="e">
        <v>#N/A</v>
      </c>
      <c r="BQ683" s="124" t="e">
        <v>#N/A</v>
      </c>
      <c r="BR683" s="124" t="e">
        <v>#N/A</v>
      </c>
      <c r="BS683" s="124" t="e">
        <v>#N/A</v>
      </c>
      <c r="BT683" s="124" t="e">
        <v>#N/A</v>
      </c>
      <c r="BU683" s="124" t="e">
        <v>#N/A</v>
      </c>
      <c r="BV683" s="124" t="e">
        <v>#N/A</v>
      </c>
      <c r="BW683" s="124" t="e">
        <v>#N/A</v>
      </c>
      <c r="BX683" s="124" t="e">
        <v>#N/A</v>
      </c>
      <c r="BY683" s="124" t="e">
        <v>#N/A</v>
      </c>
      <c r="BZ683" s="124" t="e">
        <v>#N/A</v>
      </c>
      <c r="CA683" s="125"/>
      <c r="CB683" s="124" t="e">
        <v>#N/A</v>
      </c>
      <c r="CC683" s="126">
        <v>1</v>
      </c>
      <c r="CD683" s="127" t="e">
        <v>#N/A</v>
      </c>
      <c r="CE683" s="128"/>
      <c r="CF683" s="77" t="s">
        <v>5994</v>
      </c>
    </row>
    <row r="684" spans="1:84" ht="14.5" x14ac:dyDescent="0.35">
      <c r="A684" s="77">
        <v>683</v>
      </c>
      <c r="B684" s="141" t="s">
        <v>6347</v>
      </c>
      <c r="C684" s="108" t="s">
        <v>1253</v>
      </c>
      <c r="D684" s="108" t="s">
        <v>377</v>
      </c>
      <c r="E684" s="109" t="s">
        <v>378</v>
      </c>
      <c r="F684" s="110">
        <v>618332294</v>
      </c>
      <c r="G684" s="108" t="s">
        <v>1004</v>
      </c>
      <c r="H684" s="111" t="s">
        <v>219</v>
      </c>
      <c r="I684" s="111" t="s">
        <v>180</v>
      </c>
      <c r="J684" s="111" t="s">
        <v>4649</v>
      </c>
      <c r="K684" s="111" t="s">
        <v>199</v>
      </c>
      <c r="L684" s="112">
        <v>39027</v>
      </c>
      <c r="M684" s="111" t="s">
        <v>511</v>
      </c>
      <c r="N684" s="113"/>
      <c r="O684" s="114" t="s">
        <v>226</v>
      </c>
      <c r="P684" s="114" t="s">
        <v>226</v>
      </c>
      <c r="Q684" s="114" t="s">
        <v>225</v>
      </c>
      <c r="R684" s="114" t="s">
        <v>226</v>
      </c>
      <c r="S684" s="114" t="s">
        <v>183</v>
      </c>
      <c r="T684" s="114" t="s">
        <v>226</v>
      </c>
      <c r="U684" s="114" t="s">
        <v>183</v>
      </c>
      <c r="V684" s="115"/>
      <c r="W684" s="116" t="s">
        <v>379</v>
      </c>
      <c r="X684" s="116" t="s">
        <v>380</v>
      </c>
      <c r="Y684" s="117">
        <v>3485189</v>
      </c>
      <c r="Z684" s="117">
        <v>3481008</v>
      </c>
      <c r="AA684" s="118"/>
      <c r="AB684" s="119" t="s">
        <v>4927</v>
      </c>
      <c r="AC684" s="119" t="s">
        <v>1254</v>
      </c>
      <c r="AD684" s="119">
        <v>5220</v>
      </c>
      <c r="AE684" s="119" t="s">
        <v>381</v>
      </c>
      <c r="AF684" s="119" t="s">
        <v>6200</v>
      </c>
      <c r="AG684" s="120"/>
      <c r="AH684" s="121">
        <v>44197</v>
      </c>
      <c r="AI684" s="121">
        <v>44687</v>
      </c>
      <c r="AJ684" s="121">
        <v>44687</v>
      </c>
      <c r="AK684" s="122">
        <v>44197</v>
      </c>
      <c r="AL684" s="122" t="e">
        <v>#N/A</v>
      </c>
      <c r="AM684" s="122" t="e">
        <v>#N/A</v>
      </c>
      <c r="AN684" s="122" t="e">
        <v>#N/A</v>
      </c>
      <c r="AO684" s="121" t="e">
        <v>#N/A</v>
      </c>
      <c r="AP684" s="122" t="e">
        <v>#N/A</v>
      </c>
      <c r="AQ684" s="122" t="e">
        <v>#N/A</v>
      </c>
      <c r="AR684" s="122" t="e">
        <v>#N/A</v>
      </c>
      <c r="AS684" s="122" t="e">
        <v>#N/A</v>
      </c>
      <c r="AT684" s="122" t="e">
        <v>#N/A</v>
      </c>
      <c r="AU684" s="121" t="e">
        <v>#N/A</v>
      </c>
      <c r="AV684" s="122">
        <v>44197</v>
      </c>
      <c r="AW684" s="122">
        <v>44197</v>
      </c>
      <c r="AX684" s="122" t="s">
        <v>4899</v>
      </c>
      <c r="AY684" s="122" t="e">
        <v>#N/A</v>
      </c>
      <c r="AZ684" s="122" t="e">
        <v>#N/A</v>
      </c>
      <c r="BA684" s="122" t="e">
        <v>#N/A</v>
      </c>
      <c r="BB684" s="122" t="e">
        <v>#N/A</v>
      </c>
      <c r="BC684" s="122" t="e">
        <v>#N/A</v>
      </c>
      <c r="BD684" s="122">
        <v>44197</v>
      </c>
      <c r="BE684" s="122" t="e">
        <v>#N/A</v>
      </c>
      <c r="BF684" s="122" t="e">
        <v>#N/A</v>
      </c>
      <c r="BG684" s="122" t="e">
        <v>#N/A</v>
      </c>
      <c r="BH684" s="122" t="e">
        <v>#N/A</v>
      </c>
      <c r="BI684" s="122" t="e">
        <v>#N/A</v>
      </c>
      <c r="BJ684" s="122" t="e">
        <v>#N/A</v>
      </c>
      <c r="BK684" s="122">
        <v>45959</v>
      </c>
      <c r="BL684" s="123"/>
      <c r="BM684" s="124" t="e">
        <v>#N/A</v>
      </c>
      <c r="BN684" s="124" t="e">
        <v>#N/A</v>
      </c>
      <c r="BO684" s="124" t="e">
        <v>#N/A</v>
      </c>
      <c r="BP684" s="124" t="e">
        <v>#N/A</v>
      </c>
      <c r="BQ684" s="124" t="e">
        <v>#N/A</v>
      </c>
      <c r="BR684" s="124" t="e">
        <v>#N/A</v>
      </c>
      <c r="BS684" s="124" t="e">
        <v>#N/A</v>
      </c>
      <c r="BT684" s="124" t="e">
        <v>#N/A</v>
      </c>
      <c r="BU684" s="124" t="e">
        <v>#N/A</v>
      </c>
      <c r="BV684" s="124" t="e">
        <v>#N/A</v>
      </c>
      <c r="BW684" s="124" t="e">
        <v>#N/A</v>
      </c>
      <c r="BX684" s="124" t="e">
        <v>#N/A</v>
      </c>
      <c r="BY684" s="124" t="e">
        <v>#N/A</v>
      </c>
      <c r="BZ684" s="124" t="e">
        <v>#N/A</v>
      </c>
      <c r="CA684" s="125"/>
      <c r="CB684" s="124" t="e">
        <v>#N/A</v>
      </c>
      <c r="CC684" s="126">
        <v>1</v>
      </c>
      <c r="CD684" s="127" t="e">
        <v>#N/A</v>
      </c>
      <c r="CE684" s="128"/>
      <c r="CF684" s="77" t="s">
        <v>5994</v>
      </c>
    </row>
    <row r="685" spans="1:84" s="142" customFormat="1" ht="14.5" x14ac:dyDescent="0.35">
      <c r="B685" s="145"/>
      <c r="C685" s="146"/>
      <c r="D685" s="146"/>
      <c r="E685" s="147"/>
      <c r="F685" s="148"/>
      <c r="G685" s="146"/>
      <c r="H685" s="149"/>
      <c r="I685" s="149"/>
      <c r="J685" s="149"/>
      <c r="K685" s="149"/>
      <c r="L685" s="150"/>
      <c r="M685" s="149"/>
      <c r="N685" s="151"/>
      <c r="O685" s="146"/>
      <c r="P685" s="146"/>
      <c r="Q685" s="146"/>
      <c r="R685" s="146"/>
      <c r="S685" s="146"/>
      <c r="T685" s="146"/>
      <c r="U685" s="146"/>
      <c r="V685" s="151"/>
      <c r="W685" s="149"/>
      <c r="X685" s="149"/>
      <c r="Y685" s="146"/>
      <c r="Z685" s="146"/>
      <c r="AA685" s="151"/>
      <c r="AB685" s="146"/>
      <c r="AC685" s="146"/>
      <c r="AD685" s="146"/>
      <c r="AE685" s="146"/>
      <c r="AF685" s="146"/>
      <c r="AG685" s="151"/>
      <c r="AH685" s="152"/>
      <c r="AI685" s="152"/>
      <c r="AJ685" s="152"/>
      <c r="AK685" s="153"/>
      <c r="AL685" s="153"/>
      <c r="AM685" s="152"/>
      <c r="AN685" s="152"/>
      <c r="AO685" s="152"/>
      <c r="AP685" s="153"/>
      <c r="AQ685" s="153"/>
      <c r="AR685" s="153"/>
      <c r="AS685" s="153"/>
      <c r="AT685" s="153"/>
      <c r="AU685" s="152"/>
      <c r="AV685" s="153"/>
      <c r="AW685" s="153"/>
      <c r="AX685" s="153"/>
      <c r="AY685" s="153"/>
      <c r="AZ685" s="153"/>
      <c r="BA685" s="153"/>
      <c r="BB685" s="153"/>
      <c r="BC685" s="153"/>
      <c r="BD685" s="153"/>
      <c r="BE685" s="153"/>
      <c r="BF685" s="153"/>
      <c r="BG685" s="153"/>
      <c r="BH685" s="153"/>
      <c r="BI685" s="153"/>
      <c r="BJ685" s="153"/>
      <c r="BK685" s="153"/>
      <c r="BL685" s="154"/>
      <c r="BM685" s="150"/>
      <c r="BN685" s="150"/>
      <c r="BO685" s="150"/>
      <c r="BP685" s="150"/>
      <c r="BQ685" s="150"/>
      <c r="BR685" s="150"/>
      <c r="BS685" s="150"/>
      <c r="BT685" s="150"/>
      <c r="BU685" s="150"/>
      <c r="BV685" s="150"/>
      <c r="BW685" s="150"/>
      <c r="BX685" s="150"/>
      <c r="BY685" s="150"/>
      <c r="BZ685" s="150"/>
      <c r="CA685" s="151"/>
      <c r="CB685" s="150"/>
      <c r="CC685" s="149"/>
      <c r="CD685" s="143"/>
      <c r="CE685" s="144"/>
    </row>
    <row r="686" spans="1:84" s="142" customFormat="1" ht="14.5" x14ac:dyDescent="0.35">
      <c r="B686" s="145"/>
      <c r="C686" s="146"/>
      <c r="D686" s="146"/>
      <c r="E686" s="147"/>
      <c r="F686" s="148"/>
      <c r="G686" s="146"/>
      <c r="H686" s="149"/>
      <c r="I686" s="149"/>
      <c r="J686" s="149"/>
      <c r="K686" s="149"/>
      <c r="L686" s="150"/>
      <c r="M686" s="149"/>
      <c r="N686" s="151"/>
      <c r="O686" s="146"/>
      <c r="P686" s="146"/>
      <c r="Q686" s="146"/>
      <c r="R686" s="146"/>
      <c r="S686" s="146"/>
      <c r="T686" s="146"/>
      <c r="U686" s="146"/>
      <c r="V686" s="151"/>
      <c r="W686" s="149"/>
      <c r="X686" s="149"/>
      <c r="Y686" s="146"/>
      <c r="Z686" s="146"/>
      <c r="AA686" s="151"/>
      <c r="AB686" s="146"/>
      <c r="AC686" s="146"/>
      <c r="AD686" s="146"/>
      <c r="AE686" s="146"/>
      <c r="AF686" s="146"/>
      <c r="AG686" s="151"/>
      <c r="AH686" s="152"/>
      <c r="AI686" s="152"/>
      <c r="AJ686" s="152"/>
      <c r="AK686" s="153"/>
      <c r="AL686" s="153"/>
      <c r="AM686" s="152"/>
      <c r="AN686" s="152"/>
      <c r="AO686" s="152"/>
      <c r="AP686" s="153"/>
      <c r="AQ686" s="153"/>
      <c r="AR686" s="153"/>
      <c r="AS686" s="153"/>
      <c r="AT686" s="153"/>
      <c r="AU686" s="152"/>
      <c r="AV686" s="153"/>
      <c r="AW686" s="153"/>
      <c r="AX686" s="153"/>
      <c r="AY686" s="153"/>
      <c r="AZ686" s="153"/>
      <c r="BA686" s="153"/>
      <c r="BB686" s="153"/>
      <c r="BC686" s="153"/>
      <c r="BD686" s="153"/>
      <c r="BE686" s="153"/>
      <c r="BF686" s="153"/>
      <c r="BG686" s="153"/>
      <c r="BH686" s="153"/>
      <c r="BI686" s="153"/>
      <c r="BJ686" s="153"/>
      <c r="BK686" s="153"/>
      <c r="BL686" s="154"/>
      <c r="BM686" s="150"/>
      <c r="BN686" s="150"/>
      <c r="BO686" s="150"/>
      <c r="BP686" s="150"/>
      <c r="BQ686" s="150"/>
      <c r="BR686" s="150"/>
      <c r="BS686" s="150"/>
      <c r="BT686" s="150"/>
      <c r="BU686" s="150"/>
      <c r="BV686" s="150"/>
      <c r="BW686" s="150"/>
      <c r="BX686" s="150"/>
      <c r="BY686" s="150"/>
      <c r="BZ686" s="150"/>
      <c r="CA686" s="151"/>
      <c r="CB686" s="150"/>
      <c r="CC686" s="149"/>
      <c r="CD686" s="143"/>
      <c r="CE686" s="144"/>
    </row>
    <row r="687" spans="1:84" s="142" customFormat="1" ht="14.5" x14ac:dyDescent="0.35">
      <c r="B687" s="145"/>
      <c r="C687" s="146"/>
      <c r="D687" s="146"/>
      <c r="E687" s="147"/>
      <c r="F687" s="148"/>
      <c r="G687" s="146"/>
      <c r="H687" s="149"/>
      <c r="I687" s="149"/>
      <c r="J687" s="149"/>
      <c r="K687" s="149"/>
      <c r="L687" s="150"/>
      <c r="M687" s="149"/>
      <c r="N687" s="151"/>
      <c r="O687" s="146"/>
      <c r="P687" s="146"/>
      <c r="Q687" s="146"/>
      <c r="R687" s="146"/>
      <c r="S687" s="146"/>
      <c r="T687" s="146"/>
      <c r="U687" s="146"/>
      <c r="V687" s="151"/>
      <c r="W687" s="149"/>
      <c r="X687" s="149"/>
      <c r="Y687" s="146"/>
      <c r="Z687" s="146"/>
      <c r="AA687" s="151"/>
      <c r="AB687" s="146"/>
      <c r="AC687" s="146"/>
      <c r="AD687" s="146"/>
      <c r="AE687" s="146"/>
      <c r="AF687" s="146"/>
      <c r="AG687" s="151"/>
      <c r="AH687" s="152"/>
      <c r="AI687" s="152"/>
      <c r="AJ687" s="152"/>
      <c r="AK687" s="153"/>
      <c r="AL687" s="153"/>
      <c r="AM687" s="152"/>
      <c r="AN687" s="152"/>
      <c r="AO687" s="152"/>
      <c r="AP687" s="153"/>
      <c r="AQ687" s="153"/>
      <c r="AR687" s="153"/>
      <c r="AS687" s="153"/>
      <c r="AT687" s="153"/>
      <c r="AU687" s="152"/>
      <c r="AV687" s="153"/>
      <c r="AW687" s="153"/>
      <c r="AX687" s="153"/>
      <c r="AY687" s="153"/>
      <c r="AZ687" s="153"/>
      <c r="BA687" s="153"/>
      <c r="BB687" s="153"/>
      <c r="BC687" s="153"/>
      <c r="BD687" s="153"/>
      <c r="BE687" s="153"/>
      <c r="BF687" s="153"/>
      <c r="BG687" s="153"/>
      <c r="BH687" s="153"/>
      <c r="BI687" s="153"/>
      <c r="BJ687" s="153"/>
      <c r="BK687" s="153"/>
      <c r="BL687" s="154"/>
      <c r="BM687" s="150"/>
      <c r="BN687" s="150"/>
      <c r="BO687" s="150"/>
      <c r="BP687" s="150"/>
      <c r="BQ687" s="150"/>
      <c r="BR687" s="150"/>
      <c r="BS687" s="150"/>
      <c r="BT687" s="150"/>
      <c r="BU687" s="150"/>
      <c r="BV687" s="150"/>
      <c r="BW687" s="150"/>
      <c r="BX687" s="150"/>
      <c r="BY687" s="150"/>
      <c r="BZ687" s="150"/>
      <c r="CA687" s="151"/>
      <c r="CB687" s="150"/>
      <c r="CC687" s="149"/>
      <c r="CD687" s="143"/>
      <c r="CE687" s="144"/>
    </row>
    <row r="688" spans="1:84" s="142" customFormat="1" ht="14.5" x14ac:dyDescent="0.35">
      <c r="B688" s="145"/>
      <c r="C688" s="146"/>
      <c r="D688" s="146"/>
      <c r="E688" s="147"/>
      <c r="F688" s="148"/>
      <c r="G688" s="146"/>
      <c r="H688" s="149"/>
      <c r="I688" s="149"/>
      <c r="J688" s="149"/>
      <c r="K688" s="149"/>
      <c r="L688" s="150"/>
      <c r="M688" s="149"/>
      <c r="N688" s="151"/>
      <c r="O688" s="146"/>
      <c r="P688" s="146"/>
      <c r="Q688" s="146"/>
      <c r="R688" s="146"/>
      <c r="S688" s="146"/>
      <c r="T688" s="146"/>
      <c r="U688" s="146"/>
      <c r="V688" s="151"/>
      <c r="W688" s="149"/>
      <c r="X688" s="149"/>
      <c r="Y688" s="146"/>
      <c r="Z688" s="146"/>
      <c r="AA688" s="151"/>
      <c r="AB688" s="146"/>
      <c r="AC688" s="146"/>
      <c r="AD688" s="146"/>
      <c r="AE688" s="146"/>
      <c r="AF688" s="146"/>
      <c r="AG688" s="151"/>
      <c r="AH688" s="152"/>
      <c r="AI688" s="152"/>
      <c r="AJ688" s="152"/>
      <c r="AK688" s="153"/>
      <c r="AL688" s="153"/>
      <c r="AM688" s="153"/>
      <c r="AN688" s="153"/>
      <c r="AO688" s="152"/>
      <c r="AP688" s="153"/>
      <c r="AQ688" s="153"/>
      <c r="AR688" s="153"/>
      <c r="AS688" s="153"/>
      <c r="AT688" s="153"/>
      <c r="AU688" s="152"/>
      <c r="AV688" s="153"/>
      <c r="AW688" s="153"/>
      <c r="AX688" s="153"/>
      <c r="AY688" s="153"/>
      <c r="AZ688" s="153"/>
      <c r="BA688" s="153"/>
      <c r="BB688" s="153"/>
      <c r="BC688" s="153"/>
      <c r="BD688" s="153"/>
      <c r="BE688" s="153"/>
      <c r="BF688" s="153"/>
      <c r="BG688" s="153"/>
      <c r="BH688" s="153"/>
      <c r="BI688" s="153"/>
      <c r="BJ688" s="153"/>
      <c r="BK688" s="153"/>
      <c r="BL688" s="154"/>
      <c r="BM688" s="150"/>
      <c r="BN688" s="150"/>
      <c r="BO688" s="150"/>
      <c r="BP688" s="150"/>
      <c r="BQ688" s="150"/>
      <c r="BR688" s="150"/>
      <c r="BS688" s="150"/>
      <c r="BT688" s="150"/>
      <c r="BU688" s="150"/>
      <c r="BV688" s="150"/>
      <c r="BW688" s="150"/>
      <c r="BX688" s="150"/>
      <c r="BY688" s="150"/>
      <c r="BZ688" s="150"/>
      <c r="CA688" s="151"/>
      <c r="CB688" s="150"/>
      <c r="CC688" s="149"/>
      <c r="CD688" s="143"/>
      <c r="CE688" s="144"/>
    </row>
    <row r="689" spans="2:83" s="142" customFormat="1" ht="14.5" x14ac:dyDescent="0.35">
      <c r="B689" s="145"/>
      <c r="C689" s="146"/>
      <c r="D689" s="146"/>
      <c r="E689" s="147"/>
      <c r="F689" s="148"/>
      <c r="G689" s="146"/>
      <c r="H689" s="149"/>
      <c r="I689" s="149"/>
      <c r="J689" s="149"/>
      <c r="K689" s="149"/>
      <c r="L689" s="150"/>
      <c r="M689" s="149"/>
      <c r="N689" s="151"/>
      <c r="O689" s="146"/>
      <c r="P689" s="146"/>
      <c r="Q689" s="146"/>
      <c r="R689" s="146"/>
      <c r="S689" s="146"/>
      <c r="T689" s="146"/>
      <c r="U689" s="146"/>
      <c r="V689" s="151"/>
      <c r="W689" s="149"/>
      <c r="X689" s="149"/>
      <c r="Y689" s="146"/>
      <c r="Z689" s="146"/>
      <c r="AA689" s="151"/>
      <c r="AB689" s="146"/>
      <c r="AC689" s="146"/>
      <c r="AD689" s="146"/>
      <c r="AE689" s="146"/>
      <c r="AF689" s="146"/>
      <c r="AG689" s="151"/>
      <c r="AH689" s="152"/>
      <c r="AI689" s="152"/>
      <c r="AJ689" s="152"/>
      <c r="AK689" s="153"/>
      <c r="AL689" s="153"/>
      <c r="AM689" s="153"/>
      <c r="AN689" s="153"/>
      <c r="AO689" s="152"/>
      <c r="AP689" s="153"/>
      <c r="AQ689" s="153"/>
      <c r="AR689" s="153"/>
      <c r="AS689" s="153"/>
      <c r="AT689" s="153"/>
      <c r="AU689" s="152"/>
      <c r="AV689" s="153"/>
      <c r="AW689" s="153"/>
      <c r="AX689" s="153"/>
      <c r="AY689" s="153"/>
      <c r="AZ689" s="153"/>
      <c r="BA689" s="153"/>
      <c r="BB689" s="153"/>
      <c r="BC689" s="153"/>
      <c r="BD689" s="153"/>
      <c r="BE689" s="153"/>
      <c r="BF689" s="153"/>
      <c r="BG689" s="153"/>
      <c r="BH689" s="153"/>
      <c r="BI689" s="153"/>
      <c r="BJ689" s="153"/>
      <c r="BK689" s="153"/>
      <c r="BL689" s="154"/>
      <c r="BM689" s="150"/>
      <c r="BN689" s="150"/>
      <c r="BO689" s="150"/>
      <c r="BP689" s="150"/>
      <c r="BQ689" s="150"/>
      <c r="BR689" s="150"/>
      <c r="BS689" s="150"/>
      <c r="BT689" s="150"/>
      <c r="BU689" s="150"/>
      <c r="BV689" s="150"/>
      <c r="BW689" s="150"/>
      <c r="BX689" s="150"/>
      <c r="BY689" s="150"/>
      <c r="BZ689" s="150"/>
      <c r="CA689" s="151"/>
      <c r="CB689" s="150"/>
      <c r="CC689" s="149"/>
      <c r="CD689" s="143"/>
      <c r="CE689" s="144"/>
    </row>
    <row r="690" spans="2:83" s="142" customFormat="1" ht="14.5" x14ac:dyDescent="0.35">
      <c r="B690" s="145"/>
      <c r="C690" s="146"/>
      <c r="D690" s="146"/>
      <c r="E690" s="147"/>
      <c r="F690" s="148"/>
      <c r="G690" s="146"/>
      <c r="H690" s="149"/>
      <c r="I690" s="149"/>
      <c r="J690" s="149"/>
      <c r="K690" s="149"/>
      <c r="L690" s="150"/>
      <c r="M690" s="149"/>
      <c r="N690" s="151"/>
      <c r="O690" s="146"/>
      <c r="P690" s="146"/>
      <c r="Q690" s="146"/>
      <c r="R690" s="146"/>
      <c r="S690" s="146"/>
      <c r="T690" s="146"/>
      <c r="U690" s="146"/>
      <c r="V690" s="151"/>
      <c r="W690" s="149"/>
      <c r="X690" s="149"/>
      <c r="Y690" s="146"/>
      <c r="Z690" s="146"/>
      <c r="AA690" s="151"/>
      <c r="AB690" s="146"/>
      <c r="AC690" s="146"/>
      <c r="AD690" s="146"/>
      <c r="AE690" s="146"/>
      <c r="AF690" s="146"/>
      <c r="AG690" s="151"/>
      <c r="AH690" s="152"/>
      <c r="AI690" s="152"/>
      <c r="AJ690" s="152"/>
      <c r="AK690" s="153"/>
      <c r="AL690" s="153"/>
      <c r="AM690" s="152"/>
      <c r="AN690" s="152"/>
      <c r="AO690" s="152"/>
      <c r="AP690" s="153"/>
      <c r="AQ690" s="153"/>
      <c r="AR690" s="153"/>
      <c r="AS690" s="153"/>
      <c r="AT690" s="153"/>
      <c r="AU690" s="152"/>
      <c r="AV690" s="153"/>
      <c r="AW690" s="153"/>
      <c r="AX690" s="153"/>
      <c r="AY690" s="153"/>
      <c r="AZ690" s="153"/>
      <c r="BA690" s="153"/>
      <c r="BB690" s="153"/>
      <c r="BC690" s="153"/>
      <c r="BD690" s="153"/>
      <c r="BE690" s="153"/>
      <c r="BF690" s="153"/>
      <c r="BG690" s="153"/>
      <c r="BH690" s="153"/>
      <c r="BI690" s="153"/>
      <c r="BJ690" s="153"/>
      <c r="BK690" s="153"/>
      <c r="BL690" s="154"/>
      <c r="BM690" s="150"/>
      <c r="BN690" s="150"/>
      <c r="BO690" s="150"/>
      <c r="BP690" s="150"/>
      <c r="BQ690" s="150"/>
      <c r="BR690" s="150"/>
      <c r="BS690" s="150"/>
      <c r="BT690" s="150"/>
      <c r="BU690" s="150"/>
      <c r="BV690" s="150"/>
      <c r="BW690" s="150"/>
      <c r="BX690" s="150"/>
      <c r="BY690" s="150"/>
      <c r="BZ690" s="150"/>
      <c r="CA690" s="151"/>
      <c r="CB690" s="150"/>
      <c r="CC690" s="149"/>
      <c r="CD690" s="143"/>
      <c r="CE690" s="144"/>
    </row>
    <row r="691" spans="2:83" s="142" customFormat="1" ht="14.5" x14ac:dyDescent="0.35">
      <c r="B691" s="145"/>
      <c r="C691" s="146"/>
      <c r="D691" s="146"/>
      <c r="E691" s="147"/>
      <c r="F691" s="148"/>
      <c r="G691" s="146"/>
      <c r="H691" s="149"/>
      <c r="I691" s="149"/>
      <c r="J691" s="149"/>
      <c r="K691" s="149"/>
      <c r="L691" s="150"/>
      <c r="M691" s="149"/>
      <c r="N691" s="151"/>
      <c r="O691" s="146"/>
      <c r="P691" s="146"/>
      <c r="Q691" s="146"/>
      <c r="R691" s="146"/>
      <c r="S691" s="146"/>
      <c r="T691" s="146"/>
      <c r="U691" s="146"/>
      <c r="V691" s="151"/>
      <c r="W691" s="149"/>
      <c r="X691" s="149"/>
      <c r="Y691" s="146"/>
      <c r="Z691" s="146"/>
      <c r="AA691" s="151"/>
      <c r="AB691" s="146"/>
      <c r="AC691" s="146"/>
      <c r="AD691" s="146"/>
      <c r="AE691" s="146"/>
      <c r="AF691" s="146"/>
      <c r="AG691" s="151"/>
      <c r="AH691" s="152"/>
      <c r="AI691" s="152"/>
      <c r="AJ691" s="152"/>
      <c r="AK691" s="153"/>
      <c r="AL691" s="153"/>
      <c r="AM691" s="153"/>
      <c r="AN691" s="153"/>
      <c r="AO691" s="152"/>
      <c r="AP691" s="153"/>
      <c r="AQ691" s="153"/>
      <c r="AR691" s="153"/>
      <c r="AS691" s="153"/>
      <c r="AT691" s="153"/>
      <c r="AU691" s="152"/>
      <c r="AV691" s="153"/>
      <c r="AW691" s="153"/>
      <c r="AX691" s="153"/>
      <c r="AY691" s="153"/>
      <c r="AZ691" s="153"/>
      <c r="BA691" s="153"/>
      <c r="BB691" s="153"/>
      <c r="BC691" s="153"/>
      <c r="BD691" s="153"/>
      <c r="BE691" s="153"/>
      <c r="BF691" s="153"/>
      <c r="BG691" s="153"/>
      <c r="BH691" s="153"/>
      <c r="BI691" s="153"/>
      <c r="BJ691" s="153"/>
      <c r="BK691" s="153"/>
      <c r="BL691" s="154"/>
      <c r="BM691" s="150"/>
      <c r="BN691" s="150"/>
      <c r="BO691" s="150"/>
      <c r="BP691" s="150"/>
      <c r="BQ691" s="150"/>
      <c r="BR691" s="150"/>
      <c r="BS691" s="150"/>
      <c r="BT691" s="150"/>
      <c r="BU691" s="150"/>
      <c r="BV691" s="150"/>
      <c r="BW691" s="150"/>
      <c r="BX691" s="150"/>
      <c r="BY691" s="150"/>
      <c r="BZ691" s="150"/>
      <c r="CA691" s="151"/>
      <c r="CB691" s="150"/>
      <c r="CC691" s="149"/>
      <c r="CD691" s="143"/>
      <c r="CE691" s="144"/>
    </row>
    <row r="692" spans="2:83" s="142" customFormat="1" ht="14.5" x14ac:dyDescent="0.35">
      <c r="B692" s="145"/>
      <c r="C692" s="146"/>
      <c r="D692" s="146"/>
      <c r="E692" s="147"/>
      <c r="F692" s="148"/>
      <c r="G692" s="146"/>
      <c r="H692" s="149"/>
      <c r="I692" s="149"/>
      <c r="J692" s="149"/>
      <c r="K692" s="149"/>
      <c r="L692" s="150"/>
      <c r="M692" s="149"/>
      <c r="N692" s="151"/>
      <c r="O692" s="146"/>
      <c r="P692" s="146"/>
      <c r="Q692" s="146"/>
      <c r="R692" s="146"/>
      <c r="S692" s="146"/>
      <c r="T692" s="146"/>
      <c r="U692" s="146"/>
      <c r="V692" s="151"/>
      <c r="W692" s="149"/>
      <c r="X692" s="149"/>
      <c r="Y692" s="146"/>
      <c r="Z692" s="146"/>
      <c r="AA692" s="151"/>
      <c r="AB692" s="146"/>
      <c r="AC692" s="146"/>
      <c r="AD692" s="146"/>
      <c r="AE692" s="146"/>
      <c r="AF692" s="146"/>
      <c r="AG692" s="151"/>
      <c r="AH692" s="152"/>
      <c r="AI692" s="152"/>
      <c r="AJ692" s="152"/>
      <c r="AK692" s="153"/>
      <c r="AL692" s="153"/>
      <c r="AM692" s="152"/>
      <c r="AN692" s="152"/>
      <c r="AO692" s="152"/>
      <c r="AP692" s="153"/>
      <c r="AQ692" s="153"/>
      <c r="AR692" s="153"/>
      <c r="AS692" s="153"/>
      <c r="AT692" s="153"/>
      <c r="AU692" s="152"/>
      <c r="AV692" s="153"/>
      <c r="AW692" s="153"/>
      <c r="AX692" s="153"/>
      <c r="AY692" s="153"/>
      <c r="AZ692" s="153"/>
      <c r="BA692" s="153"/>
      <c r="BB692" s="153"/>
      <c r="BC692" s="153"/>
      <c r="BD692" s="153"/>
      <c r="BE692" s="153"/>
      <c r="BF692" s="153"/>
      <c r="BG692" s="153"/>
      <c r="BH692" s="153"/>
      <c r="BI692" s="153"/>
      <c r="BJ692" s="153"/>
      <c r="BK692" s="153"/>
      <c r="BL692" s="154"/>
      <c r="BM692" s="150"/>
      <c r="BN692" s="150"/>
      <c r="BO692" s="150"/>
      <c r="BP692" s="150"/>
      <c r="BQ692" s="150"/>
      <c r="BR692" s="150"/>
      <c r="BS692" s="150"/>
      <c r="BT692" s="150"/>
      <c r="BU692" s="150"/>
      <c r="BV692" s="150"/>
      <c r="BW692" s="150"/>
      <c r="BX692" s="150"/>
      <c r="BY692" s="150"/>
      <c r="BZ692" s="150"/>
      <c r="CA692" s="151"/>
      <c r="CB692" s="150"/>
      <c r="CC692" s="149"/>
      <c r="CD692" s="143"/>
      <c r="CE692" s="144"/>
    </row>
    <row r="693" spans="2:83" s="142" customFormat="1" ht="14.5" x14ac:dyDescent="0.35">
      <c r="B693" s="145"/>
      <c r="C693" s="146"/>
      <c r="D693" s="146"/>
      <c r="E693" s="147"/>
      <c r="F693" s="148"/>
      <c r="G693" s="146"/>
      <c r="H693" s="149"/>
      <c r="I693" s="149"/>
      <c r="J693" s="149"/>
      <c r="K693" s="149"/>
      <c r="L693" s="150"/>
      <c r="M693" s="149"/>
      <c r="N693" s="151"/>
      <c r="O693" s="146"/>
      <c r="P693" s="146"/>
      <c r="Q693" s="146"/>
      <c r="R693" s="146"/>
      <c r="S693" s="146"/>
      <c r="T693" s="146"/>
      <c r="U693" s="146"/>
      <c r="V693" s="151"/>
      <c r="W693" s="149"/>
      <c r="X693" s="149"/>
      <c r="Y693" s="146"/>
      <c r="Z693" s="146"/>
      <c r="AA693" s="151"/>
      <c r="AB693" s="146"/>
      <c r="AC693" s="146"/>
      <c r="AD693" s="146"/>
      <c r="AE693" s="146"/>
      <c r="AF693" s="146"/>
      <c r="AG693" s="151"/>
      <c r="AH693" s="152"/>
      <c r="AI693" s="152"/>
      <c r="AJ693" s="152"/>
      <c r="AK693" s="153"/>
      <c r="AL693" s="153"/>
      <c r="AM693" s="152"/>
      <c r="AN693" s="152"/>
      <c r="AO693" s="152"/>
      <c r="AP693" s="153"/>
      <c r="AQ693" s="153"/>
      <c r="AR693" s="153"/>
      <c r="AS693" s="153"/>
      <c r="AT693" s="153"/>
      <c r="AU693" s="152"/>
      <c r="AV693" s="153"/>
      <c r="AW693" s="153"/>
      <c r="AX693" s="153"/>
      <c r="AY693" s="153"/>
      <c r="AZ693" s="153"/>
      <c r="BA693" s="153"/>
      <c r="BB693" s="153"/>
      <c r="BC693" s="153"/>
      <c r="BD693" s="153"/>
      <c r="BE693" s="153"/>
      <c r="BF693" s="153"/>
      <c r="BG693" s="153"/>
      <c r="BH693" s="153"/>
      <c r="BI693" s="153"/>
      <c r="BJ693" s="153"/>
      <c r="BK693" s="153"/>
      <c r="BL693" s="154"/>
      <c r="BM693" s="150"/>
      <c r="BN693" s="150"/>
      <c r="BO693" s="150"/>
      <c r="BP693" s="150"/>
      <c r="BQ693" s="150"/>
      <c r="BR693" s="150"/>
      <c r="BS693" s="150"/>
      <c r="BT693" s="150"/>
      <c r="BU693" s="150"/>
      <c r="BV693" s="150"/>
      <c r="BW693" s="150"/>
      <c r="BX693" s="150"/>
      <c r="BY693" s="150"/>
      <c r="BZ693" s="150"/>
      <c r="CA693" s="151"/>
      <c r="CB693" s="150"/>
      <c r="CC693" s="149"/>
      <c r="CD693" s="143"/>
      <c r="CE693" s="144"/>
    </row>
    <row r="694" spans="2:83" s="142" customFormat="1" ht="14.5" x14ac:dyDescent="0.35">
      <c r="B694" s="145"/>
      <c r="C694" s="146"/>
      <c r="D694" s="146"/>
      <c r="E694" s="147"/>
      <c r="F694" s="148"/>
      <c r="G694" s="146"/>
      <c r="H694" s="149"/>
      <c r="I694" s="149"/>
      <c r="J694" s="149"/>
      <c r="K694" s="149"/>
      <c r="L694" s="150"/>
      <c r="M694" s="149"/>
      <c r="N694" s="151"/>
      <c r="O694" s="146"/>
      <c r="P694" s="146"/>
      <c r="Q694" s="146"/>
      <c r="R694" s="146"/>
      <c r="S694" s="146"/>
      <c r="T694" s="146"/>
      <c r="U694" s="146"/>
      <c r="V694" s="151"/>
      <c r="W694" s="149"/>
      <c r="X694" s="149"/>
      <c r="Y694" s="146"/>
      <c r="Z694" s="146"/>
      <c r="AA694" s="151"/>
      <c r="AB694" s="146"/>
      <c r="AC694" s="146"/>
      <c r="AD694" s="146"/>
      <c r="AE694" s="146"/>
      <c r="AF694" s="146"/>
      <c r="AG694" s="151"/>
      <c r="AH694" s="152"/>
      <c r="AI694" s="152"/>
      <c r="AJ694" s="152"/>
      <c r="AK694" s="153"/>
      <c r="AL694" s="153"/>
      <c r="AM694" s="152"/>
      <c r="AN694" s="152"/>
      <c r="AO694" s="152"/>
      <c r="AP694" s="153"/>
      <c r="AQ694" s="153"/>
      <c r="AR694" s="153"/>
      <c r="AS694" s="153"/>
      <c r="AT694" s="153"/>
      <c r="AU694" s="152"/>
      <c r="AV694" s="153"/>
      <c r="AW694" s="153"/>
      <c r="AX694" s="153"/>
      <c r="AY694" s="153"/>
      <c r="AZ694" s="153"/>
      <c r="BA694" s="153"/>
      <c r="BB694" s="153"/>
      <c r="BC694" s="153"/>
      <c r="BD694" s="153"/>
      <c r="BE694" s="153"/>
      <c r="BF694" s="153"/>
      <c r="BG694" s="153"/>
      <c r="BH694" s="153"/>
      <c r="BI694" s="153"/>
      <c r="BJ694" s="153"/>
      <c r="BK694" s="153"/>
      <c r="BL694" s="154"/>
      <c r="BM694" s="150"/>
      <c r="BN694" s="150"/>
      <c r="BO694" s="150"/>
      <c r="BP694" s="150"/>
      <c r="BQ694" s="150"/>
      <c r="BR694" s="150"/>
      <c r="BS694" s="150"/>
      <c r="BT694" s="150"/>
      <c r="BU694" s="150"/>
      <c r="BV694" s="150"/>
      <c r="BW694" s="150"/>
      <c r="BX694" s="150"/>
      <c r="BY694" s="150"/>
      <c r="BZ694" s="150"/>
      <c r="CA694" s="151"/>
      <c r="CB694" s="150"/>
      <c r="CC694" s="149"/>
      <c r="CD694" s="143"/>
      <c r="CE694" s="144"/>
    </row>
    <row r="695" spans="2:83" s="142" customFormat="1" ht="14.5" x14ac:dyDescent="0.35">
      <c r="B695" s="145"/>
      <c r="C695" s="146"/>
      <c r="D695" s="146"/>
      <c r="E695" s="147"/>
      <c r="F695" s="148"/>
      <c r="G695" s="146"/>
      <c r="H695" s="149"/>
      <c r="I695" s="149"/>
      <c r="J695" s="149"/>
      <c r="K695" s="149"/>
      <c r="L695" s="150"/>
      <c r="M695" s="149"/>
      <c r="N695" s="151"/>
      <c r="O695" s="146"/>
      <c r="P695" s="146"/>
      <c r="Q695" s="146"/>
      <c r="R695" s="146"/>
      <c r="S695" s="146"/>
      <c r="T695" s="146"/>
      <c r="U695" s="146"/>
      <c r="V695" s="151"/>
      <c r="W695" s="149"/>
      <c r="X695" s="149"/>
      <c r="Y695" s="146"/>
      <c r="Z695" s="146"/>
      <c r="AA695" s="151"/>
      <c r="AB695" s="146"/>
      <c r="AC695" s="146"/>
      <c r="AD695" s="146"/>
      <c r="AE695" s="146"/>
      <c r="AF695" s="146"/>
      <c r="AG695" s="151"/>
      <c r="AH695" s="152"/>
      <c r="AI695" s="152"/>
      <c r="AJ695" s="152"/>
      <c r="AK695" s="153"/>
      <c r="AL695" s="153"/>
      <c r="AM695" s="152"/>
      <c r="AN695" s="152"/>
      <c r="AO695" s="152"/>
      <c r="AP695" s="153"/>
      <c r="AQ695" s="153"/>
      <c r="AR695" s="153"/>
      <c r="AS695" s="153"/>
      <c r="AT695" s="153"/>
      <c r="AU695" s="152"/>
      <c r="AV695" s="153"/>
      <c r="AW695" s="153"/>
      <c r="AX695" s="153"/>
      <c r="AY695" s="153"/>
      <c r="AZ695" s="153"/>
      <c r="BA695" s="153"/>
      <c r="BB695" s="153"/>
      <c r="BC695" s="153"/>
      <c r="BD695" s="153"/>
      <c r="BE695" s="153"/>
      <c r="BF695" s="153"/>
      <c r="BG695" s="153"/>
      <c r="BH695" s="153"/>
      <c r="BI695" s="153"/>
      <c r="BJ695" s="153"/>
      <c r="BK695" s="153"/>
      <c r="BL695" s="154"/>
      <c r="BM695" s="150"/>
      <c r="BN695" s="150"/>
      <c r="BO695" s="150"/>
      <c r="BP695" s="150"/>
      <c r="BQ695" s="150"/>
      <c r="BR695" s="150"/>
      <c r="BS695" s="150"/>
      <c r="BT695" s="150"/>
      <c r="BU695" s="150"/>
      <c r="BV695" s="150"/>
      <c r="BW695" s="150"/>
      <c r="BX695" s="150"/>
      <c r="BY695" s="150"/>
      <c r="BZ695" s="150"/>
      <c r="CA695" s="151"/>
      <c r="CB695" s="150"/>
      <c r="CC695" s="149"/>
      <c r="CD695" s="143"/>
      <c r="CE695" s="144"/>
    </row>
    <row r="696" spans="2:83" s="142" customFormat="1" ht="14.5" x14ac:dyDescent="0.35">
      <c r="B696" s="145"/>
      <c r="C696" s="146"/>
      <c r="D696" s="146"/>
      <c r="E696" s="147"/>
      <c r="F696" s="148"/>
      <c r="G696" s="146"/>
      <c r="H696" s="149"/>
      <c r="I696" s="149"/>
      <c r="J696" s="149"/>
      <c r="K696" s="149"/>
      <c r="L696" s="150"/>
      <c r="M696" s="149"/>
      <c r="N696" s="151"/>
      <c r="O696" s="146"/>
      <c r="P696" s="146"/>
      <c r="Q696" s="146"/>
      <c r="R696" s="146"/>
      <c r="S696" s="146"/>
      <c r="T696" s="146"/>
      <c r="U696" s="146"/>
      <c r="V696" s="151"/>
      <c r="W696" s="149"/>
      <c r="X696" s="149"/>
      <c r="Y696" s="146"/>
      <c r="Z696" s="146"/>
      <c r="AA696" s="151"/>
      <c r="AB696" s="146"/>
      <c r="AC696" s="146"/>
      <c r="AD696" s="146"/>
      <c r="AE696" s="146"/>
      <c r="AF696" s="146"/>
      <c r="AG696" s="151"/>
      <c r="AH696" s="152"/>
      <c r="AI696" s="152"/>
      <c r="AJ696" s="152"/>
      <c r="AK696" s="153"/>
      <c r="AL696" s="153"/>
      <c r="AM696" s="152"/>
      <c r="AN696" s="152"/>
      <c r="AO696" s="152"/>
      <c r="AP696" s="153"/>
      <c r="AQ696" s="153"/>
      <c r="AR696" s="153"/>
      <c r="AS696" s="153"/>
      <c r="AT696" s="153"/>
      <c r="AU696" s="152"/>
      <c r="AV696" s="153"/>
      <c r="AW696" s="153"/>
      <c r="AX696" s="153"/>
      <c r="AY696" s="153"/>
      <c r="AZ696" s="153"/>
      <c r="BA696" s="153"/>
      <c r="BB696" s="153"/>
      <c r="BC696" s="153"/>
      <c r="BD696" s="153"/>
      <c r="BE696" s="153"/>
      <c r="BF696" s="153"/>
      <c r="BG696" s="153"/>
      <c r="BH696" s="153"/>
      <c r="BI696" s="153"/>
      <c r="BJ696" s="153"/>
      <c r="BK696" s="153"/>
      <c r="BL696" s="154"/>
      <c r="BM696" s="150"/>
      <c r="BN696" s="150"/>
      <c r="BO696" s="150"/>
      <c r="BP696" s="150"/>
      <c r="BQ696" s="150"/>
      <c r="BR696" s="150"/>
      <c r="BS696" s="150"/>
      <c r="BT696" s="150"/>
      <c r="BU696" s="150"/>
      <c r="BV696" s="150"/>
      <c r="BW696" s="150"/>
      <c r="BX696" s="150"/>
      <c r="BY696" s="150"/>
      <c r="BZ696" s="150"/>
      <c r="CA696" s="151"/>
      <c r="CB696" s="150"/>
      <c r="CC696" s="149"/>
      <c r="CD696" s="143"/>
      <c r="CE696" s="144"/>
    </row>
  </sheetData>
  <autoFilter ref="A1:CE696" xr:uid="{00000000-0001-0000-0100-000000000000}"/>
  <sortState xmlns:xlrd2="http://schemas.microsoft.com/office/spreadsheetml/2017/richdata2" ref="A2:BS570">
    <sortCondition ref="E2:E570"/>
  </sortState>
  <phoneticPr fontId="8" type="noConversion"/>
  <conditionalFormatting sqref="B1:B696">
    <cfRule type="duplicateValues" dxfId="57" priority="6"/>
  </conditionalFormatting>
  <conditionalFormatting sqref="C1:C696">
    <cfRule type="duplicateValues" dxfId="56" priority="4"/>
    <cfRule type="duplicateValues" dxfId="55" priority="5"/>
    <cfRule type="duplicateValues" dxfId="54" priority="23"/>
  </conditionalFormatting>
  <conditionalFormatting sqref="D1:D696">
    <cfRule type="duplicateValues" dxfId="53" priority="2"/>
    <cfRule type="duplicateValues" dxfId="52" priority="24"/>
    <cfRule type="duplicateValues" dxfId="51" priority="25"/>
    <cfRule type="duplicateValues" dxfId="50" priority="26"/>
  </conditionalFormatting>
  <conditionalFormatting sqref="E1:E696">
    <cfRule type="duplicateValues" dxfId="49" priority="1"/>
    <cfRule type="duplicateValues" dxfId="48" priority="3"/>
    <cfRule type="duplicateValues" dxfId="47" priority="8"/>
    <cfRule type="duplicateValues" dxfId="46" priority="9"/>
    <cfRule type="duplicateValues" dxfId="45" priority="10"/>
    <cfRule type="duplicateValues" dxfId="44" priority="11"/>
    <cfRule type="duplicateValues" dxfId="43" priority="12"/>
    <cfRule type="duplicateValues" dxfId="42" priority="14"/>
    <cfRule type="duplicateValues" dxfId="41" priority="19"/>
    <cfRule type="duplicateValues" dxfId="40" priority="20"/>
    <cfRule type="duplicateValues" dxfId="39" priority="27"/>
  </conditionalFormatting>
  <conditionalFormatting sqref="E697:E1048576">
    <cfRule type="duplicateValues" dxfId="38" priority="280"/>
    <cfRule type="duplicateValues" dxfId="37" priority="1079"/>
    <cfRule type="duplicateValues" dxfId="36" priority="1082"/>
    <cfRule type="duplicateValues" dxfId="35" priority="1095"/>
  </conditionalFormatting>
  <conditionalFormatting sqref="G1:G1048576">
    <cfRule type="cellIs" dxfId="34" priority="17" operator="equal">
      <formula>"SI"</formula>
    </cfRule>
  </conditionalFormatting>
  <conditionalFormatting sqref="AB1:AB696">
    <cfRule type="duplicateValues" dxfId="33" priority="13"/>
    <cfRule type="duplicateValues" dxfId="32" priority="21"/>
    <cfRule type="duplicateValues" dxfId="31" priority="22"/>
  </conditionalFormatting>
  <conditionalFormatting sqref="AH2:BK696">
    <cfRule type="cellIs" dxfId="30" priority="18" operator="greaterThan">
      <formula>42005</formula>
    </cfRule>
  </conditionalFormatting>
  <conditionalFormatting sqref="AH1:BL696">
    <cfRule type="containsText" dxfId="29" priority="7" operator="containsText" text="@">
      <formula>NOT(ISERROR(SEARCH("@",AH1)))</formula>
    </cfRule>
  </conditionalFormatting>
  <conditionalFormatting sqref="AU1:AU696 BJ1:BK696">
    <cfRule type="cellIs" dxfId="28" priority="15" operator="equal">
      <formula>"KO"</formula>
    </cfRule>
    <cfRule type="cellIs" dxfId="27" priority="16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6"/>
  <sheetViews>
    <sheetView topLeftCell="C243" workbookViewId="0">
      <selection activeCell="G255" sqref="G255"/>
    </sheetView>
  </sheetViews>
  <sheetFormatPr baseColWidth="10" defaultColWidth="11.453125" defaultRowHeight="14.5" x14ac:dyDescent="0.35"/>
  <cols>
    <col min="4" max="4" width="39.81640625" bestFit="1" customWidth="1"/>
    <col min="5" max="5" width="39.81640625" customWidth="1"/>
    <col min="6" max="6" width="17.1796875" customWidth="1"/>
    <col min="7" max="7" width="17.81640625" customWidth="1"/>
    <col min="8" max="8" width="15.1796875" customWidth="1"/>
    <col min="9" max="9" width="16.81640625" hidden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10</v>
      </c>
      <c r="F1" s="5" t="s">
        <v>4</v>
      </c>
      <c r="G1" s="66" t="s">
        <v>1708</v>
      </c>
    </row>
    <row r="2" spans="1:9" x14ac:dyDescent="0.35">
      <c r="A2" s="9" t="s">
        <v>152</v>
      </c>
      <c r="B2" s="6" t="s">
        <v>1245</v>
      </c>
      <c r="C2" s="7" t="s">
        <v>859</v>
      </c>
      <c r="D2" s="7" t="s">
        <v>860</v>
      </c>
      <c r="E2" s="7" t="s">
        <v>192</v>
      </c>
      <c r="F2" s="8">
        <v>722236393</v>
      </c>
      <c r="G2" s="7"/>
      <c r="I2" t="s">
        <v>190</v>
      </c>
    </row>
    <row r="3" spans="1:9" x14ac:dyDescent="0.35">
      <c r="A3" s="9" t="s">
        <v>172</v>
      </c>
      <c r="B3" s="6" t="s">
        <v>1373</v>
      </c>
      <c r="C3" s="7" t="s">
        <v>932</v>
      </c>
      <c r="D3" s="7" t="s">
        <v>933</v>
      </c>
      <c r="E3" s="7" t="s">
        <v>270</v>
      </c>
      <c r="F3" s="8">
        <v>644605589</v>
      </c>
      <c r="G3" s="7"/>
      <c r="I3" t="s">
        <v>1004</v>
      </c>
    </row>
    <row r="4" spans="1:9" x14ac:dyDescent="0.35">
      <c r="A4" s="10">
        <v>416305</v>
      </c>
      <c r="B4" s="6" t="s">
        <v>1518</v>
      </c>
      <c r="C4" s="7" t="s">
        <v>1519</v>
      </c>
      <c r="D4" s="7" t="s">
        <v>1520</v>
      </c>
      <c r="E4" s="7" t="s">
        <v>511</v>
      </c>
      <c r="F4" s="8">
        <v>660263206</v>
      </c>
      <c r="G4" s="7"/>
      <c r="I4" t="s">
        <v>1709</v>
      </c>
    </row>
    <row r="5" spans="1:9" x14ac:dyDescent="0.35">
      <c r="A5" s="9" t="s">
        <v>1493</v>
      </c>
      <c r="B5" s="6" t="s">
        <v>1494</v>
      </c>
      <c r="C5" s="7" t="s">
        <v>1495</v>
      </c>
      <c r="D5" s="7" t="s">
        <v>1496</v>
      </c>
      <c r="E5" s="7" t="s">
        <v>1477</v>
      </c>
      <c r="F5" s="8">
        <v>626282555</v>
      </c>
      <c r="G5" s="7" t="s">
        <v>190</v>
      </c>
    </row>
    <row r="6" spans="1:9" x14ac:dyDescent="0.35">
      <c r="A6" s="9">
        <v>414909</v>
      </c>
      <c r="B6" s="6" t="s">
        <v>1206</v>
      </c>
      <c r="C6" s="7" t="s">
        <v>333</v>
      </c>
      <c r="D6" s="7" t="s">
        <v>334</v>
      </c>
      <c r="E6" s="7" t="s">
        <v>284</v>
      </c>
      <c r="F6" s="8" t="s">
        <v>223</v>
      </c>
      <c r="G6" s="7"/>
    </row>
    <row r="7" spans="1:9" x14ac:dyDescent="0.35">
      <c r="A7" s="9" t="s">
        <v>113</v>
      </c>
      <c r="B7" s="6" t="s">
        <v>1227</v>
      </c>
      <c r="C7" s="7" t="s">
        <v>731</v>
      </c>
      <c r="D7" s="7" t="s">
        <v>732</v>
      </c>
      <c r="E7" s="7" t="s">
        <v>256</v>
      </c>
      <c r="F7" s="8">
        <v>601151761</v>
      </c>
      <c r="G7" s="7" t="s">
        <v>190</v>
      </c>
    </row>
    <row r="8" spans="1:9" x14ac:dyDescent="0.35">
      <c r="A8" s="9">
        <v>417221</v>
      </c>
      <c r="B8" s="6" t="s">
        <v>1347</v>
      </c>
      <c r="C8" s="7" t="s">
        <v>965</v>
      </c>
      <c r="D8" s="7" t="s">
        <v>1065</v>
      </c>
      <c r="E8" s="7" t="s">
        <v>491</v>
      </c>
      <c r="F8" s="8">
        <v>653447825</v>
      </c>
      <c r="G8" s="7"/>
    </row>
    <row r="9" spans="1:9" x14ac:dyDescent="0.35">
      <c r="A9" s="9" t="s">
        <v>85</v>
      </c>
      <c r="B9" s="6" t="s">
        <v>1158</v>
      </c>
      <c r="C9" s="7" t="s">
        <v>640</v>
      </c>
      <c r="D9" s="7" t="s">
        <v>641</v>
      </c>
      <c r="E9" s="7" t="s">
        <v>253</v>
      </c>
      <c r="F9" s="8">
        <v>630145191</v>
      </c>
      <c r="G9" s="7"/>
    </row>
    <row r="10" spans="1:9" x14ac:dyDescent="0.35">
      <c r="A10" s="9" t="s">
        <v>68</v>
      </c>
      <c r="B10" s="6" t="s">
        <v>1340</v>
      </c>
      <c r="C10" s="7" t="s">
        <v>586</v>
      </c>
      <c r="D10" s="7" t="s">
        <v>587</v>
      </c>
      <c r="E10" s="7" t="s">
        <v>213</v>
      </c>
      <c r="F10" s="8">
        <v>639511094</v>
      </c>
      <c r="G10" s="7" t="s">
        <v>190</v>
      </c>
    </row>
    <row r="11" spans="1:9" x14ac:dyDescent="0.35">
      <c r="A11" s="9" t="s">
        <v>96</v>
      </c>
      <c r="B11" s="6" t="s">
        <v>1140</v>
      </c>
      <c r="C11" s="7" t="s">
        <v>675</v>
      </c>
      <c r="D11" s="7" t="s">
        <v>676</v>
      </c>
      <c r="E11" s="7" t="s">
        <v>410</v>
      </c>
      <c r="F11" s="8">
        <v>657993036</v>
      </c>
      <c r="G11" s="7"/>
    </row>
    <row r="12" spans="1:9" x14ac:dyDescent="0.35">
      <c r="A12" s="9" t="s">
        <v>75</v>
      </c>
      <c r="B12" s="6" t="s">
        <v>1219</v>
      </c>
      <c r="C12" s="7" t="s">
        <v>602</v>
      </c>
      <c r="D12" s="7" t="s">
        <v>603</v>
      </c>
      <c r="E12" s="7" t="s">
        <v>256</v>
      </c>
      <c r="F12" s="8">
        <v>605523370</v>
      </c>
      <c r="G12" s="7"/>
    </row>
    <row r="13" spans="1:9" x14ac:dyDescent="0.35">
      <c r="A13" s="9" t="s">
        <v>119</v>
      </c>
      <c r="B13" s="6" t="s">
        <v>1448</v>
      </c>
      <c r="C13" s="7" t="s">
        <v>746</v>
      </c>
      <c r="D13" s="7" t="s">
        <v>747</v>
      </c>
      <c r="E13" s="7" t="s">
        <v>253</v>
      </c>
      <c r="F13" s="8">
        <v>617734694</v>
      </c>
      <c r="G13" s="7"/>
    </row>
    <row r="14" spans="1:9" x14ac:dyDescent="0.35">
      <c r="A14" s="9" t="s">
        <v>72</v>
      </c>
      <c r="B14" s="6" t="s">
        <v>1400</v>
      </c>
      <c r="C14" s="7" t="s">
        <v>594</v>
      </c>
      <c r="D14" s="7" t="s">
        <v>595</v>
      </c>
      <c r="E14" s="7" t="s">
        <v>270</v>
      </c>
      <c r="F14" s="8">
        <v>649887884</v>
      </c>
      <c r="G14" s="7"/>
    </row>
    <row r="15" spans="1:9" x14ac:dyDescent="0.35">
      <c r="A15" s="10" t="s">
        <v>101</v>
      </c>
      <c r="B15" s="6" t="s">
        <v>1225</v>
      </c>
      <c r="C15" s="7" t="s">
        <v>690</v>
      </c>
      <c r="D15" s="7" t="s">
        <v>691</v>
      </c>
      <c r="E15" s="7" t="s">
        <v>210</v>
      </c>
      <c r="F15" s="8">
        <v>663459936</v>
      </c>
      <c r="G15" s="7"/>
    </row>
    <row r="16" spans="1:9" x14ac:dyDescent="0.35">
      <c r="A16" s="9" t="s">
        <v>171</v>
      </c>
      <c r="B16" s="6" t="s">
        <v>1333</v>
      </c>
      <c r="C16" s="7" t="s">
        <v>928</v>
      </c>
      <c r="D16" s="7" t="s">
        <v>929</v>
      </c>
      <c r="E16" s="7" t="s">
        <v>210</v>
      </c>
      <c r="F16" s="8">
        <v>677891661</v>
      </c>
      <c r="G16" s="7"/>
    </row>
    <row r="17" spans="1:7" x14ac:dyDescent="0.35">
      <c r="A17" s="10" t="s">
        <v>105</v>
      </c>
      <c r="B17" s="6" t="s">
        <v>1244</v>
      </c>
      <c r="C17" s="7" t="s">
        <v>702</v>
      </c>
      <c r="D17" s="7" t="s">
        <v>703</v>
      </c>
      <c r="E17" s="7" t="s">
        <v>192</v>
      </c>
      <c r="F17" s="8">
        <v>665932821</v>
      </c>
      <c r="G17" s="7"/>
    </row>
    <row r="18" spans="1:7" x14ac:dyDescent="0.35">
      <c r="A18" s="10" t="s">
        <v>46</v>
      </c>
      <c r="B18" s="6" t="s">
        <v>1337</v>
      </c>
      <c r="C18" s="7" t="s">
        <v>492</v>
      </c>
      <c r="D18" s="7" t="s">
        <v>493</v>
      </c>
      <c r="E18" s="7" t="s">
        <v>213</v>
      </c>
      <c r="F18" s="8">
        <v>687225393</v>
      </c>
      <c r="G18" s="7"/>
    </row>
    <row r="19" spans="1:7" x14ac:dyDescent="0.35">
      <c r="A19" s="9" t="s">
        <v>90</v>
      </c>
      <c r="B19" s="6" t="s">
        <v>1329</v>
      </c>
      <c r="C19" s="7" t="s">
        <v>658</v>
      </c>
      <c r="D19" s="7" t="s">
        <v>659</v>
      </c>
      <c r="E19" s="7" t="s">
        <v>253</v>
      </c>
      <c r="F19" s="8">
        <v>618379711</v>
      </c>
      <c r="G19" s="7"/>
    </row>
    <row r="20" spans="1:7" x14ac:dyDescent="0.35">
      <c r="A20" s="9" t="s">
        <v>94</v>
      </c>
      <c r="B20" s="6" t="s">
        <v>1424</v>
      </c>
      <c r="C20" s="7" t="s">
        <v>669</v>
      </c>
      <c r="D20" s="7" t="s">
        <v>670</v>
      </c>
      <c r="E20" s="7" t="s">
        <v>284</v>
      </c>
      <c r="F20" s="8">
        <v>645716634</v>
      </c>
      <c r="G20" s="7"/>
    </row>
    <row r="21" spans="1:7" x14ac:dyDescent="0.35">
      <c r="A21" s="10" t="s">
        <v>150</v>
      </c>
      <c r="B21" s="6" t="s">
        <v>1185</v>
      </c>
      <c r="C21" s="7" t="s">
        <v>853</v>
      </c>
      <c r="D21" s="7" t="s">
        <v>854</v>
      </c>
      <c r="E21" s="7" t="s">
        <v>349</v>
      </c>
      <c r="F21" s="8">
        <v>633485115</v>
      </c>
      <c r="G21" s="7"/>
    </row>
    <row r="22" spans="1:7" x14ac:dyDescent="0.35">
      <c r="A22" s="9" t="s">
        <v>123</v>
      </c>
      <c r="B22" s="6" t="s">
        <v>1165</v>
      </c>
      <c r="C22" s="7" t="s">
        <v>760</v>
      </c>
      <c r="D22" s="7" t="s">
        <v>761</v>
      </c>
      <c r="E22" s="7" t="s">
        <v>349</v>
      </c>
      <c r="F22" s="8">
        <v>659738951</v>
      </c>
      <c r="G22" s="7"/>
    </row>
    <row r="23" spans="1:7" x14ac:dyDescent="0.35">
      <c r="A23" s="9">
        <v>410641</v>
      </c>
      <c r="B23" s="6" t="s">
        <v>1217</v>
      </c>
      <c r="C23" s="7" t="s">
        <v>205</v>
      </c>
      <c r="D23" s="7" t="s">
        <v>206</v>
      </c>
      <c r="E23" s="7" t="s">
        <v>210</v>
      </c>
      <c r="F23" s="8">
        <v>954406621</v>
      </c>
      <c r="G23" s="7"/>
    </row>
    <row r="24" spans="1:7" x14ac:dyDescent="0.35">
      <c r="A24" s="10">
        <v>418649</v>
      </c>
      <c r="B24" s="6" t="s">
        <v>1468</v>
      </c>
      <c r="C24" s="7" t="s">
        <v>408</v>
      </c>
      <c r="D24" s="7" t="s">
        <v>409</v>
      </c>
      <c r="E24" s="7" t="s">
        <v>256</v>
      </c>
      <c r="F24" s="8">
        <v>692386517</v>
      </c>
      <c r="G24" s="7"/>
    </row>
    <row r="25" spans="1:7" x14ac:dyDescent="0.35">
      <c r="A25" s="9" t="s">
        <v>60</v>
      </c>
      <c r="B25" s="6" t="s">
        <v>1423</v>
      </c>
      <c r="C25" s="7" t="s">
        <v>553</v>
      </c>
      <c r="D25" s="7" t="s">
        <v>554</v>
      </c>
      <c r="E25" s="7" t="s">
        <v>284</v>
      </c>
      <c r="F25" s="8">
        <v>609648168</v>
      </c>
      <c r="G25" s="7"/>
    </row>
    <row r="26" spans="1:7" x14ac:dyDescent="0.35">
      <c r="A26" s="9" t="s">
        <v>1066</v>
      </c>
      <c r="B26" s="6" t="s">
        <v>1623</v>
      </c>
      <c r="C26" s="7" t="s">
        <v>1067</v>
      </c>
      <c r="D26" s="7" t="s">
        <v>1068</v>
      </c>
      <c r="E26" s="7" t="s">
        <v>1060</v>
      </c>
      <c r="F26" s="8">
        <v>644810616</v>
      </c>
      <c r="G26" s="7"/>
    </row>
    <row r="27" spans="1:7" x14ac:dyDescent="0.35">
      <c r="A27" s="10" t="s">
        <v>69</v>
      </c>
      <c r="B27" s="6" t="s">
        <v>1220</v>
      </c>
      <c r="C27" s="7" t="s">
        <v>588</v>
      </c>
      <c r="D27" s="7" t="s">
        <v>589</v>
      </c>
      <c r="E27" s="7" t="s">
        <v>256</v>
      </c>
      <c r="F27" s="8">
        <v>606692040</v>
      </c>
      <c r="G27" s="7"/>
    </row>
    <row r="28" spans="1:7" x14ac:dyDescent="0.35">
      <c r="A28" s="10" t="s">
        <v>173</v>
      </c>
      <c r="B28" s="6" t="s">
        <v>1382</v>
      </c>
      <c r="C28" s="7" t="s">
        <v>934</v>
      </c>
      <c r="D28" s="7" t="s">
        <v>935</v>
      </c>
      <c r="E28" s="7" t="s">
        <v>1477</v>
      </c>
      <c r="F28" s="8" t="s">
        <v>1005</v>
      </c>
      <c r="G28" s="7"/>
    </row>
    <row r="29" spans="1:7" x14ac:dyDescent="0.35">
      <c r="A29" s="9" t="s">
        <v>144</v>
      </c>
      <c r="B29" s="6" t="s">
        <v>1144</v>
      </c>
      <c r="C29" s="7" t="s">
        <v>831</v>
      </c>
      <c r="D29" s="7" t="s">
        <v>832</v>
      </c>
      <c r="E29" s="7" t="s">
        <v>410</v>
      </c>
      <c r="F29" s="8">
        <v>662506848</v>
      </c>
      <c r="G29" s="7"/>
    </row>
    <row r="30" spans="1:7" x14ac:dyDescent="0.35">
      <c r="A30" s="9" t="s">
        <v>107</v>
      </c>
      <c r="B30" s="6" t="s">
        <v>1199</v>
      </c>
      <c r="C30" s="7" t="s">
        <v>709</v>
      </c>
      <c r="D30" s="7" t="s">
        <v>710</v>
      </c>
      <c r="E30" s="7" t="s">
        <v>329</v>
      </c>
      <c r="F30" s="8">
        <v>633697522</v>
      </c>
      <c r="G30" s="7"/>
    </row>
    <row r="31" spans="1:7" x14ac:dyDescent="0.35">
      <c r="A31" s="9">
        <v>412591</v>
      </c>
      <c r="B31" s="6" t="s">
        <v>1472</v>
      </c>
      <c r="C31" s="7" t="s">
        <v>1473</v>
      </c>
      <c r="D31" s="7" t="s">
        <v>1474</v>
      </c>
      <c r="E31" s="7" t="s">
        <v>181</v>
      </c>
      <c r="F31" s="8">
        <v>660348118</v>
      </c>
      <c r="G31" s="7"/>
    </row>
    <row r="32" spans="1:7" x14ac:dyDescent="0.35">
      <c r="A32" s="9" t="s">
        <v>87</v>
      </c>
      <c r="B32" s="6" t="s">
        <v>1433</v>
      </c>
      <c r="C32" s="7" t="s">
        <v>651</v>
      </c>
      <c r="D32" s="7" t="s">
        <v>652</v>
      </c>
      <c r="E32" s="7" t="s">
        <v>256</v>
      </c>
      <c r="F32" s="8">
        <v>654543703</v>
      </c>
      <c r="G32" s="7"/>
    </row>
    <row r="33" spans="1:7" x14ac:dyDescent="0.35">
      <c r="A33" s="9" t="s">
        <v>71</v>
      </c>
      <c r="B33" s="6" t="s">
        <v>1198</v>
      </c>
      <c r="C33" s="7" t="s">
        <v>592</v>
      </c>
      <c r="D33" s="7" t="s">
        <v>593</v>
      </c>
      <c r="E33" s="7" t="s">
        <v>284</v>
      </c>
      <c r="F33" s="8">
        <v>670060173</v>
      </c>
      <c r="G33" s="7"/>
    </row>
    <row r="34" spans="1:7" x14ac:dyDescent="0.35">
      <c r="A34" s="9" t="s">
        <v>67</v>
      </c>
      <c r="B34" s="6" t="s">
        <v>1208</v>
      </c>
      <c r="C34" s="7" t="s">
        <v>583</v>
      </c>
      <c r="D34" s="7" t="s">
        <v>584</v>
      </c>
      <c r="E34" s="7" t="s">
        <v>284</v>
      </c>
      <c r="F34" s="8">
        <v>687377028</v>
      </c>
      <c r="G34" s="7"/>
    </row>
    <row r="35" spans="1:7" x14ac:dyDescent="0.35">
      <c r="A35" s="9" t="s">
        <v>1032</v>
      </c>
      <c r="B35" s="6" t="s">
        <v>1415</v>
      </c>
      <c r="C35" s="7" t="s">
        <v>1033</v>
      </c>
      <c r="D35" s="7" t="s">
        <v>1034</v>
      </c>
      <c r="E35" s="7" t="s">
        <v>1060</v>
      </c>
      <c r="F35" s="8">
        <v>627098947</v>
      </c>
      <c r="G35" s="7"/>
    </row>
    <row r="36" spans="1:7" x14ac:dyDescent="0.35">
      <c r="A36" s="9" t="s">
        <v>137</v>
      </c>
      <c r="B36" s="6" t="s">
        <v>1119</v>
      </c>
      <c r="C36" s="7" t="s">
        <v>806</v>
      </c>
      <c r="D36" s="7" t="s">
        <v>807</v>
      </c>
      <c r="E36" s="7" t="s">
        <v>1477</v>
      </c>
      <c r="F36" s="8">
        <v>659984642</v>
      </c>
      <c r="G36" s="7"/>
    </row>
    <row r="37" spans="1:7" x14ac:dyDescent="0.35">
      <c r="A37" s="9" t="s">
        <v>139</v>
      </c>
      <c r="B37" s="6" t="s">
        <v>1354</v>
      </c>
      <c r="C37" s="7" t="s">
        <v>814</v>
      </c>
      <c r="D37" s="7" t="s">
        <v>815</v>
      </c>
      <c r="E37" s="7" t="s">
        <v>491</v>
      </c>
      <c r="F37" s="8">
        <v>681053963</v>
      </c>
      <c r="G37" s="7"/>
    </row>
    <row r="38" spans="1:7" x14ac:dyDescent="0.35">
      <c r="A38" s="10" t="s">
        <v>116</v>
      </c>
      <c r="B38" s="6" t="s">
        <v>1141</v>
      </c>
      <c r="C38" s="7" t="s">
        <v>737</v>
      </c>
      <c r="D38" s="7" t="s">
        <v>738</v>
      </c>
      <c r="E38" s="7" t="s">
        <v>410</v>
      </c>
      <c r="F38" s="8">
        <v>686572115</v>
      </c>
      <c r="G38" s="7"/>
    </row>
    <row r="39" spans="1:7" x14ac:dyDescent="0.35">
      <c r="A39" s="9" t="s">
        <v>91</v>
      </c>
      <c r="B39" s="6" t="s">
        <v>1405</v>
      </c>
      <c r="C39" s="7" t="s">
        <v>660</v>
      </c>
      <c r="D39" s="7" t="s">
        <v>661</v>
      </c>
      <c r="E39" s="7" t="s">
        <v>213</v>
      </c>
      <c r="F39" s="8">
        <v>664131692</v>
      </c>
      <c r="G39" s="7"/>
    </row>
    <row r="40" spans="1:7" x14ac:dyDescent="0.35">
      <c r="A40" s="9" t="s">
        <v>125</v>
      </c>
      <c r="B40" s="6" t="s">
        <v>1365</v>
      </c>
      <c r="C40" s="7" t="s">
        <v>766</v>
      </c>
      <c r="D40" s="7" t="s">
        <v>767</v>
      </c>
      <c r="E40" s="7" t="s">
        <v>270</v>
      </c>
      <c r="F40" s="8">
        <v>615049183</v>
      </c>
      <c r="G40" s="7"/>
    </row>
    <row r="41" spans="1:7" x14ac:dyDescent="0.35">
      <c r="A41" s="10" t="s">
        <v>998</v>
      </c>
      <c r="B41" s="6" t="s">
        <v>1561</v>
      </c>
      <c r="C41" s="7" t="s">
        <v>951</v>
      </c>
      <c r="D41" s="7" t="s">
        <v>1064</v>
      </c>
      <c r="E41" s="7" t="s">
        <v>208</v>
      </c>
      <c r="F41" s="8">
        <v>608958635</v>
      </c>
      <c r="G41" s="7"/>
    </row>
    <row r="42" spans="1:7" x14ac:dyDescent="0.35">
      <c r="A42" s="9" t="s">
        <v>45</v>
      </c>
      <c r="B42" s="6" t="s">
        <v>1348</v>
      </c>
      <c r="C42" s="7" t="s">
        <v>489</v>
      </c>
      <c r="D42" s="7" t="s">
        <v>490</v>
      </c>
      <c r="E42" s="7" t="s">
        <v>491</v>
      </c>
      <c r="F42" s="8">
        <v>648939378</v>
      </c>
      <c r="G42" s="7"/>
    </row>
    <row r="43" spans="1:7" x14ac:dyDescent="0.35">
      <c r="A43" s="9" t="s">
        <v>128</v>
      </c>
      <c r="B43" s="6" t="s">
        <v>1110</v>
      </c>
      <c r="C43" s="7" t="s">
        <v>776</v>
      </c>
      <c r="D43" s="7" t="s">
        <v>777</v>
      </c>
      <c r="E43" s="7" t="s">
        <v>1477</v>
      </c>
      <c r="F43" s="8">
        <v>635345902</v>
      </c>
      <c r="G43" s="7"/>
    </row>
    <row r="44" spans="1:7" x14ac:dyDescent="0.35">
      <c r="A44" s="9" t="s">
        <v>48</v>
      </c>
      <c r="B44" s="6" t="s">
        <v>498</v>
      </c>
      <c r="C44" s="7" t="s">
        <v>499</v>
      </c>
      <c r="D44" s="7" t="s">
        <v>500</v>
      </c>
      <c r="E44" s="7" t="s">
        <v>256</v>
      </c>
      <c r="F44" s="8">
        <v>652327727</v>
      </c>
      <c r="G44" s="7"/>
    </row>
    <row r="45" spans="1:7" x14ac:dyDescent="0.35">
      <c r="A45" s="9">
        <v>416110</v>
      </c>
      <c r="B45" s="6" t="s">
        <v>1364</v>
      </c>
      <c r="C45" s="7" t="s">
        <v>358</v>
      </c>
      <c r="D45" s="7" t="s">
        <v>359</v>
      </c>
      <c r="E45" s="7" t="s">
        <v>270</v>
      </c>
      <c r="F45" s="8">
        <v>691955112</v>
      </c>
      <c r="G45" s="7"/>
    </row>
    <row r="46" spans="1:7" x14ac:dyDescent="0.35">
      <c r="A46" s="9" t="s">
        <v>50</v>
      </c>
      <c r="B46" s="6" t="s">
        <v>513</v>
      </c>
      <c r="C46" s="7" t="s">
        <v>514</v>
      </c>
      <c r="D46" s="7" t="s">
        <v>515</v>
      </c>
      <c r="E46" s="7" t="s">
        <v>410</v>
      </c>
      <c r="F46" s="8">
        <v>686732395</v>
      </c>
      <c r="G46" s="7"/>
    </row>
    <row r="47" spans="1:7" x14ac:dyDescent="0.35">
      <c r="A47" s="9">
        <v>412818</v>
      </c>
      <c r="B47" s="6" t="s">
        <v>1638</v>
      </c>
      <c r="C47" s="7" t="s">
        <v>1679</v>
      </c>
      <c r="D47" s="7" t="s">
        <v>1639</v>
      </c>
      <c r="E47" s="7" t="s">
        <v>181</v>
      </c>
      <c r="F47" s="8">
        <v>666154544</v>
      </c>
      <c r="G47" s="7" t="s">
        <v>190</v>
      </c>
    </row>
    <row r="48" spans="1:7" x14ac:dyDescent="0.35">
      <c r="A48" s="10" t="s">
        <v>148</v>
      </c>
      <c r="B48" s="6" t="s">
        <v>1452</v>
      </c>
      <c r="C48" s="7" t="s">
        <v>846</v>
      </c>
      <c r="D48" s="7" t="s">
        <v>847</v>
      </c>
      <c r="E48" s="7" t="s">
        <v>329</v>
      </c>
      <c r="F48" s="8">
        <v>644756529</v>
      </c>
      <c r="G48" s="7"/>
    </row>
    <row r="49" spans="1:7" x14ac:dyDescent="0.35">
      <c r="A49" s="9" t="s">
        <v>143</v>
      </c>
      <c r="B49" s="6" t="s">
        <v>1444</v>
      </c>
      <c r="C49" s="7" t="s">
        <v>827</v>
      </c>
      <c r="D49" s="7" t="s">
        <v>828</v>
      </c>
      <c r="E49" s="7" t="s">
        <v>410</v>
      </c>
      <c r="F49" s="8">
        <v>664143086</v>
      </c>
      <c r="G49" s="7"/>
    </row>
    <row r="50" spans="1:7" x14ac:dyDescent="0.35">
      <c r="A50" s="10" t="s">
        <v>999</v>
      </c>
      <c r="B50" s="6" t="s">
        <v>1563</v>
      </c>
      <c r="C50" s="7" t="s">
        <v>953</v>
      </c>
      <c r="D50" s="7" t="s">
        <v>954</v>
      </c>
      <c r="E50" s="7" t="s">
        <v>410</v>
      </c>
      <c r="F50" s="8">
        <v>658549310</v>
      </c>
      <c r="G50" s="7"/>
    </row>
    <row r="51" spans="1:7" x14ac:dyDescent="0.35">
      <c r="A51" s="9" t="s">
        <v>124</v>
      </c>
      <c r="B51" s="6" t="s">
        <v>1112</v>
      </c>
      <c r="C51" s="7" t="s">
        <v>762</v>
      </c>
      <c r="D51" s="7" t="s">
        <v>763</v>
      </c>
      <c r="E51" s="7" t="s">
        <v>1477</v>
      </c>
      <c r="F51" s="8">
        <v>651542226</v>
      </c>
      <c r="G51" s="7"/>
    </row>
    <row r="52" spans="1:7" x14ac:dyDescent="0.35">
      <c r="A52" s="9" t="s">
        <v>176</v>
      </c>
      <c r="B52" s="6" t="s">
        <v>1324</v>
      </c>
      <c r="C52" s="7" t="s">
        <v>975</v>
      </c>
      <c r="D52" s="7" t="s">
        <v>976</v>
      </c>
      <c r="E52" s="7" t="s">
        <v>1477</v>
      </c>
      <c r="F52" s="8">
        <v>645355346</v>
      </c>
      <c r="G52" s="7" t="s">
        <v>190</v>
      </c>
    </row>
    <row r="53" spans="1:7" x14ac:dyDescent="0.35">
      <c r="A53" s="10" t="s">
        <v>130</v>
      </c>
      <c r="B53" s="6" t="s">
        <v>1370</v>
      </c>
      <c r="C53" s="7" t="s">
        <v>786</v>
      </c>
      <c r="D53" s="7" t="s">
        <v>787</v>
      </c>
      <c r="E53" s="7" t="s">
        <v>270</v>
      </c>
      <c r="F53" s="8">
        <v>656378964</v>
      </c>
      <c r="G53" s="7"/>
    </row>
    <row r="54" spans="1:7" x14ac:dyDescent="0.35">
      <c r="A54" s="9">
        <v>415804</v>
      </c>
      <c r="B54" s="6" t="s">
        <v>1315</v>
      </c>
      <c r="C54" s="7" t="s">
        <v>338</v>
      </c>
      <c r="D54" s="7" t="s">
        <v>339</v>
      </c>
      <c r="E54" s="7" t="s">
        <v>1477</v>
      </c>
      <c r="F54" s="8">
        <v>629027122</v>
      </c>
      <c r="G54" s="7"/>
    </row>
    <row r="55" spans="1:7" x14ac:dyDescent="0.35">
      <c r="A55" s="10" t="s">
        <v>154</v>
      </c>
      <c r="B55" s="6" t="s">
        <v>1121</v>
      </c>
      <c r="C55" s="7" t="s">
        <v>867</v>
      </c>
      <c r="D55" s="7" t="s">
        <v>868</v>
      </c>
      <c r="E55" s="7" t="s">
        <v>181</v>
      </c>
      <c r="F55" s="8">
        <v>678181683</v>
      </c>
      <c r="G55" s="7"/>
    </row>
    <row r="56" spans="1:7" x14ac:dyDescent="0.35">
      <c r="A56" s="9" t="s">
        <v>117</v>
      </c>
      <c r="B56" s="6" t="s">
        <v>1345</v>
      </c>
      <c r="C56" s="7" t="s">
        <v>739</v>
      </c>
      <c r="D56" s="7" t="s">
        <v>740</v>
      </c>
      <c r="E56" s="7" t="s">
        <v>213</v>
      </c>
      <c r="F56" s="8">
        <v>630704316</v>
      </c>
      <c r="G56" s="7"/>
    </row>
    <row r="57" spans="1:7" x14ac:dyDescent="0.35">
      <c r="A57" s="9" t="s">
        <v>97</v>
      </c>
      <c r="B57" s="6" t="s">
        <v>1330</v>
      </c>
      <c r="C57" s="7" t="s">
        <v>677</v>
      </c>
      <c r="D57" s="7" t="s">
        <v>678</v>
      </c>
      <c r="E57" s="7" t="s">
        <v>253</v>
      </c>
      <c r="F57" s="8">
        <v>675745177</v>
      </c>
      <c r="G57" s="7"/>
    </row>
    <row r="58" spans="1:7" x14ac:dyDescent="0.35">
      <c r="A58" s="9">
        <v>413101</v>
      </c>
      <c r="B58" s="6" t="s">
        <v>1147</v>
      </c>
      <c r="C58" s="7" t="s">
        <v>277</v>
      </c>
      <c r="D58" s="7" t="s">
        <v>278</v>
      </c>
      <c r="E58" s="7" t="s">
        <v>256</v>
      </c>
      <c r="F58" s="8" t="s">
        <v>1005</v>
      </c>
      <c r="G58" s="7" t="s">
        <v>190</v>
      </c>
    </row>
    <row r="59" spans="1:7" x14ac:dyDescent="0.35">
      <c r="A59" s="9" t="s">
        <v>1567</v>
      </c>
      <c r="B59" s="6" t="s">
        <v>1568</v>
      </c>
      <c r="C59" s="7" t="s">
        <v>1569</v>
      </c>
      <c r="D59" s="7" t="s">
        <v>1570</v>
      </c>
      <c r="E59" s="7" t="s">
        <v>253</v>
      </c>
      <c r="F59" s="8">
        <v>658419018</v>
      </c>
      <c r="G59" s="7"/>
    </row>
    <row r="60" spans="1:7" x14ac:dyDescent="0.35">
      <c r="A60" s="9" t="s">
        <v>159</v>
      </c>
      <c r="B60" s="6" t="s">
        <v>1360</v>
      </c>
      <c r="C60" s="7" t="s">
        <v>882</v>
      </c>
      <c r="D60" s="7" t="s">
        <v>883</v>
      </c>
      <c r="E60" s="7" t="s">
        <v>491</v>
      </c>
      <c r="F60" s="8">
        <v>615812795</v>
      </c>
      <c r="G60" s="7"/>
    </row>
    <row r="61" spans="1:7" x14ac:dyDescent="0.35">
      <c r="A61" s="9" t="s">
        <v>1000</v>
      </c>
      <c r="B61" s="6" t="s">
        <v>1565</v>
      </c>
      <c r="C61" s="7" t="s">
        <v>957</v>
      </c>
      <c r="D61" s="7" t="s">
        <v>958</v>
      </c>
      <c r="E61" s="7" t="s">
        <v>410</v>
      </c>
      <c r="F61" s="8">
        <v>662251842</v>
      </c>
      <c r="G61" s="7"/>
    </row>
    <row r="62" spans="1:7" x14ac:dyDescent="0.35">
      <c r="A62" s="10" t="s">
        <v>1692</v>
      </c>
      <c r="B62" s="6" t="s">
        <v>1693</v>
      </c>
      <c r="C62" s="7" t="s">
        <v>1694</v>
      </c>
      <c r="D62" s="7" t="s">
        <v>1695</v>
      </c>
      <c r="E62" s="7" t="s">
        <v>890</v>
      </c>
      <c r="F62" s="8">
        <v>655565653</v>
      </c>
      <c r="G62" s="7"/>
    </row>
    <row r="63" spans="1:7" x14ac:dyDescent="0.35">
      <c r="A63" s="9" t="s">
        <v>86</v>
      </c>
      <c r="B63" s="6" t="s">
        <v>1178</v>
      </c>
      <c r="C63" s="7" t="s">
        <v>645</v>
      </c>
      <c r="D63" s="7" t="s">
        <v>646</v>
      </c>
      <c r="E63" s="7" t="s">
        <v>208</v>
      </c>
      <c r="F63" s="8">
        <v>633103214</v>
      </c>
      <c r="G63" s="7"/>
    </row>
    <row r="64" spans="1:7" x14ac:dyDescent="0.35">
      <c r="A64" s="9" t="s">
        <v>1543</v>
      </c>
      <c r="B64" s="6" t="s">
        <v>1544</v>
      </c>
      <c r="C64" s="7" t="s">
        <v>1545</v>
      </c>
      <c r="D64" s="7" t="s">
        <v>1546</v>
      </c>
      <c r="E64" s="7" t="s">
        <v>511</v>
      </c>
      <c r="F64" s="8">
        <v>690119731</v>
      </c>
      <c r="G64" s="7"/>
    </row>
    <row r="65" spans="1:7" x14ac:dyDescent="0.35">
      <c r="A65" s="9" t="s">
        <v>161</v>
      </c>
      <c r="B65" s="6" t="s">
        <v>1362</v>
      </c>
      <c r="C65" s="7" t="s">
        <v>891</v>
      </c>
      <c r="D65" s="7" t="s">
        <v>892</v>
      </c>
      <c r="E65" s="7" t="s">
        <v>491</v>
      </c>
      <c r="F65" s="8">
        <v>663405707</v>
      </c>
      <c r="G65" s="7"/>
    </row>
    <row r="66" spans="1:7" x14ac:dyDescent="0.35">
      <c r="A66" s="9">
        <v>413140</v>
      </c>
      <c r="B66" s="6" t="s">
        <v>1205</v>
      </c>
      <c r="C66" s="7" t="s">
        <v>281</v>
      </c>
      <c r="D66" s="7" t="s">
        <v>282</v>
      </c>
      <c r="E66" s="7" t="s">
        <v>284</v>
      </c>
      <c r="F66" s="8" t="s">
        <v>283</v>
      </c>
      <c r="G66" s="7"/>
    </row>
    <row r="67" spans="1:7" x14ac:dyDescent="0.35">
      <c r="A67" s="9" t="s">
        <v>141</v>
      </c>
      <c r="B67" s="6" t="s">
        <v>1143</v>
      </c>
      <c r="C67" s="7" t="s">
        <v>823</v>
      </c>
      <c r="D67" s="7" t="s">
        <v>824</v>
      </c>
      <c r="E67" s="7" t="s">
        <v>410</v>
      </c>
      <c r="F67" s="8">
        <v>620101696</v>
      </c>
      <c r="G67" s="7"/>
    </row>
    <row r="68" spans="1:7" x14ac:dyDescent="0.35">
      <c r="A68" s="9">
        <v>419601</v>
      </c>
      <c r="B68" s="6" t="s">
        <v>1398</v>
      </c>
      <c r="C68" s="7" t="s">
        <v>419</v>
      </c>
      <c r="D68" s="7" t="s">
        <v>420</v>
      </c>
      <c r="E68" s="7" t="s">
        <v>270</v>
      </c>
      <c r="F68" s="8">
        <v>652638869</v>
      </c>
      <c r="G68" s="7"/>
    </row>
    <row r="69" spans="1:7" x14ac:dyDescent="0.35">
      <c r="A69" s="9">
        <v>412975</v>
      </c>
      <c r="B69" s="6" t="s">
        <v>1442</v>
      </c>
      <c r="C69" s="7" t="s">
        <v>970</v>
      </c>
      <c r="D69" s="7" t="s">
        <v>971</v>
      </c>
      <c r="E69" s="7" t="s">
        <v>1477</v>
      </c>
      <c r="F69" s="8">
        <v>661753946</v>
      </c>
      <c r="G69" s="7"/>
    </row>
    <row r="70" spans="1:7" x14ac:dyDescent="0.35">
      <c r="A70" s="9" t="s">
        <v>1699</v>
      </c>
      <c r="B70" s="6" t="s">
        <v>1700</v>
      </c>
      <c r="C70" s="7" t="s">
        <v>1701</v>
      </c>
      <c r="D70" s="7" t="s">
        <v>1702</v>
      </c>
      <c r="E70" s="7" t="s">
        <v>890</v>
      </c>
      <c r="F70" s="8">
        <v>685470230</v>
      </c>
      <c r="G70" s="7"/>
    </row>
    <row r="71" spans="1:7" x14ac:dyDescent="0.35">
      <c r="A71" s="9" t="s">
        <v>44</v>
      </c>
      <c r="B71" s="6" t="s">
        <v>1271</v>
      </c>
      <c r="C71" s="7" t="s">
        <v>485</v>
      </c>
      <c r="D71" s="7" t="s">
        <v>486</v>
      </c>
      <c r="E71" s="7" t="s">
        <v>224</v>
      </c>
      <c r="F71" s="8">
        <v>625559888</v>
      </c>
      <c r="G71" s="7"/>
    </row>
    <row r="72" spans="1:7" x14ac:dyDescent="0.35">
      <c r="A72" s="9" t="s">
        <v>1625</v>
      </c>
      <c r="B72" s="6" t="s">
        <v>1626</v>
      </c>
      <c r="C72" s="7" t="s">
        <v>1674</v>
      </c>
      <c r="D72" s="7" t="s">
        <v>1627</v>
      </c>
      <c r="E72" s="7" t="s">
        <v>208</v>
      </c>
      <c r="F72" s="8">
        <v>661308309</v>
      </c>
      <c r="G72" s="7" t="s">
        <v>190</v>
      </c>
    </row>
    <row r="73" spans="1:7" x14ac:dyDescent="0.35">
      <c r="A73" s="9" t="s">
        <v>1648</v>
      </c>
      <c r="B73" s="6" t="s">
        <v>1649</v>
      </c>
      <c r="C73" s="7" t="s">
        <v>1683</v>
      </c>
      <c r="D73" s="7" t="s">
        <v>1650</v>
      </c>
      <c r="E73" s="7" t="s">
        <v>491</v>
      </c>
      <c r="F73" s="8">
        <v>633183160</v>
      </c>
      <c r="G73" s="7" t="s">
        <v>1004</v>
      </c>
    </row>
    <row r="74" spans="1:7" x14ac:dyDescent="0.35">
      <c r="A74" s="10" t="s">
        <v>98</v>
      </c>
      <c r="B74" s="6" t="s">
        <v>1209</v>
      </c>
      <c r="C74" s="7" t="s">
        <v>679</v>
      </c>
      <c r="D74" s="7" t="s">
        <v>680</v>
      </c>
      <c r="E74" s="7" t="s">
        <v>200</v>
      </c>
      <c r="F74" s="8">
        <v>647016992</v>
      </c>
      <c r="G74" s="7"/>
    </row>
    <row r="75" spans="1:7" x14ac:dyDescent="0.35">
      <c r="A75" s="9" t="s">
        <v>1072</v>
      </c>
      <c r="B75" s="6" t="s">
        <v>1459</v>
      </c>
      <c r="C75" s="7" t="s">
        <v>1073</v>
      </c>
      <c r="D75" s="7" t="s">
        <v>1074</v>
      </c>
      <c r="E75" s="7" t="s">
        <v>1060</v>
      </c>
      <c r="F75" s="8">
        <v>645366468</v>
      </c>
      <c r="G75" s="7"/>
    </row>
    <row r="76" spans="1:7" x14ac:dyDescent="0.35">
      <c r="A76" s="9">
        <v>417775</v>
      </c>
      <c r="B76" s="6" t="s">
        <v>1522</v>
      </c>
      <c r="C76" s="7" t="s">
        <v>1523</v>
      </c>
      <c r="D76" s="7" t="s">
        <v>1524</v>
      </c>
      <c r="E76" s="7" t="s">
        <v>1060</v>
      </c>
      <c r="F76" s="8">
        <v>657995848</v>
      </c>
      <c r="G76" s="7"/>
    </row>
    <row r="77" spans="1:7" x14ac:dyDescent="0.35">
      <c r="A77" s="9" t="s">
        <v>78</v>
      </c>
      <c r="B77" s="6" t="s">
        <v>1135</v>
      </c>
      <c r="C77" s="7" t="s">
        <v>614</v>
      </c>
      <c r="D77" s="7" t="s">
        <v>615</v>
      </c>
      <c r="E77" s="7" t="s">
        <v>349</v>
      </c>
      <c r="F77" s="8">
        <v>666362590</v>
      </c>
      <c r="G77" s="7"/>
    </row>
    <row r="78" spans="1:7" x14ac:dyDescent="0.35">
      <c r="A78" s="10">
        <v>412364</v>
      </c>
      <c r="B78" s="6" t="s">
        <v>1336</v>
      </c>
      <c r="C78" s="7" t="s">
        <v>242</v>
      </c>
      <c r="D78" s="7" t="s">
        <v>243</v>
      </c>
      <c r="E78" s="7" t="s">
        <v>213</v>
      </c>
      <c r="F78" s="8">
        <v>677378765</v>
      </c>
      <c r="G78" s="7"/>
    </row>
    <row r="79" spans="1:7" x14ac:dyDescent="0.35">
      <c r="A79" s="10" t="s">
        <v>1554</v>
      </c>
      <c r="B79" s="6" t="s">
        <v>1555</v>
      </c>
      <c r="C79" s="7" t="s">
        <v>1556</v>
      </c>
      <c r="D79" s="7" t="s">
        <v>1557</v>
      </c>
      <c r="E79" s="7" t="s">
        <v>181</v>
      </c>
      <c r="F79" s="8">
        <v>622406718</v>
      </c>
      <c r="G79" s="7"/>
    </row>
    <row r="80" spans="1:7" x14ac:dyDescent="0.35">
      <c r="A80" s="9" t="s">
        <v>63</v>
      </c>
      <c r="B80" s="6" t="s">
        <v>1339</v>
      </c>
      <c r="C80" s="7" t="s">
        <v>563</v>
      </c>
      <c r="D80" s="7" t="s">
        <v>564</v>
      </c>
      <c r="E80" s="7" t="s">
        <v>213</v>
      </c>
      <c r="F80" s="8">
        <v>697687082</v>
      </c>
      <c r="G80" s="7"/>
    </row>
    <row r="81" spans="1:7" x14ac:dyDescent="0.35">
      <c r="A81" s="10">
        <v>412103</v>
      </c>
      <c r="B81" s="6" t="s">
        <v>1287</v>
      </c>
      <c r="C81" s="7" t="s">
        <v>238</v>
      </c>
      <c r="D81" s="7" t="s">
        <v>239</v>
      </c>
      <c r="E81" s="7" t="s">
        <v>200</v>
      </c>
      <c r="F81" s="8" t="s">
        <v>1006</v>
      </c>
      <c r="G81" s="7"/>
    </row>
    <row r="82" spans="1:7" x14ac:dyDescent="0.35">
      <c r="A82" s="9">
        <v>412076</v>
      </c>
      <c r="B82" s="6" t="s">
        <v>1307</v>
      </c>
      <c r="C82" s="7" t="s">
        <v>233</v>
      </c>
      <c r="D82" s="7" t="s">
        <v>234</v>
      </c>
      <c r="E82" s="7" t="s">
        <v>200</v>
      </c>
      <c r="F82" s="8">
        <v>645878302</v>
      </c>
      <c r="G82" s="7"/>
    </row>
    <row r="83" spans="1:7" x14ac:dyDescent="0.35">
      <c r="A83" s="10" t="s">
        <v>1654</v>
      </c>
      <c r="B83" s="6" t="s">
        <v>1655</v>
      </c>
      <c r="C83" s="7" t="s">
        <v>1685</v>
      </c>
      <c r="D83" s="7" t="s">
        <v>1656</v>
      </c>
      <c r="E83" s="7" t="s">
        <v>511</v>
      </c>
      <c r="F83" s="8">
        <v>662070503</v>
      </c>
      <c r="G83" s="7" t="s">
        <v>190</v>
      </c>
    </row>
    <row r="84" spans="1:7" x14ac:dyDescent="0.35">
      <c r="A84" s="9" t="s">
        <v>41</v>
      </c>
      <c r="B84" s="6" t="s">
        <v>1270</v>
      </c>
      <c r="C84" s="7" t="s">
        <v>479</v>
      </c>
      <c r="D84" s="7" t="s">
        <v>480</v>
      </c>
      <c r="E84" s="7" t="s">
        <v>913</v>
      </c>
      <c r="F84" s="8">
        <v>657087057</v>
      </c>
      <c r="G84" s="7"/>
    </row>
    <row r="85" spans="1:7" x14ac:dyDescent="0.35">
      <c r="A85" s="10" t="s">
        <v>155</v>
      </c>
      <c r="B85" s="6" t="s">
        <v>1123</v>
      </c>
      <c r="C85" s="7" t="s">
        <v>872</v>
      </c>
      <c r="D85" s="7" t="s">
        <v>873</v>
      </c>
      <c r="E85" s="7" t="s">
        <v>192</v>
      </c>
      <c r="F85" s="8">
        <v>658288630</v>
      </c>
      <c r="G85" s="7"/>
    </row>
    <row r="86" spans="1:7" x14ac:dyDescent="0.35">
      <c r="A86" s="10" t="s">
        <v>168</v>
      </c>
      <c r="B86" s="6" t="s">
        <v>1228</v>
      </c>
      <c r="C86" s="7" t="s">
        <v>919</v>
      </c>
      <c r="D86" s="7" t="s">
        <v>920</v>
      </c>
      <c r="E86" s="7" t="s">
        <v>256</v>
      </c>
      <c r="F86" s="8">
        <v>625189232</v>
      </c>
      <c r="G86" s="7"/>
    </row>
    <row r="87" spans="1:7" x14ac:dyDescent="0.35">
      <c r="A87" s="9">
        <v>414099</v>
      </c>
      <c r="B87" s="6" t="s">
        <v>1251</v>
      </c>
      <c r="C87" s="7" t="s">
        <v>308</v>
      </c>
      <c r="D87" s="7" t="s">
        <v>309</v>
      </c>
      <c r="E87" s="7" t="s">
        <v>511</v>
      </c>
      <c r="F87" s="8">
        <v>670970127</v>
      </c>
      <c r="G87" s="7"/>
    </row>
    <row r="88" spans="1:7" x14ac:dyDescent="0.35">
      <c r="A88" s="10">
        <v>419753</v>
      </c>
      <c r="B88" s="6" t="s">
        <v>1440</v>
      </c>
      <c r="C88" s="7" t="s">
        <v>1595</v>
      </c>
      <c r="D88" s="7" t="s">
        <v>423</v>
      </c>
      <c r="E88" s="7" t="s">
        <v>224</v>
      </c>
      <c r="F88" s="8">
        <v>626971886</v>
      </c>
      <c r="G88" s="7"/>
    </row>
    <row r="89" spans="1:7" x14ac:dyDescent="0.35">
      <c r="A89" s="9">
        <v>419872</v>
      </c>
      <c r="B89" s="6" t="s">
        <v>1422</v>
      </c>
      <c r="C89" s="7" t="s">
        <v>424</v>
      </c>
      <c r="D89" s="7" t="s">
        <v>425</v>
      </c>
      <c r="E89" s="7" t="s">
        <v>284</v>
      </c>
      <c r="F89" s="8">
        <v>630180324</v>
      </c>
      <c r="G89" s="7"/>
    </row>
    <row r="90" spans="1:7" x14ac:dyDescent="0.35">
      <c r="A90" s="10" t="s">
        <v>157</v>
      </c>
      <c r="B90" s="6" t="s">
        <v>1376</v>
      </c>
      <c r="C90" s="7" t="s">
        <v>878</v>
      </c>
      <c r="D90" s="7" t="s">
        <v>879</v>
      </c>
      <c r="E90" s="7" t="s">
        <v>253</v>
      </c>
      <c r="F90" s="8">
        <v>678870208</v>
      </c>
      <c r="G90" s="7"/>
    </row>
    <row r="91" spans="1:7" x14ac:dyDescent="0.35">
      <c r="A91" s="9">
        <v>412864</v>
      </c>
      <c r="B91" s="6" t="s">
        <v>1309</v>
      </c>
      <c r="C91" s="7" t="s">
        <v>262</v>
      </c>
      <c r="D91" s="7" t="s">
        <v>263</v>
      </c>
      <c r="E91" s="7" t="s">
        <v>1477</v>
      </c>
      <c r="F91" s="8" t="s">
        <v>264</v>
      </c>
      <c r="G91" s="7"/>
    </row>
    <row r="92" spans="1:7" x14ac:dyDescent="0.35">
      <c r="A92" s="9" t="s">
        <v>74</v>
      </c>
      <c r="B92" s="6" t="s">
        <v>1257</v>
      </c>
      <c r="C92" s="7" t="s">
        <v>600</v>
      </c>
      <c r="D92" s="7" t="s">
        <v>601</v>
      </c>
      <c r="E92" s="7" t="s">
        <v>913</v>
      </c>
      <c r="F92" s="8">
        <v>695172316</v>
      </c>
      <c r="G92" s="7"/>
    </row>
    <row r="93" spans="1:7" x14ac:dyDescent="0.35">
      <c r="A93" s="9" t="s">
        <v>55</v>
      </c>
      <c r="B93" s="6" t="s">
        <v>1399</v>
      </c>
      <c r="C93" s="7" t="s">
        <v>533</v>
      </c>
      <c r="D93" s="7" t="s">
        <v>534</v>
      </c>
      <c r="E93" s="7" t="s">
        <v>270</v>
      </c>
      <c r="F93" s="8">
        <v>677351741</v>
      </c>
      <c r="G93" s="7"/>
    </row>
    <row r="94" spans="1:7" x14ac:dyDescent="0.35">
      <c r="A94" s="9">
        <v>414051</v>
      </c>
      <c r="B94" s="6" t="s">
        <v>1274</v>
      </c>
      <c r="C94" s="7" t="s">
        <v>302</v>
      </c>
      <c r="D94" s="7" t="s">
        <v>303</v>
      </c>
      <c r="E94" s="7" t="s">
        <v>511</v>
      </c>
      <c r="F94" s="8">
        <v>630792018</v>
      </c>
      <c r="G94" s="7"/>
    </row>
    <row r="95" spans="1:7" x14ac:dyDescent="0.35">
      <c r="A95" s="10">
        <v>416567</v>
      </c>
      <c r="B95" s="6" t="s">
        <v>1154</v>
      </c>
      <c r="C95" s="7" t="s">
        <v>365</v>
      </c>
      <c r="D95" s="7" t="s">
        <v>366</v>
      </c>
      <c r="E95" s="7" t="s">
        <v>253</v>
      </c>
      <c r="F95" s="8">
        <v>658124998</v>
      </c>
      <c r="G95" s="7"/>
    </row>
    <row r="96" spans="1:7" x14ac:dyDescent="0.35">
      <c r="A96" s="9" t="s">
        <v>1651</v>
      </c>
      <c r="B96" s="6" t="s">
        <v>1652</v>
      </c>
      <c r="C96" s="7" t="s">
        <v>1684</v>
      </c>
      <c r="D96" s="7" t="s">
        <v>1653</v>
      </c>
      <c r="E96" s="7" t="s">
        <v>511</v>
      </c>
      <c r="F96" s="8">
        <v>672714215</v>
      </c>
      <c r="G96" s="7" t="s">
        <v>1709</v>
      </c>
    </row>
    <row r="97" spans="1:7" x14ac:dyDescent="0.35">
      <c r="A97" s="10">
        <v>412000</v>
      </c>
      <c r="B97" s="6" t="s">
        <v>1441</v>
      </c>
      <c r="C97" s="7" t="s">
        <v>230</v>
      </c>
      <c r="D97" s="7" t="s">
        <v>231</v>
      </c>
      <c r="E97" s="7" t="s">
        <v>410</v>
      </c>
      <c r="F97" s="8" t="s">
        <v>232</v>
      </c>
      <c r="G97" s="7"/>
    </row>
    <row r="98" spans="1:7" x14ac:dyDescent="0.35">
      <c r="A98" s="9" t="s">
        <v>65</v>
      </c>
      <c r="B98" s="6" t="s">
        <v>1349</v>
      </c>
      <c r="C98" s="7" t="s">
        <v>573</v>
      </c>
      <c r="D98" s="7" t="s">
        <v>574</v>
      </c>
      <c r="E98" s="7" t="s">
        <v>491</v>
      </c>
      <c r="F98" s="8">
        <v>685276124</v>
      </c>
      <c r="G98" s="7"/>
    </row>
    <row r="99" spans="1:7" x14ac:dyDescent="0.35">
      <c r="A99" s="9" t="s">
        <v>103</v>
      </c>
      <c r="B99" s="6" t="s">
        <v>1344</v>
      </c>
      <c r="C99" s="7" t="s">
        <v>695</v>
      </c>
      <c r="D99" s="7" t="s">
        <v>696</v>
      </c>
      <c r="E99" s="7" t="s">
        <v>213</v>
      </c>
      <c r="F99" s="8">
        <v>661330153</v>
      </c>
      <c r="G99" s="7"/>
    </row>
    <row r="100" spans="1:7" x14ac:dyDescent="0.35">
      <c r="A100" s="9">
        <v>419604</v>
      </c>
      <c r="B100" s="6" t="s">
        <v>1450</v>
      </c>
      <c r="C100" s="7" t="s">
        <v>421</v>
      </c>
      <c r="D100" s="7" t="s">
        <v>422</v>
      </c>
      <c r="E100" s="7" t="s">
        <v>329</v>
      </c>
      <c r="F100" s="8">
        <v>661928919</v>
      </c>
      <c r="G100" s="7"/>
    </row>
    <row r="101" spans="1:7" x14ac:dyDescent="0.35">
      <c r="A101" s="9">
        <v>416565</v>
      </c>
      <c r="B101" s="6" t="s">
        <v>1230</v>
      </c>
      <c r="C101" s="7" t="s">
        <v>360</v>
      </c>
      <c r="D101" s="7" t="s">
        <v>361</v>
      </c>
      <c r="E101" s="7" t="s">
        <v>192</v>
      </c>
      <c r="F101" s="8">
        <v>635466900</v>
      </c>
      <c r="G101" s="7"/>
    </row>
    <row r="102" spans="1:7" x14ac:dyDescent="0.35">
      <c r="A102" s="9" t="s">
        <v>76</v>
      </c>
      <c r="B102" s="6" t="s">
        <v>1258</v>
      </c>
      <c r="C102" s="7" t="s">
        <v>604</v>
      </c>
      <c r="D102" s="7" t="s">
        <v>605</v>
      </c>
      <c r="E102" s="7" t="s">
        <v>210</v>
      </c>
      <c r="F102" s="8" t="s">
        <v>606</v>
      </c>
      <c r="G102" s="7"/>
    </row>
    <row r="103" spans="1:7" x14ac:dyDescent="0.35">
      <c r="A103" s="10" t="s">
        <v>174</v>
      </c>
      <c r="B103" s="6" t="s">
        <v>1250</v>
      </c>
      <c r="C103" s="7" t="s">
        <v>964</v>
      </c>
      <c r="D103" s="7" t="s">
        <v>1063</v>
      </c>
      <c r="E103" s="7" t="s">
        <v>256</v>
      </c>
      <c r="F103" s="8" t="s">
        <v>1008</v>
      </c>
      <c r="G103" s="7" t="s">
        <v>1004</v>
      </c>
    </row>
    <row r="104" spans="1:7" x14ac:dyDescent="0.35">
      <c r="A104" s="9" t="s">
        <v>39</v>
      </c>
      <c r="B104" s="6" t="s">
        <v>1131</v>
      </c>
      <c r="C104" s="7" t="s">
        <v>473</v>
      </c>
      <c r="D104" s="7" t="s">
        <v>474</v>
      </c>
      <c r="E104" s="7" t="s">
        <v>913</v>
      </c>
      <c r="F104" s="8">
        <v>676913326</v>
      </c>
      <c r="G104" s="7"/>
    </row>
    <row r="105" spans="1:7" x14ac:dyDescent="0.35">
      <c r="A105" s="9" t="s">
        <v>38</v>
      </c>
      <c r="B105" s="6" t="s">
        <v>1268</v>
      </c>
      <c r="C105" s="7" t="s">
        <v>467</v>
      </c>
      <c r="D105" s="7" t="s">
        <v>468</v>
      </c>
      <c r="E105" s="7" t="s">
        <v>913</v>
      </c>
      <c r="F105" s="8" t="s">
        <v>1005</v>
      </c>
      <c r="G105" s="7"/>
    </row>
    <row r="106" spans="1:7" x14ac:dyDescent="0.35">
      <c r="A106" s="10">
        <v>415969</v>
      </c>
      <c r="B106" s="6" t="s">
        <v>1381</v>
      </c>
      <c r="C106" s="7" t="s">
        <v>940</v>
      </c>
      <c r="D106" s="7" t="s">
        <v>941</v>
      </c>
      <c r="E106" s="7" t="s">
        <v>200</v>
      </c>
      <c r="F106" s="8">
        <v>626521198</v>
      </c>
      <c r="G106" s="7"/>
    </row>
    <row r="107" spans="1:7" x14ac:dyDescent="0.35">
      <c r="A107" s="9" t="s">
        <v>133</v>
      </c>
      <c r="B107" s="6" t="s">
        <v>1117</v>
      </c>
      <c r="C107" s="7" t="s">
        <v>795</v>
      </c>
      <c r="D107" s="7" t="s">
        <v>796</v>
      </c>
      <c r="E107" s="7" t="s">
        <v>181</v>
      </c>
      <c r="F107" s="8">
        <v>638403308</v>
      </c>
      <c r="G107" s="7"/>
    </row>
    <row r="108" spans="1:7" x14ac:dyDescent="0.35">
      <c r="A108" s="9">
        <v>415882</v>
      </c>
      <c r="B108" s="6" t="s">
        <v>1128</v>
      </c>
      <c r="C108" s="7" t="s">
        <v>347</v>
      </c>
      <c r="D108" s="7" t="s">
        <v>348</v>
      </c>
      <c r="E108" s="7" t="s">
        <v>253</v>
      </c>
      <c r="F108" s="8" t="s">
        <v>223</v>
      </c>
      <c r="G108" s="7"/>
    </row>
    <row r="109" spans="1:7" x14ac:dyDescent="0.35">
      <c r="A109" s="9" t="s">
        <v>89</v>
      </c>
      <c r="B109" s="6" t="s">
        <v>1353</v>
      </c>
      <c r="C109" s="7" t="s">
        <v>655</v>
      </c>
      <c r="D109" s="7" t="s">
        <v>656</v>
      </c>
      <c r="E109" s="7" t="s">
        <v>491</v>
      </c>
      <c r="F109" s="8">
        <v>656331962</v>
      </c>
      <c r="G109" s="7"/>
    </row>
    <row r="110" spans="1:7" x14ac:dyDescent="0.35">
      <c r="A110" s="9">
        <v>415958</v>
      </c>
      <c r="B110" s="6" t="s">
        <v>1237</v>
      </c>
      <c r="C110" s="7" t="s">
        <v>353</v>
      </c>
      <c r="D110" s="7" t="s">
        <v>354</v>
      </c>
      <c r="E110" s="7" t="s">
        <v>192</v>
      </c>
      <c r="F110" s="8">
        <v>955695126</v>
      </c>
      <c r="G110" s="7"/>
    </row>
    <row r="111" spans="1:7" x14ac:dyDescent="0.35">
      <c r="A111" s="9" t="s">
        <v>156</v>
      </c>
      <c r="B111" s="6" t="s">
        <v>1286</v>
      </c>
      <c r="C111" s="7" t="s">
        <v>876</v>
      </c>
      <c r="D111" s="7" t="s">
        <v>877</v>
      </c>
      <c r="E111" s="7" t="s">
        <v>913</v>
      </c>
      <c r="F111" s="8">
        <v>656960525</v>
      </c>
      <c r="G111" s="7"/>
    </row>
    <row r="112" spans="1:7" x14ac:dyDescent="0.35">
      <c r="A112" s="9" t="s">
        <v>56</v>
      </c>
      <c r="B112" s="6" t="s">
        <v>1106</v>
      </c>
      <c r="C112" s="7" t="s">
        <v>535</v>
      </c>
      <c r="D112" s="7" t="s">
        <v>536</v>
      </c>
      <c r="E112" s="7" t="s">
        <v>181</v>
      </c>
      <c r="F112" s="8">
        <v>625525623</v>
      </c>
      <c r="G112" s="7"/>
    </row>
    <row r="113" spans="1:7" x14ac:dyDescent="0.35">
      <c r="A113" s="10" t="s">
        <v>118</v>
      </c>
      <c r="B113" s="6" t="s">
        <v>1180</v>
      </c>
      <c r="C113" s="7" t="s">
        <v>741</v>
      </c>
      <c r="D113" s="7" t="s">
        <v>742</v>
      </c>
      <c r="E113" s="7" t="s">
        <v>208</v>
      </c>
      <c r="F113" s="8">
        <v>645627852</v>
      </c>
      <c r="G113" s="7"/>
    </row>
    <row r="114" spans="1:7" x14ac:dyDescent="0.35">
      <c r="A114" s="9" t="s">
        <v>175</v>
      </c>
      <c r="B114" s="6" t="s">
        <v>1239</v>
      </c>
      <c r="C114" s="7" t="s">
        <v>966</v>
      </c>
      <c r="D114" s="7" t="s">
        <v>1062</v>
      </c>
      <c r="E114" s="7" t="s">
        <v>1060</v>
      </c>
      <c r="F114" s="8">
        <v>616516304</v>
      </c>
      <c r="G114" s="7"/>
    </row>
    <row r="115" spans="1:7" x14ac:dyDescent="0.35">
      <c r="A115" s="9" t="s">
        <v>1643</v>
      </c>
      <c r="B115" s="6" t="s">
        <v>1644</v>
      </c>
      <c r="C115" s="7" t="s">
        <v>1681</v>
      </c>
      <c r="D115" s="7" t="s">
        <v>1645</v>
      </c>
      <c r="E115" s="7" t="s">
        <v>913</v>
      </c>
      <c r="F115" s="8">
        <v>652157718</v>
      </c>
      <c r="G115" s="7" t="s">
        <v>1709</v>
      </c>
    </row>
    <row r="116" spans="1:7" x14ac:dyDescent="0.35">
      <c r="A116" s="9">
        <v>417812</v>
      </c>
      <c r="B116" s="6" t="s">
        <v>1527</v>
      </c>
      <c r="C116" s="7" t="s">
        <v>1528</v>
      </c>
      <c r="D116" s="7" t="s">
        <v>1529</v>
      </c>
      <c r="E116" s="7" t="s">
        <v>913</v>
      </c>
      <c r="F116" s="8">
        <v>662508067</v>
      </c>
      <c r="G116" s="7"/>
    </row>
    <row r="117" spans="1:7" x14ac:dyDescent="0.35">
      <c r="A117" s="10" t="s">
        <v>35</v>
      </c>
      <c r="B117" s="6" t="s">
        <v>1149</v>
      </c>
      <c r="C117" s="7" t="s">
        <v>455</v>
      </c>
      <c r="D117" s="7" t="s">
        <v>456</v>
      </c>
      <c r="E117" s="7" t="s">
        <v>253</v>
      </c>
      <c r="F117" s="8">
        <v>675070194</v>
      </c>
      <c r="G117" s="7"/>
    </row>
    <row r="118" spans="1:7" x14ac:dyDescent="0.35">
      <c r="A118" s="9">
        <v>412740</v>
      </c>
      <c r="B118" s="6" t="s">
        <v>1191</v>
      </c>
      <c r="C118" s="7" t="s">
        <v>254</v>
      </c>
      <c r="D118" s="7" t="s">
        <v>255</v>
      </c>
      <c r="E118" s="7" t="s">
        <v>349</v>
      </c>
      <c r="F118" s="8">
        <v>954074020</v>
      </c>
      <c r="G118" s="7"/>
    </row>
    <row r="119" spans="1:7" x14ac:dyDescent="0.35">
      <c r="A119" s="9" t="s">
        <v>142</v>
      </c>
      <c r="B119" s="6" t="s">
        <v>1281</v>
      </c>
      <c r="C119" s="7" t="s">
        <v>825</v>
      </c>
      <c r="D119" s="7" t="s">
        <v>826</v>
      </c>
      <c r="E119" s="7" t="s">
        <v>913</v>
      </c>
      <c r="F119" s="8">
        <v>650311443</v>
      </c>
      <c r="G119" s="7"/>
    </row>
    <row r="120" spans="1:7" x14ac:dyDescent="0.35">
      <c r="A120" s="9" t="s">
        <v>64</v>
      </c>
      <c r="B120" s="6" t="s">
        <v>1241</v>
      </c>
      <c r="C120" s="7" t="s">
        <v>565</v>
      </c>
      <c r="D120" s="7" t="s">
        <v>566</v>
      </c>
      <c r="E120" s="7" t="s">
        <v>192</v>
      </c>
      <c r="F120" s="8">
        <v>655311748</v>
      </c>
      <c r="G120" s="7"/>
    </row>
    <row r="121" spans="1:7" x14ac:dyDescent="0.35">
      <c r="A121" s="9" t="s">
        <v>170</v>
      </c>
      <c r="B121" s="6" t="s">
        <v>1229</v>
      </c>
      <c r="C121" s="7" t="s">
        <v>925</v>
      </c>
      <c r="D121" s="7" t="s">
        <v>926</v>
      </c>
      <c r="E121" s="7" t="s">
        <v>256</v>
      </c>
      <c r="F121" s="8" t="s">
        <v>927</v>
      </c>
      <c r="G121" s="7"/>
    </row>
    <row r="122" spans="1:7" x14ac:dyDescent="0.35">
      <c r="A122" s="10" t="s">
        <v>132</v>
      </c>
      <c r="B122" s="6" t="s">
        <v>1372</v>
      </c>
      <c r="C122" s="7" t="s">
        <v>793</v>
      </c>
      <c r="D122" s="7" t="s">
        <v>794</v>
      </c>
      <c r="E122" s="7" t="s">
        <v>270</v>
      </c>
      <c r="F122" s="8">
        <v>625443508</v>
      </c>
      <c r="G122" s="7"/>
    </row>
    <row r="123" spans="1:7" x14ac:dyDescent="0.35">
      <c r="A123" s="9">
        <v>415660</v>
      </c>
      <c r="B123" s="6" t="s">
        <v>1194</v>
      </c>
      <c r="C123" s="7" t="s">
        <v>335</v>
      </c>
      <c r="D123" s="7" t="s">
        <v>336</v>
      </c>
      <c r="E123" s="7" t="s">
        <v>329</v>
      </c>
      <c r="F123" s="8">
        <v>600086024</v>
      </c>
      <c r="G123" s="7"/>
    </row>
    <row r="124" spans="1:7" x14ac:dyDescent="0.35">
      <c r="A124" s="9">
        <v>411893</v>
      </c>
      <c r="B124" s="6" t="s">
        <v>1305</v>
      </c>
      <c r="C124" s="7" t="s">
        <v>979</v>
      </c>
      <c r="D124" s="7" t="s">
        <v>980</v>
      </c>
      <c r="E124" s="7" t="s">
        <v>200</v>
      </c>
      <c r="F124" s="8">
        <v>616167663</v>
      </c>
      <c r="G124" s="7" t="s">
        <v>190</v>
      </c>
    </row>
    <row r="125" spans="1:7" x14ac:dyDescent="0.35">
      <c r="A125" s="9" t="s">
        <v>134</v>
      </c>
      <c r="B125" s="6" t="s">
        <v>1142</v>
      </c>
      <c r="C125" s="7" t="s">
        <v>798</v>
      </c>
      <c r="D125" s="7" t="s">
        <v>799</v>
      </c>
      <c r="E125" s="7" t="s">
        <v>410</v>
      </c>
      <c r="F125" s="8">
        <v>622785070</v>
      </c>
      <c r="G125" s="7"/>
    </row>
    <row r="126" spans="1:7" x14ac:dyDescent="0.35">
      <c r="A126" s="9">
        <v>418808</v>
      </c>
      <c r="B126" s="6" t="s">
        <v>1248</v>
      </c>
      <c r="C126" s="7" t="s">
        <v>413</v>
      </c>
      <c r="D126" s="7" t="s">
        <v>414</v>
      </c>
      <c r="E126" s="7" t="s">
        <v>511</v>
      </c>
      <c r="F126" s="8">
        <v>653178614</v>
      </c>
      <c r="G126" s="7"/>
    </row>
    <row r="127" spans="1:7" x14ac:dyDescent="0.35">
      <c r="A127" s="9" t="s">
        <v>149</v>
      </c>
      <c r="B127" s="6" t="s">
        <v>1356</v>
      </c>
      <c r="C127" s="7" t="s">
        <v>848</v>
      </c>
      <c r="D127" s="7" t="s">
        <v>849</v>
      </c>
      <c r="E127" s="7" t="s">
        <v>491</v>
      </c>
      <c r="F127" s="8">
        <v>675406162</v>
      </c>
      <c r="G127" s="7"/>
    </row>
    <row r="128" spans="1:7" x14ac:dyDescent="0.35">
      <c r="A128" s="9" t="s">
        <v>1548</v>
      </c>
      <c r="B128" s="6" t="s">
        <v>1549</v>
      </c>
      <c r="C128" s="7" t="s">
        <v>1550</v>
      </c>
      <c r="D128" s="7" t="s">
        <v>1551</v>
      </c>
      <c r="E128" s="7" t="s">
        <v>1060</v>
      </c>
      <c r="F128" s="8">
        <v>675416262</v>
      </c>
      <c r="G128" s="7"/>
    </row>
    <row r="129" spans="1:7" x14ac:dyDescent="0.35">
      <c r="A129" s="9" t="s">
        <v>33</v>
      </c>
      <c r="B129" s="6" t="s">
        <v>1299</v>
      </c>
      <c r="C129" s="7" t="s">
        <v>448</v>
      </c>
      <c r="D129" s="7" t="s">
        <v>449</v>
      </c>
      <c r="E129" s="7" t="s">
        <v>200</v>
      </c>
      <c r="F129" s="8">
        <v>651321889</v>
      </c>
      <c r="G129" s="7"/>
    </row>
    <row r="130" spans="1:7" x14ac:dyDescent="0.35">
      <c r="A130" s="9" t="s">
        <v>52</v>
      </c>
      <c r="B130" s="6" t="s">
        <v>1436</v>
      </c>
      <c r="C130" s="7" t="s">
        <v>523</v>
      </c>
      <c r="D130" s="7" t="s">
        <v>524</v>
      </c>
      <c r="E130" s="7" t="s">
        <v>210</v>
      </c>
      <c r="F130" s="8">
        <v>697407408</v>
      </c>
      <c r="G130" s="7"/>
    </row>
    <row r="131" spans="1:7" x14ac:dyDescent="0.35">
      <c r="A131" s="10">
        <v>417160</v>
      </c>
      <c r="B131" s="6" t="s">
        <v>1253</v>
      </c>
      <c r="C131" s="7" t="s">
        <v>377</v>
      </c>
      <c r="D131" s="7" t="s">
        <v>378</v>
      </c>
      <c r="E131" s="7" t="s">
        <v>511</v>
      </c>
      <c r="F131" s="8">
        <v>618332294</v>
      </c>
      <c r="G131" s="7"/>
    </row>
    <row r="132" spans="1:7" x14ac:dyDescent="0.35">
      <c r="A132" s="9" t="s">
        <v>28</v>
      </c>
      <c r="B132" s="6" t="s">
        <v>1232</v>
      </c>
      <c r="C132" s="7" t="s">
        <v>426</v>
      </c>
      <c r="D132" s="7" t="s">
        <v>427</v>
      </c>
      <c r="E132" s="7" t="s">
        <v>192</v>
      </c>
      <c r="F132" s="8">
        <v>653825326</v>
      </c>
      <c r="G132" s="7"/>
    </row>
    <row r="133" spans="1:7" x14ac:dyDescent="0.35">
      <c r="A133" s="9" t="s">
        <v>163</v>
      </c>
      <c r="B133" s="6" t="s">
        <v>1166</v>
      </c>
      <c r="C133" s="7" t="s">
        <v>898</v>
      </c>
      <c r="D133" s="7" t="s">
        <v>899</v>
      </c>
      <c r="E133" s="7" t="s">
        <v>253</v>
      </c>
      <c r="F133" s="8">
        <v>666832211</v>
      </c>
      <c r="G133" s="7"/>
    </row>
    <row r="134" spans="1:7" x14ac:dyDescent="0.35">
      <c r="A134" s="9">
        <v>414044</v>
      </c>
      <c r="B134" s="6" t="s">
        <v>1508</v>
      </c>
      <c r="C134" s="7" t="s">
        <v>1509</v>
      </c>
      <c r="D134" s="7" t="s">
        <v>1510</v>
      </c>
      <c r="E134" s="7" t="s">
        <v>200</v>
      </c>
      <c r="F134" s="8">
        <v>600604131</v>
      </c>
      <c r="G134" s="7"/>
    </row>
    <row r="135" spans="1:7" x14ac:dyDescent="0.35">
      <c r="A135" s="9">
        <v>414391</v>
      </c>
      <c r="B135" s="6" t="s">
        <v>1266</v>
      </c>
      <c r="C135" s="7" t="s">
        <v>316</v>
      </c>
      <c r="D135" s="7" t="s">
        <v>317</v>
      </c>
      <c r="E135" s="7" t="s">
        <v>913</v>
      </c>
      <c r="F135" s="8" t="s">
        <v>1010</v>
      </c>
      <c r="G135" s="7"/>
    </row>
    <row r="136" spans="1:7" x14ac:dyDescent="0.35">
      <c r="A136" s="10" t="s">
        <v>146</v>
      </c>
      <c r="B136" s="6" t="s">
        <v>1284</v>
      </c>
      <c r="C136" s="7" t="s">
        <v>837</v>
      </c>
      <c r="D136" s="7" t="s">
        <v>838</v>
      </c>
      <c r="E136" s="7" t="s">
        <v>913</v>
      </c>
      <c r="F136" s="8">
        <v>665382709</v>
      </c>
      <c r="G136" s="7"/>
    </row>
    <row r="137" spans="1:7" x14ac:dyDescent="0.35">
      <c r="A137" s="9" t="s">
        <v>135</v>
      </c>
      <c r="B137" s="6" t="s">
        <v>1280</v>
      </c>
      <c r="C137" s="7" t="s">
        <v>800</v>
      </c>
      <c r="D137" s="7" t="s">
        <v>801</v>
      </c>
      <c r="E137" s="7" t="s">
        <v>913</v>
      </c>
      <c r="F137" s="8">
        <v>665335575</v>
      </c>
      <c r="G137" s="7"/>
    </row>
    <row r="138" spans="1:7" x14ac:dyDescent="0.35">
      <c r="A138" s="9" t="s">
        <v>70</v>
      </c>
      <c r="B138" s="6" t="s">
        <v>1243</v>
      </c>
      <c r="C138" s="7" t="s">
        <v>590</v>
      </c>
      <c r="D138" s="7" t="s">
        <v>591</v>
      </c>
      <c r="E138" s="7" t="s">
        <v>192</v>
      </c>
      <c r="F138" s="8">
        <v>660581839</v>
      </c>
      <c r="G138" s="7"/>
    </row>
    <row r="139" spans="1:7" x14ac:dyDescent="0.35">
      <c r="A139" s="9">
        <v>417619</v>
      </c>
      <c r="B139" s="6" t="s">
        <v>1133</v>
      </c>
      <c r="C139" s="7" t="s">
        <v>382</v>
      </c>
      <c r="D139" s="7" t="s">
        <v>383</v>
      </c>
      <c r="E139" s="7" t="s">
        <v>224</v>
      </c>
      <c r="F139" s="8">
        <v>670367044</v>
      </c>
      <c r="G139" s="7"/>
    </row>
    <row r="140" spans="1:7" x14ac:dyDescent="0.35">
      <c r="A140" s="9" t="s">
        <v>1047</v>
      </c>
      <c r="B140" s="6" t="s">
        <v>1411</v>
      </c>
      <c r="C140" s="7" t="s">
        <v>1048</v>
      </c>
      <c r="D140" s="7" t="s">
        <v>1049</v>
      </c>
      <c r="E140" s="7" t="s">
        <v>1060</v>
      </c>
      <c r="F140" s="8">
        <v>629438789</v>
      </c>
      <c r="G140" s="7"/>
    </row>
    <row r="141" spans="1:7" x14ac:dyDescent="0.35">
      <c r="A141" s="9" t="s">
        <v>1029</v>
      </c>
      <c r="B141" s="6" t="s">
        <v>1414</v>
      </c>
      <c r="C141" s="7" t="s">
        <v>1030</v>
      </c>
      <c r="D141" s="7" t="s">
        <v>1031</v>
      </c>
      <c r="E141" s="7" t="s">
        <v>1060</v>
      </c>
      <c r="F141" s="8">
        <v>689680744</v>
      </c>
      <c r="G141" s="7"/>
    </row>
    <row r="142" spans="1:7" x14ac:dyDescent="0.35">
      <c r="A142" s="10" t="s">
        <v>108</v>
      </c>
      <c r="B142" s="6" t="s">
        <v>1226</v>
      </c>
      <c r="C142" s="7" t="s">
        <v>713</v>
      </c>
      <c r="D142" s="7" t="s">
        <v>714</v>
      </c>
      <c r="E142" s="7" t="s">
        <v>210</v>
      </c>
      <c r="F142" s="8">
        <v>660560584</v>
      </c>
      <c r="G142" s="7"/>
    </row>
    <row r="143" spans="1:7" x14ac:dyDescent="0.35">
      <c r="A143" s="9" t="s">
        <v>1537</v>
      </c>
      <c r="B143" s="6" t="s">
        <v>1538</v>
      </c>
      <c r="C143" s="7" t="s">
        <v>1539</v>
      </c>
      <c r="D143" s="7" t="s">
        <v>1540</v>
      </c>
      <c r="E143" s="7" t="s">
        <v>200</v>
      </c>
      <c r="F143" s="8">
        <v>656694947</v>
      </c>
      <c r="G143" s="7"/>
    </row>
    <row r="144" spans="1:7" x14ac:dyDescent="0.35">
      <c r="A144" s="9" t="s">
        <v>1500</v>
      </c>
      <c r="B144" s="6" t="s">
        <v>1501</v>
      </c>
      <c r="C144" s="7" t="s">
        <v>1502</v>
      </c>
      <c r="D144" s="7" t="s">
        <v>1503</v>
      </c>
      <c r="E144" s="7" t="s">
        <v>208</v>
      </c>
      <c r="F144" s="8">
        <v>611125150</v>
      </c>
      <c r="G144" s="7"/>
    </row>
    <row r="145" spans="1:7" x14ac:dyDescent="0.35">
      <c r="A145" s="9">
        <v>410512</v>
      </c>
      <c r="B145" s="6" t="s">
        <v>1301</v>
      </c>
      <c r="C145" s="7" t="s">
        <v>196</v>
      </c>
      <c r="D145" s="7" t="s">
        <v>197</v>
      </c>
      <c r="E145" s="7" t="s">
        <v>1477</v>
      </c>
      <c r="F145" s="8" t="s">
        <v>1011</v>
      </c>
      <c r="G145" s="7" t="s">
        <v>190</v>
      </c>
    </row>
    <row r="146" spans="1:7" x14ac:dyDescent="0.35">
      <c r="A146" s="9" t="s">
        <v>37</v>
      </c>
      <c r="B146" s="6" t="s">
        <v>1318</v>
      </c>
      <c r="C146" s="7" t="s">
        <v>462</v>
      </c>
      <c r="D146" s="7" t="s">
        <v>463</v>
      </c>
      <c r="E146" s="7" t="s">
        <v>410</v>
      </c>
      <c r="F146" s="8">
        <v>692831350</v>
      </c>
      <c r="G146" s="7" t="s">
        <v>190</v>
      </c>
    </row>
    <row r="147" spans="1:7" x14ac:dyDescent="0.35">
      <c r="A147" s="9">
        <v>418952</v>
      </c>
      <c r="B147" s="6" t="s">
        <v>1130</v>
      </c>
      <c r="C147" s="7" t="s">
        <v>417</v>
      </c>
      <c r="D147" s="7" t="s">
        <v>418</v>
      </c>
      <c r="E147" s="7" t="s">
        <v>210</v>
      </c>
      <c r="F147" s="8">
        <v>666959644</v>
      </c>
      <c r="G147" s="7"/>
    </row>
    <row r="148" spans="1:7" x14ac:dyDescent="0.35">
      <c r="A148" s="9">
        <v>414714</v>
      </c>
      <c r="B148" s="6" t="s">
        <v>1401</v>
      </c>
      <c r="C148" s="7" t="s">
        <v>326</v>
      </c>
      <c r="D148" s="7" t="s">
        <v>327</v>
      </c>
      <c r="E148" s="7" t="s">
        <v>213</v>
      </c>
      <c r="F148" s="8">
        <v>697984725</v>
      </c>
      <c r="G148" s="7"/>
    </row>
    <row r="149" spans="1:7" x14ac:dyDescent="0.35">
      <c r="A149" s="9" t="s">
        <v>30</v>
      </c>
      <c r="B149" s="6" t="s">
        <v>1446</v>
      </c>
      <c r="C149" s="7" t="s">
        <v>434</v>
      </c>
      <c r="D149" s="7" t="s">
        <v>435</v>
      </c>
      <c r="E149" s="7" t="s">
        <v>181</v>
      </c>
      <c r="F149" s="8">
        <v>676895823</v>
      </c>
      <c r="G149" s="7"/>
    </row>
    <row r="150" spans="1:7" x14ac:dyDescent="0.35">
      <c r="A150" s="9">
        <v>418240</v>
      </c>
      <c r="B150" s="6" t="s">
        <v>1195</v>
      </c>
      <c r="C150" s="7" t="s">
        <v>395</v>
      </c>
      <c r="D150" s="7" t="s">
        <v>396</v>
      </c>
      <c r="E150" s="7" t="s">
        <v>329</v>
      </c>
      <c r="F150" s="8">
        <v>678922969</v>
      </c>
      <c r="G150" s="7"/>
    </row>
    <row r="151" spans="1:7" x14ac:dyDescent="0.35">
      <c r="A151" s="10" t="s">
        <v>34</v>
      </c>
      <c r="B151" s="6" t="s">
        <v>1317</v>
      </c>
      <c r="C151" s="7" t="s">
        <v>453</v>
      </c>
      <c r="D151" s="7" t="s">
        <v>454</v>
      </c>
      <c r="E151" s="7" t="s">
        <v>224</v>
      </c>
      <c r="F151" s="8">
        <v>665273236</v>
      </c>
      <c r="G151" s="7"/>
    </row>
    <row r="152" spans="1:7" x14ac:dyDescent="0.35">
      <c r="A152" s="10" t="s">
        <v>32</v>
      </c>
      <c r="B152" s="6" t="s">
        <v>1170</v>
      </c>
      <c r="C152" s="7" t="s">
        <v>443</v>
      </c>
      <c r="D152" s="7" t="s">
        <v>444</v>
      </c>
      <c r="E152" s="7" t="s">
        <v>200</v>
      </c>
      <c r="F152" s="8">
        <v>666749422</v>
      </c>
      <c r="G152" s="7"/>
    </row>
    <row r="153" spans="1:7" x14ac:dyDescent="0.35">
      <c r="A153" s="9" t="s">
        <v>1078</v>
      </c>
      <c r="B153" s="6" t="s">
        <v>1457</v>
      </c>
      <c r="C153" s="7" t="s">
        <v>1079</v>
      </c>
      <c r="D153" s="7" t="s">
        <v>1080</v>
      </c>
      <c r="E153" s="7" t="s">
        <v>1060</v>
      </c>
      <c r="F153" s="8">
        <v>655169308</v>
      </c>
      <c r="G153" s="7"/>
    </row>
    <row r="154" spans="1:7" x14ac:dyDescent="0.35">
      <c r="A154" s="9">
        <v>414836</v>
      </c>
      <c r="B154" s="6" t="s">
        <v>1218</v>
      </c>
      <c r="C154" s="7" t="s">
        <v>331</v>
      </c>
      <c r="D154" s="7" t="s">
        <v>332</v>
      </c>
      <c r="E154" s="7" t="s">
        <v>256</v>
      </c>
      <c r="F154" s="8">
        <v>685959099</v>
      </c>
      <c r="G154" s="7" t="s">
        <v>190</v>
      </c>
    </row>
    <row r="155" spans="1:7" x14ac:dyDescent="0.35">
      <c r="A155" s="9">
        <v>412983</v>
      </c>
      <c r="B155" s="6" t="s">
        <v>1289</v>
      </c>
      <c r="C155" s="7" t="s">
        <v>1290</v>
      </c>
      <c r="D155" s="7" t="s">
        <v>274</v>
      </c>
      <c r="E155" s="7" t="s">
        <v>511</v>
      </c>
      <c r="F155" s="8">
        <v>661508328</v>
      </c>
      <c r="G155" s="7"/>
    </row>
    <row r="156" spans="1:7" x14ac:dyDescent="0.35">
      <c r="A156" s="10" t="s">
        <v>92</v>
      </c>
      <c r="B156" s="6" t="s">
        <v>1262</v>
      </c>
      <c r="C156" s="7" t="s">
        <v>662</v>
      </c>
      <c r="D156" s="7" t="s">
        <v>663</v>
      </c>
      <c r="E156" s="7" t="s">
        <v>210</v>
      </c>
      <c r="F156" s="8">
        <v>687494071</v>
      </c>
      <c r="G156" s="7"/>
    </row>
    <row r="157" spans="1:7" x14ac:dyDescent="0.35">
      <c r="A157" s="9" t="s">
        <v>88</v>
      </c>
      <c r="B157" s="6" t="s">
        <v>1311</v>
      </c>
      <c r="C157" s="7" t="s">
        <v>653</v>
      </c>
      <c r="D157" s="7" t="s">
        <v>654</v>
      </c>
      <c r="E157" s="7" t="s">
        <v>200</v>
      </c>
      <c r="F157" s="8">
        <v>600808694</v>
      </c>
      <c r="G157" s="7"/>
    </row>
    <row r="158" spans="1:7" x14ac:dyDescent="0.35">
      <c r="A158" s="10" t="s">
        <v>138</v>
      </c>
      <c r="B158" s="6" t="s">
        <v>1211</v>
      </c>
      <c r="C158" s="7" t="s">
        <v>811</v>
      </c>
      <c r="D158" s="7" t="s">
        <v>812</v>
      </c>
      <c r="E158" s="7" t="s">
        <v>284</v>
      </c>
      <c r="F158" s="8">
        <v>687568302</v>
      </c>
      <c r="G158" s="7"/>
    </row>
    <row r="159" spans="1:7" x14ac:dyDescent="0.35">
      <c r="A159" s="9" t="s">
        <v>61</v>
      </c>
      <c r="B159" s="6" t="s">
        <v>1207</v>
      </c>
      <c r="C159" s="7" t="s">
        <v>555</v>
      </c>
      <c r="D159" s="7" t="s">
        <v>556</v>
      </c>
      <c r="E159" s="7" t="s">
        <v>284</v>
      </c>
      <c r="F159" s="8">
        <v>669739564</v>
      </c>
      <c r="G159" s="7"/>
    </row>
    <row r="160" spans="1:7" x14ac:dyDescent="0.35">
      <c r="A160" s="10" t="s">
        <v>115</v>
      </c>
      <c r="B160" s="6" t="s">
        <v>1346</v>
      </c>
      <c r="C160" s="7" t="s">
        <v>735</v>
      </c>
      <c r="D160" s="7" t="s">
        <v>736</v>
      </c>
      <c r="E160" s="7" t="s">
        <v>213</v>
      </c>
      <c r="F160" s="8">
        <v>652196177</v>
      </c>
      <c r="G160" s="7" t="s">
        <v>190</v>
      </c>
    </row>
    <row r="161" spans="1:7" x14ac:dyDescent="0.35">
      <c r="A161" s="9">
        <v>412633</v>
      </c>
      <c r="B161" s="6" t="s">
        <v>1582</v>
      </c>
      <c r="C161" s="7" t="s">
        <v>1016</v>
      </c>
      <c r="D161" s="7" t="s">
        <v>1017</v>
      </c>
      <c r="E161" s="7" t="s">
        <v>208</v>
      </c>
      <c r="F161" s="8">
        <v>625237348</v>
      </c>
      <c r="G161" s="7"/>
    </row>
    <row r="162" spans="1:7" x14ac:dyDescent="0.35">
      <c r="A162" s="9" t="s">
        <v>27</v>
      </c>
      <c r="B162" s="6" t="s">
        <v>1278</v>
      </c>
      <c r="C162" s="7" t="s">
        <v>188</v>
      </c>
      <c r="D162" s="7" t="s">
        <v>189</v>
      </c>
      <c r="E162" s="7" t="s">
        <v>349</v>
      </c>
      <c r="F162" s="8">
        <v>651366196</v>
      </c>
      <c r="G162" s="7"/>
    </row>
    <row r="163" spans="1:7" x14ac:dyDescent="0.35">
      <c r="A163" s="10">
        <v>411739</v>
      </c>
      <c r="B163" s="6" t="s">
        <v>1214</v>
      </c>
      <c r="C163" s="7" t="s">
        <v>214</v>
      </c>
      <c r="D163" s="7" t="s">
        <v>215</v>
      </c>
      <c r="E163" s="7" t="s">
        <v>210</v>
      </c>
      <c r="F163" s="8">
        <v>633761186</v>
      </c>
      <c r="G163" s="7"/>
    </row>
    <row r="164" spans="1:7" x14ac:dyDescent="0.35">
      <c r="A164" s="9" t="s">
        <v>99</v>
      </c>
      <c r="B164" s="6" t="s">
        <v>1223</v>
      </c>
      <c r="C164" s="7" t="s">
        <v>681</v>
      </c>
      <c r="D164" s="7" t="s">
        <v>682</v>
      </c>
      <c r="E164" s="7" t="s">
        <v>181</v>
      </c>
      <c r="F164" s="8">
        <v>661178409</v>
      </c>
      <c r="G164" s="7"/>
    </row>
    <row r="165" spans="1:7" x14ac:dyDescent="0.35">
      <c r="A165" s="10" t="s">
        <v>1075</v>
      </c>
      <c r="B165" s="6" t="s">
        <v>1464</v>
      </c>
      <c r="C165" s="7" t="s">
        <v>1076</v>
      </c>
      <c r="D165" s="7" t="s">
        <v>1077</v>
      </c>
      <c r="E165" s="7" t="s">
        <v>1060</v>
      </c>
      <c r="F165" s="8">
        <v>650117193</v>
      </c>
      <c r="G165" s="7"/>
    </row>
    <row r="166" spans="1:7" x14ac:dyDescent="0.35">
      <c r="A166" s="10" t="s">
        <v>84</v>
      </c>
      <c r="B166" s="6" t="s">
        <v>1107</v>
      </c>
      <c r="C166" s="7" t="s">
        <v>638</v>
      </c>
      <c r="D166" s="7" t="s">
        <v>639</v>
      </c>
      <c r="E166" s="7" t="s">
        <v>208</v>
      </c>
      <c r="F166" s="8">
        <v>646119900</v>
      </c>
      <c r="G166" s="7"/>
    </row>
    <row r="167" spans="1:7" x14ac:dyDescent="0.35">
      <c r="A167" s="9" t="s">
        <v>160</v>
      </c>
      <c r="B167" s="6" t="s">
        <v>1589</v>
      </c>
      <c r="C167" s="7" t="s">
        <v>888</v>
      </c>
      <c r="D167" s="7" t="s">
        <v>889</v>
      </c>
      <c r="E167" s="7" t="s">
        <v>208</v>
      </c>
      <c r="F167" s="8">
        <v>647112273</v>
      </c>
      <c r="G167" s="7"/>
    </row>
    <row r="168" spans="1:7" x14ac:dyDescent="0.35">
      <c r="A168" s="9" t="s">
        <v>102</v>
      </c>
      <c r="B168" s="6" t="s">
        <v>1277</v>
      </c>
      <c r="C168" s="7" t="s">
        <v>692</v>
      </c>
      <c r="D168" s="7" t="s">
        <v>693</v>
      </c>
      <c r="E168" s="7" t="s">
        <v>913</v>
      </c>
      <c r="F168" s="8">
        <v>661150946</v>
      </c>
      <c r="G168" s="7"/>
    </row>
    <row r="169" spans="1:7" x14ac:dyDescent="0.35">
      <c r="A169" s="10" t="s">
        <v>1576</v>
      </c>
      <c r="B169" s="6" t="s">
        <v>1577</v>
      </c>
      <c r="C169" s="7" t="s">
        <v>1578</v>
      </c>
      <c r="D169" s="7" t="s">
        <v>1579</v>
      </c>
      <c r="E169" s="7" t="s">
        <v>181</v>
      </c>
      <c r="F169" s="8">
        <v>657519468</v>
      </c>
      <c r="G169" s="7"/>
    </row>
    <row r="170" spans="1:7" x14ac:dyDescent="0.35">
      <c r="A170" s="10">
        <v>412866</v>
      </c>
      <c r="B170" s="6" t="s">
        <v>1363</v>
      </c>
      <c r="C170" s="7" t="s">
        <v>268</v>
      </c>
      <c r="D170" s="7" t="s">
        <v>269</v>
      </c>
      <c r="E170" s="7" t="s">
        <v>270</v>
      </c>
      <c r="F170" s="8">
        <v>656658761</v>
      </c>
      <c r="G170" s="7"/>
    </row>
    <row r="171" spans="1:7" x14ac:dyDescent="0.35">
      <c r="A171" s="9">
        <v>417974</v>
      </c>
      <c r="B171" s="6" t="s">
        <v>1297</v>
      </c>
      <c r="C171" s="7" t="s">
        <v>390</v>
      </c>
      <c r="D171" s="7" t="s">
        <v>391</v>
      </c>
      <c r="E171" s="7" t="s">
        <v>200</v>
      </c>
      <c r="F171" s="8">
        <v>686724170</v>
      </c>
      <c r="G171" s="7"/>
    </row>
    <row r="172" spans="1:7" x14ac:dyDescent="0.35">
      <c r="A172" s="9" t="s">
        <v>129</v>
      </c>
      <c r="B172" s="6" t="s">
        <v>1108</v>
      </c>
      <c r="C172" s="7" t="s">
        <v>781</v>
      </c>
      <c r="D172" s="7" t="s">
        <v>782</v>
      </c>
      <c r="E172" s="7" t="s">
        <v>181</v>
      </c>
      <c r="F172" s="8">
        <v>645907424</v>
      </c>
      <c r="G172" s="7"/>
    </row>
    <row r="173" spans="1:7" x14ac:dyDescent="0.35">
      <c r="A173" s="10" t="s">
        <v>47</v>
      </c>
      <c r="B173" s="6" t="s">
        <v>1385</v>
      </c>
      <c r="C173" s="7" t="s">
        <v>494</v>
      </c>
      <c r="D173" s="7" t="s">
        <v>495</v>
      </c>
      <c r="E173" s="7" t="s">
        <v>410</v>
      </c>
      <c r="F173" s="8">
        <v>605224958</v>
      </c>
      <c r="G173" s="7"/>
    </row>
    <row r="174" spans="1:7" x14ac:dyDescent="0.35">
      <c r="A174" s="9" t="s">
        <v>1667</v>
      </c>
      <c r="B174" s="6" t="s">
        <v>1668</v>
      </c>
      <c r="C174" s="7" t="s">
        <v>1687</v>
      </c>
      <c r="D174" s="7" t="s">
        <v>1669</v>
      </c>
      <c r="E174" s="7" t="s">
        <v>210</v>
      </c>
      <c r="F174" s="8">
        <v>611410783</v>
      </c>
      <c r="G174" s="7"/>
    </row>
    <row r="175" spans="1:7" x14ac:dyDescent="0.35">
      <c r="A175" s="9" t="s">
        <v>104</v>
      </c>
      <c r="B175" s="6" t="s">
        <v>1331</v>
      </c>
      <c r="C175" s="7" t="s">
        <v>697</v>
      </c>
      <c r="D175" s="7" t="s">
        <v>698</v>
      </c>
      <c r="E175" s="7" t="s">
        <v>210</v>
      </c>
      <c r="F175" s="8">
        <v>677815458</v>
      </c>
      <c r="G175" s="7"/>
    </row>
    <row r="176" spans="1:7" x14ac:dyDescent="0.35">
      <c r="A176" s="9" t="s">
        <v>167</v>
      </c>
      <c r="B176" s="6" t="s">
        <v>1186</v>
      </c>
      <c r="C176" s="7" t="s">
        <v>917</v>
      </c>
      <c r="D176" s="7" t="s">
        <v>918</v>
      </c>
      <c r="E176" s="7" t="s">
        <v>253</v>
      </c>
      <c r="F176" s="8">
        <v>617752644</v>
      </c>
      <c r="G176" s="7"/>
    </row>
    <row r="177" spans="1:7" x14ac:dyDescent="0.35">
      <c r="A177" s="9" t="s">
        <v>1035</v>
      </c>
      <c r="B177" s="6" t="s">
        <v>1416</v>
      </c>
      <c r="C177" s="7" t="s">
        <v>1036</v>
      </c>
      <c r="D177" s="7" t="s">
        <v>1037</v>
      </c>
      <c r="E177" s="7" t="s">
        <v>1060</v>
      </c>
      <c r="F177" s="8">
        <v>621344533</v>
      </c>
      <c r="G177" s="7"/>
    </row>
    <row r="178" spans="1:7" x14ac:dyDescent="0.35">
      <c r="A178" s="9" t="s">
        <v>59</v>
      </c>
      <c r="B178" s="6" t="s">
        <v>1377</v>
      </c>
      <c r="C178" s="7" t="s">
        <v>548</v>
      </c>
      <c r="D178" s="7" t="s">
        <v>549</v>
      </c>
      <c r="E178" s="7" t="s">
        <v>329</v>
      </c>
      <c r="F178" s="8">
        <v>675226868</v>
      </c>
      <c r="G178" s="7"/>
    </row>
    <row r="179" spans="1:7" x14ac:dyDescent="0.35">
      <c r="A179" s="9" t="s">
        <v>120</v>
      </c>
      <c r="B179" s="6" t="s">
        <v>1437</v>
      </c>
      <c r="C179" s="7" t="s">
        <v>750</v>
      </c>
      <c r="D179" s="7" t="s">
        <v>751</v>
      </c>
      <c r="E179" s="7" t="s">
        <v>224</v>
      </c>
      <c r="F179" s="8">
        <v>690187506</v>
      </c>
      <c r="G179" s="7"/>
    </row>
    <row r="180" spans="1:7" x14ac:dyDescent="0.35">
      <c r="A180" s="10" t="s">
        <v>1023</v>
      </c>
      <c r="B180" s="6" t="s">
        <v>1408</v>
      </c>
      <c r="C180" s="7" t="s">
        <v>1024</v>
      </c>
      <c r="D180" s="7" t="s">
        <v>1025</v>
      </c>
      <c r="E180" s="7" t="s">
        <v>1060</v>
      </c>
      <c r="F180" s="8">
        <v>628854421</v>
      </c>
      <c r="G180" s="7"/>
    </row>
    <row r="181" spans="1:7" x14ac:dyDescent="0.35">
      <c r="A181" s="9" t="s">
        <v>136</v>
      </c>
      <c r="B181" s="6" t="s">
        <v>1438</v>
      </c>
      <c r="C181" s="7" t="s">
        <v>802</v>
      </c>
      <c r="D181" s="7" t="s">
        <v>803</v>
      </c>
      <c r="E181" s="7" t="s">
        <v>224</v>
      </c>
      <c r="F181" s="8">
        <v>656865947</v>
      </c>
      <c r="G181" s="7"/>
    </row>
    <row r="182" spans="1:7" x14ac:dyDescent="0.35">
      <c r="A182" s="9" t="s">
        <v>1489</v>
      </c>
      <c r="B182" s="6" t="s">
        <v>1490</v>
      </c>
      <c r="C182" s="7" t="s">
        <v>1491</v>
      </c>
      <c r="D182" s="7" t="s">
        <v>1492</v>
      </c>
      <c r="E182" s="7" t="s">
        <v>1477</v>
      </c>
      <c r="F182" s="8">
        <v>617159783</v>
      </c>
      <c r="G182" s="7" t="s">
        <v>190</v>
      </c>
    </row>
    <row r="183" spans="1:7" x14ac:dyDescent="0.35">
      <c r="A183" s="9" t="s">
        <v>114</v>
      </c>
      <c r="B183" s="6" t="s">
        <v>1210</v>
      </c>
      <c r="C183" s="7" t="s">
        <v>733</v>
      </c>
      <c r="D183" s="7" t="s">
        <v>734</v>
      </c>
      <c r="E183" s="7" t="s">
        <v>284</v>
      </c>
      <c r="F183" s="8">
        <v>633068078</v>
      </c>
      <c r="G183" s="7"/>
    </row>
    <row r="184" spans="1:7" x14ac:dyDescent="0.35">
      <c r="A184" s="9" t="s">
        <v>36</v>
      </c>
      <c r="B184" s="6" t="s">
        <v>1406</v>
      </c>
      <c r="C184" s="7" t="s">
        <v>457</v>
      </c>
      <c r="D184" s="7" t="s">
        <v>458</v>
      </c>
      <c r="E184" s="7" t="s">
        <v>192</v>
      </c>
      <c r="F184" s="8">
        <v>695977640</v>
      </c>
      <c r="G184" s="7"/>
    </row>
    <row r="185" spans="1:7" x14ac:dyDescent="0.35">
      <c r="A185" s="9" t="s">
        <v>79</v>
      </c>
      <c r="B185" s="6" t="s">
        <v>1451</v>
      </c>
      <c r="C185" s="7" t="s">
        <v>618</v>
      </c>
      <c r="D185" s="7" t="s">
        <v>619</v>
      </c>
      <c r="E185" s="7" t="s">
        <v>329</v>
      </c>
      <c r="F185" s="8">
        <v>633971624</v>
      </c>
      <c r="G185" s="7"/>
    </row>
    <row r="186" spans="1:7" x14ac:dyDescent="0.35">
      <c r="A186" s="9" t="s">
        <v>164</v>
      </c>
      <c r="B186" s="6" t="s">
        <v>1212</v>
      </c>
      <c r="C186" s="7" t="s">
        <v>903</v>
      </c>
      <c r="D186" s="7" t="s">
        <v>904</v>
      </c>
      <c r="E186" s="7" t="s">
        <v>284</v>
      </c>
      <c r="F186" s="8">
        <v>685865637</v>
      </c>
      <c r="G186" s="7"/>
    </row>
    <row r="187" spans="1:7" x14ac:dyDescent="0.35">
      <c r="A187" s="9" t="s">
        <v>169</v>
      </c>
      <c r="B187" s="6" t="s">
        <v>1187</v>
      </c>
      <c r="C187" s="7" t="s">
        <v>921</v>
      </c>
      <c r="D187" s="7" t="s">
        <v>922</v>
      </c>
      <c r="E187" s="7" t="s">
        <v>208</v>
      </c>
      <c r="F187" s="8">
        <v>616520855</v>
      </c>
      <c r="G187" s="7"/>
    </row>
    <row r="188" spans="1:7" x14ac:dyDescent="0.35">
      <c r="A188" s="10" t="s">
        <v>147</v>
      </c>
      <c r="B188" s="6" t="s">
        <v>1358</v>
      </c>
      <c r="C188" s="7" t="s">
        <v>841</v>
      </c>
      <c r="D188" s="7" t="s">
        <v>842</v>
      </c>
      <c r="E188" s="7" t="s">
        <v>491</v>
      </c>
      <c r="F188" s="8">
        <v>632110152</v>
      </c>
      <c r="G188" s="7"/>
    </row>
    <row r="189" spans="1:7" x14ac:dyDescent="0.35">
      <c r="A189" s="9" t="s">
        <v>95</v>
      </c>
      <c r="B189" s="6" t="s">
        <v>1383</v>
      </c>
      <c r="C189" s="7" t="s">
        <v>671</v>
      </c>
      <c r="D189" s="7" t="s">
        <v>1691</v>
      </c>
      <c r="E189" s="7" t="s">
        <v>270</v>
      </c>
      <c r="F189" s="8">
        <v>618650755</v>
      </c>
      <c r="G189" s="7"/>
    </row>
    <row r="190" spans="1:7" x14ac:dyDescent="0.35">
      <c r="A190" s="9">
        <v>414625</v>
      </c>
      <c r="B190" s="6" t="s">
        <v>1192</v>
      </c>
      <c r="C190" s="7" t="s">
        <v>320</v>
      </c>
      <c r="D190" s="7" t="s">
        <v>321</v>
      </c>
      <c r="E190" s="7" t="s">
        <v>329</v>
      </c>
      <c r="F190" s="8" t="s">
        <v>223</v>
      </c>
      <c r="G190" s="7"/>
    </row>
    <row r="191" spans="1:7" x14ac:dyDescent="0.35">
      <c r="A191" s="9" t="s">
        <v>151</v>
      </c>
      <c r="B191" s="6" t="s">
        <v>1453</v>
      </c>
      <c r="C191" s="7" t="s">
        <v>855</v>
      </c>
      <c r="D191" s="7" t="s">
        <v>856</v>
      </c>
      <c r="E191" s="7" t="s">
        <v>329</v>
      </c>
      <c r="F191" s="8">
        <v>687152617</v>
      </c>
      <c r="G191" s="7"/>
    </row>
    <row r="192" spans="1:7" x14ac:dyDescent="0.35">
      <c r="A192" s="9" t="s">
        <v>31</v>
      </c>
      <c r="B192" s="6" t="s">
        <v>1189</v>
      </c>
      <c r="C192" s="7" t="s">
        <v>438</v>
      </c>
      <c r="D192" s="7" t="s">
        <v>439</v>
      </c>
      <c r="E192" s="7" t="s">
        <v>329</v>
      </c>
      <c r="F192" s="8">
        <v>654190014</v>
      </c>
      <c r="G192" s="7"/>
    </row>
    <row r="193" spans="1:7" x14ac:dyDescent="0.35">
      <c r="A193" s="9">
        <v>411676</v>
      </c>
      <c r="B193" s="6" t="s">
        <v>1380</v>
      </c>
      <c r="C193" s="7" t="s">
        <v>945</v>
      </c>
      <c r="D193" s="7" t="s">
        <v>946</v>
      </c>
      <c r="E193" s="7" t="s">
        <v>511</v>
      </c>
      <c r="F193" s="8" t="s">
        <v>1005</v>
      </c>
      <c r="G193" s="7"/>
    </row>
    <row r="194" spans="1:7" x14ac:dyDescent="0.35">
      <c r="A194" s="9" t="s">
        <v>110</v>
      </c>
      <c r="B194" s="6" t="s">
        <v>1202</v>
      </c>
      <c r="C194" s="7" t="s">
        <v>717</v>
      </c>
      <c r="D194" s="7" t="s">
        <v>718</v>
      </c>
      <c r="E194" s="7" t="s">
        <v>329</v>
      </c>
      <c r="F194" s="8">
        <v>646801450</v>
      </c>
      <c r="G194" s="7"/>
    </row>
    <row r="195" spans="1:7" x14ac:dyDescent="0.35">
      <c r="A195" s="9" t="s">
        <v>82</v>
      </c>
      <c r="B195" s="6" t="s">
        <v>1261</v>
      </c>
      <c r="C195" s="7" t="s">
        <v>632</v>
      </c>
      <c r="D195" s="7" t="s">
        <v>633</v>
      </c>
      <c r="E195" s="7" t="s">
        <v>913</v>
      </c>
      <c r="F195" s="8">
        <v>617018441</v>
      </c>
      <c r="G195" s="7"/>
    </row>
    <row r="196" spans="1:7" x14ac:dyDescent="0.35">
      <c r="A196" s="9" t="s">
        <v>153</v>
      </c>
      <c r="B196" s="6" t="s">
        <v>1183</v>
      </c>
      <c r="C196" s="7" t="s">
        <v>861</v>
      </c>
      <c r="D196" s="7" t="s">
        <v>862</v>
      </c>
      <c r="E196" s="7" t="s">
        <v>410</v>
      </c>
      <c r="F196" s="8">
        <v>632440473</v>
      </c>
      <c r="G196" s="7"/>
    </row>
    <row r="197" spans="1:7" x14ac:dyDescent="0.35">
      <c r="A197" s="10" t="s">
        <v>112</v>
      </c>
      <c r="B197" s="6" t="s">
        <v>1366</v>
      </c>
      <c r="C197" s="7" t="s">
        <v>727</v>
      </c>
      <c r="D197" s="7" t="s">
        <v>728</v>
      </c>
      <c r="E197" s="7" t="s">
        <v>270</v>
      </c>
      <c r="F197" s="8">
        <v>688930166</v>
      </c>
      <c r="G197" s="7"/>
    </row>
    <row r="198" spans="1:7" x14ac:dyDescent="0.35">
      <c r="A198" s="9" t="s">
        <v>1572</v>
      </c>
      <c r="B198" s="6" t="s">
        <v>1593</v>
      </c>
      <c r="C198" s="7" t="s">
        <v>1573</v>
      </c>
      <c r="D198" s="7" t="s">
        <v>1574</v>
      </c>
      <c r="E198" s="7" t="s">
        <v>208</v>
      </c>
      <c r="F198" s="8">
        <v>637043683</v>
      </c>
      <c r="G198" s="7"/>
    </row>
    <row r="199" spans="1:7" x14ac:dyDescent="0.35">
      <c r="A199" s="9" t="s">
        <v>111</v>
      </c>
      <c r="B199" s="6" t="s">
        <v>1163</v>
      </c>
      <c r="C199" s="7" t="s">
        <v>721</v>
      </c>
      <c r="D199" s="7" t="s">
        <v>722</v>
      </c>
      <c r="E199" s="7" t="s">
        <v>256</v>
      </c>
      <c r="F199" s="8">
        <v>667096921</v>
      </c>
      <c r="G199" s="7" t="s">
        <v>190</v>
      </c>
    </row>
    <row r="200" spans="1:7" x14ac:dyDescent="0.35">
      <c r="A200" s="9">
        <v>412375</v>
      </c>
      <c r="B200" s="6" t="s">
        <v>1320</v>
      </c>
      <c r="C200" s="7" t="s">
        <v>244</v>
      </c>
      <c r="D200" s="7" t="s">
        <v>245</v>
      </c>
      <c r="E200" s="7" t="s">
        <v>1477</v>
      </c>
      <c r="F200" s="8">
        <v>954170087</v>
      </c>
      <c r="G200" s="7"/>
    </row>
    <row r="201" spans="1:7" x14ac:dyDescent="0.35">
      <c r="A201" s="9">
        <v>418492</v>
      </c>
      <c r="B201" s="6" t="s">
        <v>1396</v>
      </c>
      <c r="C201" s="7" t="s">
        <v>403</v>
      </c>
      <c r="D201" s="7" t="s">
        <v>404</v>
      </c>
      <c r="E201" s="7" t="s">
        <v>270</v>
      </c>
      <c r="F201" s="8">
        <v>671734865</v>
      </c>
      <c r="G201" s="7"/>
    </row>
    <row r="202" spans="1:7" x14ac:dyDescent="0.35">
      <c r="A202" s="9">
        <v>417971</v>
      </c>
      <c r="B202" s="6" t="s">
        <v>1295</v>
      </c>
      <c r="C202" s="7" t="s">
        <v>386</v>
      </c>
      <c r="D202" s="7" t="s">
        <v>387</v>
      </c>
      <c r="E202" s="7" t="s">
        <v>208</v>
      </c>
      <c r="F202" s="8">
        <v>645766090</v>
      </c>
      <c r="G202" s="7"/>
    </row>
    <row r="203" spans="1:7" x14ac:dyDescent="0.35">
      <c r="A203" s="9">
        <v>413975</v>
      </c>
      <c r="B203" s="6" t="s">
        <v>1151</v>
      </c>
      <c r="C203" s="7" t="s">
        <v>298</v>
      </c>
      <c r="D203" s="7" t="s">
        <v>299</v>
      </c>
      <c r="E203" s="7" t="s">
        <v>349</v>
      </c>
      <c r="F203" s="8">
        <v>669994339</v>
      </c>
      <c r="G203" s="7"/>
    </row>
    <row r="204" spans="1:7" x14ac:dyDescent="0.35">
      <c r="A204" s="9" t="s">
        <v>73</v>
      </c>
      <c r="B204" s="6" t="s">
        <v>1176</v>
      </c>
      <c r="C204" s="7" t="s">
        <v>596</v>
      </c>
      <c r="D204" s="7" t="s">
        <v>597</v>
      </c>
      <c r="E204" s="7" t="s">
        <v>253</v>
      </c>
      <c r="F204" s="8">
        <v>661520490</v>
      </c>
      <c r="G204" s="7"/>
    </row>
    <row r="205" spans="1:7" x14ac:dyDescent="0.35">
      <c r="A205" s="9" t="s">
        <v>1052</v>
      </c>
      <c r="B205" s="6" t="s">
        <v>1560</v>
      </c>
      <c r="C205" s="7" t="s">
        <v>1053</v>
      </c>
      <c r="D205" s="7" t="s">
        <v>1054</v>
      </c>
      <c r="E205" s="7" t="s">
        <v>1477</v>
      </c>
      <c r="F205" s="8">
        <v>634559458</v>
      </c>
      <c r="G205" s="7"/>
    </row>
    <row r="206" spans="1:7" x14ac:dyDescent="0.35">
      <c r="A206" s="10">
        <v>412767</v>
      </c>
      <c r="B206" s="6" t="s">
        <v>1234</v>
      </c>
      <c r="C206" s="7" t="s">
        <v>258</v>
      </c>
      <c r="D206" s="7" t="s">
        <v>259</v>
      </c>
      <c r="E206" s="7" t="s">
        <v>192</v>
      </c>
      <c r="F206" s="8">
        <v>954275207</v>
      </c>
      <c r="G206" s="7"/>
    </row>
    <row r="207" spans="1:7" x14ac:dyDescent="0.35">
      <c r="A207" s="9" t="s">
        <v>1083</v>
      </c>
      <c r="B207" s="6" t="s">
        <v>1460</v>
      </c>
      <c r="C207" s="7" t="s">
        <v>1084</v>
      </c>
      <c r="D207" s="7" t="s">
        <v>1085</v>
      </c>
      <c r="E207" s="7" t="s">
        <v>192</v>
      </c>
      <c r="F207" s="8">
        <v>645181051</v>
      </c>
      <c r="G207" s="7"/>
    </row>
    <row r="208" spans="1:7" x14ac:dyDescent="0.35">
      <c r="A208" s="9" t="s">
        <v>1086</v>
      </c>
      <c r="B208" s="6" t="s">
        <v>1456</v>
      </c>
      <c r="C208" s="7" t="s">
        <v>1087</v>
      </c>
      <c r="D208" s="7" t="s">
        <v>1088</v>
      </c>
      <c r="E208" s="7" t="s">
        <v>491</v>
      </c>
      <c r="F208" s="8">
        <v>641856875</v>
      </c>
      <c r="G208" s="7"/>
    </row>
    <row r="209" spans="1:7" x14ac:dyDescent="0.35">
      <c r="A209" s="9" t="s">
        <v>80</v>
      </c>
      <c r="B209" s="6" t="s">
        <v>1221</v>
      </c>
      <c r="C209" s="7" t="s">
        <v>620</v>
      </c>
      <c r="D209" s="7" t="s">
        <v>621</v>
      </c>
      <c r="E209" s="7" t="s">
        <v>329</v>
      </c>
      <c r="F209" s="8">
        <v>615595915</v>
      </c>
      <c r="G209" s="7"/>
    </row>
    <row r="210" spans="1:7" x14ac:dyDescent="0.35">
      <c r="A210" s="10">
        <v>87531</v>
      </c>
      <c r="B210" s="6" t="s">
        <v>1125</v>
      </c>
      <c r="C210" s="7" t="s">
        <v>1126</v>
      </c>
      <c r="D210" s="7" t="s">
        <v>178</v>
      </c>
      <c r="E210" s="7" t="s">
        <v>181</v>
      </c>
      <c r="F210" s="8">
        <v>626811636</v>
      </c>
      <c r="G210" s="7"/>
    </row>
    <row r="211" spans="1:7" x14ac:dyDescent="0.35">
      <c r="A211" s="9" t="s">
        <v>158</v>
      </c>
      <c r="B211" s="6" t="s">
        <v>1145</v>
      </c>
      <c r="C211" s="7" t="s">
        <v>880</v>
      </c>
      <c r="D211" s="7" t="s">
        <v>881</v>
      </c>
      <c r="E211" s="7" t="s">
        <v>410</v>
      </c>
      <c r="F211" s="8">
        <v>640127196</v>
      </c>
      <c r="G211" s="7"/>
    </row>
    <row r="212" spans="1:7" x14ac:dyDescent="0.35">
      <c r="A212" s="9">
        <v>412817</v>
      </c>
      <c r="B212" s="6" t="s">
        <v>1393</v>
      </c>
      <c r="C212" s="7" t="s">
        <v>961</v>
      </c>
      <c r="D212" s="7" t="s">
        <v>1058</v>
      </c>
      <c r="E212" s="7" t="s">
        <v>270</v>
      </c>
      <c r="F212" s="8">
        <v>637907986</v>
      </c>
      <c r="G212" s="7"/>
    </row>
    <row r="213" spans="1:7" x14ac:dyDescent="0.35">
      <c r="A213" s="9">
        <v>414056</v>
      </c>
      <c r="B213" s="6" t="s">
        <v>1153</v>
      </c>
      <c r="C213" s="7" t="s">
        <v>306</v>
      </c>
      <c r="D213" s="7" t="s">
        <v>307</v>
      </c>
      <c r="E213" s="7" t="s">
        <v>349</v>
      </c>
      <c r="F213" s="8">
        <v>644599011</v>
      </c>
      <c r="G213" s="7"/>
    </row>
    <row r="214" spans="1:7" x14ac:dyDescent="0.35">
      <c r="A214" s="9" t="s">
        <v>62</v>
      </c>
      <c r="B214" s="6" t="s">
        <v>1138</v>
      </c>
      <c r="C214" s="7" t="s">
        <v>558</v>
      </c>
      <c r="D214" s="7" t="s">
        <v>559</v>
      </c>
      <c r="E214" s="7" t="s">
        <v>410</v>
      </c>
      <c r="F214" s="8">
        <v>676156680</v>
      </c>
      <c r="G214" s="7"/>
    </row>
    <row r="215" spans="1:7" x14ac:dyDescent="0.35">
      <c r="A215" s="9" t="s">
        <v>93</v>
      </c>
      <c r="B215" s="6" t="s">
        <v>1327</v>
      </c>
      <c r="C215" s="7" t="s">
        <v>664</v>
      </c>
      <c r="D215" s="7" t="s">
        <v>665</v>
      </c>
      <c r="E215" s="7" t="s">
        <v>208</v>
      </c>
      <c r="F215" s="8">
        <v>692375076</v>
      </c>
      <c r="G215" s="7"/>
    </row>
    <row r="216" spans="1:7" x14ac:dyDescent="0.35">
      <c r="A216" s="9" t="s">
        <v>40</v>
      </c>
      <c r="B216" s="6" t="s">
        <v>1273</v>
      </c>
      <c r="C216" s="7" t="s">
        <v>476</v>
      </c>
      <c r="D216" s="7" t="s">
        <v>477</v>
      </c>
      <c r="E216" s="7" t="s">
        <v>511</v>
      </c>
      <c r="F216" s="8">
        <v>615085485</v>
      </c>
      <c r="G216" s="7"/>
    </row>
    <row r="217" spans="1:7" x14ac:dyDescent="0.35">
      <c r="A217" s="9" t="s">
        <v>49</v>
      </c>
      <c r="B217" s="6" t="s">
        <v>504</v>
      </c>
      <c r="C217" s="7" t="s">
        <v>505</v>
      </c>
      <c r="D217" s="7" t="s">
        <v>506</v>
      </c>
      <c r="E217" s="7" t="s">
        <v>213</v>
      </c>
      <c r="F217" s="8">
        <v>658185364</v>
      </c>
      <c r="G217" s="7"/>
    </row>
    <row r="218" spans="1:7" x14ac:dyDescent="0.35">
      <c r="A218" s="9" t="s">
        <v>1039</v>
      </c>
      <c r="B218" s="6" t="s">
        <v>1418</v>
      </c>
      <c r="C218" s="7" t="s">
        <v>1040</v>
      </c>
      <c r="D218" s="7" t="s">
        <v>1041</v>
      </c>
      <c r="E218" s="7" t="s">
        <v>1060</v>
      </c>
      <c r="F218" s="8">
        <v>645186144</v>
      </c>
      <c r="G218" s="7"/>
    </row>
    <row r="219" spans="1:7" x14ac:dyDescent="0.35">
      <c r="A219" s="10" t="s">
        <v>131</v>
      </c>
      <c r="B219" s="6" t="s">
        <v>1374</v>
      </c>
      <c r="C219" s="7" t="s">
        <v>788</v>
      </c>
      <c r="D219" s="7" t="s">
        <v>789</v>
      </c>
      <c r="E219" s="7" t="s">
        <v>181</v>
      </c>
      <c r="F219" s="8">
        <v>675925491</v>
      </c>
      <c r="G219" s="7"/>
    </row>
    <row r="220" spans="1:7" x14ac:dyDescent="0.35">
      <c r="A220" s="9">
        <v>413257</v>
      </c>
      <c r="B220" s="6" t="s">
        <v>1264</v>
      </c>
      <c r="C220" s="7" t="s">
        <v>287</v>
      </c>
      <c r="D220" s="7" t="s">
        <v>288</v>
      </c>
      <c r="E220" s="7" t="s">
        <v>913</v>
      </c>
      <c r="F220" s="8">
        <v>651915482</v>
      </c>
      <c r="G220" s="7"/>
    </row>
    <row r="221" spans="1:7" x14ac:dyDescent="0.35">
      <c r="A221" s="9" t="s">
        <v>1478</v>
      </c>
      <c r="B221" s="6" t="s">
        <v>1479</v>
      </c>
      <c r="C221" s="7" t="s">
        <v>1480</v>
      </c>
      <c r="D221" s="7" t="s">
        <v>1481</v>
      </c>
      <c r="E221" s="7" t="s">
        <v>1477</v>
      </c>
      <c r="F221" s="8">
        <v>692652860</v>
      </c>
      <c r="G221" s="7" t="s">
        <v>190</v>
      </c>
    </row>
    <row r="222" spans="1:7" x14ac:dyDescent="0.35">
      <c r="A222" s="9" t="s">
        <v>81</v>
      </c>
      <c r="B222" s="6" t="s">
        <v>1351</v>
      </c>
      <c r="C222" s="7" t="s">
        <v>625</v>
      </c>
      <c r="D222" s="7" t="s">
        <v>626</v>
      </c>
      <c r="E222" s="7" t="s">
        <v>491</v>
      </c>
      <c r="F222" s="8">
        <v>673213172</v>
      </c>
      <c r="G222" s="7"/>
    </row>
    <row r="223" spans="1:7" x14ac:dyDescent="0.35">
      <c r="A223" s="9" t="s">
        <v>1485</v>
      </c>
      <c r="B223" s="6" t="s">
        <v>1486</v>
      </c>
      <c r="C223" s="7" t="s">
        <v>1487</v>
      </c>
      <c r="D223" s="7" t="s">
        <v>1488</v>
      </c>
      <c r="E223" s="7" t="s">
        <v>1477</v>
      </c>
      <c r="F223" s="8">
        <v>620040423</v>
      </c>
      <c r="G223" s="7" t="s">
        <v>190</v>
      </c>
    </row>
    <row r="224" spans="1:7" x14ac:dyDescent="0.35">
      <c r="A224" s="9" t="s">
        <v>54</v>
      </c>
      <c r="B224" s="6" t="s">
        <v>1403</v>
      </c>
      <c r="C224" s="7" t="s">
        <v>528</v>
      </c>
      <c r="D224" s="7" t="s">
        <v>529</v>
      </c>
      <c r="E224" s="7" t="s">
        <v>213</v>
      </c>
      <c r="F224" s="8">
        <v>692862657</v>
      </c>
      <c r="G224" s="7"/>
    </row>
    <row r="225" spans="1:7" x14ac:dyDescent="0.35">
      <c r="A225" s="9">
        <v>417153</v>
      </c>
      <c r="B225" s="6" t="s">
        <v>1293</v>
      </c>
      <c r="C225" s="7" t="s">
        <v>372</v>
      </c>
      <c r="D225" s="7" t="s">
        <v>373</v>
      </c>
      <c r="E225" s="7" t="s">
        <v>200</v>
      </c>
      <c r="F225" s="8">
        <v>657211189</v>
      </c>
      <c r="G225" s="7"/>
    </row>
    <row r="226" spans="1:7" x14ac:dyDescent="0.35">
      <c r="A226" s="10">
        <v>419138</v>
      </c>
      <c r="B226" s="6" t="s">
        <v>1497</v>
      </c>
      <c r="C226" s="7" t="s">
        <v>1498</v>
      </c>
      <c r="D226" s="7" t="s">
        <v>1499</v>
      </c>
      <c r="E226" s="7" t="s">
        <v>208</v>
      </c>
      <c r="F226" s="8" t="s">
        <v>1613</v>
      </c>
      <c r="G226" s="7" t="s">
        <v>190</v>
      </c>
    </row>
    <row r="227" spans="1:7" x14ac:dyDescent="0.35">
      <c r="A227" s="9">
        <v>412968</v>
      </c>
      <c r="B227" s="6" t="s">
        <v>1322</v>
      </c>
      <c r="C227" s="7" t="s">
        <v>271</v>
      </c>
      <c r="D227" s="7" t="s">
        <v>272</v>
      </c>
      <c r="E227" s="7" t="s">
        <v>210</v>
      </c>
      <c r="F227" s="8">
        <v>606229043</v>
      </c>
      <c r="G227" s="7"/>
    </row>
    <row r="228" spans="1:7" x14ac:dyDescent="0.35">
      <c r="A228" s="9">
        <v>415849</v>
      </c>
      <c r="B228" s="6" t="s">
        <v>1275</v>
      </c>
      <c r="C228" s="7" t="s">
        <v>342</v>
      </c>
      <c r="D228" s="7" t="s">
        <v>343</v>
      </c>
      <c r="E228" s="7" t="s">
        <v>511</v>
      </c>
      <c r="F228" s="8">
        <v>655157321</v>
      </c>
      <c r="G228" s="7"/>
    </row>
    <row r="229" spans="1:7" x14ac:dyDescent="0.35">
      <c r="A229" s="9">
        <v>411988</v>
      </c>
      <c r="B229" s="6" t="s">
        <v>1313</v>
      </c>
      <c r="C229" s="7">
        <v>411988</v>
      </c>
      <c r="D229" s="7" t="s">
        <v>222</v>
      </c>
      <c r="E229" s="7" t="s">
        <v>200</v>
      </c>
      <c r="F229" s="8" t="s">
        <v>223</v>
      </c>
      <c r="G229" s="7"/>
    </row>
    <row r="230" spans="1:7" x14ac:dyDescent="0.35">
      <c r="A230" s="9" t="s">
        <v>1585</v>
      </c>
      <c r="B230" s="6" t="s">
        <v>1586</v>
      </c>
      <c r="C230" s="7" t="s">
        <v>1587</v>
      </c>
      <c r="D230" s="7" t="s">
        <v>1588</v>
      </c>
      <c r="E230" s="7" t="s">
        <v>253</v>
      </c>
      <c r="F230" s="8">
        <v>654779349</v>
      </c>
      <c r="G230" s="7"/>
    </row>
    <row r="231" spans="1:7" x14ac:dyDescent="0.35">
      <c r="A231" s="9" t="s">
        <v>1098</v>
      </c>
      <c r="B231" s="6" t="s">
        <v>1465</v>
      </c>
      <c r="C231" s="7" t="s">
        <v>1099</v>
      </c>
      <c r="D231" s="7" t="s">
        <v>1100</v>
      </c>
      <c r="E231" s="7" t="s">
        <v>192</v>
      </c>
      <c r="F231" s="8">
        <v>632384835</v>
      </c>
      <c r="G231" s="7"/>
    </row>
    <row r="232" spans="1:7" x14ac:dyDescent="0.35">
      <c r="A232" s="9">
        <v>411346</v>
      </c>
      <c r="B232" s="6" t="s">
        <v>1335</v>
      </c>
      <c r="C232" s="7" t="s">
        <v>211</v>
      </c>
      <c r="D232" s="7" t="s">
        <v>212</v>
      </c>
      <c r="E232" s="7" t="s">
        <v>213</v>
      </c>
      <c r="F232" s="8">
        <v>635808018</v>
      </c>
      <c r="G232" s="7"/>
    </row>
    <row r="233" spans="1:7" x14ac:dyDescent="0.35">
      <c r="A233" s="9" t="s">
        <v>77</v>
      </c>
      <c r="B233" s="6" t="s">
        <v>1379</v>
      </c>
      <c r="C233" s="7" t="s">
        <v>611</v>
      </c>
      <c r="D233" s="7" t="s">
        <v>612</v>
      </c>
      <c r="E233" s="7" t="s">
        <v>329</v>
      </c>
      <c r="F233" s="8" t="s">
        <v>613</v>
      </c>
      <c r="G233" s="7"/>
    </row>
    <row r="234" spans="1:7" x14ac:dyDescent="0.35">
      <c r="A234" s="10" t="s">
        <v>1632</v>
      </c>
      <c r="B234" s="6" t="s">
        <v>1633</v>
      </c>
      <c r="C234" s="7" t="s">
        <v>1676</v>
      </c>
      <c r="D234" s="7" t="s">
        <v>1634</v>
      </c>
      <c r="E234" s="7" t="s">
        <v>181</v>
      </c>
      <c r="F234" s="8">
        <v>662457943</v>
      </c>
      <c r="G234" s="7" t="s">
        <v>190</v>
      </c>
    </row>
    <row r="235" spans="1:7" x14ac:dyDescent="0.35">
      <c r="A235" s="9" t="s">
        <v>127</v>
      </c>
      <c r="B235" s="6" t="s">
        <v>1114</v>
      </c>
      <c r="C235" s="7" t="s">
        <v>774</v>
      </c>
      <c r="D235" s="7" t="s">
        <v>775</v>
      </c>
      <c r="E235" s="7" t="s">
        <v>181</v>
      </c>
      <c r="F235" s="8">
        <v>633464992</v>
      </c>
      <c r="G235" s="7"/>
    </row>
    <row r="236" spans="1:7" x14ac:dyDescent="0.35">
      <c r="A236" s="10" t="s">
        <v>1001</v>
      </c>
      <c r="B236" s="6" t="s">
        <v>1566</v>
      </c>
      <c r="C236" s="7" t="s">
        <v>959</v>
      </c>
      <c r="D236" s="7" t="s">
        <v>960</v>
      </c>
      <c r="E236" s="7" t="s">
        <v>208</v>
      </c>
      <c r="F236" s="8">
        <v>644554184</v>
      </c>
      <c r="G236" s="7"/>
    </row>
    <row r="237" spans="1:7" x14ac:dyDescent="0.35">
      <c r="A237" s="10" t="s">
        <v>1044</v>
      </c>
      <c r="B237" s="6" t="s">
        <v>1421</v>
      </c>
      <c r="C237" s="7" t="s">
        <v>1045</v>
      </c>
      <c r="D237" s="7" t="s">
        <v>1046</v>
      </c>
      <c r="E237" s="7" t="s">
        <v>1060</v>
      </c>
      <c r="F237" s="8">
        <v>607441731</v>
      </c>
      <c r="G237" s="7"/>
    </row>
    <row r="238" spans="1:7" x14ac:dyDescent="0.35">
      <c r="A238" s="10" t="s">
        <v>53</v>
      </c>
      <c r="B238" s="6" t="s">
        <v>1402</v>
      </c>
      <c r="C238" s="7" t="s">
        <v>526</v>
      </c>
      <c r="D238" s="7" t="s">
        <v>527</v>
      </c>
      <c r="E238" s="7" t="s">
        <v>213</v>
      </c>
      <c r="F238" s="8">
        <v>603809181</v>
      </c>
      <c r="G238" s="7"/>
    </row>
    <row r="239" spans="1:7" x14ac:dyDescent="0.35">
      <c r="A239" s="10">
        <v>414667</v>
      </c>
      <c r="B239" s="6" t="s">
        <v>1513</v>
      </c>
      <c r="C239" s="7" t="s">
        <v>1514</v>
      </c>
      <c r="D239" s="7" t="s">
        <v>1515</v>
      </c>
      <c r="E239" s="7" t="s">
        <v>200</v>
      </c>
      <c r="F239" s="8">
        <v>616000837</v>
      </c>
      <c r="G239" s="7"/>
    </row>
    <row r="240" spans="1:7" x14ac:dyDescent="0.35">
      <c r="A240" s="9">
        <v>418482</v>
      </c>
      <c r="B240" s="6" t="s">
        <v>1172</v>
      </c>
      <c r="C240" s="7" t="s">
        <v>397</v>
      </c>
      <c r="D240" s="7" t="s">
        <v>398</v>
      </c>
      <c r="E240" s="7" t="s">
        <v>208</v>
      </c>
      <c r="F240" s="8">
        <v>687224261</v>
      </c>
      <c r="G240" s="7"/>
    </row>
    <row r="241" spans="1:7" x14ac:dyDescent="0.35">
      <c r="A241" s="9" t="s">
        <v>1018</v>
      </c>
      <c r="B241" s="6" t="s">
        <v>1583</v>
      </c>
      <c r="C241" s="7" t="s">
        <v>1019</v>
      </c>
      <c r="D241" s="7" t="s">
        <v>1020</v>
      </c>
      <c r="E241" s="7" t="s">
        <v>511</v>
      </c>
      <c r="F241" s="8">
        <v>680164446</v>
      </c>
      <c r="G241" s="7"/>
    </row>
    <row r="242" spans="1:7" x14ac:dyDescent="0.35">
      <c r="A242" s="9" t="s">
        <v>51</v>
      </c>
      <c r="B242" s="6" t="s">
        <v>1196</v>
      </c>
      <c r="C242" s="7" t="s">
        <v>518</v>
      </c>
      <c r="D242" s="7" t="s">
        <v>519</v>
      </c>
      <c r="E242" s="7" t="s">
        <v>329</v>
      </c>
      <c r="F242" s="8">
        <v>627476070</v>
      </c>
      <c r="G242" s="7"/>
    </row>
    <row r="243" spans="1:7" x14ac:dyDescent="0.35">
      <c r="A243" s="9">
        <v>412730</v>
      </c>
      <c r="B243" s="6" t="s">
        <v>1150</v>
      </c>
      <c r="C243" s="7" t="s">
        <v>251</v>
      </c>
      <c r="D243" s="7" t="s">
        <v>252</v>
      </c>
      <c r="E243" s="7" t="s">
        <v>256</v>
      </c>
      <c r="F243" s="8">
        <v>657751046</v>
      </c>
      <c r="G243" s="7"/>
    </row>
    <row r="244" spans="1:7" x14ac:dyDescent="0.35">
      <c r="A244" s="9" t="s">
        <v>66</v>
      </c>
      <c r="B244" s="6" t="s">
        <v>1431</v>
      </c>
      <c r="C244" s="7" t="s">
        <v>578</v>
      </c>
      <c r="D244" s="7" t="s">
        <v>579</v>
      </c>
      <c r="E244" s="7" t="s">
        <v>210</v>
      </c>
      <c r="F244" s="8">
        <v>686378170</v>
      </c>
      <c r="G244" s="7"/>
    </row>
    <row r="245" spans="1:7" x14ac:dyDescent="0.35">
      <c r="A245" s="9">
        <v>411782</v>
      </c>
      <c r="B245" s="6" t="s">
        <v>1303</v>
      </c>
      <c r="C245" s="7" t="s">
        <v>217</v>
      </c>
      <c r="D245" s="7" t="s">
        <v>218</v>
      </c>
      <c r="E245" s="7" t="s">
        <v>200</v>
      </c>
      <c r="F245" s="8">
        <v>955815551</v>
      </c>
      <c r="G245" s="7"/>
    </row>
    <row r="246" spans="1:7" x14ac:dyDescent="0.35">
      <c r="A246" s="9" t="s">
        <v>1660</v>
      </c>
      <c r="B246" s="6" t="s">
        <v>1661</v>
      </c>
      <c r="C246" s="7" t="s">
        <v>1686</v>
      </c>
      <c r="D246" s="7" t="s">
        <v>1662</v>
      </c>
      <c r="E246" s="7" t="s">
        <v>511</v>
      </c>
      <c r="F246" s="8">
        <v>633439857</v>
      </c>
      <c r="G246" s="7" t="s">
        <v>190</v>
      </c>
    </row>
    <row r="247" spans="1:7" x14ac:dyDescent="0.35">
      <c r="A247" s="9" t="s">
        <v>29</v>
      </c>
      <c r="B247" s="6" t="s">
        <v>1160</v>
      </c>
      <c r="C247" s="7" t="s">
        <v>430</v>
      </c>
      <c r="D247" s="7" t="s">
        <v>431</v>
      </c>
      <c r="E247" s="7" t="s">
        <v>256</v>
      </c>
      <c r="F247" s="8">
        <v>608869696</v>
      </c>
      <c r="G247" s="7"/>
    </row>
    <row r="248" spans="1:7" x14ac:dyDescent="0.35">
      <c r="A248" s="9" t="s">
        <v>58</v>
      </c>
      <c r="B248" s="6" t="s">
        <v>1174</v>
      </c>
      <c r="C248" s="7" t="s">
        <v>543</v>
      </c>
      <c r="D248" s="7" t="s">
        <v>544</v>
      </c>
      <c r="E248" s="7" t="s">
        <v>410</v>
      </c>
      <c r="F248" s="8">
        <v>689456990</v>
      </c>
      <c r="G248" s="7"/>
    </row>
    <row r="249" spans="1:7" x14ac:dyDescent="0.35">
      <c r="A249" s="10" t="s">
        <v>140</v>
      </c>
      <c r="B249" s="6" t="s">
        <v>1429</v>
      </c>
      <c r="C249" s="7" t="s">
        <v>819</v>
      </c>
      <c r="D249" s="7" t="s">
        <v>820</v>
      </c>
      <c r="E249" s="7" t="s">
        <v>284</v>
      </c>
      <c r="F249" s="8">
        <v>654499788</v>
      </c>
      <c r="G249" s="7"/>
    </row>
    <row r="250" spans="1:7" x14ac:dyDescent="0.35">
      <c r="A250" s="9" t="s">
        <v>1089</v>
      </c>
      <c r="B250" s="6" t="s">
        <v>1467</v>
      </c>
      <c r="C250" s="7" t="s">
        <v>1090</v>
      </c>
      <c r="D250" s="7" t="s">
        <v>1091</v>
      </c>
      <c r="E250" s="7" t="s">
        <v>491</v>
      </c>
      <c r="F250" s="8">
        <v>638652395</v>
      </c>
      <c r="G250" s="7"/>
    </row>
    <row r="251" spans="1:7" x14ac:dyDescent="0.35">
      <c r="A251" s="9" t="s">
        <v>121</v>
      </c>
      <c r="B251" s="6" t="s">
        <v>1371</v>
      </c>
      <c r="C251" s="7" t="s">
        <v>752</v>
      </c>
      <c r="D251" s="7" t="s">
        <v>753</v>
      </c>
      <c r="E251" s="7" t="s">
        <v>270</v>
      </c>
      <c r="F251" s="8" t="s">
        <v>754</v>
      </c>
      <c r="G251" s="7"/>
    </row>
    <row r="252" spans="1:7" x14ac:dyDescent="0.35">
      <c r="A252" s="9" t="s">
        <v>100</v>
      </c>
      <c r="B252" s="6" t="s">
        <v>1425</v>
      </c>
      <c r="C252" s="7" t="s">
        <v>685</v>
      </c>
      <c r="D252" s="7" t="s">
        <v>686</v>
      </c>
      <c r="E252" s="7" t="s">
        <v>284</v>
      </c>
      <c r="F252" s="8" t="s">
        <v>687</v>
      </c>
      <c r="G252" s="7"/>
    </row>
    <row r="253" spans="1:7" x14ac:dyDescent="0.35">
      <c r="A253" s="10" t="s">
        <v>83</v>
      </c>
      <c r="B253" s="6" t="s">
        <v>1341</v>
      </c>
      <c r="C253" s="7" t="s">
        <v>634</v>
      </c>
      <c r="D253" s="7" t="s">
        <v>635</v>
      </c>
      <c r="E253" s="7" t="s">
        <v>213</v>
      </c>
      <c r="F253" s="8">
        <v>636488199</v>
      </c>
      <c r="G253" s="7"/>
    </row>
    <row r="254" spans="1:7" x14ac:dyDescent="0.35">
      <c r="A254" s="9" t="s">
        <v>122</v>
      </c>
      <c r="B254" s="6" t="s">
        <v>1115</v>
      </c>
      <c r="C254" s="7" t="s">
        <v>755</v>
      </c>
      <c r="D254" s="7" t="s">
        <v>756</v>
      </c>
      <c r="E254" s="7" t="s">
        <v>181</v>
      </c>
      <c r="F254" s="8">
        <v>658475471</v>
      </c>
      <c r="G254" s="7"/>
    </row>
    <row r="255" spans="1:7" x14ac:dyDescent="0.35">
      <c r="A255" s="9">
        <v>413902</v>
      </c>
      <c r="B255" s="6" t="s">
        <v>1215</v>
      </c>
      <c r="C255" s="7" t="s">
        <v>292</v>
      </c>
      <c r="D255" s="7" t="s">
        <v>293</v>
      </c>
      <c r="E255" s="7" t="s">
        <v>210</v>
      </c>
      <c r="F255" s="8">
        <v>664483123</v>
      </c>
      <c r="G255" s="7" t="s">
        <v>190</v>
      </c>
    </row>
    <row r="256" spans="1:7" x14ac:dyDescent="0.35">
      <c r="A256" s="10" t="s">
        <v>177</v>
      </c>
      <c r="B256" s="6" t="s">
        <v>1255</v>
      </c>
      <c r="C256" s="7" t="s">
        <v>983</v>
      </c>
      <c r="D256" s="7" t="s">
        <v>984</v>
      </c>
      <c r="E256" s="7" t="s">
        <v>511</v>
      </c>
      <c r="F256" s="8">
        <v>654050366</v>
      </c>
      <c r="G256" s="7" t="s">
        <v>190</v>
      </c>
    </row>
    <row r="257" spans="1:7" x14ac:dyDescent="0.35">
      <c r="A257" s="9">
        <v>418942</v>
      </c>
      <c r="B257" s="6" t="s">
        <v>1532</v>
      </c>
      <c r="C257" s="7" t="s">
        <v>1533</v>
      </c>
      <c r="D257" s="7" t="s">
        <v>1534</v>
      </c>
      <c r="E257" s="7" t="s">
        <v>1060</v>
      </c>
      <c r="F257" s="8">
        <v>615826576</v>
      </c>
      <c r="G257" s="7"/>
    </row>
    <row r="258" spans="1:7" x14ac:dyDescent="0.35">
      <c r="A258" s="9" t="s">
        <v>162</v>
      </c>
      <c r="B258" s="6" t="s">
        <v>1434</v>
      </c>
      <c r="C258" s="7" t="s">
        <v>893</v>
      </c>
      <c r="D258" s="7" t="s">
        <v>894</v>
      </c>
      <c r="E258" s="7" t="s">
        <v>256</v>
      </c>
      <c r="F258" s="8">
        <v>678000679</v>
      </c>
      <c r="G258" s="7"/>
    </row>
    <row r="259" spans="1:7" x14ac:dyDescent="0.35">
      <c r="A259" s="9" t="s">
        <v>145</v>
      </c>
      <c r="B259" s="6" t="s">
        <v>1282</v>
      </c>
      <c r="C259" s="7" t="s">
        <v>833</v>
      </c>
      <c r="D259" s="7" t="s">
        <v>834</v>
      </c>
      <c r="E259" s="7" t="s">
        <v>913</v>
      </c>
      <c r="F259" s="8">
        <v>667896282</v>
      </c>
      <c r="G259" s="7"/>
    </row>
    <row r="260" spans="1:7" x14ac:dyDescent="0.35">
      <c r="A260" s="9" t="s">
        <v>126</v>
      </c>
      <c r="B260" s="6" t="s">
        <v>1368</v>
      </c>
      <c r="C260" s="7" t="s">
        <v>768</v>
      </c>
      <c r="D260" s="7" t="s">
        <v>769</v>
      </c>
      <c r="E260" s="7" t="s">
        <v>270</v>
      </c>
      <c r="F260" s="8" t="s">
        <v>770</v>
      </c>
      <c r="G260" s="7"/>
    </row>
    <row r="261" spans="1:7" x14ac:dyDescent="0.35">
      <c r="A261" s="9" t="s">
        <v>165</v>
      </c>
      <c r="B261" s="6" t="s">
        <v>1246</v>
      </c>
      <c r="C261" s="7" t="s">
        <v>907</v>
      </c>
      <c r="D261" s="7" t="s">
        <v>908</v>
      </c>
      <c r="E261" s="7" t="s">
        <v>192</v>
      </c>
      <c r="F261" s="8">
        <v>651153919</v>
      </c>
      <c r="G261" s="7"/>
    </row>
    <row r="262" spans="1:7" x14ac:dyDescent="0.35">
      <c r="A262" s="9" t="s">
        <v>57</v>
      </c>
      <c r="B262" s="6" t="s">
        <v>1470</v>
      </c>
      <c r="C262" s="8" t="s">
        <v>537</v>
      </c>
      <c r="D262" s="7" t="s">
        <v>538</v>
      </c>
      <c r="E262" s="7" t="s">
        <v>253</v>
      </c>
      <c r="F262" s="8">
        <v>600732448</v>
      </c>
      <c r="G262" s="7"/>
    </row>
    <row r="263" spans="1:7" x14ac:dyDescent="0.35">
      <c r="A263" s="10" t="s">
        <v>106</v>
      </c>
      <c r="B263" s="6" t="s">
        <v>1427</v>
      </c>
      <c r="C263" s="8" t="s">
        <v>704</v>
      </c>
      <c r="D263" s="7" t="s">
        <v>705</v>
      </c>
      <c r="E263" s="7" t="s">
        <v>284</v>
      </c>
      <c r="F263" s="8">
        <v>608487536</v>
      </c>
      <c r="G263" s="7"/>
    </row>
    <row r="264" spans="1:7" x14ac:dyDescent="0.35">
      <c r="A264" s="9" t="s">
        <v>1092</v>
      </c>
      <c r="B264" s="6" t="s">
        <v>1462</v>
      </c>
      <c r="C264" s="7" t="s">
        <v>1093</v>
      </c>
      <c r="D264" s="7" t="s">
        <v>1094</v>
      </c>
      <c r="E264" s="7" t="s">
        <v>491</v>
      </c>
      <c r="F264" s="8">
        <v>625171853</v>
      </c>
      <c r="G264" s="7"/>
    </row>
    <row r="265" spans="1:7" x14ac:dyDescent="0.35">
      <c r="A265" s="10">
        <v>414150</v>
      </c>
      <c r="B265" s="6" t="s">
        <v>1292</v>
      </c>
      <c r="C265" s="7" t="s">
        <v>314</v>
      </c>
      <c r="D265" s="7" t="s">
        <v>315</v>
      </c>
      <c r="E265" s="7" t="s">
        <v>200</v>
      </c>
      <c r="F265" s="8">
        <v>683544996</v>
      </c>
      <c r="G265" s="7"/>
    </row>
    <row r="266" spans="1:7" x14ac:dyDescent="0.35">
      <c r="A266" s="9" t="s">
        <v>109</v>
      </c>
      <c r="B266" s="6" t="s">
        <v>1201</v>
      </c>
      <c r="C266" s="7" t="s">
        <v>715</v>
      </c>
      <c r="D266" s="7" t="s">
        <v>716</v>
      </c>
      <c r="E266" s="7" t="s">
        <v>329</v>
      </c>
      <c r="F266" s="8">
        <v>664781532</v>
      </c>
      <c r="G266" s="7"/>
    </row>
  </sheetData>
  <autoFilter ref="A1:G266" xr:uid="{00000000-0009-0000-0000-000003000000}">
    <sortState xmlns:xlrd2="http://schemas.microsoft.com/office/spreadsheetml/2017/richdata2" ref="A2:G266">
      <sortCondition ref="D1:D266"/>
    </sortState>
  </autoFilter>
  <dataValidations count="1">
    <dataValidation type="list" allowBlank="1" showInputMessage="1" showErrorMessage="1" sqref="G2:G266" xr:uid="{00000000-0002-0000-0300-000000000000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AGENTE</vt:lpstr>
      <vt:lpstr>BBDD</vt:lpstr>
      <vt:lpstr>CAMBIAR USB</vt:lpstr>
    </vt:vector>
  </TitlesOfParts>
  <Company>Sitel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Payan</dc:creator>
  <cp:lastModifiedBy>Patricia Sanchez</cp:lastModifiedBy>
  <dcterms:created xsi:type="dcterms:W3CDTF">2021-12-22T16:05:05Z</dcterms:created>
  <dcterms:modified xsi:type="dcterms:W3CDTF">2025-12-22T11:26:48Z</dcterms:modified>
</cp:coreProperties>
</file>